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46E0314C-467E-45AC-B7E5-E43B7480DB56}"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tc={B3C3A626-3EBB-4D52-A73A-E5ED22F15FEE}</author>
    <author>tc={0A354A29-C119-460D-BF40-BD4799EEEC89}</author>
  </authors>
  <commentList>
    <comment ref="Q53" authorId="0" shapeId="0" xr:uid="{B3C3A626-3EBB-4D52-A73A-E5ED22F15FEE}">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<sst xmlns="http://schemas.openxmlformats.org/spreadsheetml/2006/main" count="18053" uniqueCount="1847">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</sst>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
      <left style="thin">
        <color rgb="FF000000"/>
      </left>
      <right style="thin">
        <color rgb="FF000000"/>
      </right>
      <top style="thin">
        <color rgb="FF000000"/>
      </top>
      <bottom/>
      <diagonal/>
    </border>
  </borders>
  <cellStyleXfs count="3">
    <xf numFmtId="0" fontId="0" fillId="0" borderId="0"/>
    <xf numFmtId="0" fontId="13" fillId="0" borderId="0"/>
    <xf numFmtId="0" fontId="13" fillId="18" borderId="15"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10" xfId="0" applyFont="1" applyBorder="1" applyAlignment="1">
      <alignment horizontal="center"/>
    </xf>
    <xf numFmtId="0" fontId="14" fillId="0" borderId="11" xfId="0" applyFont="1" applyBorder="1" applyAlignment="1">
      <alignment horizontal="center"/>
    </xf>
    <xf numFmtId="0" fontId="0" fillId="0" borderId="12" xfId="0" applyBorder="1"/>
    <xf numFmtId="0" fontId="14" fillId="0" borderId="8" xfId="0" applyFont="1" applyBorder="1" applyAlignment="1">
      <alignment horizontal="center"/>
    </xf>
    <xf numFmtId="0" fontId="0" fillId="0" borderId="19" xfId="0" applyBorder="1"/>
    <xf numFmtId="0" fontId="14" fillId="0" borderId="12" xfId="0" applyFont="1" applyBorder="1" applyAlignment="1">
      <alignment horizontal="center"/>
    </xf>
  </cellXfs>
  <cellStyles count="3">
    <cellStyle name="Normal" xfId="0" builtinId="0"/>
    <cellStyle name="Normal 2 2" xfId="1" xr:uid="{BBAC9C38-E6FF-4A4E-98C5-89F45FD601CF}"/>
    <cellStyle name="Notas" xfId="2" builtinId="10"/>
  </cellStyles>
  <dxfs count="231">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theme="9" tint="0.39994506668294322"/>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B3C3A626-3EBB-4D52-A73A-E5ED22F15FEE}">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20"/>
  <sheetViews>
    <sheetView tabSelected="1" zoomScaleNormal="100" workbookViewId="0">
      <pane xSplit="1" ySplit="1" topLeftCell="O592" activePane="bottomRight" state="frozen"/>
      <selection pane="topRight" activeCell="B1" sqref="B1"/>
      <selection pane="bottomLeft" activeCell="A2" sqref="A2"/>
      <selection pane="bottomRight" activeCell="AE620" sqref="AE620"/>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1845</v>
      </c>
      <c r="K1" s="1" t="s">
        <v>8</v>
      </c>
      <c r="L1" s="1" t="s">
        <v>1762</v>
      </c>
      <c r="M1" s="1" t="s">
        <v>9</v>
      </c>
      <c r="N1" s="1" t="s">
        <v>10</v>
      </c>
      <c r="O1" s="1" t="s">
        <v>11</v>
      </c>
      <c r="P1" s="1" t="s">
        <v>1763</v>
      </c>
      <c r="Q1" s="1" t="s">
        <v>12</v>
      </c>
      <c r="R1" s="1" t="s">
        <v>13</v>
      </c>
      <c r="S1" s="2" t="s">
        <v>14</v>
      </c>
      <c r="T1" s="2" t="s">
        <v>15</v>
      </c>
      <c r="U1" s="2" t="s">
        <v>16</v>
      </c>
      <c r="V1" s="2" t="s">
        <v>17</v>
      </c>
      <c r="W1" s="3" t="s">
        <v>1843</v>
      </c>
      <c r="X1" s="3" t="s">
        <v>1844</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si="0"/>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IF(S5="ENVIADO A LA CE/UM",1/3,IF(S5="ENTREGADO/REVISIÓN",2/3,IF(S5="ENVIADO A TICS",1,0)))+
IF(T5="EN PROCESO",1/2,IF(T5="CONCLUIDO",1,0))+
IF(U5="ENVIADO A LA CE/UM",1/3,IF(U5="EN REVISIÓN CENTRAL",2/3,IF(U5="CONCLUIDO",1,0)))+
IF(V5="ENVIADO A LA CE/UM",1/3,IF(V5="EN REVISIÓN CENTRAL",2/3,IF(V5="CONCLUIDO",1,0)))+
IF(W5="EN PROCESO",1/2,IF(W5="CONCLUIDO",1,0))+
IF(X5="EN PROCESO",1/2,IF(X5="CONCLUIDO",1,0))+
IF(Y5="PROGRAMADAS",1/2,IF(Y5="CONCLUIDAS",1,0))+
IF(Z5="SI",1,IF(Z5="NO",0,0))+
IF(AA5="SI",1,IF(AA5="NO",0,0))
)/9</f>
        <v>0.83333333333333337</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0.61111111111111116</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0.24074074074074073</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0.24074074074074073</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0.24074074074074073</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0.24074074074074073</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0.24074074074074073</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0.24074074074074073</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0.24074074074074073</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35</v>
      </c>
      <c r="X63" s="94" t="s">
        <v>175</v>
      </c>
      <c r="Y63" s="94" t="s">
        <v>36</v>
      </c>
      <c r="Z63" s="94" t="s">
        <v>74</v>
      </c>
      <c r="AA63" s="94" t="s">
        <v>74</v>
      </c>
      <c r="AB63" s="95" t="s">
        <v>1807</v>
      </c>
      <c r="AC63" s="30">
        <f t="shared" si="0"/>
        <v>0.66666666666666663</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34</v>
      </c>
      <c r="T64" s="94"/>
      <c r="U64" s="94"/>
      <c r="V64" s="94"/>
      <c r="W64" s="94"/>
      <c r="X64" s="94"/>
      <c r="Y64" s="94"/>
      <c r="Z64" s="94"/>
      <c r="AA64" s="94"/>
      <c r="AB64" s="95"/>
      <c r="AC64" s="30">
        <f t="shared" si="0"/>
        <v>0.1111111111111111</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34</v>
      </c>
      <c r="T65" s="94"/>
      <c r="U65" s="94"/>
      <c r="V65" s="94"/>
      <c r="W65" s="94"/>
      <c r="X65" s="94"/>
      <c r="Y65" s="94"/>
      <c r="Z65" s="94"/>
      <c r="AA65" s="94"/>
      <c r="AB65" s="95"/>
      <c r="AC65" s="30">
        <f t="shared" si="0"/>
        <v>0.1111111111111111</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34</v>
      </c>
      <c r="T66" s="94"/>
      <c r="U66" s="94"/>
      <c r="V66" s="94"/>
      <c r="W66" s="94"/>
      <c r="X66" s="94"/>
      <c r="Y66" s="94"/>
      <c r="Z66" s="94"/>
      <c r="AA66" s="94"/>
      <c r="AB66" s="95"/>
      <c r="AC66" s="30">
        <f t="shared" ref="AC66:AC129" si="1">(
IF(S66="ENVIADO A LA CE/UM",1/3,IF(S66="ENTREGADO/REVISIÓN",2/3,IF(S66="ENVIADO A TICS",1,0)))+
IF(T66="EN PROCESO",1/2,IF(T66="CONCLUIDO",1,0))+
IF(U66="ENVIADO A LA CE/UM",1/3,IF(U66="EN REVISIÓN CENTRAL",2/3,IF(U66="CONCLUIDO",1,0)))+
IF(V66="ENVIADO A LA CE/UM",1/3,IF(V66="EN REVISIÓN CENTRAL",2/3,IF(V66="CONCLUIDO",1,0)))+
IF(W66="EN PROCESO",1/2,IF(W66="CONCLUIDO",1,0))+
IF(X66="EN PROCESO",1/2,IF(X66="CONCLUIDO",1,0))+
IF(Y66="PROGRAMADAS",1/2,IF(Y66="CONCLUIDAS",1,0))+
IF(Z66="SI",1,IF(Z66="NO",0,0))+
IF(AA66="SI",1,IF(AA66="NO",0,0))
)/9</f>
        <v>0.1111111111111111</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34</v>
      </c>
      <c r="T67" s="94"/>
      <c r="U67" s="94"/>
      <c r="V67" s="94"/>
      <c r="W67" s="94"/>
      <c r="X67" s="94"/>
      <c r="Y67" s="94"/>
      <c r="Z67" s="94"/>
      <c r="AA67" s="94"/>
      <c r="AB67" s="95"/>
      <c r="AC67" s="30">
        <f t="shared" si="1"/>
        <v>0.1111111111111111</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34</v>
      </c>
      <c r="T68" s="94"/>
      <c r="U68" s="94"/>
      <c r="V68" s="94"/>
      <c r="W68" s="94"/>
      <c r="X68" s="94"/>
      <c r="Y68" s="94"/>
      <c r="Z68" s="94"/>
      <c r="AA68" s="94"/>
      <c r="AB68" s="95"/>
      <c r="AC68" s="30">
        <f t="shared" si="1"/>
        <v>0.1111111111111111</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34</v>
      </c>
      <c r="T69" s="94"/>
      <c r="U69" s="94"/>
      <c r="V69" s="94"/>
      <c r="W69" s="94"/>
      <c r="X69" s="94"/>
      <c r="Y69" s="94"/>
      <c r="Z69" s="94"/>
      <c r="AA69" s="94"/>
      <c r="AB69" s="95"/>
      <c r="AC69" s="30">
        <f t="shared" si="1"/>
        <v>0.1111111111111111</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34</v>
      </c>
      <c r="T70" s="94"/>
      <c r="U70" s="94"/>
      <c r="V70" s="94"/>
      <c r="W70" s="94"/>
      <c r="X70" s="94"/>
      <c r="Y70" s="94"/>
      <c r="Z70" s="94"/>
      <c r="AA70" s="94"/>
      <c r="AB70" s="95"/>
      <c r="AC70" s="30">
        <f t="shared" si="1"/>
        <v>0.1111111111111111</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34</v>
      </c>
      <c r="T71" s="94"/>
      <c r="U71" s="94"/>
      <c r="V71" s="94"/>
      <c r="W71" s="94"/>
      <c r="X71" s="94"/>
      <c r="Y71" s="94"/>
      <c r="Z71" s="94"/>
      <c r="AA71" s="94"/>
      <c r="AB71" s="95"/>
      <c r="AC71" s="30">
        <f t="shared" si="1"/>
        <v>0.1111111111111111</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34</v>
      </c>
      <c r="T72" s="94"/>
      <c r="U72" s="94"/>
      <c r="V72" s="94"/>
      <c r="W72" s="94"/>
      <c r="X72" s="94"/>
      <c r="Y72" s="94"/>
      <c r="Z72" s="94"/>
      <c r="AA72" s="94"/>
      <c r="AB72" s="95"/>
      <c r="AC72" s="30">
        <f t="shared" si="1"/>
        <v>0.1111111111111111</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34</v>
      </c>
      <c r="T73" s="94"/>
      <c r="U73" s="94"/>
      <c r="V73" s="94"/>
      <c r="W73" s="94"/>
      <c r="X73" s="94"/>
      <c r="Y73" s="94"/>
      <c r="Z73" s="94"/>
      <c r="AA73" s="94"/>
      <c r="AB73" s="95"/>
      <c r="AC73" s="30">
        <f t="shared" si="1"/>
        <v>0.1111111111111111</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34</v>
      </c>
      <c r="T74" s="94"/>
      <c r="U74" s="94"/>
      <c r="V74" s="94"/>
      <c r="W74" s="94"/>
      <c r="X74" s="94"/>
      <c r="Y74" s="94"/>
      <c r="Z74" s="94"/>
      <c r="AA74" s="94"/>
      <c r="AB74" s="95"/>
      <c r="AC74" s="30">
        <f t="shared" si="1"/>
        <v>0.1111111111111111</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34</v>
      </c>
      <c r="T75" s="94"/>
      <c r="U75" s="94"/>
      <c r="V75" s="94"/>
      <c r="W75" s="94"/>
      <c r="X75" s="94"/>
      <c r="Y75" s="94"/>
      <c r="Z75" s="94"/>
      <c r="AA75" s="94"/>
      <c r="AB75" s="95"/>
      <c r="AC75" s="30">
        <f t="shared" si="1"/>
        <v>0.1111111111111111</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34</v>
      </c>
      <c r="T76" s="94"/>
      <c r="U76" s="94"/>
      <c r="V76" s="94"/>
      <c r="W76" s="94"/>
      <c r="X76" s="94"/>
      <c r="Y76" s="94"/>
      <c r="Z76" s="94"/>
      <c r="AA76" s="94"/>
      <c r="AB76" s="95"/>
      <c r="AC76" s="30">
        <f t="shared" si="1"/>
        <v>0.1111111111111111</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34</v>
      </c>
      <c r="T77" s="94"/>
      <c r="U77" s="94"/>
      <c r="V77" s="94"/>
      <c r="W77" s="94"/>
      <c r="X77" s="94"/>
      <c r="Y77" s="94"/>
      <c r="Z77" s="94"/>
      <c r="AA77" s="94"/>
      <c r="AB77" s="95"/>
      <c r="AC77" s="30">
        <f t="shared" si="1"/>
        <v>0.1111111111111111</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34</v>
      </c>
      <c r="T78" s="94"/>
      <c r="U78" s="94"/>
      <c r="V78" s="94"/>
      <c r="W78" s="94"/>
      <c r="X78" s="94"/>
      <c r="Y78" s="94"/>
      <c r="Z78" s="94"/>
      <c r="AA78" s="94"/>
      <c r="AB78" s="95"/>
      <c r="AC78" s="30">
        <f t="shared" si="1"/>
        <v>0.1111111111111111</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34</v>
      </c>
      <c r="T79" s="94"/>
      <c r="U79" s="94"/>
      <c r="V79" s="94"/>
      <c r="W79" s="94"/>
      <c r="X79" s="94"/>
      <c r="Y79" s="94"/>
      <c r="Z79" s="94"/>
      <c r="AA79" s="94"/>
      <c r="AB79" s="95"/>
      <c r="AC79" s="30">
        <f t="shared" si="1"/>
        <v>0.1111111111111111</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34</v>
      </c>
      <c r="T80" s="94"/>
      <c r="U80" s="94"/>
      <c r="V80" s="94"/>
      <c r="W80" s="94"/>
      <c r="X80" s="94"/>
      <c r="Y80" s="94"/>
      <c r="Z80" s="94"/>
      <c r="AA80" s="94"/>
      <c r="AB80" s="95"/>
      <c r="AC80" s="30">
        <f t="shared" si="1"/>
        <v>0.1111111111111111</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34</v>
      </c>
      <c r="T81" s="94"/>
      <c r="U81" s="94"/>
      <c r="V81" s="94"/>
      <c r="W81" s="94"/>
      <c r="X81" s="94"/>
      <c r="Y81" s="94"/>
      <c r="Z81" s="94"/>
      <c r="AA81" s="94"/>
      <c r="AB81" s="95"/>
      <c r="AC81" s="30">
        <f t="shared" si="1"/>
        <v>0.1111111111111111</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34</v>
      </c>
      <c r="T82" s="94"/>
      <c r="U82" s="94"/>
      <c r="V82" s="94"/>
      <c r="W82" s="94"/>
      <c r="X82" s="94"/>
      <c r="Y82" s="94"/>
      <c r="Z82" s="94"/>
      <c r="AA82" s="94"/>
      <c r="AB82" s="95"/>
      <c r="AC82" s="30">
        <f t="shared" si="1"/>
        <v>0.1111111111111111</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34</v>
      </c>
      <c r="T83" s="94"/>
      <c r="U83" s="94"/>
      <c r="V83" s="94"/>
      <c r="W83" s="94"/>
      <c r="X83" s="94"/>
      <c r="Y83" s="94"/>
      <c r="Z83" s="94"/>
      <c r="AA83" s="94"/>
      <c r="AB83" s="95"/>
      <c r="AC83" s="30">
        <f t="shared" si="1"/>
        <v>0.1111111111111111</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34</v>
      </c>
      <c r="T84" s="94"/>
      <c r="U84" s="94"/>
      <c r="V84" s="94"/>
      <c r="W84" s="94"/>
      <c r="X84" s="94"/>
      <c r="Y84" s="94"/>
      <c r="Z84" s="94"/>
      <c r="AA84" s="94"/>
      <c r="AB84" s="95"/>
      <c r="AC84" s="30">
        <f t="shared" si="1"/>
        <v>0.1111111111111111</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34</v>
      </c>
      <c r="T85" s="94"/>
      <c r="U85" s="94"/>
      <c r="V85" s="94"/>
      <c r="W85" s="94"/>
      <c r="X85" s="94"/>
      <c r="Y85" s="94"/>
      <c r="Z85" s="94"/>
      <c r="AA85" s="94"/>
      <c r="AB85" s="95"/>
      <c r="AC85" s="30">
        <f t="shared" si="1"/>
        <v>0.1111111111111111</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34</v>
      </c>
      <c r="T86" s="94"/>
      <c r="U86" s="94"/>
      <c r="V86" s="94"/>
      <c r="W86" s="94"/>
      <c r="X86" s="94"/>
      <c r="Y86" s="94"/>
      <c r="Z86" s="94"/>
      <c r="AA86" s="94"/>
      <c r="AB86" s="95"/>
      <c r="AC86" s="30">
        <f t="shared" si="1"/>
        <v>0.1111111111111111</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34</v>
      </c>
      <c r="T87" s="94"/>
      <c r="U87" s="94"/>
      <c r="V87" s="94"/>
      <c r="W87" s="94"/>
      <c r="X87" s="94"/>
      <c r="Y87" s="94"/>
      <c r="Z87" s="94"/>
      <c r="AA87" s="94"/>
      <c r="AB87" s="95"/>
      <c r="AC87" s="30">
        <f t="shared" si="1"/>
        <v>0.1111111111111111</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34</v>
      </c>
      <c r="T88" s="94"/>
      <c r="U88" s="94"/>
      <c r="V88" s="94"/>
      <c r="W88" s="94"/>
      <c r="X88" s="94"/>
      <c r="Y88" s="94"/>
      <c r="Z88" s="94"/>
      <c r="AA88" s="94"/>
      <c r="AB88" s="95"/>
      <c r="AC88" s="30">
        <f t="shared" si="1"/>
        <v>0.1111111111111111</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1842</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36</v>
      </c>
      <c r="Z98" s="94" t="s">
        <v>74</v>
      </c>
      <c r="AA98" s="94" t="s">
        <v>74</v>
      </c>
      <c r="AB98" s="103" t="s">
        <v>1816</v>
      </c>
      <c r="AC98" s="30">
        <f t="shared" si="1"/>
        <v>0.77777777777777779</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36</v>
      </c>
      <c r="Z100" s="94" t="s">
        <v>74</v>
      </c>
      <c r="AA100" s="94" t="s">
        <v>74</v>
      </c>
      <c r="AB100" s="103" t="s">
        <v>1817</v>
      </c>
      <c r="AC100" s="30">
        <f t="shared" si="1"/>
        <v>0.77777777777777779</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35</v>
      </c>
      <c r="Y104" s="94" t="s">
        <v>36</v>
      </c>
      <c r="Z104" s="94" t="s">
        <v>74</v>
      </c>
      <c r="AA104" s="94" t="s">
        <v>74</v>
      </c>
      <c r="AB104" s="95" t="s">
        <v>1835</v>
      </c>
      <c r="AC104" s="30">
        <f t="shared" si="1"/>
        <v>0.72222222222222221</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35</v>
      </c>
      <c r="Y109" s="94" t="s">
        <v>36</v>
      </c>
      <c r="Z109" s="94" t="s">
        <v>74</v>
      </c>
      <c r="AA109" s="94" t="s">
        <v>74</v>
      </c>
      <c r="AB109" s="95" t="s">
        <v>1839</v>
      </c>
      <c r="AC109" s="30">
        <f t="shared" si="1"/>
        <v>0.77777777777777779</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35</v>
      </c>
      <c r="X110" s="94" t="s">
        <v>175</v>
      </c>
      <c r="Y110" s="94" t="s">
        <v>36</v>
      </c>
      <c r="Z110" s="94" t="s">
        <v>74</v>
      </c>
      <c r="AA110" s="94" t="s">
        <v>74</v>
      </c>
      <c r="AB110" s="95" t="s">
        <v>1839</v>
      </c>
      <c r="AC110" s="30">
        <f t="shared" si="1"/>
        <v>0.72222222222222221</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35</v>
      </c>
      <c r="Y111" s="94" t="s">
        <v>36</v>
      </c>
      <c r="Z111" s="94" t="s">
        <v>74</v>
      </c>
      <c r="AA111" s="94" t="s">
        <v>74</v>
      </c>
      <c r="AB111" s="95" t="s">
        <v>1839</v>
      </c>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t="s">
        <v>35</v>
      </c>
      <c r="X112" s="94" t="s">
        <v>35</v>
      </c>
      <c r="Y112" s="94"/>
      <c r="Z112" s="94" t="s">
        <v>74</v>
      </c>
      <c r="AA112" s="94" t="s">
        <v>74</v>
      </c>
      <c r="AB112" s="95" t="s">
        <v>1839</v>
      </c>
      <c r="AC112" s="30">
        <f t="shared" si="1"/>
        <v>0.61111111111111116</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t="s">
        <v>35</v>
      </c>
      <c r="X119" s="94" t="s">
        <v>35</v>
      </c>
      <c r="Y119" s="94"/>
      <c r="Z119" s="94" t="s">
        <v>74</v>
      </c>
      <c r="AA119" s="94" t="s">
        <v>74</v>
      </c>
      <c r="AB119" s="95" t="s">
        <v>1839</v>
      </c>
      <c r="AC119" s="30">
        <f t="shared" si="1"/>
        <v>0.61111111111111116</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t="s">
        <v>35</v>
      </c>
      <c r="X120" s="94" t="s">
        <v>35</v>
      </c>
      <c r="Y120" s="94"/>
      <c r="Z120" s="94" t="s">
        <v>74</v>
      </c>
      <c r="AA120" s="94" t="s">
        <v>74</v>
      </c>
      <c r="AB120" s="95" t="s">
        <v>1839</v>
      </c>
      <c r="AC120" s="30">
        <f t="shared" si="1"/>
        <v>0.61111111111111116</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t="s">
        <v>35</v>
      </c>
      <c r="Y121" s="94"/>
      <c r="Z121" s="94" t="s">
        <v>74</v>
      </c>
      <c r="AA121" s="94" t="s">
        <v>74</v>
      </c>
      <c r="AB121" s="103" t="s">
        <v>1828</v>
      </c>
      <c r="AC121" s="30">
        <f t="shared" si="1"/>
        <v>0.61111111111111116</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ref="AC130:AC193" si="2">(
IF(S130="ENVIADO A LA CE/UM",1/3,IF(S130="ENTREGADO/REVISIÓN",2/3,IF(S130="ENVIADO A TICS",1,0)))+
IF(T130="EN PROCESO",1/2,IF(T130="CONCLUIDO",1,0))+
IF(U130="ENVIADO A LA CE/UM",1/3,IF(U130="EN REVISIÓN CENTRAL",2/3,IF(U130="CONCLUIDO",1,0)))+
IF(V130="ENVIADO A LA CE/UM",1/3,IF(V130="EN REVISIÓN CENTRAL",2/3,IF(V130="CONCLUIDO",1,0)))+
IF(W130="EN PROCESO",1/2,IF(W130="CONCLUIDO",1,0))+
IF(X130="EN PROCESO",1/2,IF(X130="CONCLUIDO",1,0))+
IF(Y130="PROGRAMADAS",1/2,IF(Y130="CONCLUIDAS",1,0))+
IF(Z130="SI",1,IF(Z130="NO",0,0))+
IF(AA130="SI",1,IF(AA130="NO",0,0))
)/9</f>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si="2"/>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ref="AC194:AC257" si="3">(
IF(S194="ENVIADO A LA CE/UM",1/3,IF(S194="ENTREGADO/REVISIÓN",2/3,IF(S194="ENVIADO A TICS",1,0)))+
IF(T194="EN PROCESO",1/2,IF(T194="CONCLUIDO",1,0))+
IF(U194="ENVIADO A LA CE/UM",1/3,IF(U194="EN REVISIÓN CENTRAL",2/3,IF(U194="CONCLUIDO",1,0)))+
IF(V194="ENVIADO A LA CE/UM",1/3,IF(V194="EN REVISIÓN CENTRAL",2/3,IF(V194="CONCLUIDO",1,0)))+
IF(W194="EN PROCESO",1/2,IF(W194="CONCLUIDO",1,0))+
IF(X194="EN PROCESO",1/2,IF(X194="CONCLUIDO",1,0))+
IF(Y194="PROGRAMADAS",1/2,IF(Y194="CONCLUIDAS",1,0))+
IF(Z194="SI",1,IF(Z194="NO",0,0))+
IF(AA194="SI",1,IF(AA194="NO",0,0))
)/9</f>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si="3"/>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34</v>
      </c>
      <c r="T196" s="94"/>
      <c r="U196" s="94"/>
      <c r="V196" s="94"/>
      <c r="W196" s="94"/>
      <c r="X196" s="94"/>
      <c r="Y196" s="94"/>
      <c r="Z196" s="94"/>
      <c r="AA196" s="94"/>
      <c r="AB196" s="95"/>
      <c r="AC196" s="30">
        <f t="shared" si="3"/>
        <v>0.1111111111111111</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34</v>
      </c>
      <c r="T197" s="94"/>
      <c r="U197" s="94"/>
      <c r="V197" s="94"/>
      <c r="W197" s="94"/>
      <c r="X197" s="94"/>
      <c r="Y197" s="94"/>
      <c r="Z197" s="94"/>
      <c r="AA197" s="94"/>
      <c r="AB197" s="95"/>
      <c r="AC197" s="30">
        <f t="shared" si="3"/>
        <v>0.1111111111111111</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34</v>
      </c>
      <c r="T198" s="94"/>
      <c r="U198" s="94"/>
      <c r="V198" s="94"/>
      <c r="W198" s="94"/>
      <c r="X198" s="94"/>
      <c r="Y198" s="94"/>
      <c r="Z198" s="94"/>
      <c r="AA198" s="94"/>
      <c r="AB198" s="95"/>
      <c r="AC198" s="30">
        <f t="shared" si="3"/>
        <v>0.1111111111111111</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34</v>
      </c>
      <c r="T199" s="94"/>
      <c r="U199" s="94"/>
      <c r="V199" s="94"/>
      <c r="W199" s="94"/>
      <c r="X199" s="94"/>
      <c r="Y199" s="94"/>
      <c r="Z199" s="94"/>
      <c r="AA199" s="94"/>
      <c r="AB199" s="95"/>
      <c r="AC199" s="30">
        <f t="shared" si="3"/>
        <v>0.1111111111111111</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34</v>
      </c>
      <c r="T200" s="94"/>
      <c r="U200" s="94"/>
      <c r="V200" s="94"/>
      <c r="W200" s="94"/>
      <c r="X200" s="94"/>
      <c r="Y200" s="94"/>
      <c r="Z200" s="94"/>
      <c r="AA200" s="94"/>
      <c r="AB200" s="95"/>
      <c r="AC200" s="30">
        <f t="shared" si="3"/>
        <v>0.1111111111111111</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34</v>
      </c>
      <c r="T201" s="94"/>
      <c r="U201" s="94"/>
      <c r="V201" s="94"/>
      <c r="W201" s="94"/>
      <c r="X201" s="94"/>
      <c r="Y201" s="94"/>
      <c r="Z201" s="94"/>
      <c r="AA201" s="94"/>
      <c r="AB201" s="95"/>
      <c r="AC201" s="30">
        <f t="shared" si="3"/>
        <v>0.1111111111111111</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35</v>
      </c>
      <c r="X239" s="94" t="s">
        <v>35</v>
      </c>
      <c r="Y239" s="94"/>
      <c r="Z239" s="94"/>
      <c r="AA239" s="94"/>
      <c r="AB239" s="95"/>
      <c r="AC239" s="30">
        <f t="shared" si="3"/>
        <v>0.61111111111111116</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35</v>
      </c>
      <c r="V240" s="94" t="s">
        <v>35</v>
      </c>
      <c r="W240" s="94" t="s">
        <v>35</v>
      </c>
      <c r="X240" s="94" t="s">
        <v>35</v>
      </c>
      <c r="Y240" s="94"/>
      <c r="Z240" s="94"/>
      <c r="AA240" s="94"/>
      <c r="AB240" s="95"/>
      <c r="AC240" s="30">
        <f t="shared" si="3"/>
        <v>0.61111111111111116</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ref="AC258:AC321" si="4">(
IF(S258="ENVIADO A LA CE/UM",1/3,IF(S258="ENTREGADO/REVISIÓN",2/3,IF(S258="ENVIADO A TICS",1,0)))+
IF(T258="EN PROCESO",1/2,IF(T258="CONCLUIDO",1,0))+
IF(U258="ENVIADO A LA CE/UM",1/3,IF(U258="EN REVISIÓN CENTRAL",2/3,IF(U258="CONCLUIDO",1,0)))+
IF(V258="ENVIADO A LA CE/UM",1/3,IF(V258="EN REVISIÓN CENTRAL",2/3,IF(V258="CONCLUIDO",1,0)))+
IF(W258="EN PROCESO",1/2,IF(W258="CONCLUIDO",1,0))+
IF(X258="EN PROCESO",1/2,IF(X258="CONCLUIDO",1,0))+
IF(Y258="PROGRAMADAS",1/2,IF(Y258="CONCLUIDAS",1,0))+
IF(Z258="SI",1,IF(Z258="NO",0,0))+
IF(AA258="SI",1,IF(AA258="NO",0,0))
)/9</f>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si="4"/>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107"/>
      <c r="X264" s="107"/>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108" t="s">
        <v>213</v>
      </c>
      <c r="W265" s="109"/>
      <c r="X265" s="109"/>
      <c r="Y265" s="110"/>
      <c r="Z265" s="94"/>
      <c r="AA265" s="94"/>
      <c r="AB265" s="95"/>
      <c r="AC265" s="30">
        <f t="shared" si="4"/>
        <v>0.37037037037037035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108" t="s">
        <v>213</v>
      </c>
      <c r="W266" s="109"/>
      <c r="X266" s="109"/>
      <c r="Y266" s="110"/>
      <c r="Z266" s="94"/>
      <c r="AA266" s="94"/>
      <c r="AB266" s="95"/>
      <c r="AC266" s="30">
        <f t="shared" si="4"/>
        <v>0.37037037037037035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108" t="s">
        <v>213</v>
      </c>
      <c r="W267" s="109"/>
      <c r="X267" s="109"/>
      <c r="Y267" s="110"/>
      <c r="Z267" s="94"/>
      <c r="AA267" s="94"/>
      <c r="AB267" s="95"/>
      <c r="AC267" s="30">
        <f t="shared" si="4"/>
        <v>0.37037037037037035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108" t="s">
        <v>213</v>
      </c>
      <c r="W268" s="109"/>
      <c r="X268" s="109"/>
      <c r="Y268" s="110"/>
      <c r="Z268" s="94"/>
      <c r="AA268" s="94"/>
      <c r="AB268" s="95"/>
      <c r="AC268" s="30">
        <f t="shared" si="4"/>
        <v>0.37037037037037035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108" t="s">
        <v>213</v>
      </c>
      <c r="W269" s="109"/>
      <c r="X269" s="109"/>
      <c r="Y269" s="110"/>
      <c r="Z269" s="94"/>
      <c r="AA269" s="94"/>
      <c r="AB269" s="95"/>
      <c r="AC269" s="30">
        <f t="shared" si="4"/>
        <v>0.37037037037037035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108" t="s">
        <v>213</v>
      </c>
      <c r="W270" s="109"/>
      <c r="X270" s="109"/>
      <c r="Y270" s="110"/>
      <c r="Z270" s="94"/>
      <c r="AA270" s="94"/>
      <c r="AB270" s="95"/>
      <c r="AC270" s="30">
        <f t="shared" si="4"/>
        <v>0.37037037037037035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108" t="s">
        <v>213</v>
      </c>
      <c r="W271" s="109"/>
      <c r="X271" s="109"/>
      <c r="Y271" s="110"/>
      <c r="Z271" s="94"/>
      <c r="AA271" s="94"/>
      <c r="AB271" s="95"/>
      <c r="AC271" s="30">
        <f t="shared" si="4"/>
        <v>0.37037037037037035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108" t="s">
        <v>213</v>
      </c>
      <c r="W272" s="109"/>
      <c r="X272" s="109"/>
      <c r="Y272" s="110"/>
      <c r="Z272" s="94"/>
      <c r="AA272" s="94"/>
      <c r="AB272" s="95"/>
      <c r="AC272" s="30">
        <f t="shared" si="4"/>
        <v>0.37037037037037035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108" t="s">
        <v>213</v>
      </c>
      <c r="W273" s="109"/>
      <c r="X273" s="109"/>
      <c r="Y273" s="110"/>
      <c r="Z273" s="94"/>
      <c r="AA273" s="94"/>
      <c r="AB273" s="95"/>
      <c r="AC273" s="30">
        <f t="shared" si="4"/>
        <v>0.37037037037037035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108" t="s">
        <v>213</v>
      </c>
      <c r="W274" s="109"/>
      <c r="X274" s="109"/>
      <c r="Y274" s="110"/>
      <c r="Z274" s="94"/>
      <c r="AA274" s="94"/>
      <c r="AB274" s="95"/>
      <c r="AC274" s="30">
        <f t="shared" si="4"/>
        <v>0.37037037037037035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108" t="s">
        <v>213</v>
      </c>
      <c r="W275" s="109"/>
      <c r="X275" s="109"/>
      <c r="Y275" s="110"/>
      <c r="Z275" s="94"/>
      <c r="AA275" s="94"/>
      <c r="AB275" s="95"/>
      <c r="AC275" s="30">
        <f t="shared" si="4"/>
        <v>0.37037037037037035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5"/>
      <c r="X276" s="95"/>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0.24074074074074073</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0.24074074074074073</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0.24074074074074073</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0.24074074074074073</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175</v>
      </c>
      <c r="X292" s="94" t="s">
        <v>175</v>
      </c>
      <c r="Y292" s="94" t="s">
        <v>36</v>
      </c>
      <c r="Z292" s="94" t="s">
        <v>74</v>
      </c>
      <c r="AA292" s="94" t="s">
        <v>74</v>
      </c>
      <c r="AB292" s="95" t="s">
        <v>1807</v>
      </c>
      <c r="AC292" s="30">
        <f t="shared" si="4"/>
        <v>0.61111111111111116</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0.66666666666666663</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0.66666666666666663</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0.66666666666666663</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35</v>
      </c>
      <c r="Y299" s="94" t="s">
        <v>36</v>
      </c>
      <c r="Z299" s="94" t="s">
        <v>74</v>
      </c>
      <c r="AA299" s="94" t="s">
        <v>74</v>
      </c>
      <c r="AB299" s="95" t="s">
        <v>1807</v>
      </c>
      <c r="AC299" s="30">
        <f t="shared" si="4"/>
        <v>0.72222222222222221</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36</v>
      </c>
      <c r="Z301" s="94" t="s">
        <v>74</v>
      </c>
      <c r="AA301" s="94" t="s">
        <v>74</v>
      </c>
      <c r="AB301" s="95" t="s">
        <v>1807</v>
      </c>
      <c r="AC301" s="30">
        <f t="shared" si="4"/>
        <v>0.62962962962962954</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35</v>
      </c>
      <c r="X302" s="94" t="s">
        <v>35</v>
      </c>
      <c r="Y302" s="94" t="s">
        <v>36</v>
      </c>
      <c r="Z302" s="94" t="s">
        <v>74</v>
      </c>
      <c r="AA302" s="94" t="s">
        <v>74</v>
      </c>
      <c r="AB302" s="95" t="s">
        <v>1807</v>
      </c>
      <c r="AC302" s="30">
        <f t="shared" si="4"/>
        <v>0.72222222222222221</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35</v>
      </c>
      <c r="X303" s="94" t="s">
        <v>175</v>
      </c>
      <c r="Y303" s="94" t="s">
        <v>36</v>
      </c>
      <c r="Z303" s="94" t="s">
        <v>74</v>
      </c>
      <c r="AA303" s="94" t="s">
        <v>74</v>
      </c>
      <c r="AB303" s="95" t="s">
        <v>1807</v>
      </c>
      <c r="AC303" s="30">
        <f t="shared" si="4"/>
        <v>0.62962962962962954</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35</v>
      </c>
      <c r="X304" s="94" t="s">
        <v>35</v>
      </c>
      <c r="Y304" s="94" t="s">
        <v>36</v>
      </c>
      <c r="Z304" s="94" t="s">
        <v>74</v>
      </c>
      <c r="AA304" s="94" t="s">
        <v>74</v>
      </c>
      <c r="AB304" s="95" t="s">
        <v>1807</v>
      </c>
      <c r="AC304" s="30">
        <f t="shared" si="4"/>
        <v>0.72222222222222221</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35</v>
      </c>
      <c r="Y305" s="94" t="s">
        <v>36</v>
      </c>
      <c r="Z305" s="94" t="s">
        <v>74</v>
      </c>
      <c r="AA305" s="94" t="s">
        <v>74</v>
      </c>
      <c r="AB305" s="95" t="s">
        <v>1807</v>
      </c>
      <c r="AC305" s="30">
        <f t="shared" si="4"/>
        <v>0.72222222222222221</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36</v>
      </c>
      <c r="Z306" s="94" t="s">
        <v>74</v>
      </c>
      <c r="AA306" s="94" t="s">
        <v>74</v>
      </c>
      <c r="AB306" s="95" t="s">
        <v>1807</v>
      </c>
      <c r="AC306" s="30">
        <f t="shared" si="4"/>
        <v>0.72222222222222221</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36</v>
      </c>
      <c r="Z307" s="97" t="s">
        <v>74</v>
      </c>
      <c r="AA307" s="97"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36</v>
      </c>
      <c r="Z308" s="97" t="s">
        <v>74</v>
      </c>
      <c r="AA308" s="97" t="s">
        <v>74</v>
      </c>
      <c r="AB308" s="98" t="s">
        <v>1807</v>
      </c>
      <c r="AC308" s="30">
        <f t="shared" si="4"/>
        <v>0.66666666666666663</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36</v>
      </c>
      <c r="Z309" s="94"/>
      <c r="AA309" s="94"/>
      <c r="AB309" s="95"/>
      <c r="AC309" s="30">
        <f t="shared" si="4"/>
        <v>0.66666666666666663</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36</v>
      </c>
      <c r="Z310" s="94"/>
      <c r="AA310" s="94"/>
      <c r="AB310" s="95"/>
      <c r="AC310" s="30">
        <f t="shared" si="4"/>
        <v>0.66666666666666663</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175</v>
      </c>
      <c r="Y311" s="94" t="s">
        <v>36</v>
      </c>
      <c r="Z311" s="94"/>
      <c r="AA311" s="94"/>
      <c r="AB311" s="95"/>
      <c r="AC311" s="30">
        <f t="shared" si="4"/>
        <v>0.72222222222222221</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36</v>
      </c>
      <c r="Z312" s="94"/>
      <c r="AA312" s="94"/>
      <c r="AB312" s="95"/>
      <c r="AC312" s="30">
        <f t="shared" si="4"/>
        <v>0.77777777777777779</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36</v>
      </c>
      <c r="Z313" s="94"/>
      <c r="AA313" s="94"/>
      <c r="AB313" s="95"/>
      <c r="AC313" s="30">
        <f t="shared" si="4"/>
        <v>0.66666666666666663</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34</v>
      </c>
      <c r="T314" s="94"/>
      <c r="U314" s="94"/>
      <c r="V314" s="94"/>
      <c r="W314" s="94"/>
      <c r="X314" s="94"/>
      <c r="Y314" s="94"/>
      <c r="Z314" s="94"/>
      <c r="AA314" s="94"/>
      <c r="AB314" s="95"/>
      <c r="AC314" s="30">
        <f t="shared" si="4"/>
        <v>0.1111111111111111</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34</v>
      </c>
      <c r="T315" s="94"/>
      <c r="U315" s="94"/>
      <c r="V315" s="94"/>
      <c r="W315" s="94"/>
      <c r="X315" s="94"/>
      <c r="Y315" s="94"/>
      <c r="Z315" s="94"/>
      <c r="AA315" s="94"/>
      <c r="AB315" s="95"/>
      <c r="AC315" s="30">
        <f t="shared" si="4"/>
        <v>0.1111111111111111</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34</v>
      </c>
      <c r="T316" s="94"/>
      <c r="U316" s="94"/>
      <c r="V316" s="94"/>
      <c r="W316" s="94"/>
      <c r="X316" s="94"/>
      <c r="Y316" s="94"/>
      <c r="Z316" s="94"/>
      <c r="AA316" s="94"/>
      <c r="AB316" s="95"/>
      <c r="AC316" s="30">
        <f t="shared" si="4"/>
        <v>0.1111111111111111</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34</v>
      </c>
      <c r="T317" s="94"/>
      <c r="U317" s="94"/>
      <c r="V317" s="94"/>
      <c r="W317" s="94"/>
      <c r="X317" s="94"/>
      <c r="Y317" s="94"/>
      <c r="Z317" s="94"/>
      <c r="AA317" s="94"/>
      <c r="AB317" s="95"/>
      <c r="AC317" s="30">
        <f t="shared" si="4"/>
        <v>0.1111111111111111</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34</v>
      </c>
      <c r="T318" s="94"/>
      <c r="U318" s="94"/>
      <c r="V318" s="94"/>
      <c r="W318" s="94"/>
      <c r="X318" s="94"/>
      <c r="Y318" s="94"/>
      <c r="Z318" s="94"/>
      <c r="AA318" s="94"/>
      <c r="AB318" s="95"/>
      <c r="AC318" s="30">
        <f t="shared" si="4"/>
        <v>0.1111111111111111</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34</v>
      </c>
      <c r="T319" s="94"/>
      <c r="U319" s="94"/>
      <c r="V319" s="94"/>
      <c r="W319" s="94"/>
      <c r="X319" s="94"/>
      <c r="Y319" s="94"/>
      <c r="Z319" s="94"/>
      <c r="AA319" s="94"/>
      <c r="AB319" s="95"/>
      <c r="AC319" s="30">
        <f t="shared" si="4"/>
        <v>0.1111111111111111</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34</v>
      </c>
      <c r="T320" s="94"/>
      <c r="U320" s="94"/>
      <c r="V320" s="94"/>
      <c r="W320" s="94"/>
      <c r="X320" s="94"/>
      <c r="Y320" s="94"/>
      <c r="Z320" s="94"/>
      <c r="AA320" s="94"/>
      <c r="AB320" s="95"/>
      <c r="AC320" s="30">
        <f t="shared" si="4"/>
        <v>0.1111111111111111</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34</v>
      </c>
      <c r="T321" s="94"/>
      <c r="U321" s="94"/>
      <c r="V321" s="94"/>
      <c r="W321" s="94"/>
      <c r="X321" s="94"/>
      <c r="Y321" s="94"/>
      <c r="Z321" s="94"/>
      <c r="AA321" s="94"/>
      <c r="AB321" s="95"/>
      <c r="AC321" s="30">
        <f t="shared" si="4"/>
        <v>0.1111111111111111</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34</v>
      </c>
      <c r="T322" s="94"/>
      <c r="U322" s="94"/>
      <c r="V322" s="94"/>
      <c r="W322" s="94"/>
      <c r="X322" s="94"/>
      <c r="Y322" s="94"/>
      <c r="Z322" s="94"/>
      <c r="AA322" s="94"/>
      <c r="AB322" s="95"/>
      <c r="AC322" s="30">
        <f t="shared" ref="AC322:AC385" si="5">(
IF(S322="ENVIADO A LA CE/UM",1/3,IF(S322="ENTREGADO/REVISIÓN",2/3,IF(S322="ENVIADO A TICS",1,0)))+
IF(T322="EN PROCESO",1/2,IF(T322="CONCLUIDO",1,0))+
IF(U322="ENVIADO A LA CE/UM",1/3,IF(U322="EN REVISIÓN CENTRAL",2/3,IF(U322="CONCLUIDO",1,0)))+
IF(V322="ENVIADO A LA CE/UM",1/3,IF(V322="EN REVISIÓN CENTRAL",2/3,IF(V322="CONCLUIDO",1,0)))+
IF(W322="EN PROCESO",1/2,IF(W322="CONCLUIDO",1,0))+
IF(X322="EN PROCESO",1/2,IF(X322="CONCLUIDO",1,0))+
IF(Y322="PROGRAMADAS",1/2,IF(Y322="CONCLUIDAS",1,0))+
IF(Z322="SI",1,IF(Z322="NO",0,0))+
IF(AA322="SI",1,IF(AA322="NO",0,0))
)/9</f>
        <v>0.1111111111111111</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34</v>
      </c>
      <c r="T323" s="94"/>
      <c r="U323" s="94"/>
      <c r="V323" s="94"/>
      <c r="W323" s="94"/>
      <c r="X323" s="94"/>
      <c r="Y323" s="94"/>
      <c r="Z323" s="94"/>
      <c r="AA323" s="94"/>
      <c r="AB323" s="95"/>
      <c r="AC323" s="30">
        <f t="shared" si="5"/>
        <v>0.1111111111111111</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34</v>
      </c>
      <c r="T324" s="94"/>
      <c r="U324" s="94"/>
      <c r="V324" s="94"/>
      <c r="W324" s="94"/>
      <c r="X324" s="94"/>
      <c r="Y324" s="94"/>
      <c r="Z324" s="94"/>
      <c r="AA324" s="94"/>
      <c r="AB324" s="95"/>
      <c r="AC324" s="30">
        <f t="shared" si="5"/>
        <v>0.1111111111111111</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34</v>
      </c>
      <c r="T325" s="94"/>
      <c r="U325" s="94"/>
      <c r="V325" s="94"/>
      <c r="W325" s="94"/>
      <c r="X325" s="94"/>
      <c r="Y325" s="94"/>
      <c r="Z325" s="94"/>
      <c r="AA325" s="94"/>
      <c r="AB325" s="95"/>
      <c r="AC325" s="30">
        <f t="shared" si="5"/>
        <v>0.1111111111111111</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34</v>
      </c>
      <c r="T326" s="94"/>
      <c r="U326" s="94"/>
      <c r="V326" s="94"/>
      <c r="W326" s="94"/>
      <c r="X326" s="94"/>
      <c r="Y326" s="94"/>
      <c r="Z326" s="94"/>
      <c r="AA326" s="94"/>
      <c r="AB326" s="95"/>
      <c r="AC326" s="30">
        <f t="shared" si="5"/>
        <v>0.1111111111111111</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34</v>
      </c>
      <c r="T327" s="94"/>
      <c r="U327" s="94"/>
      <c r="V327" s="94"/>
      <c r="W327" s="94"/>
      <c r="X327" s="94"/>
      <c r="Y327" s="94"/>
      <c r="Z327" s="94"/>
      <c r="AA327" s="94"/>
      <c r="AB327" s="95"/>
      <c r="AC327" s="30">
        <f t="shared" si="5"/>
        <v>0.1111111111111111</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1842</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t="s">
        <v>213</v>
      </c>
      <c r="V384" s="94" t="s">
        <v>213</v>
      </c>
      <c r="W384" s="94"/>
      <c r="X384" s="94"/>
      <c r="Y384" s="94" t="s">
        <v>1815</v>
      </c>
      <c r="Z384" s="94"/>
      <c r="AA384" s="94"/>
      <c r="AB384" s="95"/>
      <c r="AC384" s="30">
        <f t="shared" si="5"/>
        <v>0.42592592592592587</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ref="AC386:AC449" si="6">(
IF(S386="ENVIADO A LA CE/UM",1/3,IF(S386="ENTREGADO/REVISIÓN",2/3,IF(S386="ENVIADO A TICS",1,0)))+
IF(T386="EN PROCESO",1/2,IF(T386="CONCLUIDO",1,0))+
IF(U386="ENVIADO A LA CE/UM",1/3,IF(U386="EN REVISIÓN CENTRAL",2/3,IF(U386="CONCLUIDO",1,0)))+
IF(V386="ENVIADO A LA CE/UM",1/3,IF(V386="EN REVISIÓN CENTRAL",2/3,IF(V386="CONCLUIDO",1,0)))+
IF(W386="EN PROCESO",1/2,IF(W386="CONCLUIDO",1,0))+
IF(X386="EN PROCESO",1/2,IF(X386="CONCLUIDO",1,0))+
IF(Y386="PROGRAMADAS",1/2,IF(Y386="CONCLUIDAS",1,0))+
IF(Z386="SI",1,IF(Z386="NO",0,0))+
IF(AA386="SI",1,IF(AA386="NO",0,0))
)/9</f>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si="6"/>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35</v>
      </c>
      <c r="Y408" s="97" t="s">
        <v>1815</v>
      </c>
      <c r="Z408" s="97"/>
      <c r="AA408" s="97"/>
      <c r="AB408" s="98" t="s">
        <v>1839</v>
      </c>
      <c r="AC408" s="30">
        <f t="shared" si="6"/>
        <v>0.61111111111111116</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34</v>
      </c>
      <c r="T427" s="94"/>
      <c r="U427" s="94"/>
      <c r="V427" s="94"/>
      <c r="W427" s="94"/>
      <c r="X427" s="94"/>
      <c r="Y427" s="94"/>
      <c r="Z427" s="94"/>
      <c r="AA427" s="94"/>
      <c r="AB427" s="95"/>
      <c r="AC427" s="30">
        <f t="shared" si="6"/>
        <v>0.1111111111111111</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34</v>
      </c>
      <c r="T428" s="94"/>
      <c r="U428" s="94"/>
      <c r="V428" s="94"/>
      <c r="W428" s="94"/>
      <c r="X428" s="94"/>
      <c r="Y428" s="94"/>
      <c r="Z428" s="94"/>
      <c r="AA428" s="94"/>
      <c r="AB428" s="95"/>
      <c r="AC428" s="30">
        <f t="shared" si="6"/>
        <v>0.1111111111111111</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34</v>
      </c>
      <c r="T429" s="94"/>
      <c r="U429" s="94"/>
      <c r="V429" s="94"/>
      <c r="W429" s="94"/>
      <c r="X429" s="94"/>
      <c r="Y429" s="94"/>
      <c r="Z429" s="94"/>
      <c r="AA429" s="94"/>
      <c r="AB429" s="95"/>
      <c r="AC429" s="30">
        <f t="shared" si="6"/>
        <v>0.1111111111111111</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34</v>
      </c>
      <c r="T430" s="94"/>
      <c r="U430" s="94"/>
      <c r="V430" s="94"/>
      <c r="W430" s="94"/>
      <c r="X430" s="94"/>
      <c r="Y430" s="94"/>
      <c r="Z430" s="94"/>
      <c r="AA430" s="94"/>
      <c r="AB430" s="95"/>
      <c r="AC430" s="30">
        <f t="shared" si="6"/>
        <v>0.1111111111111111</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34</v>
      </c>
      <c r="T431" s="94"/>
      <c r="U431" s="94"/>
      <c r="V431" s="94"/>
      <c r="W431" s="94"/>
      <c r="X431" s="94"/>
      <c r="Y431" s="94"/>
      <c r="Z431" s="94"/>
      <c r="AA431" s="94"/>
      <c r="AB431" s="95"/>
      <c r="AC431" s="30">
        <f t="shared" si="6"/>
        <v>0.1111111111111111</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34</v>
      </c>
      <c r="T432" s="94"/>
      <c r="U432" s="94"/>
      <c r="V432" s="94"/>
      <c r="W432" s="94"/>
      <c r="X432" s="94"/>
      <c r="Y432" s="94"/>
      <c r="Z432" s="94"/>
      <c r="AA432" s="94"/>
      <c r="AB432" s="95"/>
      <c r="AC432" s="30">
        <f t="shared" si="6"/>
        <v>0.1111111111111111</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36</v>
      </c>
      <c r="Z445" s="94"/>
      <c r="AA445" s="94"/>
      <c r="AB445" s="95"/>
      <c r="AC445" s="30">
        <f t="shared" si="6"/>
        <v>0.66666666666666663</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36</v>
      </c>
      <c r="Z446" s="94"/>
      <c r="AA446" s="94"/>
      <c r="AB446" s="95"/>
      <c r="AC446" s="30">
        <f t="shared" si="6"/>
        <v>0.66666666666666663</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36</v>
      </c>
      <c r="Z447" s="94"/>
      <c r="AA447" s="94"/>
      <c r="AB447" s="95"/>
      <c r="AC447" s="30">
        <f t="shared" si="6"/>
        <v>0.66666666666666663</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36</v>
      </c>
      <c r="Z448" s="94"/>
      <c r="AA448" s="94"/>
      <c r="AB448" s="95"/>
      <c r="AC448" s="30">
        <f t="shared" si="6"/>
        <v>0.66666666666666663</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36</v>
      </c>
      <c r="Z449" s="94"/>
      <c r="AA449" s="94"/>
      <c r="AB449" s="95"/>
      <c r="AC449" s="30">
        <f t="shared" si="6"/>
        <v>0.66666666666666663</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36</v>
      </c>
      <c r="Z450" s="94"/>
      <c r="AA450" s="94"/>
      <c r="AB450" s="95"/>
      <c r="AC450" s="30">
        <f t="shared" ref="AC450:AC513" si="7">(
IF(S450="ENVIADO A LA CE/UM",1/3,IF(S450="ENTREGADO/REVISIÓN",2/3,IF(S450="ENVIADO A TICS",1,0)))+
IF(T450="EN PROCESO",1/2,IF(T450="CONCLUIDO",1,0))+
IF(U450="ENVIADO A LA CE/UM",1/3,IF(U450="EN REVISIÓN CENTRAL",2/3,IF(U450="CONCLUIDO",1,0)))+
IF(V450="ENVIADO A LA CE/UM",1/3,IF(V450="EN REVISIÓN CENTRAL",2/3,IF(V450="CONCLUIDO",1,0)))+
IF(W450="EN PROCESO",1/2,IF(W450="CONCLUIDO",1,0))+
IF(X450="EN PROCESO",1/2,IF(X450="CONCLUIDO",1,0))+
IF(Y450="PROGRAMADAS",1/2,IF(Y450="CONCLUIDAS",1,0))+
IF(Z450="SI",1,IF(Z450="NO",0,0))+
IF(AA450="SI",1,IF(AA450="NO",0,0))
)/9</f>
        <v>0.77777777777777779</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36</v>
      </c>
      <c r="Z451" s="94"/>
      <c r="AA451" s="94"/>
      <c r="AB451" s="95"/>
      <c r="AC451" s="30">
        <f t="shared" si="7"/>
        <v>0.77777777777777779</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36</v>
      </c>
      <c r="Z452" s="94"/>
      <c r="AA452" s="94"/>
      <c r="AB452" s="95"/>
      <c r="AC452" s="30">
        <f t="shared" si="7"/>
        <v>0.66666666666666663</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36</v>
      </c>
      <c r="Z453" s="94"/>
      <c r="AA453" s="94"/>
      <c r="AB453" s="95"/>
      <c r="AC453" s="30">
        <f t="shared" si="7"/>
        <v>0.66666666666666663</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175</v>
      </c>
      <c r="X454" s="94" t="s">
        <v>35</v>
      </c>
      <c r="Y454" s="94" t="s">
        <v>36</v>
      </c>
      <c r="Z454" s="94"/>
      <c r="AA454" s="94"/>
      <c r="AB454" s="95"/>
      <c r="AC454" s="30">
        <f t="shared" si="7"/>
        <v>0.72222222222222221</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ref="AC514:AC577" si="8">(
IF(S514="ENVIADO A LA CE/UM",1/3,IF(S514="ENTREGADO/REVISIÓN",2/3,IF(S514="ENVIADO A TICS",1,0)))+
IF(T514="EN PROCESO",1/2,IF(T514="CONCLUIDO",1,0))+
IF(U514="ENVIADO A LA CE/UM",1/3,IF(U514="EN REVISIÓN CENTRAL",2/3,IF(U514="CONCLUIDO",1,0)))+
IF(V514="ENVIADO A LA CE/UM",1/3,IF(V514="EN REVISIÓN CENTRAL",2/3,IF(V514="CONCLUIDO",1,0)))+
IF(W514="EN PROCESO",1/2,IF(W514="CONCLUIDO",1,0))+
IF(X514="EN PROCESO",1/2,IF(X514="CONCLUIDO",1,0))+
IF(Y514="PROGRAMADAS",1/2,IF(Y514="CONCLUIDAS",1,0))+
IF(Z514="SI",1,IF(Z514="NO",0,0))+
IF(AA514="SI",1,IF(AA514="NO",0,0))
)/9</f>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107"/>
      <c r="X515" s="107"/>
      <c r="Y515" s="94"/>
      <c r="Z515" s="94"/>
      <c r="AA515" s="94"/>
      <c r="AB515" s="95"/>
      <c r="AC515" s="30">
        <f t="shared" si="8"/>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108" t="s">
        <v>213</v>
      </c>
      <c r="W516" s="109"/>
      <c r="X516" s="109"/>
      <c r="Y516" s="110"/>
      <c r="Z516" s="94"/>
      <c r="AA516" s="94"/>
      <c r="AB516" s="95"/>
      <c r="AC516" s="30">
        <f t="shared" si="8"/>
        <v>0.37037037037037035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108" t="s">
        <v>213</v>
      </c>
      <c r="W517" s="111"/>
      <c r="X517" s="111"/>
      <c r="Y517" s="110"/>
      <c r="Z517" s="94"/>
      <c r="AA517" s="94"/>
      <c r="AB517" s="95"/>
      <c r="AC517" s="30">
        <f t="shared" si="8"/>
        <v>0.37037037037037035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35</v>
      </c>
      <c r="V518" s="108" t="s">
        <v>213</v>
      </c>
      <c r="W518" s="112" t="s">
        <v>35</v>
      </c>
      <c r="X518" s="112" t="s">
        <v>175</v>
      </c>
      <c r="Y518" s="110"/>
      <c r="Z518" s="94"/>
      <c r="AA518" s="94"/>
      <c r="AB518" s="95"/>
      <c r="AC518" s="30">
        <f t="shared" si="8"/>
        <v>0.57407407407407396</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108" t="s">
        <v>213</v>
      </c>
      <c r="W519" s="109"/>
      <c r="X519" s="109"/>
      <c r="Y519" s="110"/>
      <c r="Z519" s="94"/>
      <c r="AA519" s="94"/>
      <c r="AB519" s="95"/>
      <c r="AC519" s="30">
        <f t="shared" si="8"/>
        <v>0.37037037037037035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5"/>
      <c r="X520" s="95"/>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35</v>
      </c>
      <c r="Y521" s="97" t="s">
        <v>1815</v>
      </c>
      <c r="Z521" s="97"/>
      <c r="AA521" s="97"/>
      <c r="AB521" s="98" t="s">
        <v>1839</v>
      </c>
      <c r="AC521" s="30">
        <f t="shared" si="8"/>
        <v>0.72222222222222221</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34</v>
      </c>
      <c r="T524" s="94"/>
      <c r="U524" s="94"/>
      <c r="V524" s="94"/>
      <c r="W524" s="94"/>
      <c r="X524" s="94"/>
      <c r="Y524" s="94"/>
      <c r="Z524" s="94"/>
      <c r="AA524" s="94"/>
      <c r="AB524" s="95"/>
      <c r="AC524" s="30">
        <f t="shared" si="8"/>
        <v>0.1111111111111111</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34</v>
      </c>
      <c r="T525" s="94"/>
      <c r="U525" s="94"/>
      <c r="V525" s="94"/>
      <c r="W525" s="94"/>
      <c r="X525" s="94"/>
      <c r="Y525" s="94"/>
      <c r="Z525" s="94"/>
      <c r="AA525" s="94"/>
      <c r="AB525" s="95"/>
      <c r="AC525" s="30">
        <f t="shared" si="8"/>
        <v>0.1111111111111111</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35</v>
      </c>
      <c r="V531" s="94" t="s">
        <v>35</v>
      </c>
      <c r="W531" s="107" t="s">
        <v>35</v>
      </c>
      <c r="X531" s="107" t="s">
        <v>175</v>
      </c>
      <c r="Y531" s="94"/>
      <c r="Z531" s="94"/>
      <c r="AA531" s="94"/>
      <c r="AB531" s="95"/>
      <c r="AC531" s="30">
        <f t="shared" si="8"/>
        <v>0.55555555555555558</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108" t="s">
        <v>213</v>
      </c>
      <c r="W532" s="109"/>
      <c r="X532" s="109"/>
      <c r="Y532" s="110"/>
      <c r="Z532" s="94"/>
      <c r="AA532" s="94"/>
      <c r="AB532" s="95"/>
      <c r="AC532" s="30">
        <f t="shared" si="8"/>
        <v>0.37037037037037035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5"/>
      <c r="X533" s="95"/>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36</v>
      </c>
      <c r="Z540" s="94"/>
      <c r="AA540" s="94"/>
      <c r="AB540" s="95"/>
      <c r="AC540" s="30">
        <f t="shared" si="8"/>
        <v>0.66666666666666663</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36</v>
      </c>
      <c r="Z543" s="94"/>
      <c r="AA543" s="94"/>
      <c r="AB543" s="95"/>
      <c r="AC543" s="30">
        <f t="shared" si="8"/>
        <v>0.66666666666666663</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35</v>
      </c>
      <c r="Y546" s="94" t="s">
        <v>36</v>
      </c>
      <c r="Z546" s="94"/>
      <c r="AA546" s="94"/>
      <c r="AB546" s="95"/>
      <c r="AC546" s="30">
        <f t="shared" si="8"/>
        <v>0.72222222222222221</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34</v>
      </c>
      <c r="T557" s="94"/>
      <c r="U557" s="94"/>
      <c r="V557" s="94"/>
      <c r="W557" s="94"/>
      <c r="X557" s="94"/>
      <c r="Y557" s="94"/>
      <c r="Z557" s="94"/>
      <c r="AA557" s="94"/>
      <c r="AB557" s="95"/>
      <c r="AC557" s="30">
        <f t="shared" si="8"/>
        <v>0.1111111111111111</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t="s">
        <v>35</v>
      </c>
      <c r="Y563" s="97" t="s">
        <v>1815</v>
      </c>
      <c r="Z563" s="97"/>
      <c r="AA563" s="97"/>
      <c r="AB563" s="98"/>
      <c r="AC563" s="30">
        <f t="shared" si="8"/>
        <v>0.61111111111111116</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ref="AC578:AC613" si="9">(
IF(S578="ENVIADO A LA CE/UM",1/3,IF(S578="ENTREGADO/REVISIÓN",2/3,IF(S578="ENVIADO A TICS",1,0)))+
IF(T578="EN PROCESO",1/2,IF(T578="CONCLUIDO",1,0))+
IF(U578="ENVIADO A LA CE/UM",1/3,IF(U578="EN REVISIÓN CENTRAL",2/3,IF(U578="CONCLUIDO",1,0)))+
IF(V578="ENVIADO A LA CE/UM",1/3,IF(V578="EN REVISIÓN CENTRAL",2/3,IF(V578="CONCLUIDO",1,0)))+
IF(W578="EN PROCESO",1/2,IF(W578="CONCLUIDO",1,0))+
IF(X578="EN PROCESO",1/2,IF(X578="CONCLUIDO",1,0))+
IF(Y578="PROGRAMADAS",1/2,IF(Y578="CONCLUIDAS",1,0))+
IF(Z578="SI",1,IF(Z578="NO",0,0))+
IF(AA578="SI",1,IF(AA578="NO",0,0))
)/9</f>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si="9"/>
        <v>0.24074074074074073</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36</v>
      </c>
      <c r="Z590" s="94"/>
      <c r="AA590" s="94"/>
      <c r="AB590" s="95"/>
      <c r="AC590" s="30">
        <f t="shared" si="9"/>
        <v>0.66666666666666663</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36</v>
      </c>
      <c r="Z591" s="94"/>
      <c r="AA591" s="94"/>
      <c r="AB591" s="95"/>
      <c r="AC591" s="30">
        <f t="shared" si="9"/>
        <v>0.77777777777777779</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107"/>
      <c r="X595" s="107"/>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108" t="s">
        <v>213</v>
      </c>
      <c r="W596" s="109"/>
      <c r="X596" s="109"/>
      <c r="Y596" s="110"/>
      <c r="Z596" s="94"/>
      <c r="AA596" s="94"/>
      <c r="AB596" s="95"/>
      <c r="AC596" s="30">
        <f t="shared" si="9"/>
        <v>0.37037037037037035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5" t="s">
        <v>35</v>
      </c>
      <c r="X597" s="95"/>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0.24074074074074073</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36</v>
      </c>
      <c r="Z605" s="94"/>
      <c r="AA605" s="94"/>
      <c r="AB605" s="95"/>
      <c r="AC605" s="30">
        <f t="shared" si="9"/>
        <v>0.66666666666666663</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107" t="s">
        <v>35</v>
      </c>
      <c r="X608" s="107" t="s">
        <v>35</v>
      </c>
      <c r="Y608" s="94"/>
      <c r="Z608" s="94"/>
      <c r="AA608" s="94"/>
      <c r="AB608" s="95" t="s">
        <v>1846</v>
      </c>
      <c r="AC608" s="30">
        <f t="shared" si="9"/>
        <v>0.61111111111111116</v>
      </c>
    </row>
    <row r="609" spans="1:31"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108" t="s">
        <v>213</v>
      </c>
      <c r="W609" s="109"/>
      <c r="X609" s="109"/>
      <c r="Y609" s="110"/>
      <c r="Z609" s="94"/>
      <c r="AA609" s="94"/>
      <c r="AB609" s="95"/>
      <c r="AC609" s="30">
        <f t="shared" si="9"/>
        <v>0.37037037037037035</v>
      </c>
    </row>
    <row r="610" spans="1:31"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5"/>
      <c r="X610" s="95"/>
      <c r="Y610" s="94"/>
      <c r="Z610" s="94"/>
      <c r="AA610" s="94"/>
      <c r="AB610" s="95"/>
      <c r="AC610" s="30">
        <f t="shared" si="9"/>
        <v>0.1111111111111111</v>
      </c>
    </row>
    <row r="611" spans="1:31"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1"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1"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1" x14ac:dyDescent="0.3">
      <c r="AC614" s="106">
        <f>SUM(AC2:AC613)</f>
        <v>188.64814814814889</v>
      </c>
      <c r="AD614">
        <f>(AC614/612)*100</f>
        <v>30.824860808521059</v>
      </c>
    </row>
    <row r="620" spans="1:31" x14ac:dyDescent="0.3">
      <c r="AE620" s="29"/>
    </row>
  </sheetData>
  <conditionalFormatting sqref="A2:A611">
    <cfRule type="duplicateValues" dxfId="230" priority="520"/>
  </conditionalFormatting>
  <conditionalFormatting sqref="A598:A609">
    <cfRule type="duplicateValues" dxfId="229" priority="521"/>
  </conditionalFormatting>
  <conditionalFormatting sqref="Q611">
    <cfRule type="containsText" dxfId="228" priority="289" operator="containsText" text="ENVIADO A LA CE/UM">
      <formula>NOT(ISERROR(SEARCH("ENVIADO A LA CE/UM",Q611)))</formula>
    </cfRule>
    <cfRule type="containsText" dxfId="227" priority="287" operator="containsText" text="ENVIADO A TICS">
      <formula>NOT(ISERROR(SEARCH("ENVIADO A TICS",Q611)))</formula>
    </cfRule>
    <cfRule type="containsText" dxfId="226" priority="288" operator="containsText" text="ENTREGADO/REVISIÓN">
      <formula>NOT(ISERROR(SEARCH("ENTREGADO/REVISIÓN",Q611)))</formula>
    </cfRule>
  </conditionalFormatting>
  <conditionalFormatting sqref="R611">
    <cfRule type="containsText" dxfId="225" priority="295" operator="containsText" text="CONCLUIDO">
      <formula>NOT(ISERROR(SEARCH("CONCLUIDO",R611)))</formula>
    </cfRule>
    <cfRule type="containsText" dxfId="224" priority="286" operator="containsText" text="EN PROCESO">
      <formula>NOT(ISERROR(SEARCH("EN PROCESO",R611)))</formula>
    </cfRule>
  </conditionalFormatting>
  <conditionalFormatting sqref="S1">
    <cfRule type="containsText" dxfId="223" priority="187" operator="containsText" text="ENVIADO A TICS">
      <formula>NOT(ISERROR(SEARCH("ENVIADO A TICS",S1)))</formula>
    </cfRule>
    <cfRule type="containsText" dxfId="222" priority="188" operator="containsText" text="ENTREGADO/REVISIÓN">
      <formula>NOT(ISERROR(SEARCH("ENTREGADO/REVISIÓN",S1)))</formula>
    </cfRule>
    <cfRule type="containsText" dxfId="221" priority="189" operator="containsText" text="ENVIADO A LA CE/UM">
      <formula>NOT(ISERROR(SEARCH("ENVIADO A LA CE/UM",S1)))</formula>
    </cfRule>
  </conditionalFormatting>
  <conditionalFormatting sqref="T1">
    <cfRule type="containsText" dxfId="220" priority="186" operator="containsText" text="EN PROCESO">
      <formula>NOT(ISERROR(SEARCH("EN PROCESO",T1)))</formula>
    </cfRule>
  </conditionalFormatting>
  <conditionalFormatting sqref="T1:X1">
    <cfRule type="containsText" dxfId="210" priority="195" operator="containsText" text="CONCLUIDO">
      <formula>NOT(ISERROR(SEARCH("CONCLUIDO",T1)))</formula>
    </cfRule>
  </conditionalFormatting>
  <conditionalFormatting sqref="U1">
    <cfRule type="containsText" dxfId="209" priority="414" operator="containsText" text="ENVIADO A LA CE/UM">
      <formula>NOT(ISERROR(SEARCH("ENVIADO A LA CE/UM",U1)))</formula>
    </cfRule>
  </conditionalFormatting>
  <conditionalFormatting sqref="U1:V1">
    <cfRule type="containsText" dxfId="208" priority="198" operator="containsText" text="EN REVISIÓN CENTRAL">
      <formula>NOT(ISERROR(SEARCH("EN REVISIÓN CENTRAL",U1)))</formula>
    </cfRule>
  </conditionalFormatting>
  <conditionalFormatting sqref="W1:X1">
    <cfRule type="containsText" dxfId="168" priority="183" operator="containsText" text="ENVIADO">
      <formula>NOT(ISERROR(SEARCH("ENVIADO",W1)))</formula>
    </cfRule>
  </conditionalFormatting>
  <conditionalFormatting sqref="W1:X1">
    <cfRule type="containsText" dxfId="167" priority="182" operator="containsText" text="EN PROCESO">
      <formula>NOT(ISERROR(SEARCH("EN PROCESO",W1)))</formula>
    </cfRule>
  </conditionalFormatting>
  <conditionalFormatting sqref="Y1">
    <cfRule type="containsText" dxfId="132" priority="181" operator="containsText" text="PROGRAMADAS">
      <formula>NOT(ISERROR(SEARCH("PROGRAMADAS",Y1)))</formula>
    </cfRule>
    <cfRule type="containsText" dxfId="131" priority="180" operator="containsText" text="CONCLUIDAS">
      <formula>NOT(ISERROR(SEARCH("CONCLUIDAS",Y1)))</formula>
    </cfRule>
  </conditionalFormatting>
  <conditionalFormatting sqref="Z1:AA1">
    <cfRule type="containsText" dxfId="128" priority="178" operator="containsText" text="SI">
      <formula>NOT(ISERROR(SEARCH("SI",Z1)))</formula>
    </cfRule>
    <cfRule type="containsText" dxfId="127" priority="179" operator="containsText" text="NO">
      <formula>NOT(ISERROR(SEARCH("NO",Z1)))</formula>
    </cfRule>
  </conditionalFormatting>
  <conditionalFormatting sqref="AC1">
    <cfRule type="dataBar" priority="41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4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97" priority="87" operator="containsText" text="ENVIADO A TICS">
      <formula>NOT(ISERROR(SEARCH("ENVIADO A TICS",S2)))</formula>
    </cfRule>
    <cfRule type="containsText" dxfId="96" priority="88" operator="containsText" text="ENTREGADO/REVISIÓN">
      <formula>NOT(ISERROR(SEARCH("ENTREGADO/REVISIÓN",S2)))</formula>
    </cfRule>
    <cfRule type="containsText" dxfId="95" priority="89" operator="containsText" text="ENVIADO A LA CE/UM">
      <formula>NOT(ISERROR(SEARCH("ENVIADO A LA CE/UM",S2)))</formula>
    </cfRule>
  </conditionalFormatting>
  <conditionalFormatting sqref="T2:T610">
    <cfRule type="containsText" dxfId="94" priority="86" operator="containsText" text="EN PROCESO">
      <formula>NOT(ISERROR(SEARCH("EN PROCESO",T2)))</formula>
    </cfRule>
  </conditionalFormatting>
  <conditionalFormatting sqref="T293">
    <cfRule type="containsText" dxfId="90" priority="10" operator="containsText" text="EN PROCESO">
      <formula>NOT(ISERROR(SEARCH("EN PROCESO",T293)))</formula>
    </cfRule>
    <cfRule type="containsText" dxfId="89" priority="11" operator="containsText" text="ENVIADO">
      <formula>NOT(ISERROR(SEARCH("ENVIADO",T293)))</formula>
    </cfRule>
    <cfRule type="containsText" dxfId="88" priority="12" operator="containsText" text="EN PROCESO">
      <formula>NOT(ISERROR(SEARCH("EN PROCESO",T293)))</formula>
    </cfRule>
    <cfRule type="containsText" dxfId="93" priority="13" operator="containsText" text="ENVIADO">
      <formula>NOT(ISERROR(SEARCH("ENVIADO",T293)))</formula>
    </cfRule>
    <cfRule type="containsText" dxfId="92" priority="14" operator="containsText" text="EN PROCESO">
      <formula>NOT(ISERROR(SEARCH("EN PROCESO",T293)))</formula>
    </cfRule>
    <cfRule type="containsText" dxfId="91" priority="15"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T611:U611 W611:W613 X610:X613 T612:V613">
    <cfRule type="containsText" dxfId="84" priority="95" operator="containsText" text="CONCLUIDO">
      <formula>NOT(ISERROR(SEARCH("CONCLUIDO",T2)))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1" priority="50" operator="containsText" text="EN PROCESO">
      <formula>NOT(ISERROR(SEARCH("EN PROCESO",W49)))</formula>
    </cfRule>
    <cfRule type="containsText" dxfId="80"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6" priority="54" operator="containsText" text="EN PROCESO">
      <formula>NOT(ISERROR(SEARCH("EN PROCESO",W117)))</formula>
    </cfRule>
    <cfRule type="containsText" dxfId="77"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2" priority="58" operator="containsText" text="EN PROCESO">
      <formula>NOT(ISERROR(SEARCH("EN PROCESO",W239)))</formula>
    </cfRule>
    <cfRule type="containsText" dxfId="73" priority="59" operator="containsText" text="ENVIADO">
      <formula>NOT(ISERROR(SEARCH("ENVIADO",W239)))</formula>
    </cfRule>
  </conditionalFormatting>
  <conditionalFormatting sqref="W276:W290">
    <cfRule type="containsText" dxfId="70" priority="60" operator="containsText" text="EN PROCESO">
      <formula>NOT(ISERROR(SEARCH("EN PROCESO",W276)))</formula>
    </cfRule>
    <cfRule type="containsText" dxfId="71" priority="61" operator="containsText" text="ENVIADO">
      <formula>NOT(ISERROR(SEARCH("ENVIADO",W276)))</formula>
    </cfRule>
  </conditionalFormatting>
  <conditionalFormatting sqref="W293">
    <cfRule type="containsText" dxfId="67" priority="16" operator="containsText" text="EN PROCESO">
      <formula>NOT(ISERROR(SEARCH("EN PROCESO",W293)))</formula>
    </cfRule>
    <cfRule type="containsText" dxfId="68" priority="17" operator="containsText" text="ENVIADO">
      <formula>NOT(ISERROR(SEARCH("ENVIADO",W293)))</formula>
    </cfRule>
    <cfRule type="containsText" dxfId="69" priority="18" operator="containsText" text="EN PROCESO">
      <formula>NOT(ISERROR(SEARCH("EN PROCESO",W293)))</formula>
    </cfRule>
    <cfRule type="containsText" dxfId="66" priority="19" operator="containsText" text="ENVIADO">
      <formula>NOT(ISERROR(SEARCH("ENVIADO",W293)))</formula>
    </cfRule>
  </conditionalFormatting>
  <conditionalFormatting sqref="W300">
    <cfRule type="containsText" dxfId="64" priority="62" operator="containsText" text="EN PROCESO">
      <formula>NOT(ISERROR(SEARCH("EN PROCESO",W300)))</formula>
    </cfRule>
    <cfRule type="containsText" dxfId="65"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1" priority="66" operator="containsText" text="EN PROCESO">
      <formula>NOT(ISERROR(SEARCH("EN PROCESO",W337)))</formula>
    </cfRule>
    <cfRule type="containsText" dxfId="60" priority="67" operator="containsText" text="ENVIADO">
      <formula>NOT(ISERROR(SEARCH("ENVIADO",W337)))</formula>
    </cfRule>
  </conditionalFormatting>
  <conditionalFormatting sqref="W409:W521">
    <cfRule type="containsText" dxfId="59" priority="68" operator="containsText" text="EN PROCESO">
      <formula>NOT(ISERROR(SEARCH("EN PROCESO",W409)))</formula>
    </cfRule>
    <cfRule type="containsText" dxfId="58" priority="69" operator="containsText" text="ENVIADO">
      <formula>NOT(ISERROR(SEARCH("ENVIADO",W409)))</formula>
    </cfRule>
  </conditionalFormatting>
  <conditionalFormatting sqref="W521">
    <cfRule type="containsText" dxfId="55" priority="70" operator="containsText" text="EN PROCESO">
      <formula>NOT(ISERROR(SEARCH("EN PROCESO",W521)))</formula>
    </cfRule>
    <cfRule type="containsText" dxfId="54" priority="71" operator="containsText" text="ENVIADO">
      <formula>NOT(ISERROR(SEARCH("ENVIADO",W521)))</formula>
    </cfRule>
    <cfRule type="containsText" dxfId="56"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3" priority="74" operator="containsText" text="EN PROCESO">
      <formula>NOT(ISERROR(SEARCH("EN PROCESO",W521)))</formula>
    </cfRule>
    <cfRule type="containsText" dxfId="52" priority="75" operator="containsText" text="ENVIADO">
      <formula>NOT(ISERROR(SEARCH("ENVIADO",W521)))</formula>
    </cfRule>
  </conditionalFormatting>
  <conditionalFormatting sqref="W544:W590">
    <cfRule type="containsText" dxfId="50" priority="76" operator="containsText" text="EN PROCESO">
      <formula>NOT(ISERROR(SEARCH("EN PROCESO",W544)))</formula>
    </cfRule>
    <cfRule type="containsText" dxfId="51" priority="77" operator="containsText" text="ENVIADO">
      <formula>NOT(ISERROR(SEARCH("ENVIADO",W544)))</formula>
    </cfRule>
  </conditionalFormatting>
  <conditionalFormatting sqref="W565">
    <cfRule type="containsText" dxfId="49" priority="20" operator="containsText" text="EN PROCESO">
      <formula>NOT(ISERROR(SEARCH("EN PROCESO",W565)))</formula>
    </cfRule>
    <cfRule type="containsText" dxfId="48" priority="21" operator="containsText" text="ENVIADO">
      <formula>NOT(ISERROR(SEARCH("ENVIADO",W565)))</formula>
    </cfRule>
    <cfRule type="containsText" dxfId="47" priority="22" operator="containsText" text="EN PROCESO">
      <formula>NOT(ISERROR(SEARCH("EN PROCESO",W565)))</formula>
    </cfRule>
    <cfRule type="containsText" dxfId="46" priority="23" operator="containsText" text="ENVIADO">
      <formula>NOT(ISERROR(SEARCH("ENVIADO",W565)))</formula>
    </cfRule>
  </conditionalFormatting>
  <conditionalFormatting sqref="W591:W613 X596 X609">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75 W516:X517">
    <cfRule type="containsText" dxfId="41" priority="3" operator="containsText" text="EN PROCESO">
      <formula>NOT(ISERROR(SEARCH("EN PROCESO",W242)))</formula>
    </cfRule>
    <cfRule type="containsText" dxfId="40" priority="4" operator="containsText" text="ENVIADO">
      <formula>NOT(ISERROR(SEARCH("ENVIADO",W242)))</formula>
    </cfRule>
  </conditionalFormatting>
  <conditionalFormatting sqref="W519:X519 W532:X532">
    <cfRule type="containsText" dxfId="38" priority="1" operator="containsText" text="EN PROCESO">
      <formula>NOT(ISERROR(SEARCH("EN PROCESO",W519)))</formula>
    </cfRule>
    <cfRule type="containsText" dxfId="39" priority="2" operator="containsText" text="ENVIADO">
      <formula>NOT(ISERROR(SEARCH("ENVIADO",W519)))</formula>
    </cfRule>
  </conditionalFormatting>
  <conditionalFormatting sqref="X2:X240">
    <cfRule type="containsText" dxfId="36" priority="48" operator="containsText" text="EN PROCESO">
      <formula>NOT(ISERROR(SEARCH("EN PROCESO",X2)))</formula>
    </cfRule>
    <cfRule type="containsText" dxfId="37" priority="49" operator="containsText" text="ENVIADO">
      <formula>NOT(ISERROR(SEARCH("ENVIADO",X2)))</formula>
    </cfRule>
  </conditionalFormatting>
  <conditionalFormatting sqref="X41:X43">
    <cfRule type="containsText" dxfId="35" priority="26" operator="containsText" text="EN PROCESO">
      <formula>NOT(ISERROR(SEARCH("EN PROCESO",X41)))</formula>
    </cfRule>
    <cfRule type="containsText" dxfId="34" priority="27" operator="containsText" text="ENVIADO">
      <formula>NOT(ISERROR(SEARCH("ENVIADO",X41)))</formula>
    </cfRule>
    <cfRule type="containsText" dxfId="28" priority="28" operator="containsText" text="EN PROCESO">
      <formula>NOT(ISERROR(SEARCH("EN PROCESO",X41)))</formula>
    </cfRule>
    <cfRule type="containsText" dxfId="29" priority="29" operator="containsText" text="ENVIADO">
      <formula>NOT(ISERROR(SEARCH("ENVIADO",X41)))</formula>
    </cfRule>
    <cfRule type="containsText" dxfId="30" priority="30" operator="containsText" text="EN PROCESO">
      <formula>NOT(ISERROR(SEARCH("EN PROCESO",X41)))</formula>
    </cfRule>
    <cfRule type="containsText" dxfId="31" priority="31" operator="containsText" text="ENVIADO">
      <formula>NOT(ISERROR(SEARCH("ENVIADO",X41)))</formula>
    </cfRule>
    <cfRule type="containsText" dxfId="32" priority="32" operator="containsText" text="EN PROCESO">
      <formula>NOT(ISERROR(SEARCH("EN PROCESO",X41)))</formula>
    </cfRule>
    <cfRule type="containsText" dxfId="33" priority="33" operator="containsText" text="ENVIADO">
      <formula>NOT(ISERROR(SEARCH("ENVIADO",X41)))</formula>
    </cfRule>
  </conditionalFormatting>
  <conditionalFormatting sqref="X46 X63">
    <cfRule type="containsText" dxfId="27" priority="6" operator="containsText" text="EN PROCESO">
      <formula>NOT(ISERROR(SEARCH("EN PROCESO",X46)))</formula>
    </cfRule>
    <cfRule type="containsText" dxfId="24" priority="7" operator="containsText" text="ENVIADO">
      <formula>NOT(ISERROR(SEARCH("ENVIADO",X46)))</formula>
    </cfRule>
    <cfRule type="containsText" dxfId="26" priority="8" operator="containsText" text="EN PROCESO">
      <formula>NOT(ISERROR(SEARCH("EN PROCESO",X46)))</formula>
    </cfRule>
    <cfRule type="containsText" dxfId="25" priority="9" operator="containsText" text="ENVIADO">
      <formula>NOT(ISERROR(SEARCH("ENVIADO",X46)))</formula>
    </cfRule>
  </conditionalFormatting>
  <conditionalFormatting sqref="X240:X275">
    <cfRule type="containsText" dxfId="23" priority="46" operator="containsText" text="EN PROCESO">
      <formula>NOT(ISERROR(SEARCH("EN PROCESO",X240)))</formula>
    </cfRule>
    <cfRule type="containsText" dxfId="22" priority="47" operator="containsText" text="ENVIADO">
      <formula>NOT(ISERROR(SEARCH("ENVIADO",X240)))</formula>
    </cfRule>
  </conditionalFormatting>
  <conditionalFormatting sqref="X265:X276">
    <cfRule type="containsText" dxfId="21" priority="44" operator="containsText" text="EN PROCESO">
      <formula>NOT(ISERROR(SEARCH("EN PROCESO",X265)))</formula>
    </cfRule>
    <cfRule type="containsText" dxfId="20" priority="45" operator="containsText" text="ENVIADO">
      <formula>NOT(ISERROR(SEARCH("ENVIADO",X265)))</formula>
    </cfRule>
  </conditionalFormatting>
  <conditionalFormatting sqref="X276">
    <cfRule type="containsText" dxfId="19" priority="42" operator="containsText" text="EN PROCESO">
      <formula>NOT(ISERROR(SEARCH("EN PROCESO",X276)))</formula>
    </cfRule>
    <cfRule type="containsText" dxfId="18" priority="43" operator="containsText" text="ENVIADO">
      <formula>NOT(ISERROR(SEARCH("ENVIADO",X276)))</formula>
    </cfRule>
  </conditionalFormatting>
  <conditionalFormatting sqref="X276:X613">
    <cfRule type="containsText" dxfId="17" priority="38" operator="containsText" text="EN PROCESO">
      <formula>NOT(ISERROR(SEARCH("EN PROCESO",X276)))</formula>
    </cfRule>
    <cfRule type="containsText" dxfId="15" priority="39" operator="containsText" text="ENVIADO">
      <formula>NOT(ISERROR(SEARCH("ENVIADO",X276)))</formula>
    </cfRule>
    <cfRule type="containsText" dxfId="14" priority="40" operator="containsText" text="EN PROCESO">
      <formula>NOT(ISERROR(SEARCH("EN PROCESO",X276)))</formula>
    </cfRule>
    <cfRule type="containsText" dxfId="16" priority="41" operator="containsText" text="ENVIADO">
      <formula>NOT(ISERROR(SEARCH("ENVIADO",X276)))</formula>
    </cfRule>
  </conditionalFormatting>
  <conditionalFormatting sqref="X291">
    <cfRule type="containsText" dxfId="13" priority="34" operator="containsText" text="EN PROCESO">
      <formula>NOT(ISERROR(SEARCH("EN PROCESO",X291)))</formula>
    </cfRule>
    <cfRule type="containsText" dxfId="11" priority="35" operator="containsText" text="ENVIADO">
      <formula>NOT(ISERROR(SEARCH("ENVIADO",X291)))</formula>
    </cfRule>
    <cfRule type="containsText" dxfId="10" priority="36" operator="containsText" text="EN PROCESO">
      <formula>NOT(ISERROR(SEARCH("EN PROCESO",X291)))</formula>
    </cfRule>
    <cfRule type="containsText" dxfId="12" priority="37" operator="containsText" text="ENVIADO">
      <formula>NOT(ISERROR(SEARCH("ENVIADO",X291)))</formula>
    </cfRule>
  </conditionalFormatting>
  <conditionalFormatting sqref="X298">
    <cfRule type="containsText" dxfId="8" priority="24" operator="containsText" text="EN PROCESO">
      <formula>NOT(ISERROR(SEARCH("EN PROCESO",X298)))</formula>
    </cfRule>
    <cfRule type="containsText" dxfId="9" priority="25"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{7E5EE8A1-E6AB-4E3A-9102-BA85B1AED9B2}</x14:id>
        </ext>
      </extLst>
    </cfRule>
  </conditionalFormatting>
  <conditionalFormatting sqref="AC2:AC613">
    <cfRule type="dataBar" priority="5">
      <dataBar>
        <cfvo type="min"/>
        <cfvo type="max"/>
        <color rgb="FF008AEF"/>
      </dataBar>
      <extLst>
        <ext xmlns:x14="http://schemas.microsoft.com/office/spreadsheetml/2009/9/main" uri="{B025F937-C7B1-47D3-B67F-A62EFF666E3E}">
          <x14:id>{82990D04-1A6D-48A3-AF47-AF6100126699}</x14:id>
        </ext>
      </extLst>
    </cfRule>
  </conditionalFormatting>
  <dataValidations count="7">
    <dataValidation type="list" allowBlank="1" showInputMessage="1" showErrorMessage="1" sqref="U611" xr:uid="{18A26FC3-2CBF-4103-A409-76414ED9A981}">
      <formula1>"ENVIADO,EN PROCESO,CONCLUIDO"</formula1>
    </dataValidation>
    <dataValidation type="list" allowBlank="1" showInputMessage="1" showErrorMessage="1" sqref="T611 U612:V613 U2:V610" xr:uid="{63B59716-AAE3-49D9-A22C-B15877826FA0}">
      <formula1>"ENVIADO A LA CE/UM,EN REVISIÓN CENTRAL,CONCLUIDO"</formula1>
    </dataValidation>
    <dataValidation type="list" allowBlank="1" showInputMessage="1" showErrorMessage="1" sqref="R611 T612:T613 X276:X297 X5 X41:X43 X46 T2:T610 X49:X264 W3:W264 W276:W515 X299:X515 W518:X518 W520:X531 W533:X595 W597:X608 W610:X613" xr:uid="{A1F333FA-244C-4592-8329-74F3B88D39B5}">
      <formula1>"EN PROCESO,CONCLUIDO"</formula1>
    </dataValidation>
    <dataValidation type="list" allowBlank="1" showInputMessage="1" showErrorMessage="1" sqref="Q611 S2:S613" xr:uid="{6ABAA1D1-D7C7-471B-B9CF-9D5AB3F89ADA}">
      <formula1>"ENVIADO A LA CE/UM,ENTREGADO/REVISIÓN,ENVIADO A TICS"</formula1>
    </dataValidation>
    <dataValidation type="list" allowBlank="1" showInputMessage="1" showErrorMessage="1" sqref="V611 Y612:Y613 Y2:Y610" xr:uid="{B266969F-6006-45F9-8E2F-55B10ED76652}">
      <formula1>"PROGRAMADAS,CONCLUIDAS"</formula1>
    </dataValidation>
    <dataValidation type="list" allowBlank="1" showInputMessage="1" showErrorMessage="1" sqref="Z2:AA610 Z612:AA613 Y611:AA611" xr:uid="{F8FBDC03-4700-4BA3-A16D-80C3CA5F5B6D}">
      <formula1>"SI,NO"</formula1>
    </dataValidation>
    <dataValidation type="list" allowBlank="1" showInputMessage="1" showErrorMessage="1" sqref="W2:X2 X3:X4 X6:X40 X44:X45 X47:X48 X298" xr:uid="{C2ADB4D0-3332-482A-A524-597092DE6372}">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7E5EE8A1-E6AB-4E3A-9102-BA85B1AED9B2}">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82990D04-1A6D-48A3-AF47-AF6100126699}">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24" priority="27"/>
  </conditionalFormatting>
  <conditionalFormatting sqref="Q611">
    <cfRule type="containsText" dxfId="123" priority="10" operator="containsText" text="ENVIADO A TICS">
      <formula>NOT(ISERROR(SEARCH("ENVIADO A TICS",Q611)))</formula>
    </cfRule>
    <cfRule type="containsText" dxfId="122" priority="11" operator="containsText" text="ENTREGADO/REVISIÓN">
      <formula>NOT(ISERROR(SEARCH("ENTREGADO/REVISIÓN",Q611)))</formula>
    </cfRule>
    <cfRule type="containsText" dxfId="121" priority="12" operator="containsText" text="ENVIADO A LA CE/UM">
      <formula>NOT(ISERROR(SEARCH("ENVIADO A LA CE/UM",Q611)))</formula>
    </cfRule>
  </conditionalFormatting>
  <conditionalFormatting sqref="R611">
    <cfRule type="containsText" dxfId="120" priority="9" operator="containsText" text="EN PROCESO">
      <formula>NOT(ISERROR(SEARCH("EN PROCESO",R611)))</formula>
    </cfRule>
  </conditionalFormatting>
  <conditionalFormatting sqref="R611:U611 T1:W610">
    <cfRule type="containsText" dxfId="119" priority="18" operator="containsText" text="CONCLUIDO">
      <formula>NOT(ISERROR(SEARCH("CONCLUIDO",R1)))</formula>
    </cfRule>
  </conditionalFormatting>
  <conditionalFormatting sqref="S1:S610">
    <cfRule type="containsText" dxfId="118" priority="24" operator="containsText" text="ENVIADO A TICS">
      <formula>NOT(ISERROR(SEARCH("ENVIADO A TICS",S1)))</formula>
    </cfRule>
    <cfRule type="containsText" dxfId="117" priority="25" operator="containsText" text="ENTREGADO/REVISIÓN">
      <formula>NOT(ISERROR(SEARCH("ENTREGADO/REVISIÓN",S1)))</formula>
    </cfRule>
    <cfRule type="containsText" dxfId="116" priority="26" operator="containsText" text="ENVIADO A LA CE/UM">
      <formula>NOT(ISERROR(SEARCH("ENVIADO A LA CE/UM",S1)))</formula>
    </cfRule>
  </conditionalFormatting>
  <conditionalFormatting sqref="S611:T611">
    <cfRule type="containsText" dxfId="115" priority="7" operator="containsText" text="EN REVISIÓN CENTRAL">
      <formula>NOT(ISERROR(SEARCH("EN REVISIÓN CENTRAL",S611)))</formula>
    </cfRule>
    <cfRule type="containsText" dxfId="114" priority="8" operator="containsText" text="ENVIADO A LA CE/UM">
      <formula>NOT(ISERROR(SEARCH("ENVIADO A LA CE/UM",S611)))</formula>
    </cfRule>
  </conditionalFormatting>
  <conditionalFormatting sqref="T1:T610">
    <cfRule type="containsText" dxfId="113" priority="23" operator="containsText" text="EN PROCESO">
      <formula>NOT(ISERROR(SEARCH("EN PROCESO",T1)))</formula>
    </cfRule>
  </conditionalFormatting>
  <conditionalFormatting sqref="U1">
    <cfRule type="containsText" dxfId="112" priority="28" operator="containsText" text="ENVIADO A LA CE/UM">
      <formula>NOT(ISERROR(SEARCH("ENVIADO A LA CE/UM",U1)))</formula>
    </cfRule>
  </conditionalFormatting>
  <conditionalFormatting sqref="U611">
    <cfRule type="containsText" dxfId="111" priority="5" operator="containsText" text="EN PROCESO">
      <formula>NOT(ISERROR(SEARCH("EN PROCESO",U611)))</formula>
    </cfRule>
    <cfRule type="containsText" dxfId="110" priority="6" operator="containsText" text="ENVIADO">
      <formula>NOT(ISERROR(SEARCH("ENVIADO",U611)))</formula>
    </cfRule>
  </conditionalFormatting>
  <conditionalFormatting sqref="U1:V610">
    <cfRule type="containsText" dxfId="109" priority="21" operator="containsText" text="EN REVISIÓN CENTRAL">
      <formula>NOT(ISERROR(SEARCH("EN REVISIÓN CENTRAL",U1)))</formula>
    </cfRule>
  </conditionalFormatting>
  <conditionalFormatting sqref="U2:V610">
    <cfRule type="containsText" dxfId="108" priority="22" operator="containsText" text="ENVIADO A LA CE/UM">
      <formula>NOT(ISERROR(SEARCH("ENVIADO A LA CE/UM",U2)))</formula>
    </cfRule>
  </conditionalFormatting>
  <conditionalFormatting sqref="V611">
    <cfRule type="containsText" dxfId="107" priority="3" operator="containsText" text="CONCLUIDAS">
      <formula>NOT(ISERROR(SEARCH("CONCLUIDAS",V611)))</formula>
    </cfRule>
    <cfRule type="containsText" dxfId="106" priority="4" operator="containsText" text="PROGRAMADAS">
      <formula>NOT(ISERROR(SEARCH("PROGRAMADAS",V611)))</formula>
    </cfRule>
  </conditionalFormatting>
  <conditionalFormatting sqref="W1:W610">
    <cfRule type="containsText" dxfId="105" priority="19" operator="containsText" text="EN PROCESO">
      <formula>NOT(ISERROR(SEARCH("EN PROCESO",W1)))</formula>
    </cfRule>
    <cfRule type="containsText" dxfId="104" priority="20" operator="containsText" text="ENVIADO">
      <formula>NOT(ISERROR(SEARCH("ENVIADO",W1)))</formula>
    </cfRule>
  </conditionalFormatting>
  <conditionalFormatting sqref="W611:Z611">
    <cfRule type="containsText" dxfId="103" priority="1" operator="containsText" text="SI">
      <formula>NOT(ISERROR(SEARCH("SI",W611)))</formula>
    </cfRule>
    <cfRule type="containsText" dxfId="102" priority="2" operator="containsText" text="NO">
      <formula>NOT(ISERROR(SEARCH("NO",W611)))</formula>
    </cfRule>
  </conditionalFormatting>
  <conditionalFormatting sqref="X1:X610">
    <cfRule type="containsText" dxfId="101" priority="16" operator="containsText" text="CONCLUIDAS">
      <formula>NOT(ISERROR(SEARCH("CONCLUIDAS",X1)))</formula>
    </cfRule>
    <cfRule type="containsText" dxfId="100" priority="17" operator="containsText" text="PROGRAMADAS">
      <formula>NOT(ISERROR(SEARCH("PROGRAMADAS",X1)))</formula>
    </cfRule>
  </conditionalFormatting>
  <conditionalFormatting sqref="Y1:Z610">
    <cfRule type="containsText" dxfId="99" priority="14" operator="containsText" text="SI">
      <formula>NOT(ISERROR(SEARCH("SI",Y1)))</formula>
    </cfRule>
    <cfRule type="containsText" dxfId="98"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2026-07-09T00:50:38Z</dcterms:modified>
</cp:coreProperties>
</file>