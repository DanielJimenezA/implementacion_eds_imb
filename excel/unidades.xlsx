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3481EC2B-6DB0-44B9-B029-855E24AEFEE8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Unidades!$A$1:$AJ$614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B613" i="1"/>
  <c r="AC612" i="1"/>
  <c r="AB612" i="1"/>
  <c r="AC611" i="1"/>
  <c r="AB611" i="1"/>
  <c r="AC610" i="1"/>
  <c r="AB610" i="1"/>
  <c r="AC609" i="1"/>
  <c r="AB609" i="1"/>
  <c r="AC608" i="1"/>
  <c r="AB608" i="1"/>
  <c r="AC607" i="1"/>
  <c r="AB607" i="1"/>
  <c r="AC606" i="1"/>
  <c r="AB606" i="1"/>
  <c r="AC605" i="1"/>
  <c r="AB605" i="1"/>
  <c r="AC604" i="1"/>
  <c r="AB604" i="1"/>
  <c r="AC603" i="1"/>
  <c r="AB603" i="1"/>
  <c r="AC602" i="1"/>
  <c r="AB602" i="1"/>
  <c r="AC601" i="1"/>
  <c r="AB601" i="1"/>
  <c r="AC600" i="1"/>
  <c r="AB600" i="1"/>
  <c r="AC599" i="1"/>
  <c r="AB599" i="1"/>
  <c r="AC598" i="1"/>
  <c r="AB598" i="1"/>
  <c r="AC597" i="1"/>
  <c r="AB597" i="1"/>
  <c r="AC596" i="1"/>
  <c r="AB596" i="1"/>
  <c r="AC595" i="1"/>
  <c r="AB595" i="1"/>
  <c r="AC594" i="1"/>
  <c r="AB594" i="1"/>
  <c r="AC593" i="1"/>
  <c r="AB593" i="1"/>
  <c r="AC592" i="1"/>
  <c r="AB592" i="1"/>
  <c r="AC591" i="1"/>
  <c r="AB591" i="1"/>
  <c r="AC590" i="1"/>
  <c r="AB590" i="1"/>
  <c r="AC589" i="1"/>
  <c r="AB589" i="1"/>
  <c r="AC588" i="1"/>
  <c r="AB588" i="1"/>
  <c r="AC587" i="1"/>
  <c r="AB587" i="1"/>
  <c r="AC586" i="1"/>
  <c r="AB586" i="1"/>
  <c r="AC585" i="1"/>
  <c r="AB585" i="1"/>
  <c r="AC584" i="1"/>
  <c r="AB584" i="1"/>
  <c r="AC583" i="1"/>
  <c r="AB583" i="1"/>
  <c r="AC582" i="1"/>
  <c r="AB582" i="1"/>
  <c r="AC581" i="1"/>
  <c r="AB581" i="1"/>
  <c r="AC580" i="1"/>
  <c r="AB580" i="1"/>
  <c r="AC579" i="1"/>
  <c r="AB579" i="1"/>
  <c r="AC578" i="1"/>
  <c r="AB578" i="1"/>
  <c r="AC577" i="1"/>
  <c r="AB577" i="1"/>
  <c r="AC576" i="1"/>
  <c r="AB576" i="1"/>
  <c r="AC575" i="1"/>
  <c r="AB575" i="1"/>
  <c r="AC574" i="1"/>
  <c r="AB574" i="1"/>
  <c r="AC573" i="1"/>
  <c r="AB573" i="1"/>
  <c r="AC572" i="1"/>
  <c r="AB572" i="1"/>
  <c r="AC571" i="1"/>
  <c r="AB571" i="1"/>
  <c r="AC570" i="1"/>
  <c r="AB570" i="1"/>
  <c r="AC569" i="1"/>
  <c r="AB569" i="1"/>
  <c r="AC568" i="1"/>
  <c r="AB568" i="1"/>
  <c r="AC567" i="1"/>
  <c r="AB567" i="1"/>
  <c r="AC566" i="1"/>
  <c r="AB566" i="1"/>
  <c r="AC565" i="1"/>
  <c r="AB565" i="1"/>
  <c r="AC564" i="1"/>
  <c r="AB564" i="1"/>
  <c r="AC563" i="1"/>
  <c r="AB563" i="1"/>
  <c r="AC562" i="1"/>
  <c r="AB562" i="1"/>
  <c r="AC561" i="1"/>
  <c r="AB561" i="1"/>
  <c r="AC560" i="1"/>
  <c r="AB560" i="1"/>
  <c r="AC559" i="1"/>
  <c r="AB559" i="1"/>
  <c r="AC558" i="1"/>
  <c r="AB558" i="1"/>
  <c r="AC557" i="1"/>
  <c r="AB557" i="1"/>
  <c r="AC556" i="1"/>
  <c r="AB556" i="1"/>
  <c r="AC555" i="1"/>
  <c r="AB555" i="1"/>
  <c r="AC554" i="1"/>
  <c r="AB554" i="1"/>
  <c r="AC553" i="1"/>
  <c r="AB553" i="1"/>
  <c r="AC552" i="1"/>
  <c r="AB552" i="1"/>
  <c r="AC551" i="1"/>
  <c r="AB551" i="1"/>
  <c r="AC550" i="1"/>
  <c r="AB550" i="1"/>
  <c r="AC549" i="1"/>
  <c r="AB549" i="1"/>
  <c r="AC548" i="1"/>
  <c r="AB548" i="1"/>
  <c r="AC547" i="1"/>
  <c r="AB547" i="1"/>
  <c r="AC546" i="1"/>
  <c r="AB546" i="1"/>
  <c r="AC545" i="1"/>
  <c r="AB545" i="1"/>
  <c r="AC544" i="1"/>
  <c r="AB544" i="1"/>
  <c r="AC543" i="1"/>
  <c r="AB543" i="1"/>
  <c r="AC542" i="1"/>
  <c r="AB542" i="1"/>
  <c r="AC541" i="1"/>
  <c r="AB541" i="1"/>
  <c r="AC540" i="1"/>
  <c r="AB540" i="1"/>
  <c r="AC539" i="1"/>
  <c r="AB539" i="1"/>
  <c r="AC538" i="1"/>
  <c r="AB538" i="1"/>
  <c r="AC537" i="1"/>
  <c r="AB537" i="1"/>
  <c r="AC536" i="1"/>
  <c r="AB536" i="1"/>
  <c r="AC535" i="1"/>
  <c r="AB535" i="1"/>
  <c r="AC534" i="1"/>
  <c r="AB534" i="1"/>
  <c r="AC533" i="1"/>
  <c r="AB533" i="1"/>
  <c r="AC532" i="1"/>
  <c r="AB532" i="1"/>
  <c r="AC531" i="1"/>
  <c r="AB531" i="1"/>
  <c r="AC530" i="1"/>
  <c r="AB530" i="1"/>
  <c r="AC529" i="1"/>
  <c r="AB529" i="1"/>
  <c r="AC528" i="1"/>
  <c r="AB528" i="1"/>
  <c r="AC527" i="1"/>
  <c r="AB527" i="1"/>
  <c r="AC526" i="1"/>
  <c r="AB526" i="1"/>
  <c r="AC525" i="1"/>
  <c r="AB525" i="1"/>
  <c r="AC524" i="1"/>
  <c r="AB524" i="1"/>
  <c r="AC523" i="1"/>
  <c r="AB523" i="1"/>
  <c r="AC522" i="1"/>
  <c r="AB522" i="1"/>
  <c r="AC521" i="1"/>
  <c r="AB521" i="1"/>
  <c r="AC520" i="1"/>
  <c r="AB520" i="1"/>
  <c r="AC519" i="1"/>
  <c r="AB519" i="1"/>
  <c r="AC518" i="1"/>
  <c r="AB518" i="1"/>
  <c r="AC517" i="1"/>
  <c r="AB517" i="1"/>
  <c r="AC516" i="1"/>
  <c r="AB516" i="1"/>
  <c r="AC515" i="1"/>
  <c r="AB515" i="1"/>
  <c r="AC514" i="1"/>
  <c r="AB514" i="1"/>
  <c r="AC513" i="1"/>
  <c r="AB513" i="1"/>
  <c r="AC512" i="1"/>
  <c r="AB512" i="1"/>
  <c r="AC511" i="1"/>
  <c r="AB511" i="1"/>
  <c r="AC510" i="1"/>
  <c r="AB510" i="1"/>
  <c r="AC509" i="1"/>
  <c r="AB509" i="1"/>
  <c r="AC508" i="1"/>
  <c r="AB508" i="1"/>
  <c r="AC507" i="1"/>
  <c r="AB507" i="1"/>
  <c r="AC506" i="1"/>
  <c r="AB506" i="1"/>
  <c r="AC505" i="1"/>
  <c r="AB505" i="1"/>
  <c r="AC504" i="1"/>
  <c r="AB504" i="1"/>
  <c r="AC503" i="1"/>
  <c r="AB503" i="1"/>
  <c r="AC502" i="1"/>
  <c r="AB502" i="1"/>
  <c r="AC501" i="1"/>
  <c r="AB501" i="1"/>
  <c r="AC500" i="1"/>
  <c r="AB500" i="1"/>
  <c r="AC499" i="1"/>
  <c r="AB499" i="1"/>
  <c r="AC498" i="1"/>
  <c r="AB498" i="1"/>
  <c r="AC497" i="1"/>
  <c r="AB497" i="1"/>
  <c r="AC496" i="1"/>
  <c r="AB496" i="1"/>
  <c r="AC495" i="1"/>
  <c r="AB495" i="1"/>
  <c r="AC494" i="1"/>
  <c r="AB494" i="1"/>
  <c r="AC493" i="1"/>
  <c r="AB493" i="1"/>
  <c r="AC492" i="1"/>
  <c r="AB492" i="1"/>
  <c r="AC491" i="1"/>
  <c r="AB491" i="1"/>
  <c r="AC490" i="1"/>
  <c r="AB490" i="1"/>
  <c r="AC489" i="1"/>
  <c r="AB489" i="1"/>
  <c r="AC488" i="1"/>
  <c r="AB488" i="1"/>
  <c r="AC487" i="1"/>
  <c r="AB487" i="1"/>
  <c r="AC486" i="1"/>
  <c r="AB486" i="1"/>
  <c r="AC485" i="1"/>
  <c r="AB485" i="1"/>
  <c r="AC484" i="1"/>
  <c r="AB484" i="1"/>
  <c r="AC483" i="1"/>
  <c r="AB483" i="1"/>
  <c r="AC482" i="1"/>
  <c r="AB482" i="1"/>
  <c r="AC481" i="1"/>
  <c r="AB481" i="1"/>
  <c r="AC480" i="1"/>
  <c r="AB480" i="1"/>
  <c r="AC479" i="1"/>
  <c r="AB479" i="1"/>
  <c r="AC478" i="1"/>
  <c r="AB478" i="1"/>
  <c r="AC477" i="1"/>
  <c r="AB477" i="1"/>
  <c r="AC476" i="1"/>
  <c r="AB476" i="1"/>
  <c r="AC475" i="1"/>
  <c r="AB475" i="1"/>
  <c r="AC474" i="1"/>
  <c r="AB474" i="1"/>
  <c r="AC473" i="1"/>
  <c r="AB473" i="1"/>
  <c r="AC472" i="1"/>
  <c r="AB472" i="1"/>
  <c r="AC471" i="1"/>
  <c r="AB471" i="1"/>
  <c r="AC470" i="1"/>
  <c r="AB470" i="1"/>
  <c r="AC469" i="1"/>
  <c r="AB469" i="1"/>
  <c r="AC468" i="1"/>
  <c r="AB468" i="1"/>
  <c r="AC467" i="1"/>
  <c r="AB467" i="1"/>
  <c r="AC466" i="1"/>
  <c r="AB466" i="1"/>
  <c r="AC465" i="1"/>
  <c r="AB465" i="1"/>
  <c r="AC464" i="1"/>
  <c r="AB464" i="1"/>
  <c r="AC463" i="1"/>
  <c r="AB463" i="1"/>
  <c r="AC462" i="1"/>
  <c r="AB462" i="1"/>
  <c r="AC461" i="1"/>
  <c r="AB461" i="1"/>
  <c r="AC460" i="1"/>
  <c r="AB460" i="1"/>
  <c r="AC459" i="1"/>
  <c r="AB459" i="1"/>
  <c r="AC458" i="1"/>
  <c r="AB458" i="1"/>
  <c r="AC457" i="1"/>
  <c r="AB457" i="1"/>
  <c r="AC456" i="1"/>
  <c r="AB456" i="1"/>
  <c r="AC455" i="1"/>
  <c r="AB455" i="1"/>
  <c r="AC454" i="1"/>
  <c r="AB454" i="1"/>
  <c r="AC453" i="1"/>
  <c r="AB453" i="1"/>
  <c r="AC452" i="1"/>
  <c r="AB452" i="1"/>
  <c r="AC451" i="1"/>
  <c r="AB451" i="1"/>
  <c r="AC450" i="1"/>
  <c r="AB450" i="1"/>
  <c r="AC449" i="1"/>
  <c r="AB449" i="1"/>
  <c r="AC448" i="1"/>
  <c r="AB448" i="1"/>
  <c r="AC447" i="1"/>
  <c r="AB447" i="1"/>
  <c r="AC446" i="1"/>
  <c r="AB446" i="1"/>
  <c r="AC445" i="1"/>
  <c r="AB445" i="1"/>
  <c r="AC444" i="1"/>
  <c r="AB444" i="1"/>
  <c r="AC443" i="1"/>
  <c r="AB443" i="1"/>
  <c r="AC442" i="1"/>
  <c r="AB442" i="1"/>
  <c r="AC441" i="1"/>
  <c r="AB441" i="1"/>
  <c r="AC440" i="1"/>
  <c r="AB440" i="1"/>
  <c r="AC439" i="1"/>
  <c r="AB439" i="1"/>
  <c r="AC438" i="1"/>
  <c r="AB438" i="1"/>
  <c r="AC437" i="1"/>
  <c r="AB437" i="1"/>
  <c r="AC436" i="1"/>
  <c r="AB436" i="1"/>
  <c r="AC435" i="1"/>
  <c r="AB435" i="1"/>
  <c r="AC434" i="1"/>
  <c r="AB434" i="1"/>
  <c r="AC433" i="1"/>
  <c r="AB433" i="1"/>
  <c r="AC432" i="1"/>
  <c r="AB432" i="1"/>
  <c r="AC431" i="1"/>
  <c r="AB431" i="1"/>
  <c r="AC430" i="1"/>
  <c r="AB430" i="1"/>
  <c r="AC429" i="1"/>
  <c r="AB429" i="1"/>
  <c r="AC428" i="1"/>
  <c r="AB428" i="1"/>
  <c r="AC427" i="1"/>
  <c r="AB427" i="1"/>
  <c r="AC426" i="1"/>
  <c r="AB426" i="1"/>
  <c r="AC425" i="1"/>
  <c r="AB425" i="1"/>
  <c r="AC424" i="1"/>
  <c r="AB424" i="1"/>
  <c r="AC423" i="1"/>
  <c r="AB423" i="1"/>
  <c r="AC422" i="1"/>
  <c r="AB422" i="1"/>
  <c r="AC421" i="1"/>
  <c r="AB421" i="1"/>
  <c r="AC420" i="1"/>
  <c r="AB420" i="1"/>
  <c r="AC419" i="1"/>
  <c r="AB419" i="1"/>
  <c r="AC418" i="1"/>
  <c r="AB418" i="1"/>
  <c r="AC417" i="1"/>
  <c r="AB417" i="1"/>
  <c r="AC416" i="1"/>
  <c r="AB416" i="1"/>
  <c r="AC415" i="1"/>
  <c r="AB415" i="1"/>
  <c r="AC414" i="1"/>
  <c r="AB414" i="1"/>
  <c r="AC413" i="1"/>
  <c r="AB413" i="1"/>
  <c r="AC412" i="1"/>
  <c r="AB412" i="1"/>
  <c r="AC411" i="1"/>
  <c r="AB411" i="1"/>
  <c r="AC410" i="1"/>
  <c r="AB410" i="1"/>
  <c r="AC409" i="1"/>
  <c r="AB409" i="1"/>
  <c r="AC408" i="1"/>
  <c r="AB408" i="1"/>
  <c r="AC407" i="1"/>
  <c r="AB407" i="1"/>
  <c r="AC406" i="1"/>
  <c r="AB406" i="1"/>
  <c r="AC405" i="1"/>
  <c r="AB405" i="1"/>
  <c r="AC404" i="1"/>
  <c r="AB404" i="1"/>
  <c r="AC403" i="1"/>
  <c r="AB403" i="1"/>
  <c r="AC402" i="1"/>
  <c r="AB402" i="1"/>
  <c r="AC401" i="1"/>
  <c r="AB401" i="1"/>
  <c r="AC400" i="1"/>
  <c r="AB400" i="1"/>
  <c r="AC399" i="1"/>
  <c r="AB399" i="1"/>
  <c r="AC398" i="1"/>
  <c r="AB398" i="1"/>
  <c r="AC397" i="1"/>
  <c r="AB397" i="1"/>
  <c r="AC396" i="1"/>
  <c r="AB396" i="1"/>
  <c r="AC395" i="1"/>
  <c r="AB395" i="1"/>
  <c r="AC394" i="1"/>
  <c r="AB394" i="1"/>
  <c r="AC393" i="1"/>
  <c r="AB393" i="1"/>
  <c r="AC392" i="1"/>
  <c r="AB392" i="1"/>
  <c r="AC391" i="1"/>
  <c r="AB391" i="1"/>
  <c r="AC390" i="1"/>
  <c r="AB390" i="1"/>
  <c r="AC389" i="1"/>
  <c r="AB389" i="1"/>
  <c r="AC388" i="1"/>
  <c r="AB388" i="1"/>
  <c r="AC387" i="1"/>
  <c r="AB387" i="1"/>
  <c r="AC386" i="1"/>
  <c r="AB386" i="1"/>
  <c r="AC385" i="1"/>
  <c r="AB385" i="1"/>
  <c r="AC384" i="1"/>
  <c r="AB384" i="1"/>
  <c r="AC383" i="1"/>
  <c r="AB383" i="1"/>
  <c r="AC382" i="1"/>
  <c r="AB382" i="1"/>
  <c r="AC381" i="1"/>
  <c r="AB381" i="1"/>
  <c r="AC380" i="1"/>
  <c r="AB380" i="1"/>
  <c r="AC379" i="1"/>
  <c r="AB379" i="1"/>
  <c r="AC378" i="1"/>
  <c r="AB378" i="1"/>
  <c r="AC377" i="1"/>
  <c r="AB377" i="1"/>
  <c r="AC376" i="1"/>
  <c r="AB376" i="1"/>
  <c r="AC375" i="1"/>
  <c r="AB375" i="1"/>
  <c r="AC374" i="1"/>
  <c r="AB374" i="1"/>
  <c r="AC373" i="1"/>
  <c r="AB373" i="1"/>
  <c r="AC372" i="1"/>
  <c r="AB372" i="1"/>
  <c r="AC371" i="1"/>
  <c r="AB371" i="1"/>
  <c r="AC370" i="1"/>
  <c r="AB370" i="1"/>
  <c r="AC369" i="1"/>
  <c r="AB369" i="1"/>
  <c r="AC368" i="1"/>
  <c r="AB368" i="1"/>
  <c r="AC367" i="1"/>
  <c r="AB367" i="1"/>
  <c r="AC366" i="1"/>
  <c r="AB366" i="1"/>
  <c r="AC365" i="1"/>
  <c r="AB365" i="1"/>
  <c r="AC364" i="1"/>
  <c r="AB364" i="1"/>
  <c r="AC363" i="1"/>
  <c r="AB363" i="1"/>
  <c r="AC362" i="1"/>
  <c r="AB362" i="1"/>
  <c r="AC361" i="1"/>
  <c r="AB361" i="1"/>
  <c r="AC360" i="1"/>
  <c r="AB360" i="1"/>
  <c r="AC359" i="1"/>
  <c r="AB359" i="1"/>
  <c r="AC358" i="1"/>
  <c r="AB358" i="1"/>
  <c r="AC357" i="1"/>
  <c r="AB357" i="1"/>
  <c r="AC356" i="1"/>
  <c r="AB356" i="1"/>
  <c r="AC355" i="1"/>
  <c r="AB355" i="1"/>
  <c r="AC354" i="1"/>
  <c r="AB354" i="1"/>
  <c r="AC353" i="1"/>
  <c r="AB353" i="1"/>
  <c r="AC352" i="1"/>
  <c r="AB352" i="1"/>
  <c r="AC351" i="1"/>
  <c r="AB351" i="1"/>
  <c r="AC350" i="1"/>
  <c r="AB350" i="1"/>
  <c r="AC349" i="1"/>
  <c r="AB349" i="1"/>
  <c r="AC348" i="1"/>
  <c r="AB348" i="1"/>
  <c r="AC347" i="1"/>
  <c r="AB347" i="1"/>
  <c r="AC346" i="1"/>
  <c r="AB346" i="1"/>
  <c r="AC345" i="1"/>
  <c r="AB345" i="1"/>
  <c r="AC344" i="1"/>
  <c r="AB344" i="1"/>
  <c r="AC343" i="1"/>
  <c r="AB343" i="1"/>
  <c r="AC342" i="1"/>
  <c r="AB342" i="1"/>
  <c r="AC341" i="1"/>
  <c r="AB341" i="1"/>
  <c r="AC340" i="1"/>
  <c r="AB340" i="1"/>
  <c r="AC339" i="1"/>
  <c r="AB339" i="1"/>
  <c r="AC338" i="1"/>
  <c r="AB338" i="1"/>
  <c r="AC337" i="1"/>
  <c r="AB337" i="1"/>
  <c r="AC336" i="1"/>
  <c r="AB336" i="1"/>
  <c r="AC335" i="1"/>
  <c r="AB335" i="1"/>
  <c r="AC334" i="1"/>
  <c r="AB334" i="1"/>
  <c r="AC333" i="1"/>
  <c r="AB333" i="1"/>
  <c r="AC332" i="1"/>
  <c r="AB332" i="1"/>
  <c r="AC331" i="1"/>
  <c r="AB331" i="1"/>
  <c r="AC330" i="1"/>
  <c r="AB330" i="1"/>
  <c r="AC329" i="1"/>
  <c r="AB329" i="1"/>
  <c r="AC328" i="1"/>
  <c r="AB328" i="1"/>
  <c r="AC327" i="1"/>
  <c r="AB327" i="1"/>
  <c r="AC326" i="1"/>
  <c r="AB326" i="1"/>
  <c r="AC325" i="1"/>
  <c r="AB325" i="1"/>
  <c r="AC324" i="1"/>
  <c r="AB324" i="1"/>
  <c r="AC323" i="1"/>
  <c r="AB323" i="1"/>
  <c r="AC322" i="1"/>
  <c r="AB322" i="1"/>
  <c r="AC321" i="1"/>
  <c r="AB321" i="1"/>
  <c r="AC320" i="1"/>
  <c r="AB320" i="1"/>
  <c r="AC319" i="1"/>
  <c r="AB319" i="1"/>
  <c r="AC318" i="1"/>
  <c r="AB318" i="1"/>
  <c r="AC317" i="1"/>
  <c r="AB317" i="1"/>
  <c r="AC316" i="1"/>
  <c r="AB316" i="1"/>
  <c r="AC315" i="1"/>
  <c r="AB315" i="1"/>
  <c r="AC314" i="1"/>
  <c r="AB314" i="1"/>
  <c r="AC313" i="1"/>
  <c r="AB313" i="1"/>
  <c r="AC312" i="1"/>
  <c r="AB312" i="1"/>
  <c r="AC311" i="1"/>
  <c r="AB311" i="1"/>
  <c r="AC310" i="1"/>
  <c r="AB310" i="1"/>
  <c r="AC309" i="1"/>
  <c r="AB309" i="1"/>
  <c r="AC308" i="1"/>
  <c r="AB308" i="1"/>
  <c r="AC307" i="1"/>
  <c r="AB307" i="1"/>
  <c r="AC306" i="1"/>
  <c r="AB306" i="1"/>
  <c r="AC305" i="1"/>
  <c r="AB305" i="1"/>
  <c r="AC304" i="1"/>
  <c r="AB304" i="1"/>
  <c r="AC303" i="1"/>
  <c r="AB303" i="1"/>
  <c r="AC302" i="1"/>
  <c r="AB302" i="1"/>
  <c r="AC301" i="1"/>
  <c r="AB301" i="1"/>
  <c r="AC300" i="1"/>
  <c r="AB300" i="1"/>
  <c r="AC299" i="1"/>
  <c r="AB299" i="1"/>
  <c r="AC298" i="1"/>
  <c r="AB298" i="1"/>
  <c r="AC297" i="1"/>
  <c r="AB297" i="1"/>
  <c r="AC296" i="1"/>
  <c r="AB296" i="1"/>
  <c r="AC295" i="1"/>
  <c r="AB295" i="1"/>
  <c r="AC294" i="1"/>
  <c r="AB294" i="1"/>
  <c r="AC293" i="1"/>
  <c r="AB293" i="1"/>
  <c r="AC292" i="1"/>
  <c r="AB292" i="1"/>
  <c r="AC291" i="1"/>
  <c r="AB291" i="1"/>
  <c r="AC290" i="1"/>
  <c r="AB290" i="1"/>
  <c r="AC289" i="1"/>
  <c r="AB289" i="1"/>
  <c r="AC288" i="1"/>
  <c r="AB288" i="1"/>
  <c r="AC287" i="1"/>
  <c r="AB287" i="1"/>
  <c r="AC286" i="1"/>
  <c r="AB286" i="1"/>
  <c r="AC285" i="1"/>
  <c r="AB285" i="1"/>
  <c r="AC284" i="1"/>
  <c r="AB284" i="1"/>
  <c r="AC283" i="1"/>
  <c r="AB283" i="1"/>
  <c r="AC282" i="1"/>
  <c r="AB282" i="1"/>
  <c r="AC281" i="1"/>
  <c r="AB281" i="1"/>
  <c r="AC280" i="1"/>
  <c r="AB280" i="1"/>
  <c r="AC279" i="1"/>
  <c r="AB279" i="1"/>
  <c r="AC278" i="1"/>
  <c r="AB278" i="1"/>
  <c r="AC277" i="1"/>
  <c r="AB277" i="1"/>
  <c r="AC276" i="1"/>
  <c r="AB276" i="1"/>
  <c r="AC275" i="1"/>
  <c r="AB275" i="1"/>
  <c r="AC274" i="1"/>
  <c r="AB274" i="1"/>
  <c r="AC273" i="1"/>
  <c r="AB273" i="1"/>
  <c r="AC272" i="1"/>
  <c r="AB272" i="1"/>
  <c r="AC271" i="1"/>
  <c r="AB271" i="1"/>
  <c r="AC270" i="1"/>
  <c r="AB270" i="1"/>
  <c r="AC269" i="1"/>
  <c r="AB269" i="1"/>
  <c r="AC268" i="1"/>
  <c r="AB268" i="1"/>
  <c r="AC267" i="1"/>
  <c r="AB267" i="1"/>
  <c r="AC266" i="1"/>
  <c r="AB266" i="1"/>
  <c r="AC265" i="1"/>
  <c r="AB265" i="1"/>
  <c r="AC264" i="1"/>
  <c r="AB264" i="1"/>
  <c r="AC263" i="1"/>
  <c r="AB263" i="1"/>
  <c r="AC262" i="1"/>
  <c r="AB262" i="1"/>
  <c r="AC261" i="1"/>
  <c r="AB261" i="1"/>
  <c r="AC260" i="1"/>
  <c r="AB260" i="1"/>
  <c r="AC259" i="1"/>
  <c r="AB259" i="1"/>
  <c r="AC258" i="1"/>
  <c r="AB258" i="1"/>
  <c r="AC257" i="1"/>
  <c r="AB257" i="1"/>
  <c r="AC256" i="1"/>
  <c r="AB256" i="1"/>
  <c r="AC255" i="1"/>
  <c r="AB255" i="1"/>
  <c r="AC254" i="1"/>
  <c r="AB254" i="1"/>
  <c r="AC253" i="1"/>
  <c r="AB253" i="1"/>
  <c r="AC252" i="1"/>
  <c r="AB252" i="1"/>
  <c r="AC251" i="1"/>
  <c r="AB251" i="1"/>
  <c r="AC250" i="1"/>
  <c r="AB250" i="1"/>
  <c r="AC249" i="1"/>
  <c r="AB249" i="1"/>
  <c r="AC248" i="1"/>
  <c r="AB248" i="1"/>
  <c r="AC247" i="1"/>
  <c r="AB247" i="1"/>
  <c r="AC246" i="1"/>
  <c r="AB246" i="1"/>
  <c r="AC245" i="1"/>
  <c r="AB245" i="1"/>
  <c r="AC244" i="1"/>
  <c r="AB244" i="1"/>
  <c r="AC243" i="1"/>
  <c r="AB243" i="1"/>
  <c r="AC242" i="1"/>
  <c r="AB242" i="1"/>
  <c r="AC241" i="1"/>
  <c r="AB241" i="1"/>
  <c r="AC240" i="1"/>
  <c r="AB240" i="1"/>
  <c r="AC239" i="1"/>
  <c r="AB239" i="1"/>
  <c r="AC238" i="1"/>
  <c r="AB238" i="1"/>
  <c r="AC237" i="1"/>
  <c r="AB237" i="1"/>
  <c r="AC236" i="1"/>
  <c r="AB236" i="1"/>
  <c r="AC235" i="1"/>
  <c r="AB235" i="1"/>
  <c r="AC234" i="1"/>
  <c r="AB234" i="1"/>
  <c r="AC233" i="1"/>
  <c r="AB233" i="1"/>
  <c r="AC232" i="1"/>
  <c r="AB232" i="1"/>
  <c r="AC231" i="1"/>
  <c r="AB231" i="1"/>
  <c r="AC230" i="1"/>
  <c r="AB230" i="1"/>
  <c r="AC229" i="1"/>
  <c r="AB229" i="1"/>
  <c r="AC228" i="1"/>
  <c r="AB228" i="1"/>
  <c r="AC227" i="1"/>
  <c r="AB227" i="1"/>
  <c r="AC226" i="1"/>
  <c r="AB226" i="1"/>
  <c r="AC225" i="1"/>
  <c r="AB225" i="1"/>
  <c r="AC224" i="1"/>
  <c r="AB224" i="1"/>
  <c r="AC223" i="1"/>
  <c r="AB223" i="1"/>
  <c r="AC222" i="1"/>
  <c r="AB222" i="1"/>
  <c r="AC221" i="1"/>
  <c r="AB221" i="1"/>
  <c r="AC220" i="1"/>
  <c r="AB220" i="1"/>
  <c r="AC219" i="1"/>
  <c r="AB219" i="1"/>
  <c r="AC218" i="1"/>
  <c r="AB218" i="1"/>
  <c r="AC217" i="1"/>
  <c r="AB217" i="1"/>
  <c r="AC216" i="1"/>
  <c r="AB216" i="1"/>
  <c r="AC215" i="1"/>
  <c r="AB215" i="1"/>
  <c r="AC214" i="1"/>
  <c r="AB214" i="1"/>
  <c r="AC213" i="1"/>
  <c r="AB213" i="1"/>
  <c r="AC212" i="1"/>
  <c r="AB212" i="1"/>
  <c r="AC211" i="1"/>
  <c r="AB211" i="1"/>
  <c r="AC210" i="1"/>
  <c r="AB210" i="1"/>
  <c r="AC209" i="1"/>
  <c r="AB209" i="1"/>
  <c r="AC208" i="1"/>
  <c r="AB208" i="1"/>
  <c r="AC207" i="1"/>
  <c r="AB207" i="1"/>
  <c r="AC206" i="1"/>
  <c r="AB206" i="1"/>
  <c r="AC205" i="1"/>
  <c r="AB205" i="1"/>
  <c r="AC204" i="1"/>
  <c r="AB204" i="1"/>
  <c r="AC203" i="1"/>
  <c r="AB203" i="1"/>
  <c r="AC202" i="1"/>
  <c r="AB202" i="1"/>
  <c r="AC201" i="1"/>
  <c r="AB201" i="1"/>
  <c r="AC200" i="1"/>
  <c r="AB200" i="1"/>
  <c r="AC199" i="1"/>
  <c r="AB199" i="1"/>
  <c r="AC198" i="1"/>
  <c r="AB198" i="1"/>
  <c r="AC197" i="1"/>
  <c r="AB197" i="1"/>
  <c r="AC196" i="1"/>
  <c r="AB196" i="1"/>
  <c r="AC195" i="1"/>
  <c r="AB195" i="1"/>
  <c r="AC194" i="1"/>
  <c r="AB194" i="1"/>
  <c r="AC193" i="1"/>
  <c r="AB193" i="1"/>
  <c r="AC192" i="1"/>
  <c r="AB192" i="1"/>
  <c r="AC191" i="1"/>
  <c r="AB191" i="1"/>
  <c r="AC190" i="1"/>
  <c r="AB190" i="1"/>
  <c r="AC189" i="1"/>
  <c r="AB189" i="1"/>
  <c r="AC188" i="1"/>
  <c r="AB188" i="1"/>
  <c r="AC187" i="1"/>
  <c r="AB187" i="1"/>
  <c r="AC186" i="1"/>
  <c r="AB186" i="1"/>
  <c r="AC185" i="1"/>
  <c r="AB185" i="1"/>
  <c r="AC184" i="1"/>
  <c r="AB184" i="1"/>
  <c r="AC183" i="1"/>
  <c r="AB183" i="1"/>
  <c r="AC182" i="1"/>
  <c r="AB182" i="1"/>
  <c r="AC181" i="1"/>
  <c r="AB181" i="1"/>
  <c r="AC180" i="1"/>
  <c r="AB180" i="1"/>
  <c r="AC179" i="1"/>
  <c r="AB179" i="1"/>
  <c r="AC178" i="1"/>
  <c r="AB178" i="1"/>
  <c r="AC177" i="1"/>
  <c r="AB177" i="1"/>
  <c r="AC176" i="1"/>
  <c r="AB176" i="1"/>
  <c r="AC175" i="1"/>
  <c r="AB175" i="1"/>
  <c r="AC174" i="1"/>
  <c r="AB174" i="1"/>
  <c r="AC173" i="1"/>
  <c r="AB173" i="1"/>
  <c r="AC172" i="1"/>
  <c r="AB172" i="1"/>
  <c r="AC171" i="1"/>
  <c r="AB171" i="1"/>
  <c r="AC170" i="1"/>
  <c r="AB170" i="1"/>
  <c r="AC169" i="1"/>
  <c r="AB169" i="1"/>
  <c r="AC168" i="1"/>
  <c r="AB168" i="1"/>
  <c r="AC167" i="1"/>
  <c r="AB167" i="1"/>
  <c r="AC166" i="1"/>
  <c r="AB166" i="1"/>
  <c r="AC165" i="1"/>
  <c r="AB165" i="1"/>
  <c r="AC164" i="1"/>
  <c r="AB164" i="1"/>
  <c r="AC163" i="1"/>
  <c r="AB163" i="1"/>
  <c r="AC162" i="1"/>
  <c r="AB162" i="1"/>
  <c r="AC161" i="1"/>
  <c r="AB161" i="1"/>
  <c r="AC160" i="1"/>
  <c r="AB160" i="1"/>
  <c r="AC159" i="1"/>
  <c r="AB159" i="1"/>
  <c r="AC158" i="1"/>
  <c r="AB158" i="1"/>
  <c r="AC157" i="1"/>
  <c r="AB157" i="1"/>
  <c r="AC156" i="1"/>
  <c r="AB156" i="1"/>
  <c r="AC155" i="1"/>
  <c r="AB155" i="1"/>
  <c r="AC154" i="1"/>
  <c r="AB154" i="1"/>
  <c r="AC153" i="1"/>
  <c r="AB153" i="1"/>
  <c r="AC152" i="1"/>
  <c r="AB152" i="1"/>
  <c r="AC151" i="1"/>
  <c r="AB151" i="1"/>
  <c r="AC150" i="1"/>
  <c r="AB150" i="1"/>
  <c r="AC149" i="1"/>
  <c r="AB149" i="1"/>
  <c r="AC148" i="1"/>
  <c r="AB148" i="1"/>
  <c r="AC147" i="1"/>
  <c r="AB147" i="1"/>
  <c r="AC146" i="1"/>
  <c r="AB146" i="1"/>
  <c r="AC145" i="1"/>
  <c r="AB145" i="1"/>
  <c r="AC144" i="1"/>
  <c r="AB144" i="1"/>
  <c r="AC143" i="1"/>
  <c r="AB143" i="1"/>
  <c r="AC142" i="1"/>
  <c r="AB142" i="1"/>
  <c r="AC141" i="1"/>
  <c r="AB141" i="1"/>
  <c r="AC140" i="1"/>
  <c r="AB140" i="1"/>
  <c r="AC139" i="1"/>
  <c r="AB139" i="1"/>
  <c r="AC138" i="1"/>
  <c r="AB138" i="1"/>
  <c r="AC137" i="1"/>
  <c r="AB137" i="1"/>
  <c r="AC136" i="1"/>
  <c r="AB136" i="1"/>
  <c r="AC135" i="1"/>
  <c r="AB135" i="1"/>
  <c r="AC134" i="1"/>
  <c r="AB134" i="1"/>
  <c r="AC133" i="1"/>
  <c r="AB133" i="1"/>
  <c r="AC132" i="1"/>
  <c r="AB132" i="1"/>
  <c r="AC131" i="1"/>
  <c r="AB131" i="1"/>
  <c r="AC130" i="1"/>
  <c r="AB130" i="1"/>
  <c r="AC129" i="1"/>
  <c r="AB129" i="1"/>
  <c r="AC128" i="1"/>
  <c r="AB128" i="1"/>
  <c r="AC127" i="1"/>
  <c r="AB127" i="1"/>
  <c r="AC126" i="1"/>
  <c r="AB126" i="1"/>
  <c r="AC125" i="1"/>
  <c r="AB125" i="1"/>
  <c r="AC124" i="1"/>
  <c r="AB124" i="1"/>
  <c r="AC123" i="1"/>
  <c r="AB123" i="1"/>
  <c r="AC122" i="1"/>
  <c r="AB122" i="1"/>
  <c r="AC121" i="1"/>
  <c r="AB121" i="1"/>
  <c r="AC120" i="1"/>
  <c r="AB120" i="1"/>
  <c r="AC119" i="1"/>
  <c r="AB119" i="1"/>
  <c r="AC118" i="1"/>
  <c r="AB118" i="1"/>
  <c r="AC117" i="1"/>
  <c r="AB117" i="1"/>
  <c r="AC116" i="1"/>
  <c r="AB116" i="1"/>
  <c r="AC115" i="1"/>
  <c r="AB115" i="1"/>
  <c r="AC114" i="1"/>
  <c r="AB114" i="1"/>
  <c r="AC113" i="1"/>
  <c r="AB113" i="1"/>
  <c r="AC112" i="1"/>
  <c r="AB112" i="1"/>
  <c r="AC111" i="1"/>
  <c r="AB111" i="1"/>
  <c r="AC110" i="1"/>
  <c r="AB110" i="1"/>
  <c r="AC109" i="1"/>
  <c r="AB109" i="1"/>
  <c r="AC108" i="1"/>
  <c r="AB108" i="1"/>
  <c r="AC107" i="1"/>
  <c r="AB107" i="1"/>
  <c r="AC106" i="1"/>
  <c r="AB106" i="1"/>
  <c r="AC105" i="1"/>
  <c r="AB105" i="1"/>
  <c r="AC104" i="1"/>
  <c r="AB104" i="1"/>
  <c r="AC103" i="1"/>
  <c r="AB103" i="1"/>
  <c r="AC102" i="1"/>
  <c r="AB102" i="1"/>
  <c r="AC101" i="1"/>
  <c r="AB101" i="1"/>
  <c r="AC100" i="1"/>
  <c r="AB100" i="1"/>
  <c r="AC99" i="1"/>
  <c r="AB99" i="1"/>
  <c r="AC98" i="1"/>
  <c r="AB98" i="1"/>
  <c r="AC97" i="1"/>
  <c r="AB97" i="1"/>
  <c r="AC96" i="1"/>
  <c r="AB96" i="1"/>
  <c r="AC95" i="1"/>
  <c r="AB95" i="1"/>
  <c r="AC94" i="1"/>
  <c r="AB94" i="1"/>
  <c r="AC93" i="1"/>
  <c r="AB93" i="1"/>
  <c r="AC92" i="1"/>
  <c r="AB92" i="1"/>
  <c r="AC91" i="1"/>
  <c r="AB91" i="1"/>
  <c r="AC90" i="1"/>
  <c r="AB90" i="1"/>
  <c r="AC89" i="1"/>
  <c r="AB89" i="1"/>
  <c r="AC88" i="1"/>
  <c r="AB88" i="1"/>
  <c r="AC87" i="1"/>
  <c r="AB87" i="1"/>
  <c r="AC86" i="1"/>
  <c r="AB86" i="1"/>
  <c r="AC85" i="1"/>
  <c r="AB85" i="1"/>
  <c r="AC84" i="1"/>
  <c r="AB84" i="1"/>
  <c r="AC83" i="1"/>
  <c r="AB83" i="1"/>
  <c r="AC82" i="1"/>
  <c r="AB82" i="1"/>
  <c r="AC81" i="1"/>
  <c r="AB81" i="1"/>
  <c r="AC80" i="1"/>
  <c r="AB80" i="1"/>
  <c r="AC79" i="1"/>
  <c r="AB79" i="1"/>
  <c r="AC78" i="1"/>
  <c r="AB78" i="1"/>
  <c r="AC77" i="1"/>
  <c r="AB77" i="1"/>
  <c r="AC76" i="1"/>
  <c r="AB76" i="1"/>
  <c r="AC75" i="1"/>
  <c r="AB75" i="1"/>
  <c r="AC74" i="1"/>
  <c r="AB74" i="1"/>
  <c r="AC73" i="1"/>
  <c r="AB73" i="1"/>
  <c r="AC72" i="1"/>
  <c r="AB72" i="1"/>
  <c r="AC71" i="1"/>
  <c r="AB71" i="1"/>
  <c r="AC70" i="1"/>
  <c r="AB70" i="1"/>
  <c r="AC69" i="1"/>
  <c r="AB69" i="1"/>
  <c r="AC68" i="1"/>
  <c r="AB68" i="1"/>
  <c r="AC67" i="1"/>
  <c r="AB67" i="1"/>
  <c r="AC66" i="1"/>
  <c r="AB66" i="1"/>
  <c r="AC65" i="1"/>
  <c r="AB65" i="1"/>
  <c r="AC64" i="1"/>
  <c r="AB64" i="1"/>
  <c r="AC63" i="1"/>
  <c r="AB63" i="1"/>
  <c r="AC62" i="1"/>
  <c r="AB62" i="1"/>
  <c r="AC61" i="1"/>
  <c r="AB61" i="1"/>
  <c r="AC60" i="1"/>
  <c r="AB60" i="1"/>
  <c r="AC59" i="1"/>
  <c r="AB59" i="1"/>
  <c r="AC58" i="1"/>
  <c r="AB58" i="1"/>
  <c r="AC57" i="1"/>
  <c r="AB57" i="1"/>
  <c r="AC56" i="1"/>
  <c r="AB56" i="1"/>
  <c r="AC55" i="1"/>
  <c r="AB55" i="1"/>
  <c r="AC54" i="1"/>
  <c r="AB54" i="1"/>
  <c r="AC53" i="1"/>
  <c r="AB53" i="1"/>
  <c r="AC52" i="1"/>
  <c r="AB52" i="1"/>
  <c r="AC51" i="1"/>
  <c r="AB51" i="1"/>
  <c r="AC50" i="1"/>
  <c r="AB50" i="1"/>
  <c r="AC49" i="1"/>
  <c r="AB49" i="1"/>
  <c r="AC48" i="1"/>
  <c r="AB48" i="1"/>
  <c r="AC47" i="1"/>
  <c r="AB47" i="1"/>
  <c r="AC46" i="1"/>
  <c r="AB46" i="1"/>
  <c r="AC45" i="1"/>
  <c r="AB45" i="1"/>
  <c r="AC44" i="1"/>
  <c r="AB44" i="1"/>
  <c r="AC43" i="1"/>
  <c r="AB43" i="1"/>
  <c r="AC42" i="1"/>
  <c r="AB42" i="1"/>
  <c r="AC41" i="1"/>
  <c r="AB41" i="1"/>
  <c r="AC40" i="1"/>
  <c r="AB40" i="1"/>
  <c r="AC39" i="1"/>
  <c r="AB39" i="1"/>
  <c r="AC38" i="1"/>
  <c r="AB38" i="1"/>
  <c r="AC37" i="1"/>
  <c r="AB37" i="1"/>
  <c r="AC36" i="1"/>
  <c r="AB36" i="1"/>
  <c r="AC35" i="1"/>
  <c r="AB35" i="1"/>
  <c r="AC34" i="1"/>
  <c r="AB34" i="1"/>
  <c r="AC33" i="1"/>
  <c r="AB33" i="1"/>
  <c r="AC32" i="1"/>
  <c r="AB32" i="1"/>
  <c r="AC31" i="1"/>
  <c r="AB31" i="1"/>
  <c r="AC30" i="1"/>
  <c r="AB30" i="1"/>
  <c r="AC29" i="1"/>
  <c r="AB29" i="1"/>
  <c r="AC28" i="1"/>
  <c r="AB28" i="1"/>
  <c r="AC27" i="1"/>
  <c r="AB27" i="1"/>
  <c r="AC26" i="1"/>
  <c r="AB26" i="1"/>
  <c r="AC25" i="1"/>
  <c r="AB25" i="1"/>
  <c r="AC24" i="1"/>
  <c r="AB24" i="1"/>
  <c r="AC23" i="1"/>
  <c r="AB23" i="1"/>
  <c r="AC22" i="1"/>
  <c r="AB22" i="1"/>
  <c r="AC21" i="1"/>
  <c r="AB21" i="1"/>
  <c r="AC20" i="1"/>
  <c r="AB20" i="1"/>
  <c r="AC19" i="1"/>
  <c r="AB19" i="1"/>
  <c r="AC18" i="1"/>
  <c r="AB18" i="1"/>
  <c r="AC17" i="1"/>
  <c r="AB17" i="1"/>
  <c r="AC16" i="1"/>
  <c r="AB16" i="1"/>
  <c r="AC15" i="1"/>
  <c r="AB15" i="1"/>
  <c r="AC14" i="1"/>
  <c r="AB14" i="1"/>
  <c r="AC13" i="1"/>
  <c r="AB13" i="1"/>
  <c r="AC12" i="1"/>
  <c r="AB12" i="1"/>
  <c r="AC11" i="1"/>
  <c r="AB11" i="1"/>
  <c r="AC10" i="1"/>
  <c r="AB10" i="1"/>
  <c r="AC9" i="1"/>
  <c r="AB9" i="1"/>
  <c r="AC8" i="1"/>
  <c r="AB8" i="1"/>
  <c r="AC7" i="1"/>
  <c r="AB7" i="1"/>
  <c r="AC6" i="1"/>
  <c r="AB6" i="1"/>
  <c r="AC5" i="1"/>
  <c r="AB5" i="1"/>
  <c r="AC4" i="1"/>
  <c r="AB4" i="1"/>
  <c r="AC3" i="1"/>
  <c r="AB3" i="1"/>
  <c r="AC2" i="1"/>
  <c r="AB2" i="1"/>
  <c r="AB614" i="1" l="1"/>
  <c r="AC614" i="1"/>
  <c r="AE613" i="1" l="1"/>
  <c r="AE612" i="1"/>
  <c r="AE6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AE614" i="1" l="1"/>
  <c r="AF614" i="1" s="1"/>
  <c r="AG614" i="1" s="1"/>
  <c r="AJ613" i="1"/>
  <c r="AJ612" i="1"/>
  <c r="AJ611" i="1"/>
  <c r="AJ610" i="1"/>
  <c r="AJ609" i="1"/>
  <c r="AJ608" i="1"/>
  <c r="AJ607" i="1"/>
  <c r="AJ606" i="1"/>
  <c r="AJ605" i="1"/>
  <c r="AJ604" i="1"/>
  <c r="AJ603" i="1"/>
  <c r="AJ602" i="1"/>
  <c r="AJ601" i="1"/>
  <c r="AJ600" i="1"/>
  <c r="AJ599" i="1"/>
  <c r="AJ598" i="1"/>
  <c r="AJ597" i="1"/>
  <c r="AJ596" i="1"/>
  <c r="AJ595" i="1"/>
  <c r="AJ594" i="1"/>
  <c r="AJ593" i="1"/>
  <c r="AJ592" i="1"/>
  <c r="AJ591" i="1"/>
  <c r="AJ590" i="1"/>
  <c r="AJ589" i="1"/>
  <c r="AJ588" i="1"/>
  <c r="AJ587" i="1"/>
  <c r="AJ586" i="1"/>
  <c r="AJ585" i="1"/>
  <c r="AJ584" i="1"/>
  <c r="AJ583" i="1"/>
  <c r="AJ582" i="1"/>
  <c r="AJ581" i="1"/>
  <c r="AJ580" i="1"/>
  <c r="AJ579" i="1"/>
  <c r="AJ578" i="1"/>
  <c r="AJ577" i="1"/>
  <c r="AJ576" i="1"/>
  <c r="AJ575" i="1"/>
  <c r="AJ574" i="1"/>
  <c r="AJ573" i="1"/>
  <c r="AJ572" i="1"/>
  <c r="AJ571" i="1"/>
  <c r="AJ570" i="1"/>
  <c r="AJ569" i="1"/>
  <c r="AJ568" i="1"/>
  <c r="AJ567" i="1"/>
  <c r="AJ566" i="1"/>
  <c r="AJ565" i="1"/>
  <c r="AJ564" i="1"/>
  <c r="AJ563" i="1"/>
  <c r="AJ562" i="1"/>
  <c r="AJ561" i="1"/>
  <c r="AJ560" i="1"/>
  <c r="AJ559" i="1"/>
  <c r="AJ558" i="1"/>
  <c r="AJ557" i="1"/>
  <c r="AJ556" i="1"/>
  <c r="AJ555" i="1"/>
  <c r="AJ554" i="1"/>
  <c r="AJ553" i="1"/>
  <c r="AJ552" i="1"/>
  <c r="AJ551" i="1"/>
  <c r="AJ550" i="1"/>
  <c r="AJ549" i="1"/>
  <c r="AJ548" i="1"/>
  <c r="AJ547" i="1"/>
  <c r="AJ546" i="1"/>
  <c r="AJ545" i="1"/>
  <c r="AJ544" i="1"/>
  <c r="AJ543" i="1"/>
  <c r="AJ542" i="1"/>
  <c r="AJ541" i="1"/>
  <c r="AJ540" i="1"/>
  <c r="AJ539" i="1"/>
  <c r="AJ538" i="1"/>
  <c r="AJ537" i="1"/>
  <c r="AJ536" i="1"/>
  <c r="AJ535" i="1"/>
  <c r="AJ534" i="1"/>
  <c r="AJ533" i="1"/>
  <c r="AJ532" i="1"/>
  <c r="AJ531" i="1"/>
  <c r="AJ530" i="1"/>
  <c r="AJ529" i="1"/>
  <c r="AJ528" i="1"/>
  <c r="AJ527" i="1"/>
  <c r="AJ526" i="1"/>
  <c r="AJ525" i="1"/>
  <c r="AD6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tc={E404DF0A-BDE7-42A1-AE81-44A0B3A941C7}</author>
  </authors>
  <commentList>
    <comment ref="Q194" authorId="0" shapeId="0" xr:uid="{E404DF0A-BDE7-42A1-AE81-44A0B3A941C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<sst xmlns="http://schemas.openxmlformats.org/spreadsheetml/2006/main" count="20508" uniqueCount="1871">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</sst>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b/>
      <u/>
      <sz val="9"/>
      <color theme="0"/>
      <name val="Noto Sans"/>
      <family val="2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5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464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E404DF0A-BDE7-42A1-AE81-44A0B3A941C7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045EBF0F-4A1D-4656-8EDE-B78298DBA73F}" parentId="{E404DF0A-BDE7-42A1-AE81-44A0B3A941C7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J614"/>
  <sheetViews>
    <sheetView tabSelected="1" zoomScale="72" zoomScaleNormal="7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6" sqref="G16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5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3" t="s">
        <v>1869</v>
      </c>
      <c r="AC1" s="3" t="s">
        <v>1870</v>
      </c>
      <c r="AD1" s="3" t="s">
        <v>1869</v>
      </c>
      <c r="AE1" s="3" t="s">
        <v>1870</v>
      </c>
      <c r="AF1" s="4" t="s">
        <v>22</v>
      </c>
      <c r="AG1" s="5" t="s">
        <v>23</v>
      </c>
      <c r="AH1" s="3" t="s">
        <v>1856</v>
      </c>
      <c r="AI1" s="3" t="s">
        <v>1857</v>
      </c>
    </row>
    <row r="2" spans="1:35" x14ac:dyDescent="0.3">
      <c r="A2" s="128" t="s">
        <v>1625</v>
      </c>
      <c r="B2" s="129" t="s">
        <v>25</v>
      </c>
      <c r="C2" s="129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74</v>
      </c>
      <c r="AB2">
        <f>IF(AND(OR(Z2="SI",Z2="NO APLICA"),OR(AA2="SI",AA2="NO APLICA")),1,0)</f>
        <v>0</v>
      </c>
      <c r="AC2">
        <f>IF(AND(OR(Z2="SI",Z2="NO APLICA"),OR(AA2="SI",AA2="NO APLICA")),1,0)</f>
        <v>0</v>
      </c>
      <c r="AD2" s="70" t="s">
        <v>1795</v>
      </c>
      <c r="AE2" s="87">
        <f t="shared" ref="AE2:AE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0.83333333333333337</v>
      </c>
      <c r="AF2" s="91">
        <v>8</v>
      </c>
      <c r="AG2" s="103" t="s">
        <v>1830</v>
      </c>
      <c r="AH2" s="91">
        <v>8</v>
      </c>
      <c r="AI2" s="103" t="s">
        <v>1830</v>
      </c>
    </row>
    <row r="3" spans="1:35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74</v>
      </c>
      <c r="AA3" s="66" t="s">
        <v>74</v>
      </c>
      <c r="AB3">
        <f t="shared" ref="AB3:AB66" si="1">IF(OR(AND(Z3="SI",AA3="NO"),AND(Z3="NO",AA3="SI")),1,0)</f>
        <v>0</v>
      </c>
      <c r="AC3">
        <f t="shared" ref="AC3:AC66" si="2">IF(AND(OR(Z3="SI",Z3="NO APLICA"),OR(AA3="SI",AA3="NO APLICA")),1,0)</f>
        <v>0</v>
      </c>
      <c r="AD3" s="70" t="s">
        <v>1795</v>
      </c>
      <c r="AE3" s="87">
        <f t="shared" si="0"/>
        <v>0.72222222222222221</v>
      </c>
      <c r="AF3" s="91">
        <v>8</v>
      </c>
      <c r="AG3" s="103" t="s">
        <v>1830</v>
      </c>
      <c r="AH3" s="91">
        <v>8</v>
      </c>
      <c r="AI3" s="103" t="s">
        <v>1830</v>
      </c>
    </row>
    <row r="4" spans="1:35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>
        <f t="shared" si="1"/>
        <v>0</v>
      </c>
      <c r="AC4">
        <f t="shared" si="2"/>
        <v>0</v>
      </c>
      <c r="AD4" s="67" t="s">
        <v>1866</v>
      </c>
      <c r="AE4" s="87">
        <f t="shared" si="0"/>
        <v>0.77777777777777779</v>
      </c>
      <c r="AF4" s="91">
        <v>4</v>
      </c>
      <c r="AG4" s="64" t="s">
        <v>1834</v>
      </c>
      <c r="AH4" s="91">
        <v>4</v>
      </c>
      <c r="AI4" s="64" t="s">
        <v>1834</v>
      </c>
    </row>
    <row r="5" spans="1:35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>
        <f t="shared" si="1"/>
        <v>1</v>
      </c>
      <c r="AC5">
        <f t="shared" si="2"/>
        <v>0</v>
      </c>
      <c r="AD5" s="70" t="s">
        <v>1814</v>
      </c>
      <c r="AE5" s="87">
        <f t="shared" si="0"/>
        <v>0.88888888888888884</v>
      </c>
      <c r="AF5" s="91">
        <v>3</v>
      </c>
      <c r="AG5" s="105" t="s">
        <v>1835</v>
      </c>
      <c r="AH5" s="91">
        <v>3</v>
      </c>
      <c r="AI5" s="105" t="s">
        <v>1835</v>
      </c>
    </row>
    <row r="6" spans="1:35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>
        <f t="shared" si="1"/>
        <v>0</v>
      </c>
      <c r="AC6">
        <f t="shared" si="2"/>
        <v>0</v>
      </c>
      <c r="AD6" s="67"/>
      <c r="AE6" s="87">
        <f t="shared" si="0"/>
        <v>0.77777777777777779</v>
      </c>
      <c r="AF6" s="91">
        <v>2</v>
      </c>
      <c r="AG6" s="103" t="s">
        <v>1837</v>
      </c>
      <c r="AH6" s="91">
        <v>2</v>
      </c>
      <c r="AI6" s="103" t="s">
        <v>1837</v>
      </c>
    </row>
    <row r="7" spans="1:35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>
        <f t="shared" si="1"/>
        <v>0</v>
      </c>
      <c r="AC7">
        <f t="shared" si="2"/>
        <v>0</v>
      </c>
      <c r="AD7" s="67" t="s">
        <v>1865</v>
      </c>
      <c r="AE7" s="87">
        <f t="shared" si="0"/>
        <v>0.77777777777777779</v>
      </c>
      <c r="AF7" s="91">
        <v>9</v>
      </c>
      <c r="AG7" s="103" t="s">
        <v>1836</v>
      </c>
      <c r="AH7" s="91">
        <v>9</v>
      </c>
      <c r="AI7" s="103" t="s">
        <v>1836</v>
      </c>
    </row>
    <row r="8" spans="1:35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>
        <f t="shared" si="1"/>
        <v>0</v>
      </c>
      <c r="AC8">
        <f t="shared" si="2"/>
        <v>0</v>
      </c>
      <c r="AD8" s="67" t="s">
        <v>1865</v>
      </c>
      <c r="AE8" s="87">
        <f t="shared" si="0"/>
        <v>0.77777777777777779</v>
      </c>
      <c r="AF8" s="91">
        <v>9</v>
      </c>
      <c r="AG8" s="103" t="s">
        <v>1836</v>
      </c>
      <c r="AH8" s="91">
        <v>9</v>
      </c>
      <c r="AI8" s="103" t="s">
        <v>1836</v>
      </c>
    </row>
    <row r="9" spans="1:35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>
        <f t="shared" si="1"/>
        <v>0</v>
      </c>
      <c r="AC9">
        <f t="shared" si="2"/>
        <v>0</v>
      </c>
      <c r="AD9" s="67" t="s">
        <v>1865</v>
      </c>
      <c r="AE9" s="87">
        <f t="shared" si="0"/>
        <v>0.77777777777777779</v>
      </c>
      <c r="AF9" s="91">
        <v>9</v>
      </c>
      <c r="AG9" s="103" t="s">
        <v>1836</v>
      </c>
      <c r="AH9" s="91">
        <v>9</v>
      </c>
      <c r="AI9" s="103" t="s">
        <v>1836</v>
      </c>
    </row>
    <row r="10" spans="1:35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>
        <f t="shared" si="1"/>
        <v>0</v>
      </c>
      <c r="AC10">
        <f t="shared" si="2"/>
        <v>0</v>
      </c>
      <c r="AD10" s="73"/>
      <c r="AE10" s="87">
        <f t="shared" si="0"/>
        <v>0.77777777777777779</v>
      </c>
      <c r="AF10" s="91">
        <v>2</v>
      </c>
      <c r="AG10" s="103" t="s">
        <v>1837</v>
      </c>
      <c r="AH10" s="91">
        <v>2</v>
      </c>
      <c r="AI10" s="103" t="s">
        <v>1837</v>
      </c>
    </row>
    <row r="11" spans="1:35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>
        <f t="shared" si="1"/>
        <v>0</v>
      </c>
      <c r="AC11">
        <f t="shared" si="2"/>
        <v>0</v>
      </c>
      <c r="AD11" s="67"/>
      <c r="AE11" s="87">
        <f t="shared" si="0"/>
        <v>0.77777777777777779</v>
      </c>
      <c r="AF11" s="91">
        <v>2</v>
      </c>
      <c r="AG11" s="103" t="s">
        <v>1837</v>
      </c>
      <c r="AH11" s="91">
        <v>2</v>
      </c>
      <c r="AI11" s="103" t="s">
        <v>1837</v>
      </c>
    </row>
    <row r="12" spans="1:35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>
        <f t="shared" si="1"/>
        <v>0</v>
      </c>
      <c r="AC12">
        <f t="shared" si="2"/>
        <v>0</v>
      </c>
      <c r="AD12" s="73" t="s">
        <v>1809</v>
      </c>
      <c r="AE12" s="87">
        <f t="shared" si="0"/>
        <v>0.66666666666666663</v>
      </c>
      <c r="AF12" s="91">
        <v>2</v>
      </c>
      <c r="AG12" s="103" t="s">
        <v>1837</v>
      </c>
      <c r="AH12" s="91">
        <v>2</v>
      </c>
      <c r="AI12" s="103" t="s">
        <v>1837</v>
      </c>
    </row>
    <row r="13" spans="1:35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213</v>
      </c>
      <c r="V13" s="66" t="s">
        <v>213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>
        <f t="shared" si="1"/>
        <v>0</v>
      </c>
      <c r="AC13">
        <f t="shared" si="2"/>
        <v>0</v>
      </c>
      <c r="AD13" s="73" t="s">
        <v>1811</v>
      </c>
      <c r="AE13" s="87">
        <f t="shared" si="0"/>
        <v>0.48148148148148145</v>
      </c>
      <c r="AF13" s="91">
        <v>2</v>
      </c>
      <c r="AG13" s="103" t="s">
        <v>1837</v>
      </c>
      <c r="AH13" s="91">
        <v>2</v>
      </c>
      <c r="AI13" s="103" t="s">
        <v>1837</v>
      </c>
    </row>
    <row r="14" spans="1:35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>
        <f t="shared" si="1"/>
        <v>0</v>
      </c>
      <c r="AC14">
        <f t="shared" si="2"/>
        <v>0</v>
      </c>
      <c r="AD14" s="67" t="s">
        <v>1806</v>
      </c>
      <c r="AE14" s="87">
        <f t="shared" si="0"/>
        <v>0.66666666666666663</v>
      </c>
      <c r="AF14" s="91">
        <v>2</v>
      </c>
      <c r="AG14" s="103" t="s">
        <v>1837</v>
      </c>
      <c r="AH14" s="91">
        <v>2</v>
      </c>
      <c r="AI14" s="103" t="s">
        <v>1837</v>
      </c>
    </row>
    <row r="15" spans="1:35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>
        <f t="shared" si="1"/>
        <v>0</v>
      </c>
      <c r="AC15">
        <f t="shared" si="2"/>
        <v>0</v>
      </c>
      <c r="AD15" s="67" t="s">
        <v>1807</v>
      </c>
      <c r="AE15" s="87">
        <f t="shared" si="0"/>
        <v>0.66666666666666663</v>
      </c>
      <c r="AF15" s="91">
        <v>2</v>
      </c>
      <c r="AG15" s="103" t="s">
        <v>1837</v>
      </c>
      <c r="AH15" s="91">
        <v>2</v>
      </c>
      <c r="AI15" s="103" t="s">
        <v>1837</v>
      </c>
    </row>
    <row r="16" spans="1:35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>
        <f t="shared" si="1"/>
        <v>0</v>
      </c>
      <c r="AC16">
        <f t="shared" si="2"/>
        <v>0</v>
      </c>
      <c r="AD16" s="67" t="s">
        <v>1865</v>
      </c>
      <c r="AE16" s="87">
        <f t="shared" si="0"/>
        <v>0.61111111111111116</v>
      </c>
      <c r="AF16" s="91">
        <v>9</v>
      </c>
      <c r="AG16" s="103" t="s">
        <v>1836</v>
      </c>
      <c r="AH16" s="91">
        <v>9</v>
      </c>
      <c r="AI16" s="103" t="s">
        <v>1836</v>
      </c>
    </row>
    <row r="17" spans="1:35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>
        <f t="shared" si="1"/>
        <v>0</v>
      </c>
      <c r="AC17">
        <f t="shared" si="2"/>
        <v>0</v>
      </c>
      <c r="AD17" s="67" t="s">
        <v>1865</v>
      </c>
      <c r="AE17" s="87">
        <f t="shared" si="0"/>
        <v>0.61111111111111116</v>
      </c>
      <c r="AF17" s="91">
        <v>9</v>
      </c>
      <c r="AG17" s="103" t="s">
        <v>1836</v>
      </c>
      <c r="AH17" s="91">
        <v>9</v>
      </c>
      <c r="AI17" s="103" t="s">
        <v>1836</v>
      </c>
    </row>
    <row r="18" spans="1:35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>
        <f t="shared" si="1"/>
        <v>0</v>
      </c>
      <c r="AC18">
        <f t="shared" si="2"/>
        <v>0</v>
      </c>
      <c r="AD18" s="67" t="s">
        <v>1865</v>
      </c>
      <c r="AE18" s="87">
        <f t="shared" si="0"/>
        <v>0.61111111111111116</v>
      </c>
      <c r="AF18" s="91">
        <v>9</v>
      </c>
      <c r="AG18" s="103" t="s">
        <v>1836</v>
      </c>
      <c r="AH18" s="91">
        <v>9</v>
      </c>
      <c r="AI18" s="103" t="s">
        <v>1836</v>
      </c>
    </row>
    <row r="19" spans="1:35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>
        <f t="shared" si="1"/>
        <v>0</v>
      </c>
      <c r="AC19">
        <f t="shared" si="2"/>
        <v>0</v>
      </c>
      <c r="AD19" s="67" t="s">
        <v>1865</v>
      </c>
      <c r="AE19" s="87">
        <f t="shared" si="0"/>
        <v>0.61111111111111116</v>
      </c>
      <c r="AF19" s="91">
        <v>9</v>
      </c>
      <c r="AG19" s="103" t="s">
        <v>1836</v>
      </c>
      <c r="AH19" s="91">
        <v>9</v>
      </c>
      <c r="AI19" s="103" t="s">
        <v>1836</v>
      </c>
    </row>
    <row r="20" spans="1:35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>
        <f t="shared" si="1"/>
        <v>0</v>
      </c>
      <c r="AC20">
        <f t="shared" si="2"/>
        <v>0</v>
      </c>
      <c r="AD20" s="67" t="s">
        <v>1865</v>
      </c>
      <c r="AE20" s="87">
        <f t="shared" si="0"/>
        <v>0.61111111111111116</v>
      </c>
      <c r="AF20" s="91">
        <v>9</v>
      </c>
      <c r="AG20" s="103" t="s">
        <v>1836</v>
      </c>
      <c r="AH20" s="91">
        <v>9</v>
      </c>
      <c r="AI20" s="103" t="s">
        <v>1836</v>
      </c>
    </row>
    <row r="21" spans="1:35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74</v>
      </c>
      <c r="AA21" s="66" t="s">
        <v>74</v>
      </c>
      <c r="AB21">
        <f t="shared" si="1"/>
        <v>0</v>
      </c>
      <c r="AC21">
        <f t="shared" si="2"/>
        <v>0</v>
      </c>
      <c r="AD21" s="67"/>
      <c r="AE21" s="87">
        <f t="shared" si="0"/>
        <v>0.72222222222222221</v>
      </c>
      <c r="AF21" s="91">
        <v>9</v>
      </c>
      <c r="AG21" s="105" t="s">
        <v>1842</v>
      </c>
      <c r="AH21" s="91">
        <v>9</v>
      </c>
      <c r="AI21" s="105" t="s">
        <v>1842</v>
      </c>
    </row>
    <row r="22" spans="1:35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>
        <f t="shared" si="1"/>
        <v>0</v>
      </c>
      <c r="AC22">
        <f t="shared" si="2"/>
        <v>0</v>
      </c>
      <c r="AD22" s="67"/>
      <c r="AE22" s="87">
        <f t="shared" si="0"/>
        <v>0.77777777777777779</v>
      </c>
      <c r="AF22" s="91">
        <v>9</v>
      </c>
      <c r="AG22" s="105" t="s">
        <v>1842</v>
      </c>
      <c r="AH22" s="91">
        <v>9</v>
      </c>
      <c r="AI22" s="105" t="s">
        <v>1842</v>
      </c>
    </row>
    <row r="23" spans="1:35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>
        <f t="shared" si="1"/>
        <v>1</v>
      </c>
      <c r="AC23">
        <f t="shared" si="2"/>
        <v>0</v>
      </c>
      <c r="AD23" s="67"/>
      <c r="AE23" s="87">
        <f t="shared" si="0"/>
        <v>0.83333333333333337</v>
      </c>
      <c r="AF23" s="91">
        <v>9</v>
      </c>
      <c r="AG23" s="105" t="s">
        <v>1842</v>
      </c>
      <c r="AH23" s="91">
        <v>9</v>
      </c>
      <c r="AI23" s="105" t="s">
        <v>1842</v>
      </c>
    </row>
    <row r="24" spans="1:35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>
        <f t="shared" si="1"/>
        <v>1</v>
      </c>
      <c r="AC24">
        <f t="shared" si="2"/>
        <v>0</v>
      </c>
      <c r="AD24" s="67"/>
      <c r="AE24" s="87">
        <f t="shared" si="0"/>
        <v>0.83333333333333337</v>
      </c>
      <c r="AF24" s="91">
        <v>9</v>
      </c>
      <c r="AG24" s="105" t="s">
        <v>1842</v>
      </c>
      <c r="AH24" s="91">
        <v>9</v>
      </c>
      <c r="AI24" s="105" t="s">
        <v>1842</v>
      </c>
    </row>
    <row r="25" spans="1:35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>
        <f t="shared" si="1"/>
        <v>0</v>
      </c>
      <c r="AC25">
        <f t="shared" si="2"/>
        <v>1</v>
      </c>
      <c r="AD25" s="67"/>
      <c r="AE25" s="87">
        <f t="shared" si="0"/>
        <v>0.94444444444444442</v>
      </c>
      <c r="AF25" s="91">
        <v>9</v>
      </c>
      <c r="AG25" s="105" t="s">
        <v>1842</v>
      </c>
      <c r="AH25" s="91">
        <v>9</v>
      </c>
      <c r="AI25" s="105" t="s">
        <v>1842</v>
      </c>
    </row>
    <row r="26" spans="1:35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>
        <f t="shared" si="1"/>
        <v>0</v>
      </c>
      <c r="AC26">
        <f t="shared" si="2"/>
        <v>1</v>
      </c>
      <c r="AD26" s="67"/>
      <c r="AE26" s="87">
        <f t="shared" si="0"/>
        <v>0.94444444444444442</v>
      </c>
      <c r="AF26" s="91">
        <v>9</v>
      </c>
      <c r="AG26" s="105" t="s">
        <v>1842</v>
      </c>
      <c r="AH26" s="91">
        <v>9</v>
      </c>
      <c r="AI26" s="105" t="s">
        <v>1842</v>
      </c>
    </row>
    <row r="27" spans="1:35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>
        <f t="shared" si="1"/>
        <v>0</v>
      </c>
      <c r="AC27">
        <f t="shared" si="2"/>
        <v>1</v>
      </c>
      <c r="AD27" s="67"/>
      <c r="AE27" s="87">
        <f t="shared" si="0"/>
        <v>1</v>
      </c>
      <c r="AF27" s="91">
        <v>9</v>
      </c>
      <c r="AG27" s="105" t="s">
        <v>1842</v>
      </c>
      <c r="AH27" s="91">
        <v>9</v>
      </c>
      <c r="AI27" s="105" t="s">
        <v>1842</v>
      </c>
    </row>
    <row r="28" spans="1:35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>
        <f t="shared" si="1"/>
        <v>1</v>
      </c>
      <c r="AC28">
        <f t="shared" si="2"/>
        <v>0</v>
      </c>
      <c r="AD28" s="70" t="s">
        <v>1814</v>
      </c>
      <c r="AE28" s="87">
        <f t="shared" si="0"/>
        <v>0.88888888888888884</v>
      </c>
      <c r="AF28" s="91">
        <v>3</v>
      </c>
      <c r="AG28" s="105" t="s">
        <v>1835</v>
      </c>
      <c r="AH28" s="91">
        <v>3</v>
      </c>
      <c r="AI28" s="105" t="s">
        <v>1835</v>
      </c>
    </row>
    <row r="29" spans="1:35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>
        <f t="shared" si="1"/>
        <v>0</v>
      </c>
      <c r="AC29">
        <f t="shared" si="2"/>
        <v>0</v>
      </c>
      <c r="AD29" s="70"/>
      <c r="AE29" s="87">
        <f t="shared" si="0"/>
        <v>0.66666666666666663</v>
      </c>
      <c r="AF29" s="91">
        <v>3</v>
      </c>
      <c r="AG29" s="105" t="s">
        <v>1783</v>
      </c>
      <c r="AH29" s="91">
        <v>3</v>
      </c>
      <c r="AI29" s="105" t="s">
        <v>1783</v>
      </c>
    </row>
    <row r="30" spans="1:35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>
        <f t="shared" si="1"/>
        <v>0</v>
      </c>
      <c r="AC30">
        <f t="shared" si="2"/>
        <v>0</v>
      </c>
      <c r="AD30" s="67"/>
      <c r="AE30" s="87">
        <f t="shared" si="0"/>
        <v>0.31481481481481477</v>
      </c>
      <c r="AF30" s="91">
        <v>9</v>
      </c>
      <c r="AG30" s="105" t="s">
        <v>1788</v>
      </c>
      <c r="AH30" s="91">
        <v>9</v>
      </c>
      <c r="AI30" s="105" t="s">
        <v>1788</v>
      </c>
    </row>
    <row r="31" spans="1:35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>
        <f t="shared" si="1"/>
        <v>0</v>
      </c>
      <c r="AC31">
        <f t="shared" si="2"/>
        <v>0</v>
      </c>
      <c r="AD31" s="67"/>
      <c r="AE31" s="87">
        <f t="shared" si="0"/>
        <v>0.31481481481481477</v>
      </c>
      <c r="AF31" s="91">
        <v>9</v>
      </c>
      <c r="AG31" s="105" t="s">
        <v>1788</v>
      </c>
      <c r="AH31" s="91">
        <v>9</v>
      </c>
      <c r="AI31" s="105" t="s">
        <v>1788</v>
      </c>
    </row>
    <row r="32" spans="1:35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>
        <f t="shared" si="1"/>
        <v>0</v>
      </c>
      <c r="AC32">
        <f t="shared" si="2"/>
        <v>0</v>
      </c>
      <c r="AD32" s="67"/>
      <c r="AE32" s="87">
        <f t="shared" si="0"/>
        <v>0.31481481481481477</v>
      </c>
      <c r="AF32" s="91">
        <v>9</v>
      </c>
      <c r="AG32" s="105" t="s">
        <v>1788</v>
      </c>
      <c r="AH32" s="91">
        <v>9</v>
      </c>
      <c r="AI32" s="105" t="s">
        <v>1788</v>
      </c>
    </row>
    <row r="33" spans="1:35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>
        <f t="shared" si="1"/>
        <v>0</v>
      </c>
      <c r="AC33">
        <f t="shared" si="2"/>
        <v>0</v>
      </c>
      <c r="AD33" s="67"/>
      <c r="AE33" s="87">
        <f t="shared" si="0"/>
        <v>0.31481481481481477</v>
      </c>
      <c r="AF33" s="91">
        <v>9</v>
      </c>
      <c r="AG33" s="105" t="s">
        <v>1788</v>
      </c>
      <c r="AH33" s="91">
        <v>9</v>
      </c>
      <c r="AI33" s="105" t="s">
        <v>1788</v>
      </c>
    </row>
    <row r="34" spans="1:35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>
        <f t="shared" si="1"/>
        <v>0</v>
      </c>
      <c r="AC34">
        <f t="shared" si="2"/>
        <v>0</v>
      </c>
      <c r="AD34" s="67"/>
      <c r="AE34" s="87">
        <f t="shared" si="0"/>
        <v>0.31481481481481477</v>
      </c>
      <c r="AF34" s="91">
        <v>9</v>
      </c>
      <c r="AG34" s="119" t="s">
        <v>1788</v>
      </c>
      <c r="AH34" s="91">
        <v>9</v>
      </c>
      <c r="AI34" s="119" t="s">
        <v>1788</v>
      </c>
    </row>
    <row r="35" spans="1:35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>
        <f t="shared" si="1"/>
        <v>0</v>
      </c>
      <c r="AC35">
        <f t="shared" si="2"/>
        <v>0</v>
      </c>
      <c r="AD35" s="67"/>
      <c r="AE35" s="87">
        <f t="shared" si="0"/>
        <v>0.31481481481481477</v>
      </c>
      <c r="AF35" s="91">
        <v>9</v>
      </c>
      <c r="AG35" s="105" t="s">
        <v>1788</v>
      </c>
      <c r="AH35" s="91">
        <v>9</v>
      </c>
      <c r="AI35" s="105" t="s">
        <v>1788</v>
      </c>
    </row>
    <row r="36" spans="1:35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>
        <f t="shared" si="1"/>
        <v>0</v>
      </c>
      <c r="AC36">
        <f t="shared" si="2"/>
        <v>0</v>
      </c>
      <c r="AD36" s="67"/>
      <c r="AE36" s="87">
        <f t="shared" si="0"/>
        <v>0.31481481481481477</v>
      </c>
      <c r="AF36" s="91">
        <v>9</v>
      </c>
      <c r="AG36" s="105" t="s">
        <v>1788</v>
      </c>
      <c r="AH36" s="91">
        <v>9</v>
      </c>
      <c r="AI36" s="105" t="s">
        <v>1788</v>
      </c>
    </row>
    <row r="37" spans="1:35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>
        <f t="shared" si="1"/>
        <v>0</v>
      </c>
      <c r="AC37">
        <f t="shared" si="2"/>
        <v>0</v>
      </c>
      <c r="AD37" s="67"/>
      <c r="AE37" s="87">
        <f t="shared" si="0"/>
        <v>0.31481481481481477</v>
      </c>
      <c r="AF37" s="91">
        <v>9</v>
      </c>
      <c r="AG37" s="105" t="s">
        <v>1788</v>
      </c>
      <c r="AH37" s="91">
        <v>9</v>
      </c>
      <c r="AI37" s="105" t="s">
        <v>1788</v>
      </c>
    </row>
    <row r="38" spans="1:35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>
        <f t="shared" si="1"/>
        <v>0</v>
      </c>
      <c r="AC38">
        <f t="shared" si="2"/>
        <v>0</v>
      </c>
      <c r="AD38" s="67"/>
      <c r="AE38" s="87">
        <f t="shared" si="0"/>
        <v>0.31481481481481477</v>
      </c>
      <c r="AF38" s="91">
        <v>9</v>
      </c>
      <c r="AG38" s="119" t="s">
        <v>1788</v>
      </c>
      <c r="AH38" s="91">
        <v>9</v>
      </c>
      <c r="AI38" s="119" t="s">
        <v>1788</v>
      </c>
    </row>
    <row r="39" spans="1:35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>
        <f t="shared" si="1"/>
        <v>0</v>
      </c>
      <c r="AC39">
        <f t="shared" si="2"/>
        <v>0</v>
      </c>
      <c r="AD39" s="67"/>
      <c r="AE39" s="87">
        <f t="shared" si="0"/>
        <v>0.31481481481481477</v>
      </c>
      <c r="AF39" s="91">
        <v>9</v>
      </c>
      <c r="AG39" s="119" t="s">
        <v>1788</v>
      </c>
      <c r="AH39" s="91">
        <v>9</v>
      </c>
      <c r="AI39" s="119" t="s">
        <v>1788</v>
      </c>
    </row>
    <row r="40" spans="1:35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>
        <f t="shared" si="1"/>
        <v>0</v>
      </c>
      <c r="AC40">
        <f t="shared" si="2"/>
        <v>0</v>
      </c>
      <c r="AD40" s="67"/>
      <c r="AE40" s="87">
        <f t="shared" si="0"/>
        <v>0.31481481481481477</v>
      </c>
      <c r="AF40" s="91">
        <v>9</v>
      </c>
      <c r="AG40" s="105" t="s">
        <v>1788</v>
      </c>
      <c r="AH40" s="91">
        <v>9</v>
      </c>
      <c r="AI40" s="105" t="s">
        <v>1788</v>
      </c>
    </row>
    <row r="41" spans="1:35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>
        <f t="shared" si="1"/>
        <v>0</v>
      </c>
      <c r="AC41">
        <f t="shared" si="2"/>
        <v>0</v>
      </c>
      <c r="AD41" s="67"/>
      <c r="AE41" s="87">
        <f t="shared" si="0"/>
        <v>0.31481481481481477</v>
      </c>
      <c r="AF41" s="91">
        <v>9</v>
      </c>
      <c r="AG41" s="105" t="s">
        <v>1788</v>
      </c>
      <c r="AH41" s="91">
        <v>9</v>
      </c>
      <c r="AI41" s="105" t="s">
        <v>1788</v>
      </c>
    </row>
    <row r="42" spans="1:35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>
        <f t="shared" si="1"/>
        <v>0</v>
      </c>
      <c r="AC42">
        <f t="shared" si="2"/>
        <v>0</v>
      </c>
      <c r="AD42" s="67"/>
      <c r="AE42" s="87">
        <f t="shared" si="0"/>
        <v>0.31481481481481477</v>
      </c>
      <c r="AF42" s="91">
        <v>9</v>
      </c>
      <c r="AG42" s="119" t="s">
        <v>1788</v>
      </c>
      <c r="AH42" s="91">
        <v>9</v>
      </c>
      <c r="AI42" s="119" t="s">
        <v>1788</v>
      </c>
    </row>
    <row r="43" spans="1:35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>
        <f t="shared" si="1"/>
        <v>0</v>
      </c>
      <c r="AC43">
        <f t="shared" si="2"/>
        <v>0</v>
      </c>
      <c r="AD43" s="67" t="s">
        <v>1868</v>
      </c>
      <c r="AE43" s="87">
        <f t="shared" si="0"/>
        <v>0.77777777777777779</v>
      </c>
      <c r="AF43" s="91">
        <v>5</v>
      </c>
      <c r="AG43" s="119" t="s">
        <v>1846</v>
      </c>
      <c r="AH43" s="91">
        <v>5</v>
      </c>
      <c r="AI43" s="119" t="s">
        <v>1846</v>
      </c>
    </row>
    <row r="44" spans="1:35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>
        <f t="shared" si="1"/>
        <v>1</v>
      </c>
      <c r="AC44">
        <f t="shared" si="2"/>
        <v>0</v>
      </c>
      <c r="AD44" s="67"/>
      <c r="AE44" s="87">
        <f t="shared" si="0"/>
        <v>0.88888888888888884</v>
      </c>
      <c r="AF44" s="91">
        <v>5</v>
      </c>
      <c r="AG44" s="119" t="s">
        <v>1846</v>
      </c>
      <c r="AH44" s="91">
        <v>5</v>
      </c>
      <c r="AI44" s="119" t="s">
        <v>1846</v>
      </c>
    </row>
    <row r="45" spans="1:35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>
        <f t="shared" si="1"/>
        <v>0</v>
      </c>
      <c r="AC45">
        <f t="shared" si="2"/>
        <v>0</v>
      </c>
      <c r="AD45" s="67"/>
      <c r="AE45" s="87">
        <f t="shared" si="0"/>
        <v>0.24074074074074073</v>
      </c>
      <c r="AF45" s="91">
        <v>9</v>
      </c>
      <c r="AG45" s="103" t="s">
        <v>1849</v>
      </c>
      <c r="AH45" s="91">
        <v>9</v>
      </c>
      <c r="AI45" s="103" t="s">
        <v>1849</v>
      </c>
    </row>
    <row r="46" spans="1:35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>
        <f t="shared" si="1"/>
        <v>0</v>
      </c>
      <c r="AC46">
        <f t="shared" si="2"/>
        <v>0</v>
      </c>
      <c r="AD46" s="67"/>
      <c r="AE46" s="87">
        <f t="shared" si="0"/>
        <v>0.24074074074074073</v>
      </c>
      <c r="AF46" s="91">
        <v>9</v>
      </c>
      <c r="AG46" s="103" t="s">
        <v>1849</v>
      </c>
      <c r="AH46" s="91">
        <v>9</v>
      </c>
      <c r="AI46" s="103" t="s">
        <v>1849</v>
      </c>
    </row>
    <row r="47" spans="1:35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>
        <f t="shared" si="1"/>
        <v>0</v>
      </c>
      <c r="AC47">
        <f t="shared" si="2"/>
        <v>0</v>
      </c>
      <c r="AD47" s="67"/>
      <c r="AE47" s="87">
        <f t="shared" si="0"/>
        <v>0.24074074074074073</v>
      </c>
      <c r="AF47" s="91">
        <v>9</v>
      </c>
      <c r="AG47" s="103" t="s">
        <v>1849</v>
      </c>
      <c r="AH47" s="91">
        <v>9</v>
      </c>
      <c r="AI47" s="103" t="s">
        <v>1849</v>
      </c>
    </row>
    <row r="48" spans="1:35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>
        <f t="shared" si="1"/>
        <v>0</v>
      </c>
      <c r="AC48">
        <f t="shared" si="2"/>
        <v>0</v>
      </c>
      <c r="AD48" s="67"/>
      <c r="AE48" s="87">
        <f t="shared" si="0"/>
        <v>0.24074074074074073</v>
      </c>
      <c r="AF48" s="91">
        <v>9</v>
      </c>
      <c r="AG48" s="103" t="s">
        <v>1849</v>
      </c>
      <c r="AH48" s="91">
        <v>9</v>
      </c>
      <c r="AI48" s="103" t="s">
        <v>1849</v>
      </c>
    </row>
    <row r="49" spans="1:35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>
        <f t="shared" si="1"/>
        <v>0</v>
      </c>
      <c r="AC49">
        <f t="shared" si="2"/>
        <v>0</v>
      </c>
      <c r="AD49" s="67"/>
      <c r="AE49" s="87">
        <f t="shared" si="0"/>
        <v>0.24074074074074073</v>
      </c>
      <c r="AF49" s="91">
        <v>9</v>
      </c>
      <c r="AG49" s="103" t="s">
        <v>1849</v>
      </c>
      <c r="AH49" s="91">
        <v>9</v>
      </c>
      <c r="AI49" s="103" t="s">
        <v>1849</v>
      </c>
    </row>
    <row r="50" spans="1:35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>
        <f t="shared" si="1"/>
        <v>0</v>
      </c>
      <c r="AC50">
        <f t="shared" si="2"/>
        <v>0</v>
      </c>
      <c r="AD50" s="67"/>
      <c r="AE50" s="87">
        <f t="shared" si="0"/>
        <v>0.24074074074074073</v>
      </c>
      <c r="AF50" s="91">
        <v>9</v>
      </c>
      <c r="AG50" s="103" t="s">
        <v>1849</v>
      </c>
      <c r="AH50" s="91">
        <v>9</v>
      </c>
      <c r="AI50" s="103" t="s">
        <v>1849</v>
      </c>
    </row>
    <row r="51" spans="1:35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>
        <f t="shared" si="1"/>
        <v>0</v>
      </c>
      <c r="AC51">
        <f t="shared" si="2"/>
        <v>0</v>
      </c>
      <c r="AD51" s="67"/>
      <c r="AE51" s="87">
        <f t="shared" si="0"/>
        <v>0.24074074074074073</v>
      </c>
      <c r="AF51" s="91">
        <v>9</v>
      </c>
      <c r="AG51" s="103" t="s">
        <v>1849</v>
      </c>
      <c r="AH51" s="91">
        <v>9</v>
      </c>
      <c r="AI51" s="103" t="s">
        <v>1849</v>
      </c>
    </row>
    <row r="52" spans="1:35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>
        <f t="shared" si="1"/>
        <v>0</v>
      </c>
      <c r="AC52">
        <f t="shared" si="2"/>
        <v>0</v>
      </c>
      <c r="AD52" s="67"/>
      <c r="AE52" s="87">
        <f t="shared" si="0"/>
        <v>0.24074074074074073</v>
      </c>
      <c r="AF52" s="91">
        <v>9</v>
      </c>
      <c r="AG52" s="103" t="s">
        <v>1849</v>
      </c>
      <c r="AH52" s="91">
        <v>9</v>
      </c>
      <c r="AI52" s="103" t="s">
        <v>1849</v>
      </c>
    </row>
    <row r="53" spans="1:35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>
        <f t="shared" si="1"/>
        <v>0</v>
      </c>
      <c r="AC53">
        <f t="shared" si="2"/>
        <v>0</v>
      </c>
      <c r="AD53" s="67"/>
      <c r="AE53" s="87">
        <f t="shared" si="0"/>
        <v>0.24074074074074073</v>
      </c>
      <c r="AF53" s="91">
        <v>9</v>
      </c>
      <c r="AG53" s="103" t="s">
        <v>1849</v>
      </c>
      <c r="AH53" s="91">
        <v>9</v>
      </c>
      <c r="AI53" s="103" t="s">
        <v>1849</v>
      </c>
    </row>
    <row r="54" spans="1:35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>
        <f t="shared" si="1"/>
        <v>0</v>
      </c>
      <c r="AC54">
        <f t="shared" si="2"/>
        <v>0</v>
      </c>
      <c r="AD54" s="67"/>
      <c r="AE54" s="87">
        <f t="shared" si="0"/>
        <v>0.24074074074074073</v>
      </c>
      <c r="AF54" s="91">
        <v>9</v>
      </c>
      <c r="AG54" s="103" t="s">
        <v>1849</v>
      </c>
      <c r="AH54" s="91">
        <v>9</v>
      </c>
      <c r="AI54" s="103" t="s">
        <v>1849</v>
      </c>
    </row>
    <row r="55" spans="1:35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>
        <f t="shared" si="1"/>
        <v>0</v>
      </c>
      <c r="AC55">
        <f t="shared" si="2"/>
        <v>0</v>
      </c>
      <c r="AD55" s="67"/>
      <c r="AE55" s="87">
        <f t="shared" si="0"/>
        <v>0.24074074074074073</v>
      </c>
      <c r="AF55" s="91">
        <v>9</v>
      </c>
      <c r="AG55" s="103" t="s">
        <v>1849</v>
      </c>
      <c r="AH55" s="91">
        <v>9</v>
      </c>
      <c r="AI55" s="103" t="s">
        <v>1849</v>
      </c>
    </row>
    <row r="56" spans="1:35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>
        <f t="shared" si="1"/>
        <v>0</v>
      </c>
      <c r="AC56">
        <f t="shared" si="2"/>
        <v>0</v>
      </c>
      <c r="AD56" s="67"/>
      <c r="AE56" s="87">
        <f t="shared" si="0"/>
        <v>0.24074074074074073</v>
      </c>
      <c r="AF56" s="91">
        <v>9</v>
      </c>
      <c r="AG56" s="103" t="s">
        <v>1849</v>
      </c>
      <c r="AH56" s="91">
        <v>9</v>
      </c>
      <c r="AI56" s="103" t="s">
        <v>1849</v>
      </c>
    </row>
    <row r="57" spans="1:35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>
        <f t="shared" si="1"/>
        <v>0</v>
      </c>
      <c r="AC57">
        <f t="shared" si="2"/>
        <v>0</v>
      </c>
      <c r="AD57" s="67"/>
      <c r="AE57" s="87">
        <f t="shared" si="0"/>
        <v>0.24074074074074073</v>
      </c>
      <c r="AF57" s="91">
        <v>9</v>
      </c>
      <c r="AG57" s="103" t="s">
        <v>1849</v>
      </c>
      <c r="AH57" s="91">
        <v>9</v>
      </c>
      <c r="AI57" s="103" t="s">
        <v>1849</v>
      </c>
    </row>
    <row r="58" spans="1:35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>
        <f t="shared" si="1"/>
        <v>0</v>
      </c>
      <c r="AC58">
        <f t="shared" si="2"/>
        <v>0</v>
      </c>
      <c r="AD58" s="67"/>
      <c r="AE58" s="87">
        <f t="shared" si="0"/>
        <v>0.24074074074074073</v>
      </c>
      <c r="AF58" s="91">
        <v>9</v>
      </c>
      <c r="AG58" s="103" t="s">
        <v>1849</v>
      </c>
      <c r="AH58" s="91">
        <v>9</v>
      </c>
      <c r="AI58" s="103" t="s">
        <v>1849</v>
      </c>
    </row>
    <row r="59" spans="1:35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>
        <f t="shared" si="1"/>
        <v>0</v>
      </c>
      <c r="AC59">
        <f t="shared" si="2"/>
        <v>0</v>
      </c>
      <c r="AD59" s="67"/>
      <c r="AE59" s="87">
        <f t="shared" si="0"/>
        <v>0.24074074074074073</v>
      </c>
      <c r="AF59" s="91">
        <v>9</v>
      </c>
      <c r="AG59" s="103" t="s">
        <v>1849</v>
      </c>
      <c r="AH59" s="91">
        <v>9</v>
      </c>
      <c r="AI59" s="103" t="s">
        <v>1849</v>
      </c>
    </row>
    <row r="60" spans="1:35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>
        <f t="shared" si="1"/>
        <v>0</v>
      </c>
      <c r="AC60">
        <f t="shared" si="2"/>
        <v>0</v>
      </c>
      <c r="AD60" s="67"/>
      <c r="AE60" s="87">
        <f t="shared" si="0"/>
        <v>0.24074074074074073</v>
      </c>
      <c r="AF60" s="91">
        <v>9</v>
      </c>
      <c r="AG60" s="103" t="s">
        <v>1849</v>
      </c>
      <c r="AH60" s="91">
        <v>9</v>
      </c>
      <c r="AI60" s="103" t="s">
        <v>1849</v>
      </c>
    </row>
    <row r="61" spans="1:35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>
        <f t="shared" si="1"/>
        <v>0</v>
      </c>
      <c r="AC61">
        <f t="shared" si="2"/>
        <v>0</v>
      </c>
      <c r="AD61" s="67"/>
      <c r="AE61" s="87">
        <f t="shared" si="0"/>
        <v>0.24074074074074073</v>
      </c>
      <c r="AF61" s="91">
        <v>9</v>
      </c>
      <c r="AG61" s="103" t="s">
        <v>1849</v>
      </c>
      <c r="AH61" s="91">
        <v>9</v>
      </c>
      <c r="AI61" s="103" t="s">
        <v>1849</v>
      </c>
    </row>
    <row r="62" spans="1:35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>
        <f t="shared" si="1"/>
        <v>0</v>
      </c>
      <c r="AC62">
        <f t="shared" si="2"/>
        <v>0</v>
      </c>
      <c r="AD62" s="67"/>
      <c r="AE62" s="87">
        <f t="shared" si="0"/>
        <v>0.77777777777777779</v>
      </c>
      <c r="AF62" s="91">
        <v>4</v>
      </c>
      <c r="AG62" s="64" t="s">
        <v>1786</v>
      </c>
      <c r="AH62" s="91">
        <v>4</v>
      </c>
      <c r="AI62" s="64" t="s">
        <v>1786</v>
      </c>
    </row>
    <row r="63" spans="1:35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>
        <f t="shared" si="1"/>
        <v>0</v>
      </c>
      <c r="AC63">
        <f t="shared" si="2"/>
        <v>0</v>
      </c>
      <c r="AD63" s="67"/>
      <c r="AE63" s="87">
        <f t="shared" si="0"/>
        <v>0.77777777777777779</v>
      </c>
      <c r="AF63" s="91">
        <v>4</v>
      </c>
      <c r="AG63" s="64" t="s">
        <v>1786</v>
      </c>
      <c r="AH63" s="91">
        <v>4</v>
      </c>
      <c r="AI63" s="64" t="s">
        <v>1786</v>
      </c>
    </row>
    <row r="64" spans="1:35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>
        <f t="shared" si="1"/>
        <v>0</v>
      </c>
      <c r="AC64">
        <f t="shared" si="2"/>
        <v>0</v>
      </c>
      <c r="AD64" s="67"/>
      <c r="AE64" s="87">
        <f t="shared" si="0"/>
        <v>0.77777777777777779</v>
      </c>
      <c r="AF64" s="91">
        <v>4</v>
      </c>
      <c r="AG64" s="64" t="s">
        <v>1786</v>
      </c>
      <c r="AH64" s="91">
        <v>4</v>
      </c>
      <c r="AI64" s="64" t="s">
        <v>1786</v>
      </c>
    </row>
    <row r="65" spans="1:35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>
        <f t="shared" si="1"/>
        <v>0</v>
      </c>
      <c r="AC65">
        <f t="shared" si="2"/>
        <v>0</v>
      </c>
      <c r="AD65" s="67"/>
      <c r="AE65" s="87">
        <f t="shared" si="0"/>
        <v>0.77777777777777779</v>
      </c>
      <c r="AF65" s="91">
        <v>4</v>
      </c>
      <c r="AG65" s="64" t="s">
        <v>1786</v>
      </c>
      <c r="AH65" s="91">
        <v>4</v>
      </c>
      <c r="AI65" s="64" t="s">
        <v>1786</v>
      </c>
    </row>
    <row r="66" spans="1:35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>
        <f t="shared" si="1"/>
        <v>0</v>
      </c>
      <c r="AC66">
        <f t="shared" si="2"/>
        <v>0</v>
      </c>
      <c r="AD66" s="67"/>
      <c r="AE66" s="87">
        <f t="shared" ref="AE66:AE129" si="3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F66" s="91">
        <v>4</v>
      </c>
      <c r="AG66" s="64" t="s">
        <v>1786</v>
      </c>
      <c r="AH66" s="91">
        <v>4</v>
      </c>
      <c r="AI66" s="64" t="s">
        <v>1786</v>
      </c>
    </row>
    <row r="67" spans="1:35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>
        <f t="shared" ref="AB67:AB130" si="4">IF(OR(AND(Z67="SI",AA67="NO"),AND(Z67="NO",AA67="SI")),1,0)</f>
        <v>0</v>
      </c>
      <c r="AC67">
        <f t="shared" ref="AC67:AC130" si="5">IF(AND(OR(Z67="SI",Z67="NO APLICA"),OR(AA67="SI",AA67="NO APLICA")),1,0)</f>
        <v>0</v>
      </c>
      <c r="AD67" s="67"/>
      <c r="AE67" s="87">
        <f t="shared" si="3"/>
        <v>0.77777777777777779</v>
      </c>
      <c r="AF67" s="91">
        <v>4</v>
      </c>
      <c r="AG67" s="64" t="s">
        <v>1786</v>
      </c>
      <c r="AH67" s="91">
        <v>4</v>
      </c>
      <c r="AI67" s="64" t="s">
        <v>1786</v>
      </c>
    </row>
    <row r="68" spans="1:35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>
        <f t="shared" si="4"/>
        <v>0</v>
      </c>
      <c r="AC68">
        <f t="shared" si="5"/>
        <v>0</v>
      </c>
      <c r="AD68" s="67"/>
      <c r="AE68" s="87">
        <f t="shared" si="3"/>
        <v>0.77777777777777779</v>
      </c>
      <c r="AF68" s="91">
        <v>4</v>
      </c>
      <c r="AG68" s="64" t="s">
        <v>1786</v>
      </c>
      <c r="AH68" s="91">
        <v>4</v>
      </c>
      <c r="AI68" s="64" t="s">
        <v>1786</v>
      </c>
    </row>
    <row r="69" spans="1:35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>
        <f t="shared" si="4"/>
        <v>0</v>
      </c>
      <c r="AC69">
        <f t="shared" si="5"/>
        <v>0</v>
      </c>
      <c r="AD69" s="67"/>
      <c r="AE69" s="87">
        <f t="shared" si="3"/>
        <v>0.77777777777777779</v>
      </c>
      <c r="AF69" s="91">
        <v>4</v>
      </c>
      <c r="AG69" s="64" t="s">
        <v>1786</v>
      </c>
      <c r="AH69" s="91">
        <v>4</v>
      </c>
      <c r="AI69" s="64" t="s">
        <v>1786</v>
      </c>
    </row>
    <row r="70" spans="1:35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>
        <f t="shared" si="4"/>
        <v>0</v>
      </c>
      <c r="AC70">
        <f t="shared" si="5"/>
        <v>0</v>
      </c>
      <c r="AD70" s="67"/>
      <c r="AE70" s="87">
        <f t="shared" si="3"/>
        <v>0.77777777777777779</v>
      </c>
      <c r="AF70" s="91">
        <v>4</v>
      </c>
      <c r="AG70" s="64" t="s">
        <v>1786</v>
      </c>
      <c r="AH70" s="91">
        <v>4</v>
      </c>
      <c r="AI70" s="64" t="s">
        <v>1786</v>
      </c>
    </row>
    <row r="71" spans="1:35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>
        <f t="shared" si="4"/>
        <v>0</v>
      </c>
      <c r="AC71">
        <f t="shared" si="5"/>
        <v>0</v>
      </c>
      <c r="AD71" s="67"/>
      <c r="AE71" s="87">
        <f t="shared" si="3"/>
        <v>0.77777777777777779</v>
      </c>
      <c r="AF71" s="91">
        <v>4</v>
      </c>
      <c r="AG71" s="64" t="s">
        <v>1786</v>
      </c>
      <c r="AH71" s="91">
        <v>4</v>
      </c>
      <c r="AI71" s="64" t="s">
        <v>1786</v>
      </c>
    </row>
    <row r="72" spans="1:35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>
        <f t="shared" si="4"/>
        <v>0</v>
      </c>
      <c r="AC72">
        <f t="shared" si="5"/>
        <v>0</v>
      </c>
      <c r="AD72" s="67"/>
      <c r="AE72" s="87">
        <f t="shared" si="3"/>
        <v>0.77777777777777779</v>
      </c>
      <c r="AF72" s="91">
        <v>4</v>
      </c>
      <c r="AG72" s="64" t="s">
        <v>1786</v>
      </c>
      <c r="AH72" s="91">
        <v>4</v>
      </c>
      <c r="AI72" s="64" t="s">
        <v>1786</v>
      </c>
    </row>
    <row r="73" spans="1:35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>
        <f t="shared" si="4"/>
        <v>0</v>
      </c>
      <c r="AC73">
        <f t="shared" si="5"/>
        <v>0</v>
      </c>
      <c r="AD73" s="67"/>
      <c r="AE73" s="87">
        <f t="shared" si="3"/>
        <v>0.77777777777777779</v>
      </c>
      <c r="AF73" s="91">
        <v>4</v>
      </c>
      <c r="AG73" s="64" t="s">
        <v>1786</v>
      </c>
      <c r="AH73" s="91">
        <v>4</v>
      </c>
      <c r="AI73" s="64" t="s">
        <v>1786</v>
      </c>
    </row>
    <row r="74" spans="1:35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>
        <f t="shared" si="4"/>
        <v>0</v>
      </c>
      <c r="AC74">
        <f t="shared" si="5"/>
        <v>0</v>
      </c>
      <c r="AD74" s="67"/>
      <c r="AE74" s="87">
        <f t="shared" si="3"/>
        <v>0.77777777777777779</v>
      </c>
      <c r="AF74" s="91">
        <v>4</v>
      </c>
      <c r="AG74" s="64" t="s">
        <v>1786</v>
      </c>
      <c r="AH74" s="91">
        <v>4</v>
      </c>
      <c r="AI74" s="64" t="s">
        <v>1786</v>
      </c>
    </row>
    <row r="75" spans="1:35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>
        <f t="shared" si="4"/>
        <v>0</v>
      </c>
      <c r="AC75">
        <f t="shared" si="5"/>
        <v>0</v>
      </c>
      <c r="AD75" s="67"/>
      <c r="AE75" s="87">
        <f t="shared" si="3"/>
        <v>0.77777777777777779</v>
      </c>
      <c r="AF75" s="91">
        <v>4</v>
      </c>
      <c r="AG75" s="64" t="s">
        <v>1786</v>
      </c>
      <c r="AH75" s="91">
        <v>4</v>
      </c>
      <c r="AI75" s="64" t="s">
        <v>1786</v>
      </c>
    </row>
    <row r="76" spans="1:35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>
        <f t="shared" si="4"/>
        <v>0</v>
      </c>
      <c r="AC76">
        <f t="shared" si="5"/>
        <v>0</v>
      </c>
      <c r="AD76" s="67"/>
      <c r="AE76" s="87">
        <f t="shared" si="3"/>
        <v>0.77777777777777779</v>
      </c>
      <c r="AF76" s="91">
        <v>4</v>
      </c>
      <c r="AG76" s="64" t="s">
        <v>1786</v>
      </c>
      <c r="AH76" s="91">
        <v>4</v>
      </c>
      <c r="AI76" s="64" t="s">
        <v>1786</v>
      </c>
    </row>
    <row r="77" spans="1:35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>
        <f t="shared" si="4"/>
        <v>0</v>
      </c>
      <c r="AC77">
        <f t="shared" si="5"/>
        <v>0</v>
      </c>
      <c r="AD77" s="67"/>
      <c r="AE77" s="87">
        <f t="shared" si="3"/>
        <v>0.77777777777777779</v>
      </c>
      <c r="AF77" s="91">
        <v>4</v>
      </c>
      <c r="AG77" s="64" t="s">
        <v>1786</v>
      </c>
      <c r="AH77" s="91">
        <v>4</v>
      </c>
      <c r="AI77" s="64" t="s">
        <v>1786</v>
      </c>
    </row>
    <row r="78" spans="1:35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>
        <f t="shared" si="4"/>
        <v>0</v>
      </c>
      <c r="AC78">
        <f t="shared" si="5"/>
        <v>0</v>
      </c>
      <c r="AD78" s="67"/>
      <c r="AE78" s="87">
        <f t="shared" si="3"/>
        <v>0.77777777777777779</v>
      </c>
      <c r="AF78" s="91">
        <v>4</v>
      </c>
      <c r="AG78" s="64" t="s">
        <v>1786</v>
      </c>
      <c r="AH78" s="91">
        <v>4</v>
      </c>
      <c r="AI78" s="64" t="s">
        <v>1786</v>
      </c>
    </row>
    <row r="79" spans="1:35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>
        <f t="shared" si="4"/>
        <v>0</v>
      </c>
      <c r="AC79">
        <f t="shared" si="5"/>
        <v>0</v>
      </c>
      <c r="AD79" s="67"/>
      <c r="AE79" s="87">
        <f t="shared" si="3"/>
        <v>0.77777777777777779</v>
      </c>
      <c r="AF79" s="91">
        <v>4</v>
      </c>
      <c r="AG79" s="64" t="s">
        <v>1786</v>
      </c>
      <c r="AH79" s="91">
        <v>4</v>
      </c>
      <c r="AI79" s="64" t="s">
        <v>1786</v>
      </c>
    </row>
    <row r="80" spans="1:35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1819</v>
      </c>
      <c r="AA80" s="66" t="s">
        <v>37</v>
      </c>
      <c r="AB80">
        <f t="shared" si="4"/>
        <v>0</v>
      </c>
      <c r="AC80">
        <f t="shared" si="5"/>
        <v>1</v>
      </c>
      <c r="AD80" s="73" t="s">
        <v>1864</v>
      </c>
      <c r="AE80" s="87">
        <f t="shared" si="3"/>
        <v>0.88888888888888884</v>
      </c>
      <c r="AF80" s="91">
        <v>2</v>
      </c>
      <c r="AG80" s="103" t="s">
        <v>1829</v>
      </c>
      <c r="AH80" s="91">
        <v>2</v>
      </c>
      <c r="AI80" s="103" t="s">
        <v>1829</v>
      </c>
    </row>
    <row r="81" spans="1:35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>
        <f t="shared" si="4"/>
        <v>1</v>
      </c>
      <c r="AC81">
        <f t="shared" si="5"/>
        <v>0</v>
      </c>
      <c r="AD81" s="73" t="s">
        <v>1864</v>
      </c>
      <c r="AE81" s="87">
        <f t="shared" si="3"/>
        <v>0.88888888888888884</v>
      </c>
      <c r="AF81" s="91">
        <v>2</v>
      </c>
      <c r="AG81" s="103" t="s">
        <v>1829</v>
      </c>
      <c r="AH81" s="91">
        <v>2</v>
      </c>
      <c r="AI81" s="103" t="s">
        <v>1829</v>
      </c>
    </row>
    <row r="82" spans="1:35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>
        <f t="shared" si="4"/>
        <v>0</v>
      </c>
      <c r="AC82">
        <f t="shared" si="5"/>
        <v>1</v>
      </c>
      <c r="AD82" s="67"/>
      <c r="AE82" s="87">
        <f t="shared" si="3"/>
        <v>1</v>
      </c>
      <c r="AF82" s="92" t="s">
        <v>1825</v>
      </c>
      <c r="AG82" s="64"/>
      <c r="AH82" s="92" t="s">
        <v>1825</v>
      </c>
      <c r="AI82" s="64"/>
    </row>
    <row r="83" spans="1:35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>
        <f t="shared" si="4"/>
        <v>0</v>
      </c>
      <c r="AC83">
        <f t="shared" si="5"/>
        <v>1</v>
      </c>
      <c r="AD83" s="67"/>
      <c r="AE83" s="87">
        <f t="shared" si="3"/>
        <v>1</v>
      </c>
      <c r="AF83" s="92" t="s">
        <v>1825</v>
      </c>
      <c r="AG83" s="64"/>
      <c r="AH83" s="92" t="s">
        <v>1825</v>
      </c>
      <c r="AI83" s="64"/>
    </row>
    <row r="84" spans="1:35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>
        <f t="shared" si="4"/>
        <v>0</v>
      </c>
      <c r="AC84">
        <f t="shared" si="5"/>
        <v>1</v>
      </c>
      <c r="AD84" s="67"/>
      <c r="AE84" s="87">
        <f t="shared" si="3"/>
        <v>1</v>
      </c>
      <c r="AF84" s="92" t="s">
        <v>1825</v>
      </c>
      <c r="AG84" s="64"/>
      <c r="AH84" s="92" t="s">
        <v>1825</v>
      </c>
      <c r="AI84" s="64"/>
    </row>
    <row r="85" spans="1:35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>
        <f t="shared" si="4"/>
        <v>0</v>
      </c>
      <c r="AC85">
        <f t="shared" si="5"/>
        <v>1</v>
      </c>
      <c r="AD85" s="67"/>
      <c r="AE85" s="87">
        <f t="shared" si="3"/>
        <v>1</v>
      </c>
      <c r="AF85" s="92" t="s">
        <v>1825</v>
      </c>
      <c r="AG85" s="64"/>
      <c r="AH85" s="92" t="s">
        <v>1825</v>
      </c>
      <c r="AI85" s="64"/>
    </row>
    <row r="86" spans="1:35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>
        <f t="shared" si="4"/>
        <v>0</v>
      </c>
      <c r="AC86">
        <f t="shared" si="5"/>
        <v>1</v>
      </c>
      <c r="AD86" s="67"/>
      <c r="AE86" s="87">
        <f t="shared" si="3"/>
        <v>1</v>
      </c>
      <c r="AF86" s="92" t="s">
        <v>1825</v>
      </c>
      <c r="AG86" s="64"/>
      <c r="AH86" s="92" t="s">
        <v>1825</v>
      </c>
      <c r="AI86" s="64"/>
    </row>
    <row r="87" spans="1:35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>
        <f t="shared" si="4"/>
        <v>0</v>
      </c>
      <c r="AC87">
        <f t="shared" si="5"/>
        <v>1</v>
      </c>
      <c r="AD87" s="67"/>
      <c r="AE87" s="87">
        <f t="shared" si="3"/>
        <v>1</v>
      </c>
      <c r="AF87" s="92" t="s">
        <v>1825</v>
      </c>
      <c r="AG87" s="64"/>
      <c r="AH87" s="92" t="s">
        <v>1825</v>
      </c>
      <c r="AI87" s="64"/>
    </row>
    <row r="88" spans="1:35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>
        <f t="shared" si="4"/>
        <v>0</v>
      </c>
      <c r="AC88">
        <f t="shared" si="5"/>
        <v>1</v>
      </c>
      <c r="AD88" s="67"/>
      <c r="AE88" s="87">
        <f t="shared" si="3"/>
        <v>1</v>
      </c>
      <c r="AF88" s="92" t="s">
        <v>1825</v>
      </c>
      <c r="AG88" s="64"/>
      <c r="AH88" s="92" t="s">
        <v>1825</v>
      </c>
      <c r="AI88" s="64"/>
    </row>
    <row r="89" spans="1:35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>
        <f t="shared" si="4"/>
        <v>0</v>
      </c>
      <c r="AC89">
        <f t="shared" si="5"/>
        <v>1</v>
      </c>
      <c r="AD89" s="67"/>
      <c r="AE89" s="87">
        <f t="shared" si="3"/>
        <v>1</v>
      </c>
      <c r="AF89" s="92" t="s">
        <v>1825</v>
      </c>
      <c r="AG89" s="64"/>
      <c r="AH89" s="92" t="s">
        <v>1825</v>
      </c>
      <c r="AI89" s="64"/>
    </row>
    <row r="90" spans="1:35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>
        <f t="shared" si="4"/>
        <v>0</v>
      </c>
      <c r="AC90">
        <f t="shared" si="5"/>
        <v>1</v>
      </c>
      <c r="AD90" s="67"/>
      <c r="AE90" s="87">
        <f t="shared" si="3"/>
        <v>1</v>
      </c>
      <c r="AF90" s="92" t="s">
        <v>1825</v>
      </c>
      <c r="AG90" s="64"/>
      <c r="AH90" s="92" t="s">
        <v>1825</v>
      </c>
      <c r="AI90" s="64"/>
    </row>
    <row r="91" spans="1:35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>
        <f t="shared" si="4"/>
        <v>0</v>
      </c>
      <c r="AC91">
        <f t="shared" si="5"/>
        <v>1</v>
      </c>
      <c r="AD91" s="67"/>
      <c r="AE91" s="87">
        <f t="shared" si="3"/>
        <v>1</v>
      </c>
      <c r="AF91" s="92" t="s">
        <v>1825</v>
      </c>
      <c r="AG91" s="64"/>
      <c r="AH91" s="92" t="s">
        <v>1825</v>
      </c>
      <c r="AI91" s="64"/>
    </row>
    <row r="92" spans="1:35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>
        <f t="shared" si="4"/>
        <v>0</v>
      </c>
      <c r="AC92">
        <f t="shared" si="5"/>
        <v>1</v>
      </c>
      <c r="AD92" s="67"/>
      <c r="AE92" s="87">
        <f t="shared" si="3"/>
        <v>1</v>
      </c>
      <c r="AF92" s="92" t="s">
        <v>1825</v>
      </c>
      <c r="AG92" s="64"/>
      <c r="AH92" s="92" t="s">
        <v>1825</v>
      </c>
      <c r="AI92" s="64"/>
    </row>
    <row r="93" spans="1:35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>
        <f t="shared" si="4"/>
        <v>0</v>
      </c>
      <c r="AC93">
        <f t="shared" si="5"/>
        <v>1</v>
      </c>
      <c r="AD93" s="67"/>
      <c r="AE93" s="87">
        <f t="shared" si="3"/>
        <v>1</v>
      </c>
      <c r="AF93" s="92" t="s">
        <v>1825</v>
      </c>
      <c r="AG93" s="64"/>
      <c r="AH93" s="92" t="s">
        <v>1825</v>
      </c>
      <c r="AI93" s="64"/>
    </row>
    <row r="94" spans="1:35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>
        <f t="shared" si="4"/>
        <v>0</v>
      </c>
      <c r="AC94">
        <f t="shared" si="5"/>
        <v>1</v>
      </c>
      <c r="AD94" s="67"/>
      <c r="AE94" s="87">
        <f t="shared" si="3"/>
        <v>1</v>
      </c>
      <c r="AF94" s="92" t="s">
        <v>1825</v>
      </c>
      <c r="AG94" s="64"/>
      <c r="AH94" s="92" t="s">
        <v>1825</v>
      </c>
      <c r="AI94" s="64"/>
    </row>
    <row r="95" spans="1:35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>
        <f t="shared" si="4"/>
        <v>0</v>
      </c>
      <c r="AC95">
        <f t="shared" si="5"/>
        <v>1</v>
      </c>
      <c r="AD95" s="67"/>
      <c r="AE95" s="87">
        <f t="shared" si="3"/>
        <v>1</v>
      </c>
      <c r="AF95" s="92" t="s">
        <v>1825</v>
      </c>
      <c r="AG95" s="64"/>
      <c r="AH95" s="92" t="s">
        <v>1825</v>
      </c>
      <c r="AI95" s="64"/>
    </row>
    <row r="96" spans="1:35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>
        <f t="shared" si="4"/>
        <v>0</v>
      </c>
      <c r="AC96">
        <f t="shared" si="5"/>
        <v>1</v>
      </c>
      <c r="AD96" s="67"/>
      <c r="AE96" s="87">
        <f t="shared" si="3"/>
        <v>1</v>
      </c>
      <c r="AF96" s="92" t="s">
        <v>1825</v>
      </c>
      <c r="AG96" s="64"/>
      <c r="AH96" s="92" t="s">
        <v>1825</v>
      </c>
      <c r="AI96" s="64"/>
    </row>
    <row r="97" spans="1:35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>
        <f t="shared" si="4"/>
        <v>0</v>
      </c>
      <c r="AC97">
        <f t="shared" si="5"/>
        <v>1</v>
      </c>
      <c r="AD97" s="67"/>
      <c r="AE97" s="87">
        <f t="shared" si="3"/>
        <v>1</v>
      </c>
      <c r="AF97" s="92" t="s">
        <v>1825</v>
      </c>
      <c r="AG97" s="64"/>
      <c r="AH97" s="92" t="s">
        <v>1825</v>
      </c>
      <c r="AI97" s="64"/>
    </row>
    <row r="98" spans="1:35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>
        <f t="shared" si="4"/>
        <v>0</v>
      </c>
      <c r="AC98">
        <f t="shared" si="5"/>
        <v>1</v>
      </c>
      <c r="AD98" s="67"/>
      <c r="AE98" s="87">
        <f t="shared" si="3"/>
        <v>1</v>
      </c>
      <c r="AF98" s="92" t="s">
        <v>1825</v>
      </c>
      <c r="AG98" s="64"/>
      <c r="AH98" s="92" t="s">
        <v>1825</v>
      </c>
      <c r="AI98" s="64"/>
    </row>
    <row r="99" spans="1:35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>
        <f t="shared" si="4"/>
        <v>0</v>
      </c>
      <c r="AC99">
        <f t="shared" si="5"/>
        <v>1</v>
      </c>
      <c r="AD99" s="67"/>
      <c r="AE99" s="87">
        <f t="shared" si="3"/>
        <v>1</v>
      </c>
      <c r="AF99" s="92" t="s">
        <v>1825</v>
      </c>
      <c r="AG99" s="64"/>
      <c r="AH99" s="92" t="s">
        <v>1825</v>
      </c>
      <c r="AI99" s="64"/>
    </row>
    <row r="100" spans="1:35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>
        <f t="shared" si="4"/>
        <v>0</v>
      </c>
      <c r="AC100">
        <f t="shared" si="5"/>
        <v>1</v>
      </c>
      <c r="AD100" s="67"/>
      <c r="AE100" s="87">
        <f t="shared" si="3"/>
        <v>1</v>
      </c>
      <c r="AF100" s="92" t="s">
        <v>1825</v>
      </c>
      <c r="AG100" s="64"/>
      <c r="AH100" s="92" t="s">
        <v>1825</v>
      </c>
      <c r="AI100" s="64"/>
    </row>
    <row r="101" spans="1:35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>
        <f t="shared" si="4"/>
        <v>0</v>
      </c>
      <c r="AC101">
        <f t="shared" si="5"/>
        <v>1</v>
      </c>
      <c r="AD101" s="67"/>
      <c r="AE101" s="87">
        <f t="shared" si="3"/>
        <v>1</v>
      </c>
      <c r="AF101" s="92" t="s">
        <v>1825</v>
      </c>
      <c r="AG101" s="64"/>
      <c r="AH101" s="92" t="s">
        <v>1825</v>
      </c>
      <c r="AI101" s="64"/>
    </row>
    <row r="102" spans="1:35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>
        <f t="shared" si="4"/>
        <v>0</v>
      </c>
      <c r="AC102">
        <f t="shared" si="5"/>
        <v>1</v>
      </c>
      <c r="AD102" s="67"/>
      <c r="AE102" s="87">
        <f t="shared" si="3"/>
        <v>1</v>
      </c>
      <c r="AF102" s="92" t="s">
        <v>1825</v>
      </c>
      <c r="AG102" s="64"/>
      <c r="AH102" s="92" t="s">
        <v>1825</v>
      </c>
      <c r="AI102" s="64"/>
    </row>
    <row r="103" spans="1:35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>
        <f t="shared" si="4"/>
        <v>0</v>
      </c>
      <c r="AC103">
        <f t="shared" si="5"/>
        <v>1</v>
      </c>
      <c r="AD103" s="67"/>
      <c r="AE103" s="87">
        <f t="shared" si="3"/>
        <v>1</v>
      </c>
      <c r="AF103" s="92" t="s">
        <v>1825</v>
      </c>
      <c r="AG103" s="64"/>
      <c r="AH103" s="92" t="s">
        <v>1825</v>
      </c>
      <c r="AI103" s="64"/>
    </row>
    <row r="104" spans="1:35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>
        <f t="shared" si="4"/>
        <v>0</v>
      </c>
      <c r="AC104">
        <f t="shared" si="5"/>
        <v>1</v>
      </c>
      <c r="AD104" s="67"/>
      <c r="AE104" s="87">
        <f t="shared" si="3"/>
        <v>1</v>
      </c>
      <c r="AF104" s="92" t="s">
        <v>1825</v>
      </c>
      <c r="AG104" s="64"/>
      <c r="AH104" s="92" t="s">
        <v>1825</v>
      </c>
      <c r="AI104" s="64"/>
    </row>
    <row r="105" spans="1:35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>
        <f t="shared" si="4"/>
        <v>0</v>
      </c>
      <c r="AC105">
        <f t="shared" si="5"/>
        <v>1</v>
      </c>
      <c r="AD105" s="67"/>
      <c r="AE105" s="87">
        <f t="shared" si="3"/>
        <v>1</v>
      </c>
      <c r="AF105" s="92" t="s">
        <v>1825</v>
      </c>
      <c r="AG105" s="64"/>
      <c r="AH105" s="92" t="s">
        <v>1825</v>
      </c>
      <c r="AI105" s="64"/>
    </row>
    <row r="106" spans="1:35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>
        <f t="shared" si="4"/>
        <v>0</v>
      </c>
      <c r="AC106">
        <f t="shared" si="5"/>
        <v>1</v>
      </c>
      <c r="AD106" s="67"/>
      <c r="AE106" s="87">
        <f t="shared" si="3"/>
        <v>1</v>
      </c>
      <c r="AF106" s="92" t="s">
        <v>1825</v>
      </c>
      <c r="AG106" s="64"/>
      <c r="AH106" s="92" t="s">
        <v>1825</v>
      </c>
      <c r="AI106" s="64"/>
    </row>
    <row r="107" spans="1:35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>
        <f t="shared" si="4"/>
        <v>0</v>
      </c>
      <c r="AC107">
        <f t="shared" si="5"/>
        <v>1</v>
      </c>
      <c r="AD107" s="67"/>
      <c r="AE107" s="87">
        <f t="shared" si="3"/>
        <v>1</v>
      </c>
      <c r="AF107" s="92" t="s">
        <v>1825</v>
      </c>
      <c r="AG107" s="64"/>
      <c r="AH107" s="92" t="s">
        <v>1825</v>
      </c>
      <c r="AI107" s="64"/>
    </row>
    <row r="108" spans="1:35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>
        <f t="shared" si="4"/>
        <v>0</v>
      </c>
      <c r="AC108">
        <f t="shared" si="5"/>
        <v>1</v>
      </c>
      <c r="AD108" s="67"/>
      <c r="AE108" s="87">
        <f t="shared" si="3"/>
        <v>1</v>
      </c>
      <c r="AF108" s="92" t="s">
        <v>1825</v>
      </c>
      <c r="AG108" s="64"/>
      <c r="AH108" s="92" t="s">
        <v>1825</v>
      </c>
      <c r="AI108" s="64"/>
    </row>
    <row r="109" spans="1:35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>
        <f t="shared" si="4"/>
        <v>0</v>
      </c>
      <c r="AC109">
        <f t="shared" si="5"/>
        <v>1</v>
      </c>
      <c r="AD109" s="67"/>
      <c r="AE109" s="87">
        <f t="shared" si="3"/>
        <v>1</v>
      </c>
      <c r="AF109" s="92" t="s">
        <v>1825</v>
      </c>
      <c r="AG109" s="64"/>
      <c r="AH109" s="92" t="s">
        <v>1825</v>
      </c>
      <c r="AI109" s="64"/>
    </row>
    <row r="110" spans="1:35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>
        <f t="shared" si="4"/>
        <v>0</v>
      </c>
      <c r="AC110">
        <f t="shared" si="5"/>
        <v>1</v>
      </c>
      <c r="AD110" s="67"/>
      <c r="AE110" s="87">
        <f t="shared" si="3"/>
        <v>1</v>
      </c>
      <c r="AF110" s="92" t="s">
        <v>1825</v>
      </c>
      <c r="AG110" s="64"/>
      <c r="AH110" s="92" t="s">
        <v>1825</v>
      </c>
      <c r="AI110" s="64"/>
    </row>
    <row r="111" spans="1:35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>
        <f t="shared" si="4"/>
        <v>0</v>
      </c>
      <c r="AC111">
        <f t="shared" si="5"/>
        <v>1</v>
      </c>
      <c r="AD111" s="67"/>
      <c r="AE111" s="87">
        <f t="shared" si="3"/>
        <v>1</v>
      </c>
      <c r="AF111" s="92" t="s">
        <v>1825</v>
      </c>
      <c r="AG111" s="64"/>
      <c r="AH111" s="92" t="s">
        <v>1825</v>
      </c>
      <c r="AI111" s="64"/>
    </row>
    <row r="112" spans="1:35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>
        <f t="shared" si="4"/>
        <v>0</v>
      </c>
      <c r="AC112">
        <f t="shared" si="5"/>
        <v>1</v>
      </c>
      <c r="AD112" s="67"/>
      <c r="AE112" s="87">
        <f t="shared" si="3"/>
        <v>1</v>
      </c>
      <c r="AF112" s="92" t="s">
        <v>1825</v>
      </c>
      <c r="AG112" s="64"/>
      <c r="AH112" s="92" t="s">
        <v>1825</v>
      </c>
      <c r="AI112" s="64"/>
    </row>
    <row r="113" spans="1:35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>
        <f t="shared" si="4"/>
        <v>0</v>
      </c>
      <c r="AC113">
        <f t="shared" si="5"/>
        <v>1</v>
      </c>
      <c r="AD113" s="67"/>
      <c r="AE113" s="87">
        <f t="shared" si="3"/>
        <v>1</v>
      </c>
      <c r="AF113" s="92" t="s">
        <v>1825</v>
      </c>
      <c r="AG113" s="64"/>
      <c r="AH113" s="92" t="s">
        <v>1825</v>
      </c>
      <c r="AI113" s="64"/>
    </row>
    <row r="114" spans="1:35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>
        <f t="shared" si="4"/>
        <v>0</v>
      </c>
      <c r="AC114">
        <f t="shared" si="5"/>
        <v>1</v>
      </c>
      <c r="AD114" s="67"/>
      <c r="AE114" s="87">
        <f t="shared" si="3"/>
        <v>1</v>
      </c>
      <c r="AF114" s="92" t="s">
        <v>1825</v>
      </c>
      <c r="AG114" s="64"/>
      <c r="AH114" s="92" t="s">
        <v>1825</v>
      </c>
      <c r="AI114" s="64"/>
    </row>
    <row r="115" spans="1:35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>
        <f t="shared" si="4"/>
        <v>0</v>
      </c>
      <c r="AC115">
        <f t="shared" si="5"/>
        <v>1</v>
      </c>
      <c r="AD115" s="67"/>
      <c r="AE115" s="87">
        <f t="shared" si="3"/>
        <v>1</v>
      </c>
      <c r="AF115" s="92" t="s">
        <v>1825</v>
      </c>
      <c r="AG115" s="64"/>
      <c r="AH115" s="92" t="s">
        <v>1825</v>
      </c>
      <c r="AI115" s="64"/>
    </row>
    <row r="116" spans="1:35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>
        <f t="shared" si="4"/>
        <v>0</v>
      </c>
      <c r="AC116">
        <f t="shared" si="5"/>
        <v>1</v>
      </c>
      <c r="AD116" s="67"/>
      <c r="AE116" s="87">
        <f t="shared" si="3"/>
        <v>1</v>
      </c>
      <c r="AF116" s="92" t="s">
        <v>1825</v>
      </c>
      <c r="AG116" s="64"/>
      <c r="AH116" s="92" t="s">
        <v>1825</v>
      </c>
      <c r="AI116" s="64"/>
    </row>
    <row r="117" spans="1:35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>
        <f t="shared" si="4"/>
        <v>0</v>
      </c>
      <c r="AC117">
        <f t="shared" si="5"/>
        <v>1</v>
      </c>
      <c r="AD117" s="67"/>
      <c r="AE117" s="87">
        <f t="shared" si="3"/>
        <v>1</v>
      </c>
      <c r="AF117" s="92" t="s">
        <v>1825</v>
      </c>
      <c r="AG117" s="64"/>
      <c r="AH117" s="92" t="s">
        <v>1825</v>
      </c>
      <c r="AI117" s="64"/>
    </row>
    <row r="118" spans="1:35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>
        <f t="shared" si="4"/>
        <v>0</v>
      </c>
      <c r="AC118">
        <f t="shared" si="5"/>
        <v>1</v>
      </c>
      <c r="AD118" s="67"/>
      <c r="AE118" s="87">
        <f t="shared" si="3"/>
        <v>1</v>
      </c>
      <c r="AF118" s="92" t="s">
        <v>1825</v>
      </c>
      <c r="AG118" s="64"/>
      <c r="AH118" s="92" t="s">
        <v>1825</v>
      </c>
      <c r="AI118" s="64"/>
    </row>
    <row r="119" spans="1:35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>
        <f t="shared" si="4"/>
        <v>0</v>
      </c>
      <c r="AC119">
        <f t="shared" si="5"/>
        <v>1</v>
      </c>
      <c r="AD119" s="67"/>
      <c r="AE119" s="87">
        <f t="shared" si="3"/>
        <v>1</v>
      </c>
      <c r="AF119" s="92" t="s">
        <v>1825</v>
      </c>
      <c r="AG119" s="64"/>
      <c r="AH119" s="92" t="s">
        <v>1825</v>
      </c>
      <c r="AI119" s="64"/>
    </row>
    <row r="120" spans="1:35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>
        <f t="shared" si="4"/>
        <v>0</v>
      </c>
      <c r="AC120">
        <f t="shared" si="5"/>
        <v>1</v>
      </c>
      <c r="AD120" s="67"/>
      <c r="AE120" s="87">
        <f t="shared" si="3"/>
        <v>1</v>
      </c>
      <c r="AF120" s="92" t="s">
        <v>1825</v>
      </c>
      <c r="AG120" s="64"/>
      <c r="AH120" s="92" t="s">
        <v>1825</v>
      </c>
      <c r="AI120" s="64"/>
    </row>
    <row r="121" spans="1:35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>
        <f t="shared" si="4"/>
        <v>1</v>
      </c>
      <c r="AC121">
        <f t="shared" si="5"/>
        <v>0</v>
      </c>
      <c r="AD121" s="67"/>
      <c r="AE121" s="87">
        <f t="shared" si="3"/>
        <v>0.88888888888888884</v>
      </c>
      <c r="AF121" s="92" t="s">
        <v>1825</v>
      </c>
      <c r="AG121" s="64"/>
      <c r="AH121" s="92" t="s">
        <v>1825</v>
      </c>
      <c r="AI121" s="64"/>
    </row>
    <row r="122" spans="1:35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>
        <f t="shared" si="4"/>
        <v>0</v>
      </c>
      <c r="AC122">
        <f t="shared" si="5"/>
        <v>1</v>
      </c>
      <c r="AD122" s="67" t="s">
        <v>1795</v>
      </c>
      <c r="AE122" s="87">
        <f t="shared" si="3"/>
        <v>1</v>
      </c>
      <c r="AF122" s="91">
        <v>7</v>
      </c>
      <c r="AG122" s="103" t="s">
        <v>1830</v>
      </c>
      <c r="AH122" s="91">
        <v>7</v>
      </c>
      <c r="AI122" s="103" t="s">
        <v>1830</v>
      </c>
    </row>
    <row r="123" spans="1:35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>
        <f t="shared" si="4"/>
        <v>0</v>
      </c>
      <c r="AC123">
        <f t="shared" si="5"/>
        <v>1</v>
      </c>
      <c r="AD123" s="67" t="s">
        <v>1795</v>
      </c>
      <c r="AE123" s="87">
        <f t="shared" si="3"/>
        <v>1</v>
      </c>
      <c r="AF123" s="91">
        <v>7</v>
      </c>
      <c r="AG123" s="103" t="s">
        <v>1830</v>
      </c>
      <c r="AH123" s="91">
        <v>7</v>
      </c>
      <c r="AI123" s="103" t="s">
        <v>1830</v>
      </c>
    </row>
    <row r="124" spans="1:35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>
        <f t="shared" si="4"/>
        <v>0</v>
      </c>
      <c r="AC124">
        <f t="shared" si="5"/>
        <v>1</v>
      </c>
      <c r="AD124" s="67"/>
      <c r="AE124" s="87">
        <f t="shared" si="3"/>
        <v>1</v>
      </c>
      <c r="AF124" s="91" t="s">
        <v>1825</v>
      </c>
      <c r="AG124" s="64" t="s">
        <v>1831</v>
      </c>
      <c r="AH124" s="91">
        <v>7</v>
      </c>
      <c r="AI124" s="103" t="s">
        <v>1830</v>
      </c>
    </row>
    <row r="125" spans="1:35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>
        <f t="shared" si="4"/>
        <v>0</v>
      </c>
      <c r="AC125">
        <f t="shared" si="5"/>
        <v>1</v>
      </c>
      <c r="AD125" s="67" t="s">
        <v>1795</v>
      </c>
      <c r="AE125" s="87">
        <f t="shared" si="3"/>
        <v>1</v>
      </c>
      <c r="AF125" s="91">
        <v>7</v>
      </c>
      <c r="AG125" s="103" t="s">
        <v>1830</v>
      </c>
      <c r="AH125" s="91">
        <v>7</v>
      </c>
      <c r="AI125" s="103" t="s">
        <v>1830</v>
      </c>
    </row>
    <row r="126" spans="1:35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>
        <f t="shared" si="4"/>
        <v>0</v>
      </c>
      <c r="AC126">
        <f t="shared" si="5"/>
        <v>1</v>
      </c>
      <c r="AD126" s="67" t="s">
        <v>1795</v>
      </c>
      <c r="AE126" s="87">
        <f t="shared" si="3"/>
        <v>1</v>
      </c>
      <c r="AF126" s="91">
        <v>7</v>
      </c>
      <c r="AG126" s="103" t="s">
        <v>1830</v>
      </c>
      <c r="AH126" s="91">
        <v>7</v>
      </c>
      <c r="AI126" s="103" t="s">
        <v>1830</v>
      </c>
    </row>
    <row r="127" spans="1:35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>
        <f t="shared" si="4"/>
        <v>0</v>
      </c>
      <c r="AC127">
        <f t="shared" si="5"/>
        <v>1</v>
      </c>
      <c r="AD127" s="70" t="s">
        <v>1795</v>
      </c>
      <c r="AE127" s="87">
        <f t="shared" si="3"/>
        <v>1</v>
      </c>
      <c r="AF127" s="91">
        <v>8</v>
      </c>
      <c r="AG127" s="103" t="s">
        <v>1830</v>
      </c>
      <c r="AH127" s="91">
        <v>7</v>
      </c>
      <c r="AI127" s="103" t="s">
        <v>1830</v>
      </c>
    </row>
    <row r="128" spans="1:35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>
        <f t="shared" si="4"/>
        <v>0</v>
      </c>
      <c r="AC128">
        <f t="shared" si="5"/>
        <v>1</v>
      </c>
      <c r="AD128" s="70" t="s">
        <v>1795</v>
      </c>
      <c r="AE128" s="87">
        <f t="shared" si="3"/>
        <v>1</v>
      </c>
      <c r="AF128" s="91">
        <v>8</v>
      </c>
      <c r="AG128" s="103" t="s">
        <v>1830</v>
      </c>
      <c r="AH128" s="91">
        <v>7</v>
      </c>
      <c r="AI128" s="103" t="s">
        <v>1830</v>
      </c>
    </row>
    <row r="129" spans="1:35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>
        <f t="shared" si="4"/>
        <v>1</v>
      </c>
      <c r="AC129">
        <f t="shared" si="5"/>
        <v>0</v>
      </c>
      <c r="AD129" s="67" t="s">
        <v>1795</v>
      </c>
      <c r="AE129" s="87">
        <f t="shared" si="3"/>
        <v>0.88888888888888884</v>
      </c>
      <c r="AF129" s="91">
        <v>8</v>
      </c>
      <c r="AG129" s="103" t="s">
        <v>1830</v>
      </c>
      <c r="AH129" s="91">
        <v>8</v>
      </c>
      <c r="AI129" s="103" t="s">
        <v>1830</v>
      </c>
    </row>
    <row r="130" spans="1:35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74</v>
      </c>
      <c r="AA130" s="66" t="s">
        <v>37</v>
      </c>
      <c r="AB130">
        <f t="shared" si="4"/>
        <v>1</v>
      </c>
      <c r="AC130">
        <f t="shared" si="5"/>
        <v>0</v>
      </c>
      <c r="AD130" s="72" t="s">
        <v>1822</v>
      </c>
      <c r="AE130" s="87">
        <f t="shared" ref="AE130:AE193" si="6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0.83333333333333337</v>
      </c>
      <c r="AF130" s="91">
        <v>7</v>
      </c>
      <c r="AG130" s="103" t="s">
        <v>1830</v>
      </c>
      <c r="AH130" s="91">
        <v>8</v>
      </c>
      <c r="AI130" s="103" t="s">
        <v>1830</v>
      </c>
    </row>
    <row r="131" spans="1:35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>
        <f t="shared" ref="AB131:AB194" si="7">IF(OR(AND(Z131="SI",AA131="NO"),AND(Z131="NO",AA131="SI")),1,0)</f>
        <v>0</v>
      </c>
      <c r="AC131">
        <f t="shared" ref="AC131:AC194" si="8">IF(AND(OR(Z131="SI",Z131="NO APLICA"),OR(AA131="SI",AA131="NO APLICA")),1,0)</f>
        <v>1</v>
      </c>
      <c r="AD131" s="70" t="s">
        <v>1795</v>
      </c>
      <c r="AE131" s="87">
        <f t="shared" si="6"/>
        <v>0.94444444444444442</v>
      </c>
      <c r="AF131" s="91">
        <v>8</v>
      </c>
      <c r="AG131" s="103" t="s">
        <v>1830</v>
      </c>
      <c r="AH131" s="91">
        <v>8</v>
      </c>
      <c r="AI131" s="103" t="s">
        <v>1830</v>
      </c>
    </row>
    <row r="132" spans="1:35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>
        <f t="shared" si="7"/>
        <v>0</v>
      </c>
      <c r="AC132">
        <f t="shared" si="8"/>
        <v>1</v>
      </c>
      <c r="AD132" s="67" t="s">
        <v>1795</v>
      </c>
      <c r="AE132" s="87">
        <f t="shared" si="6"/>
        <v>1</v>
      </c>
      <c r="AF132" s="91">
        <v>7</v>
      </c>
      <c r="AG132" s="103" t="s">
        <v>1830</v>
      </c>
      <c r="AH132" s="91">
        <v>8</v>
      </c>
      <c r="AI132" s="103" t="s">
        <v>1830</v>
      </c>
    </row>
    <row r="133" spans="1:35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>
        <f t="shared" si="7"/>
        <v>1</v>
      </c>
      <c r="AC133">
        <f t="shared" si="8"/>
        <v>0</v>
      </c>
      <c r="AD133" s="72" t="s">
        <v>1820</v>
      </c>
      <c r="AE133" s="87">
        <f t="shared" si="6"/>
        <v>0.83333333333333337</v>
      </c>
      <c r="AF133" s="91">
        <v>7</v>
      </c>
      <c r="AG133" s="103" t="s">
        <v>1830</v>
      </c>
      <c r="AH133" s="91">
        <v>7</v>
      </c>
      <c r="AI133" s="103" t="s">
        <v>1830</v>
      </c>
    </row>
    <row r="134" spans="1:35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>
        <f t="shared" si="7"/>
        <v>0</v>
      </c>
      <c r="AC134">
        <f t="shared" si="8"/>
        <v>1</v>
      </c>
      <c r="AD134" s="67" t="s">
        <v>1795</v>
      </c>
      <c r="AE134" s="87">
        <f t="shared" si="6"/>
        <v>0.94444444444444442</v>
      </c>
      <c r="AF134" s="91">
        <v>7</v>
      </c>
      <c r="AG134" s="103" t="s">
        <v>1830</v>
      </c>
      <c r="AH134" s="91">
        <v>7</v>
      </c>
      <c r="AI134" s="103" t="s">
        <v>1830</v>
      </c>
    </row>
    <row r="135" spans="1:35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>
        <f t="shared" si="7"/>
        <v>1</v>
      </c>
      <c r="AC135">
        <f t="shared" si="8"/>
        <v>0</v>
      </c>
      <c r="AD135" s="67" t="s">
        <v>1795</v>
      </c>
      <c r="AE135" s="87">
        <f t="shared" si="6"/>
        <v>0.83333333333333337</v>
      </c>
      <c r="AF135" s="91">
        <v>8</v>
      </c>
      <c r="AG135" s="103" t="s">
        <v>1830</v>
      </c>
      <c r="AH135" s="91">
        <v>8</v>
      </c>
      <c r="AI135" s="103" t="s">
        <v>1830</v>
      </c>
    </row>
    <row r="136" spans="1:35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>
        <f t="shared" si="7"/>
        <v>0</v>
      </c>
      <c r="AC136">
        <f t="shared" si="8"/>
        <v>1</v>
      </c>
      <c r="AD136" s="70" t="s">
        <v>1795</v>
      </c>
      <c r="AE136" s="87">
        <f t="shared" si="6"/>
        <v>0.94444444444444442</v>
      </c>
      <c r="AF136" s="91">
        <v>8</v>
      </c>
      <c r="AG136" s="103" t="s">
        <v>1830</v>
      </c>
      <c r="AH136" s="91">
        <v>8</v>
      </c>
      <c r="AI136" s="103" t="s">
        <v>1830</v>
      </c>
    </row>
    <row r="137" spans="1:35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>
        <f t="shared" si="7"/>
        <v>0</v>
      </c>
      <c r="AC137">
        <f t="shared" si="8"/>
        <v>1</v>
      </c>
      <c r="AD137" s="70" t="s">
        <v>1795</v>
      </c>
      <c r="AE137" s="87">
        <f t="shared" si="6"/>
        <v>0.94444444444444442</v>
      </c>
      <c r="AF137" s="91">
        <v>8</v>
      </c>
      <c r="AG137" s="103" t="s">
        <v>1830</v>
      </c>
      <c r="AH137" s="91">
        <v>8</v>
      </c>
      <c r="AI137" s="103" t="s">
        <v>1830</v>
      </c>
    </row>
    <row r="138" spans="1:35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>
        <f t="shared" si="7"/>
        <v>0</v>
      </c>
      <c r="AC138">
        <f t="shared" si="8"/>
        <v>1</v>
      </c>
      <c r="AD138" s="72" t="s">
        <v>1821</v>
      </c>
      <c r="AE138" s="87">
        <f t="shared" si="6"/>
        <v>0.94444444444444442</v>
      </c>
      <c r="AF138" s="91">
        <v>7</v>
      </c>
      <c r="AG138" s="103" t="s">
        <v>1830</v>
      </c>
      <c r="AH138" s="91" t="s">
        <v>1825</v>
      </c>
      <c r="AI138" s="64" t="s">
        <v>1831</v>
      </c>
    </row>
    <row r="139" spans="1:35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>
        <f t="shared" si="7"/>
        <v>0</v>
      </c>
      <c r="AC139">
        <f t="shared" si="8"/>
        <v>1</v>
      </c>
      <c r="AD139" s="67"/>
      <c r="AE139" s="87">
        <f t="shared" si="6"/>
        <v>1</v>
      </c>
      <c r="AF139" s="91">
        <v>10</v>
      </c>
      <c r="AG139" s="104" t="s">
        <v>1780</v>
      </c>
      <c r="AH139" s="91">
        <v>10</v>
      </c>
      <c r="AI139" s="104" t="s">
        <v>1780</v>
      </c>
    </row>
    <row r="140" spans="1:35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>
        <f t="shared" si="7"/>
        <v>0</v>
      </c>
      <c r="AC140">
        <f t="shared" si="8"/>
        <v>1</v>
      </c>
      <c r="AD140" s="67"/>
      <c r="AE140" s="87">
        <f t="shared" si="6"/>
        <v>1</v>
      </c>
      <c r="AF140" s="91">
        <v>10</v>
      </c>
      <c r="AG140" s="104" t="s">
        <v>1780</v>
      </c>
      <c r="AH140" s="91">
        <v>10</v>
      </c>
      <c r="AI140" s="104" t="s">
        <v>1780</v>
      </c>
    </row>
    <row r="141" spans="1:35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>
        <f t="shared" si="7"/>
        <v>0</v>
      </c>
      <c r="AC141">
        <f t="shared" si="8"/>
        <v>1</v>
      </c>
      <c r="AD141" s="67"/>
      <c r="AE141" s="87">
        <f t="shared" si="6"/>
        <v>1</v>
      </c>
      <c r="AF141" s="91">
        <v>10</v>
      </c>
      <c r="AG141" s="104" t="s">
        <v>1780</v>
      </c>
      <c r="AH141" s="91">
        <v>10</v>
      </c>
      <c r="AI141" s="104" t="s">
        <v>1780</v>
      </c>
    </row>
    <row r="142" spans="1:35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>
        <f t="shared" si="7"/>
        <v>0</v>
      </c>
      <c r="AC142">
        <f t="shared" si="8"/>
        <v>1</v>
      </c>
      <c r="AD142" s="67"/>
      <c r="AE142" s="87">
        <f t="shared" si="6"/>
        <v>1</v>
      </c>
      <c r="AF142" s="91">
        <v>4</v>
      </c>
      <c r="AG142" s="64" t="s">
        <v>1834</v>
      </c>
      <c r="AH142" s="91">
        <v>4</v>
      </c>
      <c r="AI142" s="64" t="s">
        <v>1834</v>
      </c>
    </row>
    <row r="143" spans="1:35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>
        <f t="shared" si="7"/>
        <v>0</v>
      </c>
      <c r="AC143">
        <f t="shared" si="8"/>
        <v>1</v>
      </c>
      <c r="AD143" s="67"/>
      <c r="AE143" s="87">
        <f t="shared" si="6"/>
        <v>1</v>
      </c>
      <c r="AF143" s="91">
        <v>4</v>
      </c>
      <c r="AG143" s="64" t="s">
        <v>1834</v>
      </c>
      <c r="AH143" s="91">
        <v>4</v>
      </c>
      <c r="AI143" s="64" t="s">
        <v>1834</v>
      </c>
    </row>
    <row r="144" spans="1:35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>
        <f t="shared" si="7"/>
        <v>0</v>
      </c>
      <c r="AC144">
        <f t="shared" si="8"/>
        <v>1</v>
      </c>
      <c r="AD144" s="67"/>
      <c r="AE144" s="87">
        <f t="shared" si="6"/>
        <v>1</v>
      </c>
      <c r="AF144" s="91">
        <v>4</v>
      </c>
      <c r="AG144" s="64" t="s">
        <v>1834</v>
      </c>
      <c r="AH144" s="91">
        <v>4</v>
      </c>
      <c r="AI144" s="64" t="s">
        <v>1834</v>
      </c>
    </row>
    <row r="145" spans="1:35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>
        <f t="shared" si="7"/>
        <v>0</v>
      </c>
      <c r="AC145">
        <f t="shared" si="8"/>
        <v>1</v>
      </c>
      <c r="AD145" s="67"/>
      <c r="AE145" s="87">
        <f t="shared" si="6"/>
        <v>1</v>
      </c>
      <c r="AF145" s="91">
        <v>4</v>
      </c>
      <c r="AG145" s="64" t="s">
        <v>1834</v>
      </c>
      <c r="AH145" s="91">
        <v>4</v>
      </c>
      <c r="AI145" s="64" t="s">
        <v>1834</v>
      </c>
    </row>
    <row r="146" spans="1:35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>
        <f t="shared" si="7"/>
        <v>0</v>
      </c>
      <c r="AC146">
        <f t="shared" si="8"/>
        <v>1</v>
      </c>
      <c r="AD146" s="67"/>
      <c r="AE146" s="87">
        <f t="shared" si="6"/>
        <v>1</v>
      </c>
      <c r="AF146" s="91">
        <v>4</v>
      </c>
      <c r="AG146" s="64" t="s">
        <v>1834</v>
      </c>
      <c r="AH146" s="91">
        <v>4</v>
      </c>
      <c r="AI146" s="64" t="s">
        <v>1834</v>
      </c>
    </row>
    <row r="147" spans="1:35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>
        <f t="shared" si="7"/>
        <v>0</v>
      </c>
      <c r="AC147">
        <f t="shared" si="8"/>
        <v>1</v>
      </c>
      <c r="AD147" s="67"/>
      <c r="AE147" s="87">
        <f t="shared" si="6"/>
        <v>1</v>
      </c>
      <c r="AF147" s="91">
        <v>4</v>
      </c>
      <c r="AG147" s="64" t="s">
        <v>1834</v>
      </c>
      <c r="AH147" s="91">
        <v>4</v>
      </c>
      <c r="AI147" s="64" t="s">
        <v>1834</v>
      </c>
    </row>
    <row r="148" spans="1:35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>
        <f t="shared" si="7"/>
        <v>0</v>
      </c>
      <c r="AC148">
        <f t="shared" si="8"/>
        <v>1</v>
      </c>
      <c r="AD148" s="84"/>
      <c r="AE148" s="87">
        <f t="shared" si="6"/>
        <v>1</v>
      </c>
      <c r="AF148" s="91">
        <v>4</v>
      </c>
      <c r="AG148" s="64" t="s">
        <v>1834</v>
      </c>
      <c r="AH148" s="91">
        <v>4</v>
      </c>
      <c r="AI148" s="64" t="s">
        <v>1834</v>
      </c>
    </row>
    <row r="149" spans="1:35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>
        <f t="shared" si="7"/>
        <v>0</v>
      </c>
      <c r="AC149">
        <f t="shared" si="8"/>
        <v>1</v>
      </c>
      <c r="AD149" s="67"/>
      <c r="AE149" s="87">
        <f t="shared" si="6"/>
        <v>1</v>
      </c>
      <c r="AF149" s="91">
        <v>4</v>
      </c>
      <c r="AG149" s="64" t="s">
        <v>1834</v>
      </c>
      <c r="AH149" s="91">
        <v>4</v>
      </c>
      <c r="AI149" s="64" t="s">
        <v>1834</v>
      </c>
    </row>
    <row r="150" spans="1:35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>
        <f t="shared" si="7"/>
        <v>0</v>
      </c>
      <c r="AC150">
        <f t="shared" si="8"/>
        <v>1</v>
      </c>
      <c r="AD150" s="67"/>
      <c r="AE150" s="87">
        <f t="shared" si="6"/>
        <v>1</v>
      </c>
      <c r="AF150" s="91">
        <v>4</v>
      </c>
      <c r="AG150" s="64" t="s">
        <v>1834</v>
      </c>
      <c r="AH150" s="91">
        <v>4</v>
      </c>
      <c r="AI150" s="64" t="s">
        <v>1834</v>
      </c>
    </row>
    <row r="151" spans="1:35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>
        <f t="shared" si="7"/>
        <v>0</v>
      </c>
      <c r="AC151">
        <f t="shared" si="8"/>
        <v>1</v>
      </c>
      <c r="AD151" s="67"/>
      <c r="AE151" s="87">
        <f t="shared" si="6"/>
        <v>1</v>
      </c>
      <c r="AF151" s="91">
        <v>4</v>
      </c>
      <c r="AG151" s="64" t="s">
        <v>1834</v>
      </c>
      <c r="AH151" s="91">
        <v>4</v>
      </c>
      <c r="AI151" s="64" t="s">
        <v>1834</v>
      </c>
    </row>
    <row r="152" spans="1:35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>
        <f t="shared" si="7"/>
        <v>0</v>
      </c>
      <c r="AC152">
        <f t="shared" si="8"/>
        <v>1</v>
      </c>
      <c r="AD152" s="67"/>
      <c r="AE152" s="87">
        <f t="shared" si="6"/>
        <v>1</v>
      </c>
      <c r="AF152" s="91">
        <v>4</v>
      </c>
      <c r="AG152" s="64" t="s">
        <v>1834</v>
      </c>
      <c r="AH152" s="91">
        <v>4</v>
      </c>
      <c r="AI152" s="64" t="s">
        <v>1834</v>
      </c>
    </row>
    <row r="153" spans="1:35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>
        <f t="shared" si="7"/>
        <v>0</v>
      </c>
      <c r="AC153">
        <f t="shared" si="8"/>
        <v>1</v>
      </c>
      <c r="AD153" s="67"/>
      <c r="AE153" s="87">
        <f t="shared" si="6"/>
        <v>1</v>
      </c>
      <c r="AF153" s="91">
        <v>4</v>
      </c>
      <c r="AG153" s="64" t="s">
        <v>1834</v>
      </c>
      <c r="AH153" s="91">
        <v>4</v>
      </c>
      <c r="AI153" s="64" t="s">
        <v>1834</v>
      </c>
    </row>
    <row r="154" spans="1:35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>
        <f t="shared" si="7"/>
        <v>0</v>
      </c>
      <c r="AC154">
        <f t="shared" si="8"/>
        <v>1</v>
      </c>
      <c r="AD154" s="67"/>
      <c r="AE154" s="87">
        <f t="shared" si="6"/>
        <v>1</v>
      </c>
      <c r="AF154" s="91">
        <v>4</v>
      </c>
      <c r="AG154" s="64" t="s">
        <v>1834</v>
      </c>
      <c r="AH154" s="91">
        <v>4</v>
      </c>
      <c r="AI154" s="64" t="s">
        <v>1834</v>
      </c>
    </row>
    <row r="155" spans="1:35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>
        <f t="shared" si="7"/>
        <v>0</v>
      </c>
      <c r="AC155">
        <f t="shared" si="8"/>
        <v>1</v>
      </c>
      <c r="AD155" s="67"/>
      <c r="AE155" s="87">
        <f t="shared" si="6"/>
        <v>1</v>
      </c>
      <c r="AF155" s="91">
        <v>4</v>
      </c>
      <c r="AG155" s="64" t="s">
        <v>1834</v>
      </c>
      <c r="AH155" s="91">
        <v>4</v>
      </c>
      <c r="AI155" s="64" t="s">
        <v>1834</v>
      </c>
    </row>
    <row r="156" spans="1:35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>
        <f t="shared" si="7"/>
        <v>0</v>
      </c>
      <c r="AC156">
        <f t="shared" si="8"/>
        <v>1</v>
      </c>
      <c r="AD156" s="67"/>
      <c r="AE156" s="87">
        <f t="shared" si="6"/>
        <v>1</v>
      </c>
      <c r="AF156" s="91">
        <v>4</v>
      </c>
      <c r="AG156" s="64" t="s">
        <v>1834</v>
      </c>
      <c r="AH156" s="91">
        <v>4</v>
      </c>
      <c r="AI156" s="64" t="s">
        <v>1834</v>
      </c>
    </row>
    <row r="157" spans="1:35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>
        <f t="shared" si="7"/>
        <v>0</v>
      </c>
      <c r="AC157">
        <f t="shared" si="8"/>
        <v>1</v>
      </c>
      <c r="AD157" s="67"/>
      <c r="AE157" s="87">
        <f t="shared" si="6"/>
        <v>1</v>
      </c>
      <c r="AF157" s="91">
        <v>4</v>
      </c>
      <c r="AG157" s="64" t="s">
        <v>1834</v>
      </c>
      <c r="AH157" s="91">
        <v>4</v>
      </c>
      <c r="AI157" s="64" t="s">
        <v>1834</v>
      </c>
    </row>
    <row r="158" spans="1:35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>
        <f t="shared" si="7"/>
        <v>0</v>
      </c>
      <c r="AC158">
        <f t="shared" si="8"/>
        <v>1</v>
      </c>
      <c r="AD158" s="67"/>
      <c r="AE158" s="87">
        <f t="shared" si="6"/>
        <v>1</v>
      </c>
      <c r="AF158" s="91">
        <v>4</v>
      </c>
      <c r="AG158" s="64" t="s">
        <v>1834</v>
      </c>
      <c r="AH158" s="91">
        <v>4</v>
      </c>
      <c r="AI158" s="64" t="s">
        <v>1834</v>
      </c>
    </row>
    <row r="159" spans="1:35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>
        <f t="shared" si="7"/>
        <v>0</v>
      </c>
      <c r="AC159">
        <f t="shared" si="8"/>
        <v>1</v>
      </c>
      <c r="AD159" s="67"/>
      <c r="AE159" s="87">
        <f t="shared" si="6"/>
        <v>1</v>
      </c>
      <c r="AF159" s="92" t="s">
        <v>1825</v>
      </c>
      <c r="AG159" s="64"/>
      <c r="AH159" s="92" t="s">
        <v>1825</v>
      </c>
      <c r="AI159" s="64"/>
    </row>
    <row r="160" spans="1:35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>
        <f t="shared" si="7"/>
        <v>0</v>
      </c>
      <c r="AC160">
        <f t="shared" si="8"/>
        <v>1</v>
      </c>
      <c r="AD160" s="67"/>
      <c r="AE160" s="87">
        <f t="shared" si="6"/>
        <v>1</v>
      </c>
      <c r="AF160" s="92" t="s">
        <v>1825</v>
      </c>
      <c r="AG160" s="64"/>
      <c r="AH160" s="92" t="s">
        <v>1825</v>
      </c>
      <c r="AI160" s="64"/>
    </row>
    <row r="161" spans="1:35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>
        <f t="shared" si="7"/>
        <v>0</v>
      </c>
      <c r="AC161">
        <f t="shared" si="8"/>
        <v>1</v>
      </c>
      <c r="AD161" s="67"/>
      <c r="AE161" s="87">
        <f t="shared" si="6"/>
        <v>1</v>
      </c>
      <c r="AF161" s="92" t="s">
        <v>1825</v>
      </c>
      <c r="AG161" s="105"/>
      <c r="AH161" s="92" t="s">
        <v>1825</v>
      </c>
      <c r="AI161" s="105"/>
    </row>
    <row r="162" spans="1:35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>
        <f t="shared" si="7"/>
        <v>0</v>
      </c>
      <c r="AC162">
        <f t="shared" si="8"/>
        <v>1</v>
      </c>
      <c r="AD162" s="70"/>
      <c r="AE162" s="87">
        <f t="shared" si="6"/>
        <v>1</v>
      </c>
      <c r="AF162" s="92" t="s">
        <v>1825</v>
      </c>
      <c r="AG162" s="105"/>
      <c r="AH162" s="92" t="s">
        <v>1825</v>
      </c>
      <c r="AI162" s="105"/>
    </row>
    <row r="163" spans="1:35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>
        <f t="shared" si="7"/>
        <v>0</v>
      </c>
      <c r="AC163">
        <f t="shared" si="8"/>
        <v>1</v>
      </c>
      <c r="AD163" s="88"/>
      <c r="AE163" s="87">
        <f t="shared" si="6"/>
        <v>1</v>
      </c>
      <c r="AF163" s="91">
        <v>2</v>
      </c>
      <c r="AG163" s="103" t="s">
        <v>1837</v>
      </c>
      <c r="AH163" s="91">
        <v>2</v>
      </c>
      <c r="AI163" s="103" t="s">
        <v>1837</v>
      </c>
    </row>
    <row r="164" spans="1:35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>
        <f t="shared" si="7"/>
        <v>0</v>
      </c>
      <c r="AC164">
        <f t="shared" si="8"/>
        <v>1</v>
      </c>
      <c r="AD164" s="67"/>
      <c r="AE164" s="87">
        <f t="shared" si="6"/>
        <v>1</v>
      </c>
      <c r="AF164" s="91">
        <v>9</v>
      </c>
      <c r="AG164" s="105" t="s">
        <v>1842</v>
      </c>
      <c r="AH164" s="91">
        <v>9</v>
      </c>
      <c r="AI164" s="105" t="s">
        <v>1842</v>
      </c>
    </row>
    <row r="165" spans="1:35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>
        <f t="shared" si="7"/>
        <v>0</v>
      </c>
      <c r="AC165">
        <f t="shared" si="8"/>
        <v>1</v>
      </c>
      <c r="AD165" s="67"/>
      <c r="AE165" s="87">
        <f t="shared" si="6"/>
        <v>1</v>
      </c>
      <c r="AF165" s="91">
        <v>9</v>
      </c>
      <c r="AG165" s="105" t="s">
        <v>1842</v>
      </c>
      <c r="AH165" s="91">
        <v>9</v>
      </c>
      <c r="AI165" s="105" t="s">
        <v>1842</v>
      </c>
    </row>
    <row r="166" spans="1:35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>
        <f t="shared" si="7"/>
        <v>0</v>
      </c>
      <c r="AC166">
        <f t="shared" si="8"/>
        <v>1</v>
      </c>
      <c r="AD166" s="67"/>
      <c r="AE166" s="87">
        <f t="shared" si="6"/>
        <v>1</v>
      </c>
      <c r="AF166" s="91">
        <v>9</v>
      </c>
      <c r="AG166" s="105" t="s">
        <v>1842</v>
      </c>
      <c r="AH166" s="91">
        <v>9</v>
      </c>
      <c r="AI166" s="105" t="s">
        <v>1842</v>
      </c>
    </row>
    <row r="167" spans="1:35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>
        <f t="shared" si="7"/>
        <v>0</v>
      </c>
      <c r="AC167">
        <f t="shared" si="8"/>
        <v>1</v>
      </c>
      <c r="AD167" s="67"/>
      <c r="AE167" s="87">
        <f t="shared" si="6"/>
        <v>0.94444444444444442</v>
      </c>
      <c r="AF167" s="91">
        <v>9</v>
      </c>
      <c r="AG167" s="105" t="s">
        <v>1842</v>
      </c>
      <c r="AH167" s="91">
        <v>9</v>
      </c>
      <c r="AI167" s="105" t="s">
        <v>1842</v>
      </c>
    </row>
    <row r="168" spans="1:35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>
        <f t="shared" si="7"/>
        <v>0</v>
      </c>
      <c r="AC168">
        <f t="shared" si="8"/>
        <v>1</v>
      </c>
      <c r="AD168" s="67"/>
      <c r="AE168" s="87">
        <f t="shared" si="6"/>
        <v>0.94444444444444442</v>
      </c>
      <c r="AF168" s="91">
        <v>9</v>
      </c>
      <c r="AG168" s="105" t="s">
        <v>1842</v>
      </c>
      <c r="AH168" s="91">
        <v>9</v>
      </c>
      <c r="AI168" s="105" t="s">
        <v>1842</v>
      </c>
    </row>
    <row r="169" spans="1:35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>
        <f t="shared" si="7"/>
        <v>0</v>
      </c>
      <c r="AC169">
        <f t="shared" si="8"/>
        <v>1</v>
      </c>
      <c r="AD169" s="67"/>
      <c r="AE169" s="87">
        <f t="shared" si="6"/>
        <v>1</v>
      </c>
      <c r="AF169" s="91">
        <v>5</v>
      </c>
      <c r="AG169" s="105" t="s">
        <v>1846</v>
      </c>
      <c r="AH169" s="91">
        <v>5</v>
      </c>
      <c r="AI169" s="105" t="s">
        <v>1846</v>
      </c>
    </row>
    <row r="170" spans="1:35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>
        <f t="shared" si="7"/>
        <v>0</v>
      </c>
      <c r="AC170">
        <f t="shared" si="8"/>
        <v>1</v>
      </c>
      <c r="AD170" s="67"/>
      <c r="AE170" s="87">
        <f t="shared" si="6"/>
        <v>1</v>
      </c>
      <c r="AF170" s="91">
        <v>10</v>
      </c>
      <c r="AG170" s="105" t="s">
        <v>1782</v>
      </c>
      <c r="AH170" s="91">
        <v>10</v>
      </c>
      <c r="AI170" s="105" t="s">
        <v>1782</v>
      </c>
    </row>
    <row r="171" spans="1:35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>
        <f t="shared" si="7"/>
        <v>0</v>
      </c>
      <c r="AC171">
        <f t="shared" si="8"/>
        <v>1</v>
      </c>
      <c r="AD171" s="67"/>
      <c r="AE171" s="87">
        <f t="shared" si="6"/>
        <v>1</v>
      </c>
      <c r="AF171" s="91" t="s">
        <v>1825</v>
      </c>
      <c r="AG171" s="105" t="s">
        <v>1855</v>
      </c>
      <c r="AH171" s="91" t="s">
        <v>1825</v>
      </c>
      <c r="AI171" s="105" t="s">
        <v>1855</v>
      </c>
    </row>
    <row r="172" spans="1:35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>
        <f t="shared" si="7"/>
        <v>0</v>
      </c>
      <c r="AC172">
        <f t="shared" si="8"/>
        <v>1</v>
      </c>
      <c r="AD172" s="67"/>
      <c r="AE172" s="87">
        <f t="shared" si="6"/>
        <v>1</v>
      </c>
      <c r="AF172" s="91">
        <v>3</v>
      </c>
      <c r="AG172" s="105" t="s">
        <v>1855</v>
      </c>
      <c r="AH172" s="91">
        <v>3</v>
      </c>
      <c r="AI172" s="105" t="s">
        <v>1855</v>
      </c>
    </row>
    <row r="173" spans="1:35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>
        <f t="shared" si="7"/>
        <v>0</v>
      </c>
      <c r="AC173">
        <f t="shared" si="8"/>
        <v>0</v>
      </c>
      <c r="AD173" s="67"/>
      <c r="AE173" s="87">
        <f t="shared" si="6"/>
        <v>0.77777777777777779</v>
      </c>
      <c r="AF173" s="91">
        <v>1</v>
      </c>
      <c r="AG173" s="64" t="s">
        <v>1828</v>
      </c>
      <c r="AH173" s="91">
        <v>1</v>
      </c>
      <c r="AI173" s="64" t="s">
        <v>1828</v>
      </c>
    </row>
    <row r="174" spans="1:35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/>
      <c r="AA174" s="66"/>
      <c r="AB174">
        <f t="shared" si="7"/>
        <v>0</v>
      </c>
      <c r="AC174">
        <f t="shared" si="8"/>
        <v>0</v>
      </c>
      <c r="AD174" s="67"/>
      <c r="AE174" s="87">
        <f t="shared" si="6"/>
        <v>0.77777777777777779</v>
      </c>
      <c r="AF174" s="91">
        <v>1</v>
      </c>
      <c r="AG174" s="64" t="s">
        <v>1828</v>
      </c>
      <c r="AH174" s="91">
        <v>1</v>
      </c>
      <c r="AI174" s="64" t="s">
        <v>1828</v>
      </c>
    </row>
    <row r="175" spans="1:35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>
        <f t="shared" si="7"/>
        <v>0</v>
      </c>
      <c r="AC175">
        <f t="shared" si="8"/>
        <v>0</v>
      </c>
      <c r="AD175" s="67"/>
      <c r="AE175" s="87">
        <f t="shared" si="6"/>
        <v>0.72222222222222221</v>
      </c>
      <c r="AF175" s="91">
        <v>1</v>
      </c>
      <c r="AG175" s="64" t="s">
        <v>1828</v>
      </c>
      <c r="AH175" s="91">
        <v>1</v>
      </c>
      <c r="AI175" s="64" t="s">
        <v>1828</v>
      </c>
    </row>
    <row r="176" spans="1:35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>
        <f t="shared" si="7"/>
        <v>0</v>
      </c>
      <c r="AC176">
        <f t="shared" si="8"/>
        <v>0</v>
      </c>
      <c r="AD176" s="67"/>
      <c r="AE176" s="87">
        <f t="shared" si="6"/>
        <v>0.72222222222222221</v>
      </c>
      <c r="AF176" s="91">
        <v>1</v>
      </c>
      <c r="AG176" s="64" t="s">
        <v>1828</v>
      </c>
      <c r="AH176" s="91">
        <v>1</v>
      </c>
      <c r="AI176" s="64" t="s">
        <v>1828</v>
      </c>
    </row>
    <row r="177" spans="1:35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>
        <f t="shared" si="7"/>
        <v>0</v>
      </c>
      <c r="AC177">
        <f t="shared" si="8"/>
        <v>0</v>
      </c>
      <c r="AD177" s="67"/>
      <c r="AE177" s="87">
        <f t="shared" si="6"/>
        <v>0.72222222222222221</v>
      </c>
      <c r="AF177" s="91">
        <v>1</v>
      </c>
      <c r="AG177" s="64" t="s">
        <v>1828</v>
      </c>
      <c r="AH177" s="91">
        <v>1</v>
      </c>
      <c r="AI177" s="64" t="s">
        <v>1828</v>
      </c>
    </row>
    <row r="178" spans="1:35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>
        <f t="shared" si="7"/>
        <v>0</v>
      </c>
      <c r="AC178">
        <f t="shared" si="8"/>
        <v>0</v>
      </c>
      <c r="AD178" s="67"/>
      <c r="AE178" s="87">
        <f t="shared" si="6"/>
        <v>0.72222222222222221</v>
      </c>
      <c r="AF178" s="91">
        <v>1</v>
      </c>
      <c r="AG178" s="64" t="s">
        <v>1828</v>
      </c>
      <c r="AH178" s="91">
        <v>1</v>
      </c>
      <c r="AI178" s="64" t="s">
        <v>1828</v>
      </c>
    </row>
    <row r="179" spans="1:35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>
        <f t="shared" si="7"/>
        <v>0</v>
      </c>
      <c r="AC179">
        <f t="shared" si="8"/>
        <v>0</v>
      </c>
      <c r="AD179" s="67"/>
      <c r="AE179" s="87">
        <f t="shared" si="6"/>
        <v>0.72222222222222221</v>
      </c>
      <c r="AF179" s="91">
        <v>1</v>
      </c>
      <c r="AG179" s="64" t="s">
        <v>1828</v>
      </c>
      <c r="AH179" s="91">
        <v>1</v>
      </c>
      <c r="AI179" s="64" t="s">
        <v>1828</v>
      </c>
    </row>
    <row r="180" spans="1:35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>
        <f t="shared" si="7"/>
        <v>0</v>
      </c>
      <c r="AC180">
        <f t="shared" si="8"/>
        <v>0</v>
      </c>
      <c r="AD180" s="67"/>
      <c r="AE180" s="87">
        <f t="shared" si="6"/>
        <v>0.72222222222222221</v>
      </c>
      <c r="AF180" s="91">
        <v>1</v>
      </c>
      <c r="AG180" s="64" t="s">
        <v>1828</v>
      </c>
      <c r="AH180" s="91">
        <v>1</v>
      </c>
      <c r="AI180" s="64" t="s">
        <v>1828</v>
      </c>
    </row>
    <row r="181" spans="1:35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>
        <f t="shared" si="7"/>
        <v>0</v>
      </c>
      <c r="AC181">
        <f t="shared" si="8"/>
        <v>0</v>
      </c>
      <c r="AD181" s="67"/>
      <c r="AE181" s="87">
        <f t="shared" si="6"/>
        <v>0.72222222222222221</v>
      </c>
      <c r="AF181" s="91">
        <v>1</v>
      </c>
      <c r="AG181" s="64" t="s">
        <v>1828</v>
      </c>
      <c r="AH181" s="91">
        <v>1</v>
      </c>
      <c r="AI181" s="64" t="s">
        <v>1828</v>
      </c>
    </row>
    <row r="182" spans="1:35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>
        <f t="shared" si="7"/>
        <v>0</v>
      </c>
      <c r="AC182">
        <f t="shared" si="8"/>
        <v>0</v>
      </c>
      <c r="AD182" s="67"/>
      <c r="AE182" s="87">
        <f t="shared" si="6"/>
        <v>0.72222222222222221</v>
      </c>
      <c r="AF182" s="91">
        <v>1</v>
      </c>
      <c r="AG182" s="64" t="s">
        <v>1828</v>
      </c>
      <c r="AH182" s="91">
        <v>1</v>
      </c>
      <c r="AI182" s="64" t="s">
        <v>1828</v>
      </c>
    </row>
    <row r="183" spans="1:35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>
        <f t="shared" si="7"/>
        <v>0</v>
      </c>
      <c r="AC183">
        <f t="shared" si="8"/>
        <v>0</v>
      </c>
      <c r="AD183" s="67"/>
      <c r="AE183" s="87">
        <f t="shared" si="6"/>
        <v>0.77777777777777779</v>
      </c>
      <c r="AF183" s="91">
        <v>2</v>
      </c>
      <c r="AG183" s="103" t="s">
        <v>1829</v>
      </c>
      <c r="AH183" s="91">
        <v>2</v>
      </c>
      <c r="AI183" s="103" t="s">
        <v>1829</v>
      </c>
    </row>
    <row r="184" spans="1:35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>
        <f t="shared" si="7"/>
        <v>0</v>
      </c>
      <c r="AC184">
        <f t="shared" si="8"/>
        <v>0</v>
      </c>
      <c r="AD184" s="73" t="s">
        <v>1864</v>
      </c>
      <c r="AE184" s="87">
        <f t="shared" si="6"/>
        <v>0.77777777777777779</v>
      </c>
      <c r="AF184" s="91">
        <v>2</v>
      </c>
      <c r="AG184" s="103" t="s">
        <v>1829</v>
      </c>
      <c r="AH184" s="91">
        <v>2</v>
      </c>
      <c r="AI184" s="103" t="s">
        <v>1829</v>
      </c>
    </row>
    <row r="185" spans="1:35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/>
      <c r="X185" s="66"/>
      <c r="Y185" s="66" t="s">
        <v>36</v>
      </c>
      <c r="Z185" s="66"/>
      <c r="AA185" s="66"/>
      <c r="AB185">
        <f t="shared" si="7"/>
        <v>0</v>
      </c>
      <c r="AC185">
        <f t="shared" si="8"/>
        <v>0</v>
      </c>
      <c r="AD185" s="67"/>
      <c r="AE185" s="87">
        <f t="shared" si="6"/>
        <v>0.55555555555555558</v>
      </c>
      <c r="AF185" s="91">
        <v>2</v>
      </c>
      <c r="AG185" s="103" t="s">
        <v>1829</v>
      </c>
      <c r="AH185" s="91">
        <v>2</v>
      </c>
      <c r="AI185" s="103" t="s">
        <v>1829</v>
      </c>
    </row>
    <row r="186" spans="1:35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>
        <f t="shared" si="7"/>
        <v>0</v>
      </c>
      <c r="AC186">
        <f t="shared" si="8"/>
        <v>0</v>
      </c>
      <c r="AD186" s="67"/>
      <c r="AE186" s="87">
        <f t="shared" si="6"/>
        <v>0.77777777777777779</v>
      </c>
      <c r="AF186" s="91">
        <v>2</v>
      </c>
      <c r="AG186" s="103" t="s">
        <v>1829</v>
      </c>
      <c r="AH186" s="91">
        <v>2</v>
      </c>
      <c r="AI186" s="103" t="s">
        <v>1829</v>
      </c>
    </row>
    <row r="187" spans="1:35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>
        <f t="shared" si="7"/>
        <v>0</v>
      </c>
      <c r="AC187">
        <f t="shared" si="8"/>
        <v>0</v>
      </c>
      <c r="AD187" s="67"/>
      <c r="AE187" s="87">
        <f t="shared" si="6"/>
        <v>0.77777777777777779</v>
      </c>
      <c r="AF187" s="91">
        <v>2</v>
      </c>
      <c r="AG187" s="103" t="s">
        <v>1829</v>
      </c>
      <c r="AH187" s="91">
        <v>2</v>
      </c>
      <c r="AI187" s="103" t="s">
        <v>1829</v>
      </c>
    </row>
    <row r="188" spans="1:35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>
        <f t="shared" si="7"/>
        <v>0</v>
      </c>
      <c r="AC188">
        <f t="shared" si="8"/>
        <v>0</v>
      </c>
      <c r="AD188" s="67"/>
      <c r="AE188" s="87">
        <f t="shared" si="6"/>
        <v>0.77777777777777779</v>
      </c>
      <c r="AF188" s="91">
        <v>2</v>
      </c>
      <c r="AG188" s="103" t="s">
        <v>1829</v>
      </c>
      <c r="AH188" s="91">
        <v>2</v>
      </c>
      <c r="AI188" s="103" t="s">
        <v>1829</v>
      </c>
    </row>
    <row r="189" spans="1:35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>
        <f t="shared" si="7"/>
        <v>0</v>
      </c>
      <c r="AC189">
        <f t="shared" si="8"/>
        <v>0</v>
      </c>
      <c r="AD189" s="67"/>
      <c r="AE189" s="87">
        <f t="shared" si="6"/>
        <v>0.77777777777777779</v>
      </c>
      <c r="AF189" s="91">
        <v>2</v>
      </c>
      <c r="AG189" s="103" t="s">
        <v>1829</v>
      </c>
      <c r="AH189" s="91">
        <v>2</v>
      </c>
      <c r="AI189" s="103" t="s">
        <v>1829</v>
      </c>
    </row>
    <row r="190" spans="1:35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>
        <f t="shared" si="7"/>
        <v>0</v>
      </c>
      <c r="AC190">
        <f t="shared" si="8"/>
        <v>0</v>
      </c>
      <c r="AD190" s="67"/>
      <c r="AE190" s="87">
        <f t="shared" si="6"/>
        <v>0.24074074074074073</v>
      </c>
      <c r="AF190" s="91">
        <v>10</v>
      </c>
      <c r="AG190" s="64" t="s">
        <v>1787</v>
      </c>
      <c r="AH190" s="91">
        <v>10</v>
      </c>
      <c r="AI190" s="64" t="s">
        <v>1787</v>
      </c>
    </row>
    <row r="191" spans="1:35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>
        <f t="shared" si="7"/>
        <v>0</v>
      </c>
      <c r="AC191">
        <f t="shared" si="8"/>
        <v>0</v>
      </c>
      <c r="AD191" s="67"/>
      <c r="AE191" s="87">
        <f t="shared" si="6"/>
        <v>0.24074074074074073</v>
      </c>
      <c r="AF191" s="91">
        <v>10</v>
      </c>
      <c r="AG191" s="64" t="s">
        <v>1787</v>
      </c>
      <c r="AH191" s="91">
        <v>10</v>
      </c>
      <c r="AI191" s="64" t="s">
        <v>1787</v>
      </c>
    </row>
    <row r="192" spans="1:35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>
        <f t="shared" si="7"/>
        <v>0</v>
      </c>
      <c r="AC192">
        <f t="shared" si="8"/>
        <v>0</v>
      </c>
      <c r="AD192" s="67"/>
      <c r="AE192" s="87">
        <f t="shared" si="6"/>
        <v>0.46296296296296291</v>
      </c>
      <c r="AF192" s="91">
        <v>10</v>
      </c>
      <c r="AG192" s="64" t="s">
        <v>1787</v>
      </c>
      <c r="AH192" s="91">
        <v>10</v>
      </c>
      <c r="AI192" s="64" t="s">
        <v>1787</v>
      </c>
    </row>
    <row r="193" spans="1:35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176</v>
      </c>
      <c r="V193" s="66" t="s">
        <v>176</v>
      </c>
      <c r="W193" s="66"/>
      <c r="X193" s="66"/>
      <c r="Y193" s="66"/>
      <c r="Z193" s="66"/>
      <c r="AA193" s="66"/>
      <c r="AB193">
        <f t="shared" si="7"/>
        <v>0</v>
      </c>
      <c r="AC193">
        <f t="shared" si="8"/>
        <v>0</v>
      </c>
      <c r="AD193" s="67"/>
      <c r="AE193" s="87">
        <f t="shared" si="6"/>
        <v>0.24074074074074073</v>
      </c>
      <c r="AF193" s="91">
        <v>10</v>
      </c>
      <c r="AG193" s="64" t="s">
        <v>1787</v>
      </c>
      <c r="AH193" s="91">
        <v>10</v>
      </c>
      <c r="AI193" s="64" t="s">
        <v>1787</v>
      </c>
    </row>
    <row r="194" spans="1:35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>
        <f t="shared" si="7"/>
        <v>0</v>
      </c>
      <c r="AC194">
        <f t="shared" si="8"/>
        <v>0</v>
      </c>
      <c r="AD194" s="67"/>
      <c r="AE194" s="87">
        <f t="shared" ref="AE194:AE222" si="9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F194" s="91">
        <v>10</v>
      </c>
      <c r="AG194" s="64" t="s">
        <v>1787</v>
      </c>
      <c r="AH194" s="91">
        <v>10</v>
      </c>
      <c r="AI194" s="64" t="s">
        <v>1787</v>
      </c>
    </row>
    <row r="195" spans="1:35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>
        <f t="shared" ref="AB195:AB258" si="10">IF(OR(AND(Z195="SI",AA195="NO"),AND(Z195="NO",AA195="SI")),1,0)</f>
        <v>0</v>
      </c>
      <c r="AC195">
        <f t="shared" ref="AC195:AC258" si="11">IF(AND(OR(Z195="SI",Z195="NO APLICA"),OR(AA195="SI",AA195="NO APLICA")),1,0)</f>
        <v>0</v>
      </c>
      <c r="AD195" s="67"/>
      <c r="AE195" s="87">
        <f t="shared" si="9"/>
        <v>0.24074074074074073</v>
      </c>
      <c r="AF195" s="91">
        <v>10</v>
      </c>
      <c r="AG195" s="64" t="s">
        <v>1787</v>
      </c>
      <c r="AH195" s="91">
        <v>10</v>
      </c>
      <c r="AI195" s="64" t="s">
        <v>1787</v>
      </c>
    </row>
    <row r="196" spans="1:35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>
        <f t="shared" si="10"/>
        <v>0</v>
      </c>
      <c r="AC196">
        <f t="shared" si="11"/>
        <v>0</v>
      </c>
      <c r="AD196" s="67"/>
      <c r="AE196" s="87">
        <f t="shared" si="9"/>
        <v>0.24074074074074073</v>
      </c>
      <c r="AF196" s="91">
        <v>10</v>
      </c>
      <c r="AG196" s="64" t="s">
        <v>1787</v>
      </c>
      <c r="AH196" s="91">
        <v>10</v>
      </c>
      <c r="AI196" s="64" t="s">
        <v>1787</v>
      </c>
    </row>
    <row r="197" spans="1:35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>
        <f t="shared" si="10"/>
        <v>0</v>
      </c>
      <c r="AC197">
        <f t="shared" si="11"/>
        <v>0</v>
      </c>
      <c r="AD197" s="67"/>
      <c r="AE197" s="87">
        <f t="shared" si="9"/>
        <v>0.24074074074074073</v>
      </c>
      <c r="AF197" s="91">
        <v>10</v>
      </c>
      <c r="AG197" s="64" t="s">
        <v>1787</v>
      </c>
      <c r="AH197" s="91">
        <v>10</v>
      </c>
      <c r="AI197" s="64" t="s">
        <v>1787</v>
      </c>
    </row>
    <row r="198" spans="1:35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176</v>
      </c>
      <c r="V198" s="66" t="s">
        <v>176</v>
      </c>
      <c r="W198" s="66"/>
      <c r="X198" s="66"/>
      <c r="Y198" s="66"/>
      <c r="Z198" s="66"/>
      <c r="AA198" s="66"/>
      <c r="AB198">
        <f t="shared" si="10"/>
        <v>0</v>
      </c>
      <c r="AC198">
        <f t="shared" si="11"/>
        <v>0</v>
      </c>
      <c r="AD198" s="67"/>
      <c r="AE198" s="87">
        <f t="shared" si="9"/>
        <v>0.24074074074074073</v>
      </c>
      <c r="AF198" s="91">
        <v>10</v>
      </c>
      <c r="AG198" s="64" t="s">
        <v>1787</v>
      </c>
      <c r="AH198" s="91">
        <v>10</v>
      </c>
      <c r="AI198" s="64" t="s">
        <v>1787</v>
      </c>
    </row>
    <row r="199" spans="1:35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>
        <f t="shared" si="10"/>
        <v>0</v>
      </c>
      <c r="AC199">
        <f t="shared" si="11"/>
        <v>0</v>
      </c>
      <c r="AD199" s="67"/>
      <c r="AE199" s="87">
        <f t="shared" si="9"/>
        <v>0.24074074074074073</v>
      </c>
      <c r="AF199" s="91">
        <v>10</v>
      </c>
      <c r="AG199" s="64" t="s">
        <v>1787</v>
      </c>
      <c r="AH199" s="91">
        <v>10</v>
      </c>
      <c r="AI199" s="64" t="s">
        <v>1787</v>
      </c>
    </row>
    <row r="200" spans="1:35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213</v>
      </c>
      <c r="W200" s="66" t="s">
        <v>35</v>
      </c>
      <c r="X200" s="66" t="s">
        <v>175</v>
      </c>
      <c r="Y200" s="66"/>
      <c r="Z200" s="66"/>
      <c r="AA200" s="66"/>
      <c r="AB200">
        <f t="shared" si="10"/>
        <v>0</v>
      </c>
      <c r="AC200">
        <f t="shared" si="11"/>
        <v>0</v>
      </c>
      <c r="AD200" s="67"/>
      <c r="AE200" s="87">
        <f t="shared" si="9"/>
        <v>0.51851851851851849</v>
      </c>
      <c r="AF200" s="91">
        <v>10</v>
      </c>
      <c r="AG200" s="64" t="s">
        <v>1787</v>
      </c>
      <c r="AH200" s="91">
        <v>10</v>
      </c>
      <c r="AI200" s="64" t="s">
        <v>1787</v>
      </c>
    </row>
    <row r="201" spans="1:35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>
        <f t="shared" si="10"/>
        <v>0</v>
      </c>
      <c r="AC201">
        <f t="shared" si="11"/>
        <v>0</v>
      </c>
      <c r="AD201" s="67"/>
      <c r="AE201" s="87">
        <f t="shared" si="9"/>
        <v>0.24074074074074073</v>
      </c>
      <c r="AF201" s="91">
        <v>10</v>
      </c>
      <c r="AG201" s="64" t="s">
        <v>1787</v>
      </c>
      <c r="AH201" s="91">
        <v>10</v>
      </c>
      <c r="AI201" s="64" t="s">
        <v>1787</v>
      </c>
    </row>
    <row r="202" spans="1:35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>
        <f t="shared" si="10"/>
        <v>0</v>
      </c>
      <c r="AC202">
        <f t="shared" si="11"/>
        <v>0</v>
      </c>
      <c r="AD202" s="67"/>
      <c r="AE202" s="87">
        <f t="shared" si="9"/>
        <v>0.24074074074074073</v>
      </c>
      <c r="AF202" s="91">
        <v>10</v>
      </c>
      <c r="AG202" s="64" t="s">
        <v>1787</v>
      </c>
      <c r="AH202" s="91">
        <v>10</v>
      </c>
      <c r="AI202" s="64" t="s">
        <v>1787</v>
      </c>
    </row>
    <row r="203" spans="1:35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>
        <f t="shared" si="10"/>
        <v>0</v>
      </c>
      <c r="AC203">
        <f t="shared" si="11"/>
        <v>0</v>
      </c>
      <c r="AD203" s="67"/>
      <c r="AE203" s="87">
        <f t="shared" si="9"/>
        <v>3.7037037037037035E-2</v>
      </c>
      <c r="AF203" s="91">
        <v>7</v>
      </c>
      <c r="AG203" s="103" t="s">
        <v>1832</v>
      </c>
      <c r="AH203" s="91">
        <v>7</v>
      </c>
      <c r="AI203" s="103" t="s">
        <v>1832</v>
      </c>
    </row>
    <row r="204" spans="1:35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>
        <f t="shared" si="10"/>
        <v>0</v>
      </c>
      <c r="AC204">
        <f t="shared" si="11"/>
        <v>0</v>
      </c>
      <c r="AD204" s="67"/>
      <c r="AE204" s="87">
        <f t="shared" si="9"/>
        <v>3.7037037037037035E-2</v>
      </c>
      <c r="AF204" s="91">
        <v>7</v>
      </c>
      <c r="AG204" s="103" t="s">
        <v>1832</v>
      </c>
      <c r="AH204" s="91">
        <v>7</v>
      </c>
      <c r="AI204" s="103" t="s">
        <v>1832</v>
      </c>
    </row>
    <row r="205" spans="1:35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>
        <f t="shared" si="10"/>
        <v>0</v>
      </c>
      <c r="AC205">
        <f t="shared" si="11"/>
        <v>0</v>
      </c>
      <c r="AD205" s="67"/>
      <c r="AE205" s="87">
        <f t="shared" si="9"/>
        <v>3.7037037037037035E-2</v>
      </c>
      <c r="AF205" s="91">
        <v>7</v>
      </c>
      <c r="AG205" s="103" t="s">
        <v>1832</v>
      </c>
      <c r="AH205" s="91">
        <v>7</v>
      </c>
      <c r="AI205" s="103" t="s">
        <v>1832</v>
      </c>
    </row>
    <row r="206" spans="1:35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>
        <f t="shared" si="10"/>
        <v>0</v>
      </c>
      <c r="AC206">
        <f t="shared" si="11"/>
        <v>0</v>
      </c>
      <c r="AD206" s="67"/>
      <c r="AE206" s="87">
        <f t="shared" si="9"/>
        <v>3.7037037037037035E-2</v>
      </c>
      <c r="AF206" s="91">
        <v>7</v>
      </c>
      <c r="AG206" s="103" t="s">
        <v>1832</v>
      </c>
      <c r="AH206" s="91">
        <v>7</v>
      </c>
      <c r="AI206" s="103" t="s">
        <v>1832</v>
      </c>
    </row>
    <row r="207" spans="1:35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>
        <f t="shared" si="10"/>
        <v>0</v>
      </c>
      <c r="AC207">
        <f t="shared" si="11"/>
        <v>0</v>
      </c>
      <c r="AD207" s="67"/>
      <c r="AE207" s="87">
        <f t="shared" si="9"/>
        <v>3.7037037037037035E-2</v>
      </c>
      <c r="AF207" s="91">
        <v>7</v>
      </c>
      <c r="AG207" s="103" t="s">
        <v>1832</v>
      </c>
      <c r="AH207" s="91">
        <v>7</v>
      </c>
      <c r="AI207" s="103" t="s">
        <v>1832</v>
      </c>
    </row>
    <row r="208" spans="1:35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>
        <f t="shared" si="10"/>
        <v>0</v>
      </c>
      <c r="AC208">
        <f t="shared" si="11"/>
        <v>0</v>
      </c>
      <c r="AD208" s="67"/>
      <c r="AE208" s="87">
        <f t="shared" si="9"/>
        <v>3.7037037037037035E-2</v>
      </c>
      <c r="AF208" s="91">
        <v>7</v>
      </c>
      <c r="AG208" s="103" t="s">
        <v>1832</v>
      </c>
      <c r="AH208" s="91">
        <v>7</v>
      </c>
      <c r="AI208" s="103" t="s">
        <v>1832</v>
      </c>
    </row>
    <row r="209" spans="1:35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>
        <f t="shared" si="10"/>
        <v>0</v>
      </c>
      <c r="AC209">
        <f t="shared" si="11"/>
        <v>0</v>
      </c>
      <c r="AD209" s="67"/>
      <c r="AE209" s="87">
        <f t="shared" si="9"/>
        <v>3.7037037037037035E-2</v>
      </c>
      <c r="AF209" s="91">
        <v>7</v>
      </c>
      <c r="AG209" s="103" t="s">
        <v>1832</v>
      </c>
      <c r="AH209" s="91">
        <v>7</v>
      </c>
      <c r="AI209" s="103" t="s">
        <v>1832</v>
      </c>
    </row>
    <row r="210" spans="1:35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>
        <f t="shared" si="10"/>
        <v>0</v>
      </c>
      <c r="AC210">
        <f t="shared" si="11"/>
        <v>0</v>
      </c>
      <c r="AD210" s="67"/>
      <c r="AE210" s="87">
        <f t="shared" si="9"/>
        <v>3.7037037037037035E-2</v>
      </c>
      <c r="AF210" s="91">
        <v>8</v>
      </c>
      <c r="AG210" s="103" t="s">
        <v>1833</v>
      </c>
      <c r="AH210" s="91">
        <v>8</v>
      </c>
      <c r="AI210" s="103" t="s">
        <v>1833</v>
      </c>
    </row>
    <row r="211" spans="1:35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>
        <f t="shared" si="10"/>
        <v>0</v>
      </c>
      <c r="AC211">
        <f t="shared" si="11"/>
        <v>0</v>
      </c>
      <c r="AD211" s="67"/>
      <c r="AE211" s="87">
        <f t="shared" si="9"/>
        <v>3.7037037037037035E-2</v>
      </c>
      <c r="AF211" s="91">
        <v>8</v>
      </c>
      <c r="AG211" s="103" t="s">
        <v>1833</v>
      </c>
      <c r="AH211" s="91">
        <v>8</v>
      </c>
      <c r="AI211" s="103" t="s">
        <v>1833</v>
      </c>
    </row>
    <row r="212" spans="1:35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>
        <f t="shared" si="10"/>
        <v>0</v>
      </c>
      <c r="AC212">
        <f t="shared" si="11"/>
        <v>0</v>
      </c>
      <c r="AD212" s="67"/>
      <c r="AE212" s="87">
        <f t="shared" si="9"/>
        <v>3.7037037037037035E-2</v>
      </c>
      <c r="AF212" s="91">
        <v>8</v>
      </c>
      <c r="AG212" s="103" t="s">
        <v>1833</v>
      </c>
      <c r="AH212" s="91">
        <v>8</v>
      </c>
      <c r="AI212" s="103" t="s">
        <v>1833</v>
      </c>
    </row>
    <row r="213" spans="1:35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>
        <f t="shared" si="10"/>
        <v>0</v>
      </c>
      <c r="AC213">
        <f t="shared" si="11"/>
        <v>0</v>
      </c>
      <c r="AD213" s="67"/>
      <c r="AE213" s="87">
        <f t="shared" si="9"/>
        <v>3.7037037037037035E-2</v>
      </c>
      <c r="AF213" s="91">
        <v>8</v>
      </c>
      <c r="AG213" s="103" t="s">
        <v>1833</v>
      </c>
      <c r="AH213" s="91">
        <v>8</v>
      </c>
      <c r="AI213" s="103" t="s">
        <v>1833</v>
      </c>
    </row>
    <row r="214" spans="1:35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>
        <f t="shared" si="10"/>
        <v>0</v>
      </c>
      <c r="AC214">
        <f t="shared" si="11"/>
        <v>0</v>
      </c>
      <c r="AD214" s="67"/>
      <c r="AE214" s="87">
        <f t="shared" si="9"/>
        <v>3.7037037037037035E-2</v>
      </c>
      <c r="AF214" s="91">
        <v>8</v>
      </c>
      <c r="AG214" s="103" t="s">
        <v>1833</v>
      </c>
      <c r="AH214" s="91">
        <v>8</v>
      </c>
      <c r="AI214" s="103" t="s">
        <v>1833</v>
      </c>
    </row>
    <row r="215" spans="1:35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>
        <f t="shared" si="10"/>
        <v>0</v>
      </c>
      <c r="AC215">
        <f t="shared" si="11"/>
        <v>0</v>
      </c>
      <c r="AD215" s="67"/>
      <c r="AE215" s="87">
        <f t="shared" si="9"/>
        <v>3.7037037037037035E-2</v>
      </c>
      <c r="AF215" s="91">
        <v>8</v>
      </c>
      <c r="AG215" s="103" t="s">
        <v>1833</v>
      </c>
      <c r="AH215" s="91">
        <v>8</v>
      </c>
      <c r="AI215" s="103" t="s">
        <v>1833</v>
      </c>
    </row>
    <row r="216" spans="1:35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>
        <f t="shared" si="10"/>
        <v>0</v>
      </c>
      <c r="AC216">
        <f t="shared" si="11"/>
        <v>0</v>
      </c>
      <c r="AD216" s="67"/>
      <c r="AE216" s="87">
        <f t="shared" si="9"/>
        <v>3.7037037037037035E-2</v>
      </c>
      <c r="AF216" s="91">
        <v>8</v>
      </c>
      <c r="AG216" s="103" t="s">
        <v>1833</v>
      </c>
      <c r="AH216" s="91">
        <v>8</v>
      </c>
      <c r="AI216" s="103" t="s">
        <v>1833</v>
      </c>
    </row>
    <row r="217" spans="1:35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>
        <f t="shared" si="10"/>
        <v>0</v>
      </c>
      <c r="AC217">
        <f t="shared" si="11"/>
        <v>0</v>
      </c>
      <c r="AD217" s="67"/>
      <c r="AE217" s="87">
        <f t="shared" si="9"/>
        <v>3.7037037037037035E-2</v>
      </c>
      <c r="AF217" s="91">
        <v>8</v>
      </c>
      <c r="AG217" s="103" t="s">
        <v>1833</v>
      </c>
      <c r="AH217" s="91">
        <v>8</v>
      </c>
      <c r="AI217" s="103" t="s">
        <v>1833</v>
      </c>
    </row>
    <row r="218" spans="1:35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>
        <f t="shared" si="10"/>
        <v>0</v>
      </c>
      <c r="AC218">
        <f t="shared" si="11"/>
        <v>0</v>
      </c>
      <c r="AD218" s="67"/>
      <c r="AE218" s="87">
        <f t="shared" si="9"/>
        <v>0.77777777777777779</v>
      </c>
      <c r="AF218" s="91">
        <v>10</v>
      </c>
      <c r="AG218" s="104" t="s">
        <v>1780</v>
      </c>
      <c r="AH218" s="91">
        <v>10</v>
      </c>
      <c r="AI218" s="104" t="s">
        <v>1780</v>
      </c>
    </row>
    <row r="219" spans="1:35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>
        <f t="shared" si="10"/>
        <v>0</v>
      </c>
      <c r="AC219">
        <f t="shared" si="11"/>
        <v>0</v>
      </c>
      <c r="AD219" s="67"/>
      <c r="AE219" s="87">
        <f t="shared" si="9"/>
        <v>0.77777777777777779</v>
      </c>
      <c r="AF219" s="91">
        <v>10</v>
      </c>
      <c r="AG219" s="104" t="s">
        <v>1780</v>
      </c>
      <c r="AH219" s="91">
        <v>10</v>
      </c>
      <c r="AI219" s="104" t="s">
        <v>1780</v>
      </c>
    </row>
    <row r="220" spans="1:35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>
        <f t="shared" si="10"/>
        <v>0</v>
      </c>
      <c r="AC220">
        <f t="shared" si="11"/>
        <v>0</v>
      </c>
      <c r="AD220" s="67"/>
      <c r="AE220" s="87">
        <f t="shared" si="9"/>
        <v>0.77777777777777779</v>
      </c>
      <c r="AF220" s="91">
        <v>10</v>
      </c>
      <c r="AG220" s="104" t="s">
        <v>1780</v>
      </c>
      <c r="AH220" s="91">
        <v>10</v>
      </c>
      <c r="AI220" s="104" t="s">
        <v>1780</v>
      </c>
    </row>
    <row r="221" spans="1:35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>
        <f t="shared" si="10"/>
        <v>0</v>
      </c>
      <c r="AC221">
        <f t="shared" si="11"/>
        <v>0</v>
      </c>
      <c r="AD221" s="67"/>
      <c r="AE221" s="87">
        <f t="shared" si="9"/>
        <v>0.66666666666666663</v>
      </c>
      <c r="AF221" s="91">
        <v>3</v>
      </c>
      <c r="AG221" s="64" t="s">
        <v>1798</v>
      </c>
      <c r="AH221" s="91">
        <v>3</v>
      </c>
      <c r="AI221" s="64" t="s">
        <v>1798</v>
      </c>
    </row>
    <row r="222" spans="1:35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>
        <f t="shared" si="10"/>
        <v>0</v>
      </c>
      <c r="AC222">
        <f t="shared" si="11"/>
        <v>0</v>
      </c>
      <c r="AD222" s="67"/>
      <c r="AE222" s="87">
        <f t="shared" si="9"/>
        <v>0.31481481481481477</v>
      </c>
      <c r="AF222" s="91">
        <v>4</v>
      </c>
      <c r="AG222" s="64" t="s">
        <v>1784</v>
      </c>
      <c r="AH222" s="91">
        <v>4</v>
      </c>
      <c r="AI222" s="64" t="s">
        <v>1784</v>
      </c>
    </row>
    <row r="223" spans="1:35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46"/>
      <c r="X223" s="66"/>
      <c r="Y223" s="66"/>
      <c r="Z223" s="66"/>
      <c r="AA223" s="66"/>
      <c r="AB223">
        <f t="shared" si="10"/>
        <v>0</v>
      </c>
      <c r="AC223">
        <f t="shared" si="11"/>
        <v>0</v>
      </c>
      <c r="AD223" s="67"/>
      <c r="AE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0.31481481481481477</v>
      </c>
      <c r="AF223" s="91">
        <v>4</v>
      </c>
      <c r="AG223" s="64" t="s">
        <v>1784</v>
      </c>
      <c r="AH223" s="91">
        <v>4</v>
      </c>
      <c r="AI223" s="64" t="s">
        <v>1784</v>
      </c>
    </row>
    <row r="224" spans="1:35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6"/>
      <c r="AB224">
        <f t="shared" si="10"/>
        <v>0</v>
      </c>
      <c r="AC224">
        <f t="shared" si="11"/>
        <v>0</v>
      </c>
      <c r="AD224" s="67"/>
      <c r="AE224" s="87">
        <v>0.315</v>
      </c>
      <c r="AF224" s="91">
        <v>4</v>
      </c>
      <c r="AG224" s="64" t="s">
        <v>1784</v>
      </c>
      <c r="AH224" s="91">
        <v>4</v>
      </c>
      <c r="AI224" s="64" t="s">
        <v>1784</v>
      </c>
    </row>
    <row r="225" spans="1:35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>
        <f t="shared" si="10"/>
        <v>0</v>
      </c>
      <c r="AC225">
        <f t="shared" si="11"/>
        <v>0</v>
      </c>
      <c r="AD225" s="67"/>
      <c r="AE225" s="87">
        <f t="shared" ref="AE225:AE288" si="12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F225" s="91">
        <v>4</v>
      </c>
      <c r="AG225" s="64" t="s">
        <v>1784</v>
      </c>
      <c r="AH225" s="91">
        <v>4</v>
      </c>
      <c r="AI225" s="64" t="s">
        <v>1784</v>
      </c>
    </row>
    <row r="226" spans="1:35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6"/>
      <c r="AB226">
        <f t="shared" si="10"/>
        <v>0</v>
      </c>
      <c r="AC226">
        <f t="shared" si="11"/>
        <v>0</v>
      </c>
      <c r="AD226" s="67"/>
      <c r="AE226" s="87">
        <f t="shared" si="12"/>
        <v>0.31481481481481477</v>
      </c>
      <c r="AF226" s="91">
        <v>4</v>
      </c>
      <c r="AG226" s="64" t="s">
        <v>1784</v>
      </c>
      <c r="AH226" s="91">
        <v>4</v>
      </c>
      <c r="AI226" s="64" t="s">
        <v>1784</v>
      </c>
    </row>
    <row r="227" spans="1:35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>
        <f t="shared" si="10"/>
        <v>0</v>
      </c>
      <c r="AC227">
        <f t="shared" si="11"/>
        <v>0</v>
      </c>
      <c r="AD227" s="67"/>
      <c r="AE227" s="87">
        <f t="shared" si="12"/>
        <v>0.31481481481481477</v>
      </c>
      <c r="AF227" s="91">
        <v>4</v>
      </c>
      <c r="AG227" s="64" t="s">
        <v>1784</v>
      </c>
      <c r="AH227" s="91">
        <v>4</v>
      </c>
      <c r="AI227" s="64" t="s">
        <v>1784</v>
      </c>
    </row>
    <row r="228" spans="1:35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213</v>
      </c>
      <c r="V228" s="66" t="s">
        <v>213</v>
      </c>
      <c r="W228" s="66"/>
      <c r="X228" s="66"/>
      <c r="Y228" s="66"/>
      <c r="Z228" s="66"/>
      <c r="AA228" s="66"/>
      <c r="AB228">
        <f t="shared" si="10"/>
        <v>0</v>
      </c>
      <c r="AC228">
        <f t="shared" si="11"/>
        <v>0</v>
      </c>
      <c r="AD228" s="67"/>
      <c r="AE228" s="87">
        <f t="shared" si="12"/>
        <v>0.31481481481481477</v>
      </c>
      <c r="AF228" s="91">
        <v>4</v>
      </c>
      <c r="AG228" s="64" t="s">
        <v>1784</v>
      </c>
      <c r="AH228" s="91">
        <v>4</v>
      </c>
      <c r="AI228" s="64" t="s">
        <v>1784</v>
      </c>
    </row>
    <row r="229" spans="1:35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>
        <f t="shared" si="10"/>
        <v>0</v>
      </c>
      <c r="AC229">
        <f t="shared" si="11"/>
        <v>0</v>
      </c>
      <c r="AD229" s="67"/>
      <c r="AE229" s="87">
        <f t="shared" si="12"/>
        <v>0.31481481481481477</v>
      </c>
      <c r="AF229" s="91">
        <v>4</v>
      </c>
      <c r="AG229" s="64" t="s">
        <v>1784</v>
      </c>
      <c r="AH229" s="91">
        <v>4</v>
      </c>
      <c r="AI229" s="64" t="s">
        <v>1784</v>
      </c>
    </row>
    <row r="230" spans="1:35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>
        <f t="shared" si="10"/>
        <v>0</v>
      </c>
      <c r="AC230">
        <f t="shared" si="11"/>
        <v>0</v>
      </c>
      <c r="AD230" s="67"/>
      <c r="AE230" s="87">
        <f t="shared" si="12"/>
        <v>0.61111111111111116</v>
      </c>
      <c r="AF230" s="91">
        <v>4</v>
      </c>
      <c r="AG230" s="64" t="s">
        <v>1784</v>
      </c>
      <c r="AH230" s="91">
        <v>4</v>
      </c>
      <c r="AI230" s="64" t="s">
        <v>1784</v>
      </c>
    </row>
    <row r="231" spans="1:35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175</v>
      </c>
      <c r="Y231" s="66"/>
      <c r="Z231" s="66"/>
      <c r="AA231" s="66"/>
      <c r="AB231">
        <f t="shared" si="10"/>
        <v>0</v>
      </c>
      <c r="AC231">
        <f t="shared" si="11"/>
        <v>0</v>
      </c>
      <c r="AD231" s="67"/>
      <c r="AE231" s="87">
        <f t="shared" si="12"/>
        <v>0.55555555555555558</v>
      </c>
      <c r="AF231" s="91">
        <v>4</v>
      </c>
      <c r="AG231" s="64" t="s">
        <v>1784</v>
      </c>
      <c r="AH231" s="91">
        <v>4</v>
      </c>
      <c r="AI231" s="64" t="s">
        <v>1784</v>
      </c>
    </row>
    <row r="232" spans="1:35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>
        <f t="shared" si="10"/>
        <v>0</v>
      </c>
      <c r="AC232">
        <f t="shared" si="11"/>
        <v>0</v>
      </c>
      <c r="AD232" s="67"/>
      <c r="AE232" s="87">
        <f t="shared" si="12"/>
        <v>0.31481481481481477</v>
      </c>
      <c r="AF232" s="91">
        <v>4</v>
      </c>
      <c r="AG232" s="64" t="s">
        <v>1784</v>
      </c>
      <c r="AH232" s="91">
        <v>4</v>
      </c>
      <c r="AI232" s="64" t="s">
        <v>1784</v>
      </c>
    </row>
    <row r="233" spans="1:35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>
        <f t="shared" si="10"/>
        <v>0</v>
      </c>
      <c r="AC233">
        <f t="shared" si="11"/>
        <v>0</v>
      </c>
      <c r="AD233" s="67"/>
      <c r="AE233" s="87">
        <f t="shared" si="12"/>
        <v>0.31481481481481477</v>
      </c>
      <c r="AF233" s="91">
        <v>4</v>
      </c>
      <c r="AG233" s="64" t="s">
        <v>1784</v>
      </c>
      <c r="AH233" s="91">
        <v>4</v>
      </c>
      <c r="AI233" s="64" t="s">
        <v>1784</v>
      </c>
    </row>
    <row r="234" spans="1:35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>
        <f t="shared" si="10"/>
        <v>0</v>
      </c>
      <c r="AC234">
        <f t="shared" si="11"/>
        <v>0</v>
      </c>
      <c r="AD234" s="67"/>
      <c r="AE234" s="87">
        <f t="shared" si="12"/>
        <v>0.31481481481481477</v>
      </c>
      <c r="AF234" s="91">
        <v>4</v>
      </c>
      <c r="AG234" s="64" t="s">
        <v>1784</v>
      </c>
      <c r="AH234" s="91">
        <v>4</v>
      </c>
      <c r="AI234" s="64" t="s">
        <v>1784</v>
      </c>
    </row>
    <row r="235" spans="1:35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>
        <f t="shared" si="10"/>
        <v>0</v>
      </c>
      <c r="AC235">
        <f t="shared" si="11"/>
        <v>0</v>
      </c>
      <c r="AD235" s="67"/>
      <c r="AE235" s="87">
        <f t="shared" si="12"/>
        <v>0.5</v>
      </c>
      <c r="AF235" s="91">
        <v>4</v>
      </c>
      <c r="AG235" s="64" t="s">
        <v>1784</v>
      </c>
      <c r="AH235" s="91">
        <v>4</v>
      </c>
      <c r="AI235" s="64" t="s">
        <v>1784</v>
      </c>
    </row>
    <row r="236" spans="1:35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>
        <f t="shared" si="10"/>
        <v>0</v>
      </c>
      <c r="AC236">
        <f t="shared" si="11"/>
        <v>0</v>
      </c>
      <c r="AD236" s="67"/>
      <c r="AE236" s="87">
        <f t="shared" si="12"/>
        <v>0.31481481481481477</v>
      </c>
      <c r="AF236" s="91">
        <v>4</v>
      </c>
      <c r="AG236" s="64" t="s">
        <v>1784</v>
      </c>
      <c r="AH236" s="91">
        <v>4</v>
      </c>
      <c r="AI236" s="64" t="s">
        <v>1784</v>
      </c>
    </row>
    <row r="237" spans="1:35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>
        <f t="shared" si="10"/>
        <v>0</v>
      </c>
      <c r="AC237">
        <f t="shared" si="11"/>
        <v>0</v>
      </c>
      <c r="AD237" s="67"/>
      <c r="AE237" s="87">
        <f t="shared" si="12"/>
        <v>0.31481481481481477</v>
      </c>
      <c r="AF237" s="91">
        <v>4</v>
      </c>
      <c r="AG237" s="64" t="s">
        <v>1784</v>
      </c>
      <c r="AH237" s="91">
        <v>4</v>
      </c>
      <c r="AI237" s="64" t="s">
        <v>1784</v>
      </c>
    </row>
    <row r="238" spans="1:35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>
        <f t="shared" si="10"/>
        <v>0</v>
      </c>
      <c r="AC238">
        <f t="shared" si="11"/>
        <v>0</v>
      </c>
      <c r="AD238" s="67"/>
      <c r="AE238" s="87">
        <f t="shared" si="12"/>
        <v>0.31481481481481477</v>
      </c>
      <c r="AF238" s="91">
        <v>4</v>
      </c>
      <c r="AG238" s="64" t="s">
        <v>1784</v>
      </c>
      <c r="AH238" s="91">
        <v>4</v>
      </c>
      <c r="AI238" s="64" t="s">
        <v>1784</v>
      </c>
    </row>
    <row r="239" spans="1:35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>
        <f t="shared" si="10"/>
        <v>0</v>
      </c>
      <c r="AC239">
        <f t="shared" si="11"/>
        <v>0</v>
      </c>
      <c r="AD239" s="67"/>
      <c r="AE239" s="87">
        <f t="shared" si="12"/>
        <v>0.31481481481481477</v>
      </c>
      <c r="AF239" s="91">
        <v>4</v>
      </c>
      <c r="AG239" s="64" t="s">
        <v>1784</v>
      </c>
      <c r="AH239" s="91">
        <v>4</v>
      </c>
      <c r="AI239" s="64" t="s">
        <v>1784</v>
      </c>
    </row>
    <row r="240" spans="1:35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>
        <f t="shared" si="10"/>
        <v>0</v>
      </c>
      <c r="AC240">
        <f t="shared" si="11"/>
        <v>0</v>
      </c>
      <c r="AD240" s="67"/>
      <c r="AE240" s="87">
        <f t="shared" si="12"/>
        <v>0.31481481481481477</v>
      </c>
      <c r="AF240" s="91">
        <v>4</v>
      </c>
      <c r="AG240" s="64" t="s">
        <v>1784</v>
      </c>
      <c r="AH240" s="91">
        <v>4</v>
      </c>
      <c r="AI240" s="64" t="s">
        <v>1784</v>
      </c>
    </row>
    <row r="241" spans="1:35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>
        <f t="shared" si="10"/>
        <v>0</v>
      </c>
      <c r="AC241">
        <f t="shared" si="11"/>
        <v>0</v>
      </c>
      <c r="AD241" s="67"/>
      <c r="AE241" s="87">
        <f t="shared" si="12"/>
        <v>0.31481481481481477</v>
      </c>
      <c r="AF241" s="91">
        <v>4</v>
      </c>
      <c r="AG241" s="64" t="s">
        <v>1784</v>
      </c>
      <c r="AH241" s="91">
        <v>4</v>
      </c>
      <c r="AI241" s="64" t="s">
        <v>1784</v>
      </c>
    </row>
    <row r="242" spans="1:35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>
        <f t="shared" si="10"/>
        <v>0</v>
      </c>
      <c r="AC242">
        <f t="shared" si="11"/>
        <v>0</v>
      </c>
      <c r="AD242" s="67"/>
      <c r="AE242" s="87">
        <f t="shared" si="12"/>
        <v>0.31481481481481477</v>
      </c>
      <c r="AF242" s="91">
        <v>4</v>
      </c>
      <c r="AG242" s="64" t="s">
        <v>1784</v>
      </c>
      <c r="AH242" s="91">
        <v>4</v>
      </c>
      <c r="AI242" s="64" t="s">
        <v>1784</v>
      </c>
    </row>
    <row r="243" spans="1:35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>
        <f t="shared" si="10"/>
        <v>0</v>
      </c>
      <c r="AC243">
        <f t="shared" si="11"/>
        <v>0</v>
      </c>
      <c r="AD243" s="67"/>
      <c r="AE243" s="87">
        <f t="shared" si="12"/>
        <v>0.31481481481481477</v>
      </c>
      <c r="AF243" s="91">
        <v>4</v>
      </c>
      <c r="AG243" s="64" t="s">
        <v>1784</v>
      </c>
      <c r="AH243" s="91">
        <v>4</v>
      </c>
      <c r="AI243" s="64" t="s">
        <v>1784</v>
      </c>
    </row>
    <row r="244" spans="1:35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>
        <f t="shared" si="10"/>
        <v>0</v>
      </c>
      <c r="AC244">
        <f t="shared" si="11"/>
        <v>0</v>
      </c>
      <c r="AD244" s="67"/>
      <c r="AE244" s="87">
        <f t="shared" si="12"/>
        <v>0.31481481481481477</v>
      </c>
      <c r="AF244" s="91">
        <v>4</v>
      </c>
      <c r="AG244" s="64" t="s">
        <v>1784</v>
      </c>
      <c r="AH244" s="91">
        <v>4</v>
      </c>
      <c r="AI244" s="64" t="s">
        <v>1784</v>
      </c>
    </row>
    <row r="245" spans="1:35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>
        <f t="shared" si="10"/>
        <v>0</v>
      </c>
      <c r="AC245">
        <f t="shared" si="11"/>
        <v>0</v>
      </c>
      <c r="AD245" s="67"/>
      <c r="AE245" s="87">
        <f t="shared" si="12"/>
        <v>0.5</v>
      </c>
      <c r="AF245" s="91">
        <v>4</v>
      </c>
      <c r="AG245" s="64" t="s">
        <v>1784</v>
      </c>
      <c r="AH245" s="91">
        <v>4</v>
      </c>
      <c r="AI245" s="64" t="s">
        <v>1784</v>
      </c>
    </row>
    <row r="246" spans="1:35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>
        <f t="shared" si="10"/>
        <v>0</v>
      </c>
      <c r="AC246">
        <f t="shared" si="11"/>
        <v>0</v>
      </c>
      <c r="AD246" s="67"/>
      <c r="AE246" s="87">
        <f t="shared" si="12"/>
        <v>0.31481481481481477</v>
      </c>
      <c r="AF246" s="91">
        <v>4</v>
      </c>
      <c r="AG246" s="64" t="s">
        <v>1784</v>
      </c>
      <c r="AH246" s="91">
        <v>4</v>
      </c>
      <c r="AI246" s="64" t="s">
        <v>1784</v>
      </c>
    </row>
    <row r="247" spans="1:35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175</v>
      </c>
      <c r="X247" s="66" t="s">
        <v>175</v>
      </c>
      <c r="Y247" s="66"/>
      <c r="Z247" s="66"/>
      <c r="AA247" s="66"/>
      <c r="AB247">
        <f t="shared" si="10"/>
        <v>0</v>
      </c>
      <c r="AC247">
        <f t="shared" si="11"/>
        <v>0</v>
      </c>
      <c r="AD247" s="67"/>
      <c r="AE247" s="87">
        <f t="shared" si="12"/>
        <v>0.5</v>
      </c>
      <c r="AF247" s="91">
        <v>4</v>
      </c>
      <c r="AG247" s="64" t="s">
        <v>1784</v>
      </c>
      <c r="AH247" s="91">
        <v>4</v>
      </c>
      <c r="AI247" s="64" t="s">
        <v>1784</v>
      </c>
    </row>
    <row r="248" spans="1:35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>
        <f t="shared" si="10"/>
        <v>0</v>
      </c>
      <c r="AC248">
        <f t="shared" si="11"/>
        <v>0</v>
      </c>
      <c r="AD248" s="67"/>
      <c r="AE248" s="87">
        <f t="shared" si="12"/>
        <v>0.31481481481481477</v>
      </c>
      <c r="AF248" s="91">
        <v>4</v>
      </c>
      <c r="AG248" s="64" t="s">
        <v>1784</v>
      </c>
      <c r="AH248" s="91">
        <v>4</v>
      </c>
      <c r="AI248" s="64" t="s">
        <v>1784</v>
      </c>
    </row>
    <row r="249" spans="1:35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>
        <f t="shared" si="10"/>
        <v>0</v>
      </c>
      <c r="AC249">
        <f t="shared" si="11"/>
        <v>0</v>
      </c>
      <c r="AD249" s="67"/>
      <c r="AE249" s="87">
        <f t="shared" si="12"/>
        <v>0.31481481481481477</v>
      </c>
      <c r="AF249" s="91">
        <v>4</v>
      </c>
      <c r="AG249" s="64" t="s">
        <v>1784</v>
      </c>
      <c r="AH249" s="91">
        <v>4</v>
      </c>
      <c r="AI249" s="64" t="s">
        <v>1784</v>
      </c>
    </row>
    <row r="250" spans="1:35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>
        <f t="shared" si="10"/>
        <v>0</v>
      </c>
      <c r="AC250">
        <f t="shared" si="11"/>
        <v>0</v>
      </c>
      <c r="AD250" s="67"/>
      <c r="AE250" s="87">
        <f t="shared" si="12"/>
        <v>0.5</v>
      </c>
      <c r="AF250" s="91">
        <v>4</v>
      </c>
      <c r="AG250" s="64" t="s">
        <v>1784</v>
      </c>
      <c r="AH250" s="91">
        <v>4</v>
      </c>
      <c r="AI250" s="64" t="s">
        <v>1784</v>
      </c>
    </row>
    <row r="251" spans="1:35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>
        <f t="shared" si="10"/>
        <v>0</v>
      </c>
      <c r="AC251">
        <f t="shared" si="11"/>
        <v>0</v>
      </c>
      <c r="AD251" s="67"/>
      <c r="AE251" s="87">
        <f t="shared" si="12"/>
        <v>0.31481481481481477</v>
      </c>
      <c r="AF251" s="91">
        <v>4</v>
      </c>
      <c r="AG251" s="64" t="s">
        <v>1784</v>
      </c>
      <c r="AH251" s="91">
        <v>4</v>
      </c>
      <c r="AI251" s="64" t="s">
        <v>1784</v>
      </c>
    </row>
    <row r="252" spans="1:35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>
        <f t="shared" si="10"/>
        <v>0</v>
      </c>
      <c r="AC252">
        <f t="shared" si="11"/>
        <v>0</v>
      </c>
      <c r="AD252" s="67"/>
      <c r="AE252" s="87">
        <f t="shared" si="12"/>
        <v>0.5</v>
      </c>
      <c r="AF252" s="91">
        <v>4</v>
      </c>
      <c r="AG252" s="64" t="s">
        <v>1784</v>
      </c>
      <c r="AH252" s="91">
        <v>4</v>
      </c>
      <c r="AI252" s="64" t="s">
        <v>1784</v>
      </c>
    </row>
    <row r="253" spans="1:35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>
        <f t="shared" si="10"/>
        <v>0</v>
      </c>
      <c r="AC253">
        <f t="shared" si="11"/>
        <v>0</v>
      </c>
      <c r="AD253" s="67"/>
      <c r="AE253" s="87">
        <f t="shared" si="12"/>
        <v>0.31481481481481477</v>
      </c>
      <c r="AF253" s="91">
        <v>4</v>
      </c>
      <c r="AG253" s="64" t="s">
        <v>1784</v>
      </c>
      <c r="AH253" s="91">
        <v>4</v>
      </c>
      <c r="AI253" s="64" t="s">
        <v>1784</v>
      </c>
    </row>
    <row r="254" spans="1:35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>
        <f t="shared" si="10"/>
        <v>0</v>
      </c>
      <c r="AC254">
        <f t="shared" si="11"/>
        <v>0</v>
      </c>
      <c r="AD254" s="67"/>
      <c r="AE254" s="87">
        <f t="shared" si="12"/>
        <v>0.31481481481481477</v>
      </c>
      <c r="AF254" s="91">
        <v>4</v>
      </c>
      <c r="AG254" s="64" t="s">
        <v>1784</v>
      </c>
      <c r="AH254" s="91">
        <v>4</v>
      </c>
      <c r="AI254" s="64" t="s">
        <v>1784</v>
      </c>
    </row>
    <row r="255" spans="1:35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>
        <f t="shared" si="10"/>
        <v>0</v>
      </c>
      <c r="AC255">
        <f t="shared" si="11"/>
        <v>0</v>
      </c>
      <c r="AD255" s="67"/>
      <c r="AE255" s="87">
        <f t="shared" si="12"/>
        <v>0.31481481481481477</v>
      </c>
      <c r="AF255" s="91">
        <v>4</v>
      </c>
      <c r="AG255" s="64" t="s">
        <v>1784</v>
      </c>
      <c r="AH255" s="91">
        <v>4</v>
      </c>
      <c r="AI255" s="64" t="s">
        <v>1784</v>
      </c>
    </row>
    <row r="256" spans="1:35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>
        <f t="shared" si="10"/>
        <v>0</v>
      </c>
      <c r="AC256">
        <f t="shared" si="11"/>
        <v>0</v>
      </c>
      <c r="AD256" s="67"/>
      <c r="AE256" s="87">
        <f t="shared" si="12"/>
        <v>0.31481481481481477</v>
      </c>
      <c r="AF256" s="91">
        <v>4</v>
      </c>
      <c r="AG256" s="64" t="s">
        <v>1784</v>
      </c>
      <c r="AH256" s="91">
        <v>4</v>
      </c>
      <c r="AI256" s="64" t="s">
        <v>1784</v>
      </c>
    </row>
    <row r="257" spans="1:35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>
        <f t="shared" si="10"/>
        <v>0</v>
      </c>
      <c r="AC257">
        <f t="shared" si="11"/>
        <v>0</v>
      </c>
      <c r="AD257" s="67"/>
      <c r="AE257" s="87">
        <f t="shared" si="12"/>
        <v>0.31481481481481477</v>
      </c>
      <c r="AF257" s="91">
        <v>4</v>
      </c>
      <c r="AG257" s="64" t="s">
        <v>1784</v>
      </c>
      <c r="AH257" s="91">
        <v>4</v>
      </c>
      <c r="AI257" s="64" t="s">
        <v>1784</v>
      </c>
    </row>
    <row r="258" spans="1:35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213</v>
      </c>
      <c r="V258" s="66" t="s">
        <v>213</v>
      </c>
      <c r="W258" s="66"/>
      <c r="X258" s="66"/>
      <c r="Y258" s="66"/>
      <c r="Z258" s="66"/>
      <c r="AA258" s="66"/>
      <c r="AB258">
        <f t="shared" si="10"/>
        <v>0</v>
      </c>
      <c r="AC258">
        <f t="shared" si="11"/>
        <v>0</v>
      </c>
      <c r="AD258" s="67"/>
      <c r="AE258" s="87">
        <f t="shared" si="12"/>
        <v>0.31481481481481477</v>
      </c>
      <c r="AF258" s="91">
        <v>4</v>
      </c>
      <c r="AG258" s="64" t="s">
        <v>1784</v>
      </c>
      <c r="AH258" s="91">
        <v>4</v>
      </c>
      <c r="AI258" s="64" t="s">
        <v>1784</v>
      </c>
    </row>
    <row r="259" spans="1:35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213</v>
      </c>
      <c r="V259" s="66" t="s">
        <v>213</v>
      </c>
      <c r="W259" s="66"/>
      <c r="X259" s="66"/>
      <c r="Y259" s="66"/>
      <c r="Z259" s="66"/>
      <c r="AA259" s="66"/>
      <c r="AB259">
        <f t="shared" ref="AB259:AB322" si="13">IF(OR(AND(Z259="SI",AA259="NO"),AND(Z259="NO",AA259="SI")),1,0)</f>
        <v>0</v>
      </c>
      <c r="AC259">
        <f t="shared" ref="AC259:AC322" si="14">IF(AND(OR(Z259="SI",Z259="NO APLICA"),OR(AA259="SI",AA259="NO APLICA")),1,0)</f>
        <v>0</v>
      </c>
      <c r="AD259" s="67"/>
      <c r="AE259" s="87">
        <f t="shared" si="12"/>
        <v>0.31481481481481477</v>
      </c>
      <c r="AF259" s="91">
        <v>4</v>
      </c>
      <c r="AG259" s="64" t="s">
        <v>1784</v>
      </c>
      <c r="AH259" s="91">
        <v>4</v>
      </c>
      <c r="AI259" s="64" t="s">
        <v>1784</v>
      </c>
    </row>
    <row r="260" spans="1:35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>
        <f t="shared" si="13"/>
        <v>0</v>
      </c>
      <c r="AC260">
        <f t="shared" si="14"/>
        <v>0</v>
      </c>
      <c r="AD260" s="67"/>
      <c r="AE260" s="87">
        <f t="shared" si="12"/>
        <v>0.31481481481481477</v>
      </c>
      <c r="AF260" s="91">
        <v>4</v>
      </c>
      <c r="AG260" s="64" t="s">
        <v>1784</v>
      </c>
      <c r="AH260" s="91">
        <v>4</v>
      </c>
      <c r="AI260" s="64" t="s">
        <v>1784</v>
      </c>
    </row>
    <row r="261" spans="1:35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213</v>
      </c>
      <c r="V261" s="66" t="s">
        <v>213</v>
      </c>
      <c r="W261" s="66"/>
      <c r="X261" s="66"/>
      <c r="Y261" s="66"/>
      <c r="Z261" s="66"/>
      <c r="AA261" s="66"/>
      <c r="AB261">
        <f t="shared" si="13"/>
        <v>0</v>
      </c>
      <c r="AC261">
        <f t="shared" si="14"/>
        <v>0</v>
      </c>
      <c r="AD261" s="67"/>
      <c r="AE261" s="87">
        <f t="shared" si="12"/>
        <v>0.31481481481481477</v>
      </c>
      <c r="AF261" s="91">
        <v>4</v>
      </c>
      <c r="AG261" s="64" t="s">
        <v>1784</v>
      </c>
      <c r="AH261" s="91">
        <v>4</v>
      </c>
      <c r="AI261" s="64" t="s">
        <v>1784</v>
      </c>
    </row>
    <row r="262" spans="1:35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213</v>
      </c>
      <c r="V262" s="66" t="s">
        <v>213</v>
      </c>
      <c r="W262" s="66"/>
      <c r="X262" s="66"/>
      <c r="Y262" s="66"/>
      <c r="Z262" s="66"/>
      <c r="AA262" s="66"/>
      <c r="AB262">
        <f t="shared" si="13"/>
        <v>0</v>
      </c>
      <c r="AC262">
        <f t="shared" si="14"/>
        <v>0</v>
      </c>
      <c r="AD262" s="67"/>
      <c r="AE262" s="87">
        <f t="shared" si="12"/>
        <v>0.31481481481481477</v>
      </c>
      <c r="AF262" s="91">
        <v>4</v>
      </c>
      <c r="AG262" s="64" t="s">
        <v>1784</v>
      </c>
      <c r="AH262" s="91">
        <v>4</v>
      </c>
      <c r="AI262" s="64" t="s">
        <v>1784</v>
      </c>
    </row>
    <row r="263" spans="1:35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>
        <f t="shared" si="13"/>
        <v>0</v>
      </c>
      <c r="AC263">
        <f t="shared" si="14"/>
        <v>0</v>
      </c>
      <c r="AD263" s="67"/>
      <c r="AE263" s="87">
        <f t="shared" si="12"/>
        <v>0</v>
      </c>
      <c r="AF263" s="91">
        <v>3</v>
      </c>
      <c r="AG263" s="64" t="s">
        <v>1798</v>
      </c>
      <c r="AH263" s="91">
        <v>3</v>
      </c>
      <c r="AI263" s="64" t="s">
        <v>1798</v>
      </c>
    </row>
    <row r="264" spans="1:35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>
        <f t="shared" si="13"/>
        <v>0</v>
      </c>
      <c r="AC264">
        <f t="shared" si="14"/>
        <v>0</v>
      </c>
      <c r="AD264" s="67"/>
      <c r="AE264" s="87">
        <f t="shared" si="12"/>
        <v>0</v>
      </c>
      <c r="AF264" s="91">
        <v>9</v>
      </c>
      <c r="AG264" s="103" t="s">
        <v>1836</v>
      </c>
      <c r="AH264" s="91">
        <v>9</v>
      </c>
      <c r="AI264" s="103" t="s">
        <v>1836</v>
      </c>
    </row>
    <row r="265" spans="1:35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>
        <f t="shared" si="13"/>
        <v>0</v>
      </c>
      <c r="AC265">
        <f t="shared" si="14"/>
        <v>0</v>
      </c>
      <c r="AD265" s="73"/>
      <c r="AE265" s="87">
        <f t="shared" si="12"/>
        <v>0.77777777777777779</v>
      </c>
      <c r="AF265" s="91">
        <v>1</v>
      </c>
      <c r="AG265" s="103" t="s">
        <v>1838</v>
      </c>
      <c r="AH265" s="91">
        <v>1</v>
      </c>
      <c r="AI265" s="103" t="s">
        <v>1838</v>
      </c>
    </row>
    <row r="266" spans="1:35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>
        <f t="shared" si="13"/>
        <v>0</v>
      </c>
      <c r="AC266">
        <f t="shared" si="14"/>
        <v>0</v>
      </c>
      <c r="AD266" s="73"/>
      <c r="AE266" s="87">
        <f t="shared" si="12"/>
        <v>0.77777777777777779</v>
      </c>
      <c r="AF266" s="91">
        <v>1</v>
      </c>
      <c r="AG266" s="103" t="s">
        <v>1838</v>
      </c>
      <c r="AH266" s="91">
        <v>1</v>
      </c>
      <c r="AI266" s="103" t="s">
        <v>1838</v>
      </c>
    </row>
    <row r="267" spans="1:35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>
        <f t="shared" si="13"/>
        <v>0</v>
      </c>
      <c r="AC267">
        <f t="shared" si="14"/>
        <v>0</v>
      </c>
      <c r="AD267" s="73"/>
      <c r="AE267" s="87">
        <f t="shared" si="12"/>
        <v>0.77777777777777779</v>
      </c>
      <c r="AF267" s="91">
        <v>1</v>
      </c>
      <c r="AG267" s="103" t="s">
        <v>1838</v>
      </c>
      <c r="AH267" s="91">
        <v>1</v>
      </c>
      <c r="AI267" s="103" t="s">
        <v>1838</v>
      </c>
    </row>
    <row r="268" spans="1:35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>
        <f t="shared" si="13"/>
        <v>0</v>
      </c>
      <c r="AC268">
        <f t="shared" si="14"/>
        <v>0</v>
      </c>
      <c r="AD268" s="73"/>
      <c r="AE268" s="87">
        <f t="shared" si="12"/>
        <v>0.77777777777777779</v>
      </c>
      <c r="AF268" s="91">
        <v>1</v>
      </c>
      <c r="AG268" s="103" t="s">
        <v>1838</v>
      </c>
      <c r="AH268" s="91">
        <v>1</v>
      </c>
      <c r="AI268" s="103" t="s">
        <v>1838</v>
      </c>
    </row>
    <row r="269" spans="1:35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>
        <f t="shared" si="13"/>
        <v>0</v>
      </c>
      <c r="AC269">
        <f t="shared" si="14"/>
        <v>0</v>
      </c>
      <c r="AD269" s="73"/>
      <c r="AE269" s="87">
        <f t="shared" si="12"/>
        <v>0.77777777777777779</v>
      </c>
      <c r="AF269" s="91">
        <v>1</v>
      </c>
      <c r="AG269" s="103" t="s">
        <v>1838</v>
      </c>
      <c r="AH269" s="91">
        <v>1</v>
      </c>
      <c r="AI269" s="103" t="s">
        <v>1838</v>
      </c>
    </row>
    <row r="270" spans="1:35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>
        <f t="shared" si="13"/>
        <v>0</v>
      </c>
      <c r="AC270">
        <f t="shared" si="14"/>
        <v>1</v>
      </c>
      <c r="AD270" s="73"/>
      <c r="AE270" s="87">
        <f t="shared" si="12"/>
        <v>1</v>
      </c>
      <c r="AF270" s="91">
        <v>1</v>
      </c>
      <c r="AG270" s="103" t="s">
        <v>1838</v>
      </c>
      <c r="AH270" s="91">
        <v>1</v>
      </c>
      <c r="AI270" s="103" t="s">
        <v>1838</v>
      </c>
    </row>
    <row r="271" spans="1:35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>
        <f t="shared" si="13"/>
        <v>0</v>
      </c>
      <c r="AC271">
        <f t="shared" si="14"/>
        <v>0</v>
      </c>
      <c r="AD271" s="73"/>
      <c r="AE271" s="87">
        <f t="shared" si="12"/>
        <v>0.72222222222222221</v>
      </c>
      <c r="AF271" s="91">
        <v>1</v>
      </c>
      <c r="AG271" s="103" t="s">
        <v>1838</v>
      </c>
      <c r="AH271" s="91">
        <v>1</v>
      </c>
      <c r="AI271" s="103" t="s">
        <v>1838</v>
      </c>
    </row>
    <row r="272" spans="1:35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>
        <f t="shared" si="13"/>
        <v>0</v>
      </c>
      <c r="AC272">
        <f t="shared" si="14"/>
        <v>0</v>
      </c>
      <c r="AD272" s="73"/>
      <c r="AE272" s="87">
        <f t="shared" si="12"/>
        <v>0.72222222222222221</v>
      </c>
      <c r="AF272" s="91">
        <v>1</v>
      </c>
      <c r="AG272" s="103" t="s">
        <v>1838</v>
      </c>
      <c r="AH272" s="91">
        <v>1</v>
      </c>
      <c r="AI272" s="103" t="s">
        <v>1838</v>
      </c>
    </row>
    <row r="273" spans="1:35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>
        <f t="shared" si="13"/>
        <v>0</v>
      </c>
      <c r="AC273">
        <f t="shared" si="14"/>
        <v>0</v>
      </c>
      <c r="AD273" s="67"/>
      <c r="AE273" s="87">
        <f t="shared" si="12"/>
        <v>0.16666666666666666</v>
      </c>
      <c r="AF273" s="91">
        <v>1</v>
      </c>
      <c r="AG273" s="103" t="s">
        <v>1839</v>
      </c>
      <c r="AH273" s="91">
        <v>1</v>
      </c>
      <c r="AI273" s="103" t="s">
        <v>1839</v>
      </c>
    </row>
    <row r="274" spans="1:35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>
        <f t="shared" si="13"/>
        <v>0</v>
      </c>
      <c r="AC274">
        <f t="shared" si="14"/>
        <v>0</v>
      </c>
      <c r="AD274" s="67"/>
      <c r="AE274" s="87">
        <f t="shared" si="12"/>
        <v>0.16666666666666666</v>
      </c>
      <c r="AF274" s="91">
        <v>1</v>
      </c>
      <c r="AG274" s="103" t="s">
        <v>1839</v>
      </c>
      <c r="AH274" s="91">
        <v>1</v>
      </c>
      <c r="AI274" s="103" t="s">
        <v>1839</v>
      </c>
    </row>
    <row r="275" spans="1:35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>
        <f t="shared" si="13"/>
        <v>0</v>
      </c>
      <c r="AC275">
        <f t="shared" si="14"/>
        <v>0</v>
      </c>
      <c r="AD275" s="67"/>
      <c r="AE275" s="87">
        <f t="shared" si="12"/>
        <v>0.16666666666666666</v>
      </c>
      <c r="AF275" s="91">
        <v>1</v>
      </c>
      <c r="AG275" s="103" t="s">
        <v>1839</v>
      </c>
      <c r="AH275" s="91">
        <v>1</v>
      </c>
      <c r="AI275" s="103" t="s">
        <v>1839</v>
      </c>
    </row>
    <row r="276" spans="1:35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>
        <f t="shared" si="13"/>
        <v>0</v>
      </c>
      <c r="AC276">
        <f t="shared" si="14"/>
        <v>0</v>
      </c>
      <c r="AD276" s="67"/>
      <c r="AE276" s="87">
        <f t="shared" si="12"/>
        <v>0.16666666666666666</v>
      </c>
      <c r="AF276" s="91">
        <v>1</v>
      </c>
      <c r="AG276" s="103" t="s">
        <v>1839</v>
      </c>
      <c r="AH276" s="91">
        <v>1</v>
      </c>
      <c r="AI276" s="103" t="s">
        <v>1839</v>
      </c>
    </row>
    <row r="277" spans="1:35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>
        <f t="shared" si="13"/>
        <v>0</v>
      </c>
      <c r="AC277">
        <f t="shared" si="14"/>
        <v>0</v>
      </c>
      <c r="AD277" s="67"/>
      <c r="AE277" s="87">
        <f t="shared" si="12"/>
        <v>0.16666666666666666</v>
      </c>
      <c r="AF277" s="91">
        <v>1</v>
      </c>
      <c r="AG277" s="103" t="s">
        <v>1839</v>
      </c>
      <c r="AH277" s="91">
        <v>1</v>
      </c>
      <c r="AI277" s="103" t="s">
        <v>1839</v>
      </c>
    </row>
    <row r="278" spans="1:35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>
        <f t="shared" si="13"/>
        <v>0</v>
      </c>
      <c r="AC278">
        <f t="shared" si="14"/>
        <v>0</v>
      </c>
      <c r="AD278" s="67"/>
      <c r="AE278" s="87">
        <f t="shared" si="12"/>
        <v>0.16666666666666666</v>
      </c>
      <c r="AF278" s="91">
        <v>1</v>
      </c>
      <c r="AG278" s="103" t="s">
        <v>1839</v>
      </c>
      <c r="AH278" s="91">
        <v>1</v>
      </c>
      <c r="AI278" s="103" t="s">
        <v>1839</v>
      </c>
    </row>
    <row r="279" spans="1:35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>
        <f t="shared" si="13"/>
        <v>0</v>
      </c>
      <c r="AC279">
        <f t="shared" si="14"/>
        <v>0</v>
      </c>
      <c r="AD279" s="67"/>
      <c r="AE279" s="87">
        <f t="shared" si="12"/>
        <v>0.16666666666666666</v>
      </c>
      <c r="AF279" s="91">
        <v>1</v>
      </c>
      <c r="AG279" s="103" t="s">
        <v>1839</v>
      </c>
      <c r="AH279" s="91">
        <v>1</v>
      </c>
      <c r="AI279" s="103" t="s">
        <v>1839</v>
      </c>
    </row>
    <row r="280" spans="1:35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>
        <f t="shared" si="13"/>
        <v>0</v>
      </c>
      <c r="AC280">
        <f t="shared" si="14"/>
        <v>0</v>
      </c>
      <c r="AD280" s="67"/>
      <c r="AE280" s="87">
        <f t="shared" si="12"/>
        <v>0.16666666666666666</v>
      </c>
      <c r="AF280" s="91">
        <v>1</v>
      </c>
      <c r="AG280" s="103" t="s">
        <v>1839</v>
      </c>
      <c r="AH280" s="91">
        <v>1</v>
      </c>
      <c r="AI280" s="103" t="s">
        <v>1839</v>
      </c>
    </row>
    <row r="281" spans="1:35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>
        <f t="shared" si="13"/>
        <v>0</v>
      </c>
      <c r="AC281">
        <f t="shared" si="14"/>
        <v>0</v>
      </c>
      <c r="AD281" s="67"/>
      <c r="AE281" s="87">
        <f t="shared" si="12"/>
        <v>0.1111111111111111</v>
      </c>
      <c r="AF281" s="91">
        <v>2</v>
      </c>
      <c r="AG281" s="103" t="s">
        <v>1840</v>
      </c>
      <c r="AH281" s="91">
        <v>2</v>
      </c>
      <c r="AI281" s="103" t="s">
        <v>1840</v>
      </c>
    </row>
    <row r="282" spans="1:35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>
        <f t="shared" si="13"/>
        <v>0</v>
      </c>
      <c r="AC282">
        <f t="shared" si="14"/>
        <v>0</v>
      </c>
      <c r="AD282" s="67" t="s">
        <v>1810</v>
      </c>
      <c r="AE282" s="87">
        <f t="shared" si="12"/>
        <v>0.1111111111111111</v>
      </c>
      <c r="AF282" s="91">
        <v>2</v>
      </c>
      <c r="AG282" s="103" t="s">
        <v>1840</v>
      </c>
      <c r="AH282" s="91">
        <v>2</v>
      </c>
      <c r="AI282" s="103" t="s">
        <v>1840</v>
      </c>
    </row>
    <row r="283" spans="1:35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>
        <f t="shared" si="13"/>
        <v>0</v>
      </c>
      <c r="AC283">
        <f t="shared" si="14"/>
        <v>0</v>
      </c>
      <c r="AD283" s="67"/>
      <c r="AE283" s="87">
        <f t="shared" si="12"/>
        <v>0.1111111111111111</v>
      </c>
      <c r="AF283" s="91">
        <v>2</v>
      </c>
      <c r="AG283" s="103" t="s">
        <v>1840</v>
      </c>
      <c r="AH283" s="91">
        <v>2</v>
      </c>
      <c r="AI283" s="103" t="s">
        <v>1840</v>
      </c>
    </row>
    <row r="284" spans="1:35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>
        <f t="shared" si="13"/>
        <v>0</v>
      </c>
      <c r="AC284">
        <f t="shared" si="14"/>
        <v>0</v>
      </c>
      <c r="AD284" s="67"/>
      <c r="AE284" s="87">
        <f t="shared" si="12"/>
        <v>0.1111111111111111</v>
      </c>
      <c r="AF284" s="91">
        <v>2</v>
      </c>
      <c r="AG284" s="103" t="s">
        <v>1840</v>
      </c>
      <c r="AH284" s="91">
        <v>2</v>
      </c>
      <c r="AI284" s="103" t="s">
        <v>1840</v>
      </c>
    </row>
    <row r="285" spans="1:35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>
        <f t="shared" si="13"/>
        <v>0</v>
      </c>
      <c r="AC285">
        <f t="shared" si="14"/>
        <v>0</v>
      </c>
      <c r="AD285" s="67"/>
      <c r="AE285" s="87">
        <f t="shared" si="12"/>
        <v>0.1111111111111111</v>
      </c>
      <c r="AF285" s="91">
        <v>2</v>
      </c>
      <c r="AG285" s="103" t="s">
        <v>1840</v>
      </c>
      <c r="AH285" s="91">
        <v>2</v>
      </c>
      <c r="AI285" s="103" t="s">
        <v>1840</v>
      </c>
    </row>
    <row r="286" spans="1:35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>
        <f t="shared" si="13"/>
        <v>0</v>
      </c>
      <c r="AC286">
        <f t="shared" si="14"/>
        <v>0</v>
      </c>
      <c r="AD286" s="67"/>
      <c r="AE286" s="87">
        <f t="shared" si="12"/>
        <v>0.1111111111111111</v>
      </c>
      <c r="AF286" s="91">
        <v>2</v>
      </c>
      <c r="AG286" s="103" t="s">
        <v>1840</v>
      </c>
      <c r="AH286" s="91">
        <v>2</v>
      </c>
      <c r="AI286" s="103" t="s">
        <v>1840</v>
      </c>
    </row>
    <row r="287" spans="1:35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>
        <f t="shared" si="13"/>
        <v>0</v>
      </c>
      <c r="AC287">
        <f t="shared" si="14"/>
        <v>0</v>
      </c>
      <c r="AD287" s="67"/>
      <c r="AE287" s="87">
        <f t="shared" si="12"/>
        <v>0.1111111111111111</v>
      </c>
      <c r="AF287" s="91">
        <v>2</v>
      </c>
      <c r="AG287" s="103" t="s">
        <v>1840</v>
      </c>
      <c r="AH287" s="91">
        <v>2</v>
      </c>
      <c r="AI287" s="103" t="s">
        <v>1840</v>
      </c>
    </row>
    <row r="288" spans="1:35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>
        <f t="shared" si="13"/>
        <v>0</v>
      </c>
      <c r="AC288">
        <f t="shared" si="14"/>
        <v>0</v>
      </c>
      <c r="AD288" s="67"/>
      <c r="AE288" s="87">
        <f t="shared" si="12"/>
        <v>0.1111111111111111</v>
      </c>
      <c r="AF288" s="91">
        <v>2</v>
      </c>
      <c r="AG288" s="103" t="s">
        <v>1840</v>
      </c>
      <c r="AH288" s="91">
        <v>2</v>
      </c>
      <c r="AI288" s="103" t="s">
        <v>1840</v>
      </c>
    </row>
    <row r="289" spans="1:35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>
        <f t="shared" si="13"/>
        <v>0</v>
      </c>
      <c r="AC289">
        <f t="shared" si="14"/>
        <v>0</v>
      </c>
      <c r="AD289" s="67"/>
      <c r="AE289" s="87">
        <f t="shared" ref="AE289:AE352" si="1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F289" s="91">
        <v>2</v>
      </c>
      <c r="AG289" s="103" t="s">
        <v>1840</v>
      </c>
      <c r="AH289" s="91">
        <v>2</v>
      </c>
      <c r="AI289" s="103" t="s">
        <v>1840</v>
      </c>
    </row>
    <row r="290" spans="1:35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>
        <f t="shared" si="13"/>
        <v>0</v>
      </c>
      <c r="AC290">
        <f t="shared" si="14"/>
        <v>0</v>
      </c>
      <c r="AD290" s="67"/>
      <c r="AE290" s="87">
        <f t="shared" si="15"/>
        <v>0.1111111111111111</v>
      </c>
      <c r="AF290" s="91">
        <v>2</v>
      </c>
      <c r="AG290" s="103" t="s">
        <v>1840</v>
      </c>
      <c r="AH290" s="91">
        <v>2</v>
      </c>
      <c r="AI290" s="103" t="s">
        <v>1840</v>
      </c>
    </row>
    <row r="291" spans="1:35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>
        <f t="shared" si="13"/>
        <v>0</v>
      </c>
      <c r="AC291">
        <f t="shared" si="14"/>
        <v>0</v>
      </c>
      <c r="AD291" s="67"/>
      <c r="AE291" s="87">
        <f t="shared" si="15"/>
        <v>0.16666666666666666</v>
      </c>
      <c r="AF291" s="91">
        <v>1</v>
      </c>
      <c r="AG291" s="103" t="s">
        <v>1839</v>
      </c>
      <c r="AH291" s="91">
        <v>1</v>
      </c>
      <c r="AI291" s="103" t="s">
        <v>1839</v>
      </c>
    </row>
    <row r="292" spans="1:35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>
        <f t="shared" si="13"/>
        <v>0</v>
      </c>
      <c r="AC292">
        <f t="shared" si="14"/>
        <v>0</v>
      </c>
      <c r="AD292" s="67"/>
      <c r="AE292" s="87">
        <f t="shared" si="15"/>
        <v>0.1111111111111111</v>
      </c>
      <c r="AF292" s="91">
        <v>2</v>
      </c>
      <c r="AG292" s="103" t="s">
        <v>1840</v>
      </c>
      <c r="AH292" s="91">
        <v>2</v>
      </c>
      <c r="AI292" s="103" t="s">
        <v>1840</v>
      </c>
    </row>
    <row r="293" spans="1:35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>
        <f t="shared" si="13"/>
        <v>0</v>
      </c>
      <c r="AC293">
        <f t="shared" si="14"/>
        <v>0</v>
      </c>
      <c r="AD293" s="67"/>
      <c r="AE293" s="87">
        <f t="shared" si="15"/>
        <v>0.1111111111111111</v>
      </c>
      <c r="AF293" s="91">
        <v>2</v>
      </c>
      <c r="AG293" s="103" t="s">
        <v>1840</v>
      </c>
      <c r="AH293" s="91">
        <v>2</v>
      </c>
      <c r="AI293" s="103" t="s">
        <v>1840</v>
      </c>
    </row>
    <row r="294" spans="1:35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>
        <f t="shared" si="13"/>
        <v>0</v>
      </c>
      <c r="AC294">
        <f t="shared" si="14"/>
        <v>0</v>
      </c>
      <c r="AD294" s="67"/>
      <c r="AE294" s="87">
        <f t="shared" si="15"/>
        <v>0.16666666666666666</v>
      </c>
      <c r="AF294" s="91">
        <v>1</v>
      </c>
      <c r="AG294" s="103" t="s">
        <v>1839</v>
      </c>
      <c r="AH294" s="91">
        <v>1</v>
      </c>
      <c r="AI294" s="103" t="s">
        <v>1839</v>
      </c>
    </row>
    <row r="295" spans="1:35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>
        <f t="shared" si="13"/>
        <v>0</v>
      </c>
      <c r="AC295">
        <f t="shared" si="14"/>
        <v>0</v>
      </c>
      <c r="AD295" s="67"/>
      <c r="AE295" s="87">
        <f t="shared" si="15"/>
        <v>0.16666666666666666</v>
      </c>
      <c r="AF295" s="91">
        <v>1</v>
      </c>
      <c r="AG295" s="103" t="s">
        <v>1839</v>
      </c>
      <c r="AH295" s="91">
        <v>1</v>
      </c>
      <c r="AI295" s="103" t="s">
        <v>1839</v>
      </c>
    </row>
    <row r="296" spans="1:35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>
        <f t="shared" si="13"/>
        <v>0</v>
      </c>
      <c r="AC296">
        <f t="shared" si="14"/>
        <v>0</v>
      </c>
      <c r="AD296" s="67"/>
      <c r="AE296" s="87">
        <f t="shared" si="15"/>
        <v>0.16666666666666666</v>
      </c>
      <c r="AF296" s="91">
        <v>1</v>
      </c>
      <c r="AG296" s="103" t="s">
        <v>1839</v>
      </c>
      <c r="AH296" s="91">
        <v>1</v>
      </c>
      <c r="AI296" s="103" t="s">
        <v>1839</v>
      </c>
    </row>
    <row r="297" spans="1:35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>
        <f t="shared" si="13"/>
        <v>0</v>
      </c>
      <c r="AC297">
        <f t="shared" si="14"/>
        <v>0</v>
      </c>
      <c r="AD297" s="67"/>
      <c r="AE297" s="87">
        <f t="shared" si="15"/>
        <v>0.1111111111111111</v>
      </c>
      <c r="AF297" s="91">
        <v>2</v>
      </c>
      <c r="AG297" s="103" t="s">
        <v>1840</v>
      </c>
      <c r="AH297" s="91">
        <v>2</v>
      </c>
      <c r="AI297" s="103" t="s">
        <v>1840</v>
      </c>
    </row>
    <row r="298" spans="1:35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>
        <f t="shared" si="13"/>
        <v>0</v>
      </c>
      <c r="AC298">
        <f t="shared" si="14"/>
        <v>0</v>
      </c>
      <c r="AD298" s="67"/>
      <c r="AE298" s="87">
        <f t="shared" si="15"/>
        <v>0.16666666666666666</v>
      </c>
      <c r="AF298" s="91">
        <v>1</v>
      </c>
      <c r="AG298" s="103" t="s">
        <v>1839</v>
      </c>
      <c r="AH298" s="91">
        <v>1</v>
      </c>
      <c r="AI298" s="103" t="s">
        <v>1839</v>
      </c>
    </row>
    <row r="299" spans="1:35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>
        <f t="shared" si="13"/>
        <v>0</v>
      </c>
      <c r="AC299">
        <f t="shared" si="14"/>
        <v>0</v>
      </c>
      <c r="AD299" s="67"/>
      <c r="AE299" s="87">
        <f t="shared" si="15"/>
        <v>0.1111111111111111</v>
      </c>
      <c r="AF299" s="91">
        <v>2</v>
      </c>
      <c r="AG299" s="103" t="s">
        <v>1840</v>
      </c>
      <c r="AH299" s="91">
        <v>2</v>
      </c>
      <c r="AI299" s="103" t="s">
        <v>1840</v>
      </c>
    </row>
    <row r="300" spans="1:35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>
        <f t="shared" si="13"/>
        <v>0</v>
      </c>
      <c r="AC300">
        <f t="shared" si="14"/>
        <v>0</v>
      </c>
      <c r="AD300" s="67"/>
      <c r="AE300" s="87">
        <f t="shared" si="15"/>
        <v>0.1111111111111111</v>
      </c>
      <c r="AF300" s="91">
        <v>2</v>
      </c>
      <c r="AG300" s="103" t="s">
        <v>1840</v>
      </c>
      <c r="AH300" s="91">
        <v>2</v>
      </c>
      <c r="AI300" s="103" t="s">
        <v>1840</v>
      </c>
    </row>
    <row r="301" spans="1:35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>
        <f t="shared" si="13"/>
        <v>0</v>
      </c>
      <c r="AC301">
        <f t="shared" si="14"/>
        <v>0</v>
      </c>
      <c r="AD301" s="67"/>
      <c r="AE301" s="87">
        <f t="shared" si="15"/>
        <v>0.16666666666666666</v>
      </c>
      <c r="AF301" s="91">
        <v>1</v>
      </c>
      <c r="AG301" s="103" t="s">
        <v>1839</v>
      </c>
      <c r="AH301" s="91">
        <v>1</v>
      </c>
      <c r="AI301" s="103" t="s">
        <v>1839</v>
      </c>
    </row>
    <row r="302" spans="1:35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>
        <f t="shared" si="13"/>
        <v>0</v>
      </c>
      <c r="AC302">
        <f t="shared" si="14"/>
        <v>0</v>
      </c>
      <c r="AD302" s="67"/>
      <c r="AE302" s="87">
        <f t="shared" si="15"/>
        <v>0.16666666666666666</v>
      </c>
      <c r="AF302" s="91">
        <v>1</v>
      </c>
      <c r="AG302" s="103" t="s">
        <v>1839</v>
      </c>
      <c r="AH302" s="91">
        <v>1</v>
      </c>
      <c r="AI302" s="103" t="s">
        <v>1839</v>
      </c>
    </row>
    <row r="303" spans="1:35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>
        <f t="shared" si="13"/>
        <v>0</v>
      </c>
      <c r="AC303">
        <f t="shared" si="14"/>
        <v>0</v>
      </c>
      <c r="AD303" s="67"/>
      <c r="AE303" s="87">
        <f t="shared" si="15"/>
        <v>0.1111111111111111</v>
      </c>
      <c r="AF303" s="91">
        <v>2</v>
      </c>
      <c r="AG303" s="103" t="s">
        <v>1840</v>
      </c>
      <c r="AH303" s="91">
        <v>2</v>
      </c>
      <c r="AI303" s="103" t="s">
        <v>1840</v>
      </c>
    </row>
    <row r="304" spans="1:35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>
        <f t="shared" si="13"/>
        <v>0</v>
      </c>
      <c r="AC304">
        <f t="shared" si="14"/>
        <v>0</v>
      </c>
      <c r="AD304" s="67"/>
      <c r="AE304" s="87">
        <f t="shared" si="15"/>
        <v>0.16666666666666666</v>
      </c>
      <c r="AF304" s="91">
        <v>1</v>
      </c>
      <c r="AG304" s="103" t="s">
        <v>1839</v>
      </c>
      <c r="AH304" s="91">
        <v>1</v>
      </c>
      <c r="AI304" s="103" t="s">
        <v>1839</v>
      </c>
    </row>
    <row r="305" spans="1:35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>
        <f t="shared" si="13"/>
        <v>0</v>
      </c>
      <c r="AC305">
        <f t="shared" si="14"/>
        <v>0</v>
      </c>
      <c r="AD305" s="67"/>
      <c r="AE305" s="87">
        <f t="shared" si="15"/>
        <v>0.16666666666666666</v>
      </c>
      <c r="AF305" s="91">
        <v>1</v>
      </c>
      <c r="AG305" s="103" t="s">
        <v>1839</v>
      </c>
      <c r="AH305" s="91">
        <v>1</v>
      </c>
      <c r="AI305" s="103" t="s">
        <v>1839</v>
      </c>
    </row>
    <row r="306" spans="1:35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>
        <f t="shared" si="13"/>
        <v>0</v>
      </c>
      <c r="AC306">
        <f t="shared" si="14"/>
        <v>0</v>
      </c>
      <c r="AD306" s="67"/>
      <c r="AE306" s="87">
        <f t="shared" si="15"/>
        <v>0.1111111111111111</v>
      </c>
      <c r="AF306" s="91">
        <v>2</v>
      </c>
      <c r="AG306" s="103" t="s">
        <v>1840</v>
      </c>
      <c r="AH306" s="91">
        <v>2</v>
      </c>
      <c r="AI306" s="103" t="s">
        <v>1840</v>
      </c>
    </row>
    <row r="307" spans="1:35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>
        <f t="shared" si="13"/>
        <v>0</v>
      </c>
      <c r="AC307">
        <f t="shared" si="14"/>
        <v>0</v>
      </c>
      <c r="AD307" s="67"/>
      <c r="AE307" s="87">
        <f t="shared" si="15"/>
        <v>0.16666666666666666</v>
      </c>
      <c r="AF307" s="91">
        <v>1</v>
      </c>
      <c r="AG307" s="103" t="s">
        <v>1839</v>
      </c>
      <c r="AH307" s="91">
        <v>1</v>
      </c>
      <c r="AI307" s="103" t="s">
        <v>1839</v>
      </c>
    </row>
    <row r="308" spans="1:35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>
        <f t="shared" si="13"/>
        <v>0</v>
      </c>
      <c r="AC308">
        <f t="shared" si="14"/>
        <v>0</v>
      </c>
      <c r="AD308" s="67"/>
      <c r="AE308" s="87">
        <f t="shared" si="15"/>
        <v>0.1111111111111111</v>
      </c>
      <c r="AF308" s="91">
        <v>2</v>
      </c>
      <c r="AG308" s="103" t="s">
        <v>1840</v>
      </c>
      <c r="AH308" s="91">
        <v>2</v>
      </c>
      <c r="AI308" s="103" t="s">
        <v>1840</v>
      </c>
    </row>
    <row r="309" spans="1:35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>
        <f t="shared" si="13"/>
        <v>0</v>
      </c>
      <c r="AC309">
        <f t="shared" si="14"/>
        <v>0</v>
      </c>
      <c r="AD309" s="67"/>
      <c r="AE309" s="87">
        <f t="shared" si="15"/>
        <v>0.16666666666666666</v>
      </c>
      <c r="AF309" s="91">
        <v>1</v>
      </c>
      <c r="AG309" s="103" t="s">
        <v>1839</v>
      </c>
      <c r="AH309" s="91">
        <v>1</v>
      </c>
      <c r="AI309" s="103" t="s">
        <v>1839</v>
      </c>
    </row>
    <row r="310" spans="1:35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>
        <f t="shared" si="13"/>
        <v>0</v>
      </c>
      <c r="AC310">
        <f t="shared" si="14"/>
        <v>0</v>
      </c>
      <c r="AD310" s="67"/>
      <c r="AE310" s="87">
        <f t="shared" si="15"/>
        <v>0.16666666666666666</v>
      </c>
      <c r="AF310" s="91">
        <v>1</v>
      </c>
      <c r="AG310" s="103" t="s">
        <v>1839</v>
      </c>
      <c r="AH310" s="91">
        <v>1</v>
      </c>
      <c r="AI310" s="103" t="s">
        <v>1839</v>
      </c>
    </row>
    <row r="311" spans="1:35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>
        <f t="shared" si="13"/>
        <v>0</v>
      </c>
      <c r="AC311">
        <f t="shared" si="14"/>
        <v>0</v>
      </c>
      <c r="AD311" s="67"/>
      <c r="AE311" s="87">
        <f t="shared" si="15"/>
        <v>0.1111111111111111</v>
      </c>
      <c r="AF311" s="91">
        <v>2</v>
      </c>
      <c r="AG311" s="103" t="s">
        <v>1840</v>
      </c>
      <c r="AH311" s="91">
        <v>2</v>
      </c>
      <c r="AI311" s="103" t="s">
        <v>1840</v>
      </c>
    </row>
    <row r="312" spans="1:35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>
        <f t="shared" si="13"/>
        <v>0</v>
      </c>
      <c r="AC312">
        <f t="shared" si="14"/>
        <v>0</v>
      </c>
      <c r="AD312" s="67"/>
      <c r="AE312" s="87">
        <f t="shared" si="15"/>
        <v>0.16666666666666666</v>
      </c>
      <c r="AF312" s="91">
        <v>1</v>
      </c>
      <c r="AG312" s="103" t="s">
        <v>1839</v>
      </c>
      <c r="AH312" s="91">
        <v>1</v>
      </c>
      <c r="AI312" s="103" t="s">
        <v>1839</v>
      </c>
    </row>
    <row r="313" spans="1:35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>
        <f t="shared" si="13"/>
        <v>0</v>
      </c>
      <c r="AC313">
        <f t="shared" si="14"/>
        <v>0</v>
      </c>
      <c r="AD313" s="67" t="s">
        <v>1808</v>
      </c>
      <c r="AE313" s="87">
        <f t="shared" si="15"/>
        <v>0.1111111111111111</v>
      </c>
      <c r="AF313" s="91">
        <v>2</v>
      </c>
      <c r="AG313" s="103" t="s">
        <v>1840</v>
      </c>
      <c r="AH313" s="91">
        <v>2</v>
      </c>
      <c r="AI313" s="103" t="s">
        <v>1840</v>
      </c>
    </row>
    <row r="314" spans="1:35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>
        <f t="shared" si="13"/>
        <v>0</v>
      </c>
      <c r="AC314">
        <f t="shared" si="14"/>
        <v>0</v>
      </c>
      <c r="AD314" s="67"/>
      <c r="AE314" s="87">
        <f t="shared" si="15"/>
        <v>0.1111111111111111</v>
      </c>
      <c r="AF314" s="91">
        <v>2</v>
      </c>
      <c r="AG314" s="103" t="s">
        <v>1840</v>
      </c>
      <c r="AH314" s="91">
        <v>2</v>
      </c>
      <c r="AI314" s="103" t="s">
        <v>1840</v>
      </c>
    </row>
    <row r="315" spans="1:35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>
        <f t="shared" si="13"/>
        <v>0</v>
      </c>
      <c r="AC315">
        <f t="shared" si="14"/>
        <v>0</v>
      </c>
      <c r="AD315" s="67"/>
      <c r="AE315" s="87">
        <f t="shared" si="15"/>
        <v>0.16666666666666666</v>
      </c>
      <c r="AF315" s="91">
        <v>1</v>
      </c>
      <c r="AG315" s="103" t="s">
        <v>1839</v>
      </c>
      <c r="AH315" s="91">
        <v>1</v>
      </c>
      <c r="AI315" s="103" t="s">
        <v>1839</v>
      </c>
    </row>
    <row r="316" spans="1:35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>
        <f t="shared" si="13"/>
        <v>0</v>
      </c>
      <c r="AC316">
        <f t="shared" si="14"/>
        <v>0</v>
      </c>
      <c r="AD316" s="67"/>
      <c r="AE316" s="87">
        <f t="shared" si="15"/>
        <v>0.16666666666666666</v>
      </c>
      <c r="AF316" s="91">
        <v>1</v>
      </c>
      <c r="AG316" s="103" t="s">
        <v>1839</v>
      </c>
      <c r="AH316" s="91">
        <v>1</v>
      </c>
      <c r="AI316" s="103" t="s">
        <v>1839</v>
      </c>
    </row>
    <row r="317" spans="1:35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>
        <f t="shared" si="13"/>
        <v>0</v>
      </c>
      <c r="AC317">
        <f t="shared" si="14"/>
        <v>0</v>
      </c>
      <c r="AD317" s="67"/>
      <c r="AE317" s="87">
        <f t="shared" si="15"/>
        <v>0.16666666666666666</v>
      </c>
      <c r="AF317" s="91">
        <v>1</v>
      </c>
      <c r="AG317" s="103" t="s">
        <v>1839</v>
      </c>
      <c r="AH317" s="91">
        <v>1</v>
      </c>
      <c r="AI317" s="103" t="s">
        <v>1839</v>
      </c>
    </row>
    <row r="318" spans="1:35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>
        <f t="shared" si="13"/>
        <v>0</v>
      </c>
      <c r="AC318">
        <f t="shared" si="14"/>
        <v>0</v>
      </c>
      <c r="AD318" s="67"/>
      <c r="AE318" s="87">
        <f t="shared" si="15"/>
        <v>0.1111111111111111</v>
      </c>
      <c r="AF318" s="91">
        <v>2</v>
      </c>
      <c r="AG318" s="103" t="s">
        <v>1840</v>
      </c>
      <c r="AH318" s="91">
        <v>2</v>
      </c>
      <c r="AI318" s="103" t="s">
        <v>1840</v>
      </c>
    </row>
    <row r="319" spans="1:35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>
        <f t="shared" si="13"/>
        <v>0</v>
      </c>
      <c r="AC319">
        <f t="shared" si="14"/>
        <v>0</v>
      </c>
      <c r="AD319" s="67"/>
      <c r="AE319" s="87">
        <f t="shared" si="15"/>
        <v>0.77777777777777779</v>
      </c>
      <c r="AF319" s="91">
        <v>1</v>
      </c>
      <c r="AG319" s="105" t="s">
        <v>1841</v>
      </c>
      <c r="AH319" s="91">
        <v>1</v>
      </c>
      <c r="AI319" s="105" t="s">
        <v>1841</v>
      </c>
    </row>
    <row r="320" spans="1:35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>
        <f t="shared" si="13"/>
        <v>0</v>
      </c>
      <c r="AC320">
        <f t="shared" si="14"/>
        <v>0</v>
      </c>
      <c r="AD320" s="67"/>
      <c r="AE320" s="87">
        <f t="shared" si="15"/>
        <v>0.31481481481481477</v>
      </c>
      <c r="AF320" s="91">
        <v>1</v>
      </c>
      <c r="AG320" s="105" t="s">
        <v>1841</v>
      </c>
      <c r="AH320" s="91">
        <v>1</v>
      </c>
      <c r="AI320" s="105" t="s">
        <v>1841</v>
      </c>
    </row>
    <row r="321" spans="1:35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>
        <f t="shared" si="13"/>
        <v>0</v>
      </c>
      <c r="AC321">
        <f t="shared" si="14"/>
        <v>0</v>
      </c>
      <c r="AD321" s="67"/>
      <c r="AE321" s="87">
        <f t="shared" si="15"/>
        <v>0.31481481481481477</v>
      </c>
      <c r="AF321" s="91">
        <v>1</v>
      </c>
      <c r="AG321" s="105" t="s">
        <v>1841</v>
      </c>
      <c r="AH321" s="91">
        <v>1</v>
      </c>
      <c r="AI321" s="105" t="s">
        <v>1841</v>
      </c>
    </row>
    <row r="322" spans="1:35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>
        <f t="shared" si="13"/>
        <v>0</v>
      </c>
      <c r="AC322">
        <f t="shared" si="14"/>
        <v>0</v>
      </c>
      <c r="AD322" s="67"/>
      <c r="AE322" s="87">
        <f t="shared" si="15"/>
        <v>0.31481481481481477</v>
      </c>
      <c r="AF322" s="91">
        <v>1</v>
      </c>
      <c r="AG322" s="105" t="s">
        <v>1841</v>
      </c>
      <c r="AH322" s="91">
        <v>1</v>
      </c>
      <c r="AI322" s="105" t="s">
        <v>1841</v>
      </c>
    </row>
    <row r="323" spans="1:35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>
        <f t="shared" ref="AB323:AB386" si="16">IF(OR(AND(Z323="SI",AA323="NO"),AND(Z323="NO",AA323="SI")),1,0)</f>
        <v>0</v>
      </c>
      <c r="AC323">
        <f t="shared" ref="AC323:AC386" si="17">IF(AND(OR(Z323="SI",Z323="NO APLICA"),OR(AA323="SI",AA323="NO APLICA")),1,0)</f>
        <v>0</v>
      </c>
      <c r="AD323" s="67"/>
      <c r="AE323" s="87">
        <f t="shared" si="15"/>
        <v>0.31481481481481477</v>
      </c>
      <c r="AF323" s="91">
        <v>1</v>
      </c>
      <c r="AG323" s="105" t="s">
        <v>1841</v>
      </c>
      <c r="AH323" s="91">
        <v>1</v>
      </c>
      <c r="AI323" s="105" t="s">
        <v>1841</v>
      </c>
    </row>
    <row r="324" spans="1:35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>
        <f t="shared" si="16"/>
        <v>0</v>
      </c>
      <c r="AC324">
        <f t="shared" si="17"/>
        <v>0</v>
      </c>
      <c r="AD324" s="67"/>
      <c r="AE324" s="87">
        <f t="shared" si="15"/>
        <v>0.31481481481481477</v>
      </c>
      <c r="AF324" s="91">
        <v>1</v>
      </c>
      <c r="AG324" s="105" t="s">
        <v>1841</v>
      </c>
      <c r="AH324" s="91">
        <v>1</v>
      </c>
      <c r="AI324" s="105" t="s">
        <v>1841</v>
      </c>
    </row>
    <row r="325" spans="1:35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>
        <f t="shared" si="16"/>
        <v>0</v>
      </c>
      <c r="AC325">
        <f t="shared" si="17"/>
        <v>0</v>
      </c>
      <c r="AD325" s="67"/>
      <c r="AE325" s="87">
        <f t="shared" si="15"/>
        <v>0.31481481481481477</v>
      </c>
      <c r="AF325" s="91">
        <v>1</v>
      </c>
      <c r="AG325" s="105" t="s">
        <v>1841</v>
      </c>
      <c r="AH325" s="91">
        <v>1</v>
      </c>
      <c r="AI325" s="105" t="s">
        <v>1841</v>
      </c>
    </row>
    <row r="326" spans="1:35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213</v>
      </c>
      <c r="V326" s="66" t="s">
        <v>213</v>
      </c>
      <c r="W326" s="66"/>
      <c r="X326" s="66"/>
      <c r="Y326" s="66"/>
      <c r="Z326" s="66"/>
      <c r="AA326" s="66"/>
      <c r="AB326">
        <f t="shared" si="16"/>
        <v>0</v>
      </c>
      <c r="AC326">
        <f t="shared" si="17"/>
        <v>0</v>
      </c>
      <c r="AD326" s="67"/>
      <c r="AE326" s="87">
        <f t="shared" si="15"/>
        <v>0.31481481481481477</v>
      </c>
      <c r="AF326" s="91">
        <v>1</v>
      </c>
      <c r="AG326" s="105" t="s">
        <v>1841</v>
      </c>
      <c r="AH326" s="91">
        <v>1</v>
      </c>
      <c r="AI326" s="105" t="s">
        <v>1841</v>
      </c>
    </row>
    <row r="327" spans="1:35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>
        <f t="shared" si="16"/>
        <v>0</v>
      </c>
      <c r="AC327">
        <f t="shared" si="17"/>
        <v>0</v>
      </c>
      <c r="AD327" s="67"/>
      <c r="AE327" s="87">
        <f t="shared" si="15"/>
        <v>0.31481481481481477</v>
      </c>
      <c r="AF327" s="91">
        <v>1</v>
      </c>
      <c r="AG327" s="105" t="s">
        <v>1841</v>
      </c>
      <c r="AH327" s="91">
        <v>1</v>
      </c>
      <c r="AI327" s="105" t="s">
        <v>1841</v>
      </c>
    </row>
    <row r="328" spans="1:35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213</v>
      </c>
      <c r="V328" s="66" t="s">
        <v>213</v>
      </c>
      <c r="W328" s="66"/>
      <c r="X328" s="66"/>
      <c r="Y328" s="66"/>
      <c r="Z328" s="66"/>
      <c r="AA328" s="66"/>
      <c r="AB328">
        <f t="shared" si="16"/>
        <v>0</v>
      </c>
      <c r="AC328">
        <f t="shared" si="17"/>
        <v>0</v>
      </c>
      <c r="AD328" s="67"/>
      <c r="AE328" s="87">
        <f t="shared" si="15"/>
        <v>0.31481481481481477</v>
      </c>
      <c r="AF328" s="91">
        <v>1</v>
      </c>
      <c r="AG328" s="105" t="s">
        <v>1841</v>
      </c>
      <c r="AH328" s="91">
        <v>1</v>
      </c>
      <c r="AI328" s="105" t="s">
        <v>1841</v>
      </c>
    </row>
    <row r="329" spans="1:35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>
        <f t="shared" si="16"/>
        <v>0</v>
      </c>
      <c r="AC329">
        <f t="shared" si="17"/>
        <v>0</v>
      </c>
      <c r="AD329" s="67"/>
      <c r="AE329" s="87">
        <f t="shared" si="15"/>
        <v>0.31481481481481477</v>
      </c>
      <c r="AF329" s="91">
        <v>1</v>
      </c>
      <c r="AG329" s="105" t="s">
        <v>1841</v>
      </c>
      <c r="AH329" s="91">
        <v>1</v>
      </c>
      <c r="AI329" s="105" t="s">
        <v>1841</v>
      </c>
    </row>
    <row r="330" spans="1:35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>
        <f t="shared" si="16"/>
        <v>0</v>
      </c>
      <c r="AC330">
        <f t="shared" si="17"/>
        <v>0</v>
      </c>
      <c r="AD330" s="67"/>
      <c r="AE330" s="87">
        <f t="shared" si="15"/>
        <v>0.31481481481481477</v>
      </c>
      <c r="AF330" s="91">
        <v>1</v>
      </c>
      <c r="AG330" s="105" t="s">
        <v>1841</v>
      </c>
      <c r="AH330" s="91">
        <v>1</v>
      </c>
      <c r="AI330" s="105" t="s">
        <v>1841</v>
      </c>
    </row>
    <row r="331" spans="1:35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>
        <f t="shared" si="16"/>
        <v>0</v>
      </c>
      <c r="AC331">
        <f t="shared" si="17"/>
        <v>0</v>
      </c>
      <c r="AD331" s="67"/>
      <c r="AE331" s="87">
        <f t="shared" si="15"/>
        <v>0.31481481481481477</v>
      </c>
      <c r="AF331" s="91">
        <v>1</v>
      </c>
      <c r="AG331" s="105" t="s">
        <v>1841</v>
      </c>
      <c r="AH331" s="91">
        <v>1</v>
      </c>
      <c r="AI331" s="105" t="s">
        <v>1841</v>
      </c>
    </row>
    <row r="332" spans="1:35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213</v>
      </c>
      <c r="V332" s="66" t="s">
        <v>213</v>
      </c>
      <c r="W332" s="66"/>
      <c r="X332" s="66"/>
      <c r="Y332" s="66"/>
      <c r="Z332" s="66"/>
      <c r="AA332" s="66"/>
      <c r="AB332">
        <f t="shared" si="16"/>
        <v>0</v>
      </c>
      <c r="AC332">
        <f t="shared" si="17"/>
        <v>0</v>
      </c>
      <c r="AD332" s="67"/>
      <c r="AE332" s="87">
        <f t="shared" si="15"/>
        <v>0.31481481481481477</v>
      </c>
      <c r="AF332" s="91">
        <v>1</v>
      </c>
      <c r="AG332" s="105" t="s">
        <v>1841</v>
      </c>
      <c r="AH332" s="91">
        <v>1</v>
      </c>
      <c r="AI332" s="105" t="s">
        <v>1841</v>
      </c>
    </row>
    <row r="333" spans="1:35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>
        <f t="shared" si="16"/>
        <v>0</v>
      </c>
      <c r="AC333">
        <f t="shared" si="17"/>
        <v>0</v>
      </c>
      <c r="AD333" s="67"/>
      <c r="AE333" s="87">
        <f t="shared" si="15"/>
        <v>0.31481481481481477</v>
      </c>
      <c r="AF333" s="91">
        <v>1</v>
      </c>
      <c r="AG333" s="105" t="s">
        <v>1841</v>
      </c>
      <c r="AH333" s="91">
        <v>1</v>
      </c>
      <c r="AI333" s="105" t="s">
        <v>1841</v>
      </c>
    </row>
    <row r="334" spans="1:35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>
        <f t="shared" si="16"/>
        <v>0</v>
      </c>
      <c r="AC334">
        <f t="shared" si="17"/>
        <v>0</v>
      </c>
      <c r="AD334" s="67"/>
      <c r="AE334" s="87">
        <f t="shared" si="15"/>
        <v>0.31481481481481477</v>
      </c>
      <c r="AF334" s="91">
        <v>1</v>
      </c>
      <c r="AG334" s="105" t="s">
        <v>1841</v>
      </c>
      <c r="AH334" s="91">
        <v>1</v>
      </c>
      <c r="AI334" s="105" t="s">
        <v>1841</v>
      </c>
    </row>
    <row r="335" spans="1:35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>
        <f t="shared" si="16"/>
        <v>0</v>
      </c>
      <c r="AC335">
        <f t="shared" si="17"/>
        <v>0</v>
      </c>
      <c r="AD335" s="67"/>
      <c r="AE335" s="87">
        <f t="shared" si="15"/>
        <v>0.31481481481481477</v>
      </c>
      <c r="AF335" s="91">
        <v>1</v>
      </c>
      <c r="AG335" s="105" t="s">
        <v>1841</v>
      </c>
      <c r="AH335" s="91">
        <v>1</v>
      </c>
      <c r="AI335" s="105" t="s">
        <v>1841</v>
      </c>
    </row>
    <row r="336" spans="1:35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>
        <f t="shared" si="16"/>
        <v>0</v>
      </c>
      <c r="AC336">
        <f t="shared" si="17"/>
        <v>0</v>
      </c>
      <c r="AD336" s="74"/>
      <c r="AE336" s="87">
        <f t="shared" si="15"/>
        <v>0.31481481481481477</v>
      </c>
      <c r="AF336" s="91">
        <v>1</v>
      </c>
      <c r="AG336" s="105" t="s">
        <v>1841</v>
      </c>
      <c r="AH336" s="91">
        <v>1</v>
      </c>
      <c r="AI336" s="105" t="s">
        <v>1841</v>
      </c>
    </row>
    <row r="337" spans="1:35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213</v>
      </c>
      <c r="V337" s="66" t="s">
        <v>213</v>
      </c>
      <c r="W337" s="66"/>
      <c r="X337" s="66"/>
      <c r="Y337" s="66"/>
      <c r="Z337" s="66"/>
      <c r="AA337" s="66"/>
      <c r="AB337">
        <f t="shared" si="16"/>
        <v>0</v>
      </c>
      <c r="AC337">
        <f t="shared" si="17"/>
        <v>0</v>
      </c>
      <c r="AD337" s="67"/>
      <c r="AE337" s="87">
        <f t="shared" si="15"/>
        <v>0.31481481481481477</v>
      </c>
      <c r="AF337" s="91">
        <v>1</v>
      </c>
      <c r="AG337" s="105" t="s">
        <v>1841</v>
      </c>
      <c r="AH337" s="91">
        <v>1</v>
      </c>
      <c r="AI337" s="105" t="s">
        <v>1841</v>
      </c>
    </row>
    <row r="338" spans="1:35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>
        <f t="shared" si="16"/>
        <v>0</v>
      </c>
      <c r="AC338">
        <f t="shared" si="17"/>
        <v>0</v>
      </c>
      <c r="AD338" s="67"/>
      <c r="AE338" s="87">
        <f t="shared" si="15"/>
        <v>0.31481481481481477</v>
      </c>
      <c r="AF338" s="91">
        <v>1</v>
      </c>
      <c r="AG338" s="105" t="s">
        <v>1841</v>
      </c>
      <c r="AH338" s="91">
        <v>1</v>
      </c>
      <c r="AI338" s="105" t="s">
        <v>1841</v>
      </c>
    </row>
    <row r="339" spans="1:35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>
        <f t="shared" si="16"/>
        <v>0</v>
      </c>
      <c r="AC339">
        <f t="shared" si="17"/>
        <v>0</v>
      </c>
      <c r="AD339" s="67"/>
      <c r="AE339" s="87">
        <f t="shared" si="15"/>
        <v>0.31481481481481477</v>
      </c>
      <c r="AF339" s="91">
        <v>1</v>
      </c>
      <c r="AG339" s="105" t="s">
        <v>1841</v>
      </c>
      <c r="AH339" s="91">
        <v>1</v>
      </c>
      <c r="AI339" s="105" t="s">
        <v>1841</v>
      </c>
    </row>
    <row r="340" spans="1:35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213</v>
      </c>
      <c r="V340" s="66" t="s">
        <v>213</v>
      </c>
      <c r="W340" s="66"/>
      <c r="X340" s="66"/>
      <c r="Y340" s="66"/>
      <c r="Z340" s="66"/>
      <c r="AA340" s="66"/>
      <c r="AB340">
        <f t="shared" si="16"/>
        <v>0</v>
      </c>
      <c r="AC340">
        <f t="shared" si="17"/>
        <v>0</v>
      </c>
      <c r="AD340" s="67"/>
      <c r="AE340" s="87">
        <f t="shared" si="15"/>
        <v>0.31481481481481477</v>
      </c>
      <c r="AF340" s="91">
        <v>1</v>
      </c>
      <c r="AG340" s="105" t="s">
        <v>1841</v>
      </c>
      <c r="AH340" s="91">
        <v>1</v>
      </c>
      <c r="AI340" s="105" t="s">
        <v>1841</v>
      </c>
    </row>
    <row r="341" spans="1:35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>
        <f t="shared" si="16"/>
        <v>0</v>
      </c>
      <c r="AC341">
        <f t="shared" si="17"/>
        <v>0</v>
      </c>
      <c r="AD341" s="67"/>
      <c r="AE341" s="87">
        <f t="shared" si="15"/>
        <v>0.31481481481481477</v>
      </c>
      <c r="AF341" s="91">
        <v>1</v>
      </c>
      <c r="AG341" s="105" t="s">
        <v>1841</v>
      </c>
      <c r="AH341" s="91">
        <v>1</v>
      </c>
      <c r="AI341" s="105" t="s">
        <v>1841</v>
      </c>
    </row>
    <row r="342" spans="1:35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>
        <f t="shared" si="16"/>
        <v>0</v>
      </c>
      <c r="AC342">
        <f t="shared" si="17"/>
        <v>0</v>
      </c>
      <c r="AD342" s="67"/>
      <c r="AE342" s="87">
        <f t="shared" si="15"/>
        <v>0.31481481481481477</v>
      </c>
      <c r="AF342" s="91">
        <v>1</v>
      </c>
      <c r="AG342" s="105" t="s">
        <v>1841</v>
      </c>
      <c r="AH342" s="91">
        <v>1</v>
      </c>
      <c r="AI342" s="105" t="s">
        <v>1841</v>
      </c>
    </row>
    <row r="343" spans="1:35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213</v>
      </c>
      <c r="V343" s="66" t="s">
        <v>213</v>
      </c>
      <c r="W343" s="66"/>
      <c r="X343" s="66"/>
      <c r="Y343" s="66"/>
      <c r="Z343" s="66"/>
      <c r="AA343" s="66"/>
      <c r="AB343">
        <f t="shared" si="16"/>
        <v>0</v>
      </c>
      <c r="AC343">
        <f t="shared" si="17"/>
        <v>0</v>
      </c>
      <c r="AD343" s="67"/>
      <c r="AE343" s="87">
        <f t="shared" si="15"/>
        <v>0.31481481481481477</v>
      </c>
      <c r="AF343" s="91">
        <v>1</v>
      </c>
      <c r="AG343" s="105" t="s">
        <v>1841</v>
      </c>
      <c r="AH343" s="91">
        <v>1</v>
      </c>
      <c r="AI343" s="105" t="s">
        <v>1841</v>
      </c>
    </row>
    <row r="344" spans="1:35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>
        <f t="shared" si="16"/>
        <v>0</v>
      </c>
      <c r="AC344">
        <f t="shared" si="17"/>
        <v>0</v>
      </c>
      <c r="AD344" s="67"/>
      <c r="AE344" s="87">
        <f t="shared" si="15"/>
        <v>0.31481481481481477</v>
      </c>
      <c r="AF344" s="91">
        <v>1</v>
      </c>
      <c r="AG344" s="105" t="s">
        <v>1841</v>
      </c>
      <c r="AH344" s="91">
        <v>1</v>
      </c>
      <c r="AI344" s="105" t="s">
        <v>1841</v>
      </c>
    </row>
    <row r="345" spans="1:35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>
        <f t="shared" si="16"/>
        <v>0</v>
      </c>
      <c r="AC345">
        <f t="shared" si="17"/>
        <v>0</v>
      </c>
      <c r="AD345" s="67"/>
      <c r="AE345" s="87">
        <f t="shared" si="15"/>
        <v>0.31481481481481477</v>
      </c>
      <c r="AF345" s="91">
        <v>1</v>
      </c>
      <c r="AG345" s="105" t="s">
        <v>1841</v>
      </c>
      <c r="AH345" s="91">
        <v>1</v>
      </c>
      <c r="AI345" s="105" t="s">
        <v>1841</v>
      </c>
    </row>
    <row r="346" spans="1:35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>
        <f t="shared" si="16"/>
        <v>0</v>
      </c>
      <c r="AC346">
        <f t="shared" si="17"/>
        <v>0</v>
      </c>
      <c r="AD346" s="67"/>
      <c r="AE346" s="87">
        <f t="shared" si="15"/>
        <v>0.44444444444444442</v>
      </c>
      <c r="AF346" s="91">
        <v>6</v>
      </c>
      <c r="AG346" s="105" t="s">
        <v>1781</v>
      </c>
      <c r="AH346" s="91">
        <v>6</v>
      </c>
      <c r="AI346" s="105" t="s">
        <v>1781</v>
      </c>
    </row>
    <row r="347" spans="1:35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>
        <f t="shared" si="16"/>
        <v>0</v>
      </c>
      <c r="AC347">
        <f t="shared" si="17"/>
        <v>0</v>
      </c>
      <c r="AD347" s="67"/>
      <c r="AE347" s="87">
        <f t="shared" si="15"/>
        <v>0.25925925925925924</v>
      </c>
      <c r="AF347" s="91">
        <v>6</v>
      </c>
      <c r="AG347" s="105" t="s">
        <v>1781</v>
      </c>
      <c r="AH347" s="91">
        <v>6</v>
      </c>
      <c r="AI347" s="105" t="s">
        <v>1781</v>
      </c>
    </row>
    <row r="348" spans="1:35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>
        <f t="shared" si="16"/>
        <v>0</v>
      </c>
      <c r="AC348">
        <f t="shared" si="17"/>
        <v>0</v>
      </c>
      <c r="AD348" s="67"/>
      <c r="AE348" s="87">
        <f t="shared" si="15"/>
        <v>0.25925925925925924</v>
      </c>
      <c r="AF348" s="91">
        <v>6</v>
      </c>
      <c r="AG348" s="105" t="s">
        <v>1781</v>
      </c>
      <c r="AH348" s="91">
        <v>6</v>
      </c>
      <c r="AI348" s="105" t="s">
        <v>1781</v>
      </c>
    </row>
    <row r="349" spans="1:35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>
        <f t="shared" si="16"/>
        <v>0</v>
      </c>
      <c r="AC349">
        <f t="shared" si="17"/>
        <v>0</v>
      </c>
      <c r="AD349" s="67"/>
      <c r="AE349" s="87">
        <f t="shared" si="15"/>
        <v>0.25925925925925924</v>
      </c>
      <c r="AF349" s="91">
        <v>6</v>
      </c>
      <c r="AG349" s="105" t="s">
        <v>1781</v>
      </c>
      <c r="AH349" s="91">
        <v>6</v>
      </c>
      <c r="AI349" s="105" t="s">
        <v>1781</v>
      </c>
    </row>
    <row r="350" spans="1:35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>
        <f t="shared" si="16"/>
        <v>0</v>
      </c>
      <c r="AC350">
        <f t="shared" si="17"/>
        <v>0</v>
      </c>
      <c r="AD350" s="67"/>
      <c r="AE350" s="87">
        <f t="shared" si="15"/>
        <v>0.25925925925925924</v>
      </c>
      <c r="AF350" s="91">
        <v>6</v>
      </c>
      <c r="AG350" s="105" t="s">
        <v>1781</v>
      </c>
      <c r="AH350" s="91">
        <v>6</v>
      </c>
      <c r="AI350" s="105" t="s">
        <v>1781</v>
      </c>
    </row>
    <row r="351" spans="1:35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/>
      <c r="X351" s="66"/>
      <c r="Y351" s="66"/>
      <c r="Z351" s="66"/>
      <c r="AA351" s="66"/>
      <c r="AB351">
        <f t="shared" si="16"/>
        <v>0</v>
      </c>
      <c r="AC351">
        <f t="shared" si="17"/>
        <v>0</v>
      </c>
      <c r="AD351" s="67"/>
      <c r="AE351" s="87">
        <f t="shared" si="15"/>
        <v>0.33333333333333331</v>
      </c>
      <c r="AF351" s="91">
        <v>6</v>
      </c>
      <c r="AG351" s="105" t="s">
        <v>1781</v>
      </c>
      <c r="AH351" s="91">
        <v>6</v>
      </c>
      <c r="AI351" s="105" t="s">
        <v>1781</v>
      </c>
    </row>
    <row r="352" spans="1:35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>
        <f t="shared" si="16"/>
        <v>0</v>
      </c>
      <c r="AC352">
        <f t="shared" si="17"/>
        <v>0</v>
      </c>
      <c r="AD352" s="67"/>
      <c r="AE352" s="87">
        <f t="shared" si="15"/>
        <v>0.25925925925925924</v>
      </c>
      <c r="AF352" s="91">
        <v>6</v>
      </c>
      <c r="AG352" s="105" t="s">
        <v>1781</v>
      </c>
      <c r="AH352" s="91">
        <v>6</v>
      </c>
      <c r="AI352" s="105" t="s">
        <v>1781</v>
      </c>
    </row>
    <row r="353" spans="1:35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/>
      <c r="X353" s="66"/>
      <c r="Y353" s="66"/>
      <c r="Z353" s="66"/>
      <c r="AA353" s="66"/>
      <c r="AB353">
        <f t="shared" si="16"/>
        <v>0</v>
      </c>
      <c r="AC353">
        <f t="shared" si="17"/>
        <v>0</v>
      </c>
      <c r="AD353" s="67"/>
      <c r="AE353" s="87">
        <f t="shared" ref="AE353:AE416" si="18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0.33333333333333331</v>
      </c>
      <c r="AF353" s="91">
        <v>6</v>
      </c>
      <c r="AG353" s="105" t="s">
        <v>1781</v>
      </c>
      <c r="AH353" s="91">
        <v>6</v>
      </c>
      <c r="AI353" s="105" t="s">
        <v>1781</v>
      </c>
    </row>
    <row r="354" spans="1:35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/>
      <c r="X354" s="66"/>
      <c r="Y354" s="66"/>
      <c r="Z354" s="66"/>
      <c r="AA354" s="66"/>
      <c r="AB354">
        <f t="shared" si="16"/>
        <v>0</v>
      </c>
      <c r="AC354">
        <f t="shared" si="17"/>
        <v>0</v>
      </c>
      <c r="AD354" s="67"/>
      <c r="AE354" s="87">
        <f t="shared" si="18"/>
        <v>0.33333333333333331</v>
      </c>
      <c r="AF354" s="91">
        <v>6</v>
      </c>
      <c r="AG354" s="105" t="s">
        <v>1781</v>
      </c>
      <c r="AH354" s="91">
        <v>6</v>
      </c>
      <c r="AI354" s="105" t="s">
        <v>1781</v>
      </c>
    </row>
    <row r="355" spans="1:35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>
        <f t="shared" si="16"/>
        <v>0</v>
      </c>
      <c r="AC355">
        <f t="shared" si="17"/>
        <v>0</v>
      </c>
      <c r="AD355" s="67"/>
      <c r="AE355" s="87">
        <f t="shared" si="18"/>
        <v>0.25925925925925924</v>
      </c>
      <c r="AF355" s="91">
        <v>6</v>
      </c>
      <c r="AG355" s="105" t="s">
        <v>1781</v>
      </c>
      <c r="AH355" s="91">
        <v>6</v>
      </c>
      <c r="AI355" s="105" t="s">
        <v>1781</v>
      </c>
    </row>
    <row r="356" spans="1:35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0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>
        <f t="shared" si="16"/>
        <v>0</v>
      </c>
      <c r="AC356">
        <f t="shared" si="17"/>
        <v>0</v>
      </c>
      <c r="AD356" s="74"/>
      <c r="AE356" s="87">
        <f t="shared" si="18"/>
        <v>0.25925925925925924</v>
      </c>
      <c r="AF356" s="91">
        <v>6</v>
      </c>
      <c r="AG356" s="105" t="s">
        <v>1781</v>
      </c>
      <c r="AH356" s="91">
        <v>6</v>
      </c>
      <c r="AI356" s="105" t="s">
        <v>1781</v>
      </c>
    </row>
    <row r="357" spans="1:35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>
        <f t="shared" si="16"/>
        <v>0</v>
      </c>
      <c r="AC357">
        <f t="shared" si="17"/>
        <v>0</v>
      </c>
      <c r="AD357" s="74"/>
      <c r="AE357" s="87">
        <f t="shared" si="18"/>
        <v>0.25925925925925924</v>
      </c>
      <c r="AF357" s="91">
        <v>6</v>
      </c>
      <c r="AG357" s="105" t="s">
        <v>1781</v>
      </c>
      <c r="AH357" s="91">
        <v>6</v>
      </c>
      <c r="AI357" s="105" t="s">
        <v>1781</v>
      </c>
    </row>
    <row r="358" spans="1:35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>
        <f t="shared" si="16"/>
        <v>0</v>
      </c>
      <c r="AC358">
        <f t="shared" si="17"/>
        <v>0</v>
      </c>
      <c r="AD358" s="67"/>
      <c r="AE358" s="87">
        <f t="shared" si="18"/>
        <v>0.25925925925925924</v>
      </c>
      <c r="AF358" s="91">
        <v>6</v>
      </c>
      <c r="AG358" s="105" t="s">
        <v>1781</v>
      </c>
      <c r="AH358" s="91">
        <v>6</v>
      </c>
      <c r="AI358" s="105" t="s">
        <v>1781</v>
      </c>
    </row>
    <row r="359" spans="1:35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/>
      <c r="X359" s="66"/>
      <c r="Y359" s="66"/>
      <c r="Z359" s="66"/>
      <c r="AA359" s="66"/>
      <c r="AB359">
        <f t="shared" si="16"/>
        <v>0</v>
      </c>
      <c r="AC359">
        <f t="shared" si="17"/>
        <v>0</v>
      </c>
      <c r="AD359" s="74"/>
      <c r="AE359" s="87">
        <f t="shared" si="18"/>
        <v>0.33333333333333331</v>
      </c>
      <c r="AF359" s="91">
        <v>6</v>
      </c>
      <c r="AG359" s="105" t="s">
        <v>1781</v>
      </c>
      <c r="AH359" s="91">
        <v>6</v>
      </c>
      <c r="AI359" s="105" t="s">
        <v>1781</v>
      </c>
    </row>
    <row r="360" spans="1:35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>
        <f t="shared" si="16"/>
        <v>0</v>
      </c>
      <c r="AC360">
        <f t="shared" si="17"/>
        <v>0</v>
      </c>
      <c r="AD360" s="67"/>
      <c r="AE360" s="87">
        <f t="shared" si="18"/>
        <v>0.25925925925925924</v>
      </c>
      <c r="AF360" s="91">
        <v>6</v>
      </c>
      <c r="AG360" s="105" t="s">
        <v>1781</v>
      </c>
      <c r="AH360" s="91">
        <v>6</v>
      </c>
      <c r="AI360" s="105" t="s">
        <v>1781</v>
      </c>
    </row>
    <row r="361" spans="1:35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213</v>
      </c>
      <c r="V361" s="66" t="s">
        <v>213</v>
      </c>
      <c r="W361" s="66"/>
      <c r="X361" s="66"/>
      <c r="Y361" s="66"/>
      <c r="Z361" s="66"/>
      <c r="AA361" s="66"/>
      <c r="AB361">
        <f t="shared" si="16"/>
        <v>0</v>
      </c>
      <c r="AC361">
        <f t="shared" si="17"/>
        <v>0</v>
      </c>
      <c r="AD361" s="67"/>
      <c r="AE361" s="87">
        <f t="shared" si="18"/>
        <v>0.25925925925925924</v>
      </c>
      <c r="AF361" s="91">
        <v>6</v>
      </c>
      <c r="AG361" s="105" t="s">
        <v>1781</v>
      </c>
      <c r="AH361" s="91">
        <v>6</v>
      </c>
      <c r="AI361" s="105" t="s">
        <v>1781</v>
      </c>
    </row>
    <row r="362" spans="1:35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>
        <f t="shared" si="16"/>
        <v>0</v>
      </c>
      <c r="AC362">
        <f t="shared" si="17"/>
        <v>0</v>
      </c>
      <c r="AD362" s="67"/>
      <c r="AE362" s="87">
        <f t="shared" si="18"/>
        <v>0.25925925925925924</v>
      </c>
      <c r="AF362" s="91">
        <v>6</v>
      </c>
      <c r="AG362" s="105" t="s">
        <v>1781</v>
      </c>
      <c r="AH362" s="91">
        <v>6</v>
      </c>
      <c r="AI362" s="105" t="s">
        <v>1781</v>
      </c>
    </row>
    <row r="363" spans="1:35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/>
      <c r="Z363" s="66"/>
      <c r="AA363" s="66"/>
      <c r="AB363">
        <f t="shared" si="16"/>
        <v>0</v>
      </c>
      <c r="AC363">
        <f t="shared" si="17"/>
        <v>0</v>
      </c>
      <c r="AD363" s="67"/>
      <c r="AE363" s="87">
        <f t="shared" si="18"/>
        <v>0.55555555555555558</v>
      </c>
      <c r="AF363" s="91">
        <v>3</v>
      </c>
      <c r="AG363" s="105" t="s">
        <v>1783</v>
      </c>
      <c r="AH363" s="91">
        <v>3</v>
      </c>
      <c r="AI363" s="105" t="s">
        <v>1783</v>
      </c>
    </row>
    <row r="364" spans="1:35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>
        <f t="shared" si="16"/>
        <v>0</v>
      </c>
      <c r="AC364">
        <f t="shared" si="17"/>
        <v>0</v>
      </c>
      <c r="AD364" s="67"/>
      <c r="AE364" s="87">
        <f t="shared" si="18"/>
        <v>0.18518518518518517</v>
      </c>
      <c r="AF364" s="91">
        <v>3</v>
      </c>
      <c r="AG364" s="105" t="s">
        <v>1783</v>
      </c>
      <c r="AH364" s="91">
        <v>3</v>
      </c>
      <c r="AI364" s="105" t="s">
        <v>1783</v>
      </c>
    </row>
    <row r="365" spans="1:35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>
        <f t="shared" si="16"/>
        <v>0</v>
      </c>
      <c r="AC365">
        <f t="shared" si="17"/>
        <v>0</v>
      </c>
      <c r="AD365" s="67"/>
      <c r="AE365" s="87">
        <f t="shared" si="18"/>
        <v>0.18518518518518517</v>
      </c>
      <c r="AF365" s="91">
        <v>3</v>
      </c>
      <c r="AG365" s="105" t="s">
        <v>1783</v>
      </c>
      <c r="AH365" s="91">
        <v>3</v>
      </c>
      <c r="AI365" s="105" t="s">
        <v>1783</v>
      </c>
    </row>
    <row r="366" spans="1:35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>
        <f t="shared" si="16"/>
        <v>0</v>
      </c>
      <c r="AC366">
        <f t="shared" si="17"/>
        <v>0</v>
      </c>
      <c r="AD366" s="67"/>
      <c r="AE366" s="87">
        <f t="shared" si="18"/>
        <v>0.18518518518518517</v>
      </c>
      <c r="AF366" s="91">
        <v>3</v>
      </c>
      <c r="AG366" s="105" t="s">
        <v>1783</v>
      </c>
      <c r="AH366" s="91">
        <v>3</v>
      </c>
      <c r="AI366" s="105" t="s">
        <v>1783</v>
      </c>
    </row>
    <row r="367" spans="1:35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/>
      <c r="Z367" s="66"/>
      <c r="AA367" s="66"/>
      <c r="AB367">
        <f t="shared" si="16"/>
        <v>0</v>
      </c>
      <c r="AC367">
        <f t="shared" si="17"/>
        <v>0</v>
      </c>
      <c r="AD367" s="67"/>
      <c r="AE367" s="87">
        <f t="shared" si="18"/>
        <v>0.55555555555555558</v>
      </c>
      <c r="AF367" s="91">
        <v>3</v>
      </c>
      <c r="AG367" s="105" t="s">
        <v>1783</v>
      </c>
      <c r="AH367" s="91">
        <v>3</v>
      </c>
      <c r="AI367" s="105" t="s">
        <v>1783</v>
      </c>
    </row>
    <row r="368" spans="1:35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>
        <f t="shared" si="16"/>
        <v>0</v>
      </c>
      <c r="AC368">
        <f t="shared" si="17"/>
        <v>0</v>
      </c>
      <c r="AD368" s="67"/>
      <c r="AE368" s="87">
        <f t="shared" si="18"/>
        <v>0.18518518518518517</v>
      </c>
      <c r="AF368" s="91">
        <v>3</v>
      </c>
      <c r="AG368" s="105" t="s">
        <v>1783</v>
      </c>
      <c r="AH368" s="91">
        <v>3</v>
      </c>
      <c r="AI368" s="105" t="s">
        <v>1783</v>
      </c>
    </row>
    <row r="369" spans="1:35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>
        <f t="shared" si="16"/>
        <v>0</v>
      </c>
      <c r="AC369">
        <f t="shared" si="17"/>
        <v>0</v>
      </c>
      <c r="AD369" s="67"/>
      <c r="AE369" s="87">
        <f t="shared" si="18"/>
        <v>0.18518518518518517</v>
      </c>
      <c r="AF369" s="91">
        <v>3</v>
      </c>
      <c r="AG369" s="105" t="s">
        <v>1783</v>
      </c>
      <c r="AH369" s="91">
        <v>3</v>
      </c>
      <c r="AI369" s="105" t="s">
        <v>1783</v>
      </c>
    </row>
    <row r="370" spans="1:35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176</v>
      </c>
      <c r="V370" s="66" t="s">
        <v>176</v>
      </c>
      <c r="W370" s="66"/>
      <c r="X370" s="66"/>
      <c r="Y370" s="66"/>
      <c r="Z370" s="66"/>
      <c r="AA370" s="66"/>
      <c r="AB370">
        <f t="shared" si="16"/>
        <v>0</v>
      </c>
      <c r="AC370">
        <f t="shared" si="17"/>
        <v>0</v>
      </c>
      <c r="AD370" s="67"/>
      <c r="AE370" s="87">
        <f t="shared" si="18"/>
        <v>0.18518518518518517</v>
      </c>
      <c r="AF370" s="91">
        <v>3</v>
      </c>
      <c r="AG370" s="105" t="s">
        <v>1783</v>
      </c>
      <c r="AH370" s="91">
        <v>3</v>
      </c>
      <c r="AI370" s="105" t="s">
        <v>1783</v>
      </c>
    </row>
    <row r="371" spans="1:35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/>
      <c r="Z371" s="66"/>
      <c r="AA371" s="66"/>
      <c r="AB371">
        <f t="shared" si="16"/>
        <v>0</v>
      </c>
      <c r="AC371">
        <f t="shared" si="17"/>
        <v>0</v>
      </c>
      <c r="AD371" s="67"/>
      <c r="AE371" s="87">
        <f t="shared" si="18"/>
        <v>0.18518518518518517</v>
      </c>
      <c r="AF371" s="91">
        <v>3</v>
      </c>
      <c r="AG371" s="105" t="s">
        <v>1783</v>
      </c>
      <c r="AH371" s="91">
        <v>3</v>
      </c>
      <c r="AI371" s="105" t="s">
        <v>1783</v>
      </c>
    </row>
    <row r="372" spans="1:35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/>
      <c r="Z372" s="66"/>
      <c r="AA372" s="66"/>
      <c r="AB372">
        <f t="shared" si="16"/>
        <v>0</v>
      </c>
      <c r="AC372">
        <f t="shared" si="17"/>
        <v>0</v>
      </c>
      <c r="AD372" s="67"/>
      <c r="AE372" s="87">
        <f t="shared" si="18"/>
        <v>0.55555555555555558</v>
      </c>
      <c r="AF372" s="91">
        <v>3</v>
      </c>
      <c r="AG372" s="105" t="s">
        <v>1783</v>
      </c>
      <c r="AH372" s="91">
        <v>3</v>
      </c>
      <c r="AI372" s="105" t="s">
        <v>1783</v>
      </c>
    </row>
    <row r="373" spans="1:35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/>
      <c r="Z373" s="66"/>
      <c r="AA373" s="66"/>
      <c r="AB373">
        <f t="shared" si="16"/>
        <v>0</v>
      </c>
      <c r="AC373">
        <f t="shared" si="17"/>
        <v>0</v>
      </c>
      <c r="AD373" s="67"/>
      <c r="AE373" s="87">
        <f t="shared" si="18"/>
        <v>0.18518518518518517</v>
      </c>
      <c r="AF373" s="91">
        <v>3</v>
      </c>
      <c r="AG373" s="105" t="s">
        <v>1783</v>
      </c>
      <c r="AH373" s="91">
        <v>3</v>
      </c>
      <c r="AI373" s="105" t="s">
        <v>1783</v>
      </c>
    </row>
    <row r="374" spans="1:35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/>
      <c r="Z374" s="66"/>
      <c r="AA374" s="66"/>
      <c r="AB374">
        <f t="shared" si="16"/>
        <v>0</v>
      </c>
      <c r="AC374">
        <f t="shared" si="17"/>
        <v>0</v>
      </c>
      <c r="AD374" s="67"/>
      <c r="AE374" s="87">
        <f t="shared" si="18"/>
        <v>0.18518518518518517</v>
      </c>
      <c r="AF374" s="91">
        <v>3</v>
      </c>
      <c r="AG374" s="105" t="s">
        <v>1783</v>
      </c>
      <c r="AH374" s="91">
        <v>3</v>
      </c>
      <c r="AI374" s="105" t="s">
        <v>1783</v>
      </c>
    </row>
    <row r="375" spans="1:35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/>
      <c r="Z375" s="66"/>
      <c r="AA375" s="66"/>
      <c r="AB375">
        <f t="shared" si="16"/>
        <v>0</v>
      </c>
      <c r="AC375">
        <f t="shared" si="17"/>
        <v>0</v>
      </c>
      <c r="AD375" s="67"/>
      <c r="AE375" s="87">
        <f t="shared" si="18"/>
        <v>0.18518518518518517</v>
      </c>
      <c r="AF375" s="91">
        <v>3</v>
      </c>
      <c r="AG375" s="105" t="s">
        <v>1783</v>
      </c>
      <c r="AH375" s="91">
        <v>3</v>
      </c>
      <c r="AI375" s="105" t="s">
        <v>1783</v>
      </c>
    </row>
    <row r="376" spans="1:35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/>
      <c r="Z376" s="66"/>
      <c r="AA376" s="66"/>
      <c r="AB376">
        <f t="shared" si="16"/>
        <v>0</v>
      </c>
      <c r="AC376">
        <f t="shared" si="17"/>
        <v>0</v>
      </c>
      <c r="AD376" s="67"/>
      <c r="AE376" s="87">
        <f t="shared" si="18"/>
        <v>0.18518518518518517</v>
      </c>
      <c r="AF376" s="91">
        <v>3</v>
      </c>
      <c r="AG376" s="105" t="s">
        <v>1783</v>
      </c>
      <c r="AH376" s="91">
        <v>3</v>
      </c>
      <c r="AI376" s="105" t="s">
        <v>1783</v>
      </c>
    </row>
    <row r="377" spans="1:35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/>
      <c r="Z377" s="66"/>
      <c r="AA377" s="66"/>
      <c r="AB377">
        <f t="shared" si="16"/>
        <v>0</v>
      </c>
      <c r="AC377">
        <f t="shared" si="17"/>
        <v>0</v>
      </c>
      <c r="AD377" s="67"/>
      <c r="AE377" s="87">
        <f t="shared" si="18"/>
        <v>0.18518518518518517</v>
      </c>
      <c r="AF377" s="91">
        <v>3</v>
      </c>
      <c r="AG377" s="105" t="s">
        <v>1783</v>
      </c>
      <c r="AH377" s="91">
        <v>3</v>
      </c>
      <c r="AI377" s="105" t="s">
        <v>1783</v>
      </c>
    </row>
    <row r="378" spans="1:35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/>
      <c r="Z378" s="66"/>
      <c r="AA378" s="66"/>
      <c r="AB378">
        <f t="shared" si="16"/>
        <v>0</v>
      </c>
      <c r="AC378">
        <f t="shared" si="17"/>
        <v>0</v>
      </c>
      <c r="AD378" s="67"/>
      <c r="AE378" s="87">
        <f t="shared" si="18"/>
        <v>0.55555555555555558</v>
      </c>
      <c r="AF378" s="91">
        <v>3</v>
      </c>
      <c r="AG378" s="105" t="s">
        <v>1783</v>
      </c>
      <c r="AH378" s="91">
        <v>3</v>
      </c>
      <c r="AI378" s="105" t="s">
        <v>1783</v>
      </c>
    </row>
    <row r="379" spans="1:35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/>
      <c r="Z379" s="66"/>
      <c r="AA379" s="66"/>
      <c r="AB379">
        <f t="shared" si="16"/>
        <v>0</v>
      </c>
      <c r="AC379">
        <f t="shared" si="17"/>
        <v>0</v>
      </c>
      <c r="AD379" s="67"/>
      <c r="AE379" s="87">
        <f t="shared" si="18"/>
        <v>0.18518518518518517</v>
      </c>
      <c r="AF379" s="91">
        <v>3</v>
      </c>
      <c r="AG379" s="105" t="s">
        <v>1783</v>
      </c>
      <c r="AH379" s="91">
        <v>3</v>
      </c>
      <c r="AI379" s="105" t="s">
        <v>1783</v>
      </c>
    </row>
    <row r="380" spans="1:35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/>
      <c r="Z380" s="66"/>
      <c r="AA380" s="66"/>
      <c r="AB380">
        <f t="shared" si="16"/>
        <v>0</v>
      </c>
      <c r="AC380">
        <f t="shared" si="17"/>
        <v>0</v>
      </c>
      <c r="AD380" s="67"/>
      <c r="AE380" s="87">
        <f t="shared" si="18"/>
        <v>0.18518518518518517</v>
      </c>
      <c r="AF380" s="91">
        <v>3</v>
      </c>
      <c r="AG380" s="105" t="s">
        <v>1783</v>
      </c>
      <c r="AH380" s="91">
        <v>3</v>
      </c>
      <c r="AI380" s="105" t="s">
        <v>1783</v>
      </c>
    </row>
    <row r="381" spans="1:35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/>
      <c r="Z381" s="66"/>
      <c r="AA381" s="66"/>
      <c r="AB381">
        <f t="shared" si="16"/>
        <v>0</v>
      </c>
      <c r="AC381">
        <f t="shared" si="17"/>
        <v>0</v>
      </c>
      <c r="AD381" s="67"/>
      <c r="AE381" s="87">
        <f t="shared" si="18"/>
        <v>0.18518518518518517</v>
      </c>
      <c r="AF381" s="91">
        <v>3</v>
      </c>
      <c r="AG381" s="105" t="s">
        <v>1783</v>
      </c>
      <c r="AH381" s="91">
        <v>3</v>
      </c>
      <c r="AI381" s="105" t="s">
        <v>1783</v>
      </c>
    </row>
    <row r="382" spans="1:35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/>
      <c r="Z382" s="66"/>
      <c r="AA382" s="66"/>
      <c r="AB382">
        <f t="shared" si="16"/>
        <v>0</v>
      </c>
      <c r="AC382">
        <f t="shared" si="17"/>
        <v>0</v>
      </c>
      <c r="AD382" s="67"/>
      <c r="AE382" s="87">
        <f t="shared" si="18"/>
        <v>0.18518518518518517</v>
      </c>
      <c r="AF382" s="91">
        <v>3</v>
      </c>
      <c r="AG382" s="105" t="s">
        <v>1783</v>
      </c>
      <c r="AH382" s="91">
        <v>3</v>
      </c>
      <c r="AI382" s="105" t="s">
        <v>1783</v>
      </c>
    </row>
    <row r="383" spans="1:35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/>
      <c r="Z383" s="66"/>
      <c r="AA383" s="66"/>
      <c r="AB383">
        <f t="shared" si="16"/>
        <v>0</v>
      </c>
      <c r="AC383">
        <f t="shared" si="17"/>
        <v>0</v>
      </c>
      <c r="AD383" s="67"/>
      <c r="AE383" s="87">
        <f t="shared" si="18"/>
        <v>0.18518518518518517</v>
      </c>
      <c r="AF383" s="91">
        <v>3</v>
      </c>
      <c r="AG383" s="105" t="s">
        <v>1783</v>
      </c>
      <c r="AH383" s="91">
        <v>3</v>
      </c>
      <c r="AI383" s="105" t="s">
        <v>1783</v>
      </c>
    </row>
    <row r="384" spans="1:35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/>
      <c r="Z384" s="66"/>
      <c r="AA384" s="66"/>
      <c r="AB384">
        <f t="shared" si="16"/>
        <v>0</v>
      </c>
      <c r="AC384">
        <f t="shared" si="17"/>
        <v>0</v>
      </c>
      <c r="AD384" s="67"/>
      <c r="AE384" s="87">
        <f t="shared" si="18"/>
        <v>0.18518518518518517</v>
      </c>
      <c r="AF384" s="91">
        <v>3</v>
      </c>
      <c r="AG384" s="105" t="s">
        <v>1783</v>
      </c>
      <c r="AH384" s="91">
        <v>3</v>
      </c>
      <c r="AI384" s="105" t="s">
        <v>1783</v>
      </c>
    </row>
    <row r="385" spans="1:35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/>
      <c r="Z385" s="66"/>
      <c r="AA385" s="66"/>
      <c r="AB385">
        <f t="shared" si="16"/>
        <v>0</v>
      </c>
      <c r="AC385">
        <f t="shared" si="17"/>
        <v>0</v>
      </c>
      <c r="AD385" s="67"/>
      <c r="AE385" s="87">
        <f t="shared" si="18"/>
        <v>0.18518518518518517</v>
      </c>
      <c r="AF385" s="91">
        <v>3</v>
      </c>
      <c r="AG385" s="105" t="s">
        <v>1783</v>
      </c>
      <c r="AH385" s="91">
        <v>3</v>
      </c>
      <c r="AI385" s="105" t="s">
        <v>1783</v>
      </c>
    </row>
    <row r="386" spans="1:35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/>
      <c r="Z386" s="66"/>
      <c r="AA386" s="66"/>
      <c r="AB386">
        <f t="shared" si="16"/>
        <v>0</v>
      </c>
      <c r="AC386">
        <f t="shared" si="17"/>
        <v>0</v>
      </c>
      <c r="AD386" s="67"/>
      <c r="AE386" s="87">
        <f t="shared" si="18"/>
        <v>0.18518518518518517</v>
      </c>
      <c r="AF386" s="91">
        <v>3</v>
      </c>
      <c r="AG386" s="105" t="s">
        <v>1783</v>
      </c>
      <c r="AH386" s="91">
        <v>3</v>
      </c>
      <c r="AI386" s="105" t="s">
        <v>1783</v>
      </c>
    </row>
    <row r="387" spans="1:35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/>
      <c r="Z387" s="66"/>
      <c r="AA387" s="66"/>
      <c r="AB387">
        <f t="shared" ref="AB387:AB450" si="19">IF(OR(AND(Z387="SI",AA387="NO"),AND(Z387="NO",AA387="SI")),1,0)</f>
        <v>0</v>
      </c>
      <c r="AC387">
        <f t="shared" ref="AC387:AC450" si="20">IF(AND(OR(Z387="SI",Z387="NO APLICA"),OR(AA387="SI",AA387="NO APLICA")),1,0)</f>
        <v>0</v>
      </c>
      <c r="AD387" s="67"/>
      <c r="AE387" s="87">
        <f t="shared" si="18"/>
        <v>0.18518518518518517</v>
      </c>
      <c r="AF387" s="91">
        <v>3</v>
      </c>
      <c r="AG387" s="105" t="s">
        <v>1783</v>
      </c>
      <c r="AH387" s="91">
        <v>3</v>
      </c>
      <c r="AI387" s="105" t="s">
        <v>1783</v>
      </c>
    </row>
    <row r="388" spans="1:35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/>
      <c r="Z388" s="66"/>
      <c r="AA388" s="66"/>
      <c r="AB388">
        <f t="shared" si="19"/>
        <v>0</v>
      </c>
      <c r="AC388">
        <f t="shared" si="20"/>
        <v>0</v>
      </c>
      <c r="AD388" s="67"/>
      <c r="AE388" s="87">
        <f t="shared" si="18"/>
        <v>0.18518518518518517</v>
      </c>
      <c r="AF388" s="91">
        <v>3</v>
      </c>
      <c r="AG388" s="105" t="s">
        <v>1783</v>
      </c>
      <c r="AH388" s="91">
        <v>3</v>
      </c>
      <c r="AI388" s="105" t="s">
        <v>1783</v>
      </c>
    </row>
    <row r="389" spans="1:35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/>
      <c r="Z389" s="66"/>
      <c r="AA389" s="66"/>
      <c r="AB389">
        <f t="shared" si="19"/>
        <v>0</v>
      </c>
      <c r="AC389">
        <f t="shared" si="20"/>
        <v>0</v>
      </c>
      <c r="AD389" s="67"/>
      <c r="AE389" s="87">
        <f t="shared" si="18"/>
        <v>0.18518518518518517</v>
      </c>
      <c r="AF389" s="91">
        <v>3</v>
      </c>
      <c r="AG389" s="105" t="s">
        <v>1783</v>
      </c>
      <c r="AH389" s="91">
        <v>3</v>
      </c>
      <c r="AI389" s="105" t="s">
        <v>1783</v>
      </c>
    </row>
    <row r="390" spans="1:35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/>
      <c r="Z390" s="66"/>
      <c r="AA390" s="66"/>
      <c r="AB390">
        <f t="shared" si="19"/>
        <v>0</v>
      </c>
      <c r="AC390">
        <f t="shared" si="20"/>
        <v>0</v>
      </c>
      <c r="AD390" s="67"/>
      <c r="AE390" s="87">
        <f t="shared" si="18"/>
        <v>0.18518518518518517</v>
      </c>
      <c r="AF390" s="91">
        <v>3</v>
      </c>
      <c r="AG390" s="105" t="s">
        <v>1783</v>
      </c>
      <c r="AH390" s="91">
        <v>3</v>
      </c>
      <c r="AI390" s="105" t="s">
        <v>1783</v>
      </c>
    </row>
    <row r="391" spans="1:35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/>
      <c r="Z391" s="66"/>
      <c r="AA391" s="66"/>
      <c r="AB391">
        <f t="shared" si="19"/>
        <v>0</v>
      </c>
      <c r="AC391">
        <f t="shared" si="20"/>
        <v>0</v>
      </c>
      <c r="AD391" s="67"/>
      <c r="AE391" s="87">
        <f t="shared" si="18"/>
        <v>0.18518518518518517</v>
      </c>
      <c r="AF391" s="91">
        <v>3</v>
      </c>
      <c r="AG391" s="105" t="s">
        <v>1783</v>
      </c>
      <c r="AH391" s="91">
        <v>3</v>
      </c>
      <c r="AI391" s="105" t="s">
        <v>1783</v>
      </c>
    </row>
    <row r="392" spans="1:35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/>
      <c r="Z392" s="66"/>
      <c r="AA392" s="66"/>
      <c r="AB392">
        <f t="shared" si="19"/>
        <v>0</v>
      </c>
      <c r="AC392">
        <f t="shared" si="20"/>
        <v>0</v>
      </c>
      <c r="AD392" s="67"/>
      <c r="AE392" s="87">
        <f t="shared" si="18"/>
        <v>0.55555555555555558</v>
      </c>
      <c r="AF392" s="91">
        <v>3</v>
      </c>
      <c r="AG392" s="105" t="s">
        <v>1783</v>
      </c>
      <c r="AH392" s="91">
        <v>3</v>
      </c>
      <c r="AI392" s="105" t="s">
        <v>1783</v>
      </c>
    </row>
    <row r="393" spans="1:35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/>
      <c r="Z393" s="66"/>
      <c r="AA393" s="66"/>
      <c r="AB393">
        <f t="shared" si="19"/>
        <v>0</v>
      </c>
      <c r="AC393">
        <f t="shared" si="20"/>
        <v>0</v>
      </c>
      <c r="AD393" s="67"/>
      <c r="AE393" s="87">
        <f t="shared" si="18"/>
        <v>0.18518518518518517</v>
      </c>
      <c r="AF393" s="91">
        <v>3</v>
      </c>
      <c r="AG393" s="105" t="s">
        <v>1783</v>
      </c>
      <c r="AH393" s="91">
        <v>3</v>
      </c>
      <c r="AI393" s="105" t="s">
        <v>1783</v>
      </c>
    </row>
    <row r="394" spans="1:35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/>
      <c r="Z394" s="66"/>
      <c r="AA394" s="66"/>
      <c r="AB394">
        <f t="shared" si="19"/>
        <v>0</v>
      </c>
      <c r="AC394">
        <f t="shared" si="20"/>
        <v>0</v>
      </c>
      <c r="AD394" s="67"/>
      <c r="AE394" s="87">
        <f t="shared" si="18"/>
        <v>0.18518518518518517</v>
      </c>
      <c r="AF394" s="91">
        <v>3</v>
      </c>
      <c r="AG394" s="105" t="s">
        <v>1783</v>
      </c>
      <c r="AH394" s="91">
        <v>3</v>
      </c>
      <c r="AI394" s="105" t="s">
        <v>1783</v>
      </c>
    </row>
    <row r="395" spans="1:35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/>
      <c r="Z395" s="66"/>
      <c r="AA395" s="66"/>
      <c r="AB395">
        <f t="shared" si="19"/>
        <v>0</v>
      </c>
      <c r="AC395">
        <f t="shared" si="20"/>
        <v>0</v>
      </c>
      <c r="AD395" s="67"/>
      <c r="AE395" s="87">
        <f t="shared" si="18"/>
        <v>0.18518518518518517</v>
      </c>
      <c r="AF395" s="91">
        <v>3</v>
      </c>
      <c r="AG395" s="105" t="s">
        <v>1783</v>
      </c>
      <c r="AH395" s="91">
        <v>3</v>
      </c>
      <c r="AI395" s="105" t="s">
        <v>1783</v>
      </c>
    </row>
    <row r="396" spans="1:35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/>
      <c r="Z396" s="66"/>
      <c r="AA396" s="66"/>
      <c r="AB396">
        <f t="shared" si="19"/>
        <v>0</v>
      </c>
      <c r="AC396">
        <f t="shared" si="20"/>
        <v>0</v>
      </c>
      <c r="AD396" s="67"/>
      <c r="AE396" s="87">
        <f t="shared" si="18"/>
        <v>0.18518518518518517</v>
      </c>
      <c r="AF396" s="91">
        <v>3</v>
      </c>
      <c r="AG396" s="105" t="s">
        <v>1783</v>
      </c>
      <c r="AH396" s="91">
        <v>3</v>
      </c>
      <c r="AI396" s="105" t="s">
        <v>1783</v>
      </c>
    </row>
    <row r="397" spans="1:35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/>
      <c r="Z397" s="66"/>
      <c r="AA397" s="66"/>
      <c r="AB397">
        <f t="shared" si="19"/>
        <v>0</v>
      </c>
      <c r="AC397">
        <f t="shared" si="20"/>
        <v>0</v>
      </c>
      <c r="AD397" s="67" t="s">
        <v>1814</v>
      </c>
      <c r="AE397" s="87">
        <f t="shared" si="18"/>
        <v>0.55555555555555558</v>
      </c>
      <c r="AF397" s="91">
        <v>3</v>
      </c>
      <c r="AG397" s="105" t="s">
        <v>1835</v>
      </c>
      <c r="AH397" s="91">
        <v>3</v>
      </c>
      <c r="AI397" s="105" t="s">
        <v>1835</v>
      </c>
    </row>
    <row r="398" spans="1:35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176</v>
      </c>
      <c r="V398" s="66" t="s">
        <v>176</v>
      </c>
      <c r="W398" s="66"/>
      <c r="X398" s="66"/>
      <c r="Y398" s="66"/>
      <c r="Z398" s="66"/>
      <c r="AA398" s="66"/>
      <c r="AB398">
        <f t="shared" si="19"/>
        <v>0</v>
      </c>
      <c r="AC398">
        <f t="shared" si="20"/>
        <v>0</v>
      </c>
      <c r="AD398" s="67"/>
      <c r="AE398" s="87">
        <f t="shared" si="18"/>
        <v>0.18518518518518517</v>
      </c>
      <c r="AF398" s="91">
        <v>3</v>
      </c>
      <c r="AG398" s="105" t="s">
        <v>1783</v>
      </c>
      <c r="AH398" s="91">
        <v>3</v>
      </c>
      <c r="AI398" s="105" t="s">
        <v>1783</v>
      </c>
    </row>
    <row r="399" spans="1:35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>
        <f t="shared" si="19"/>
        <v>0</v>
      </c>
      <c r="AC399">
        <f t="shared" si="20"/>
        <v>0</v>
      </c>
      <c r="AD399" s="67"/>
      <c r="AE399" s="87">
        <f t="shared" si="18"/>
        <v>0.31481481481481477</v>
      </c>
      <c r="AF399" s="91">
        <v>5</v>
      </c>
      <c r="AG399" s="105" t="s">
        <v>1843</v>
      </c>
      <c r="AH399" s="91">
        <v>5</v>
      </c>
      <c r="AI399" s="105" t="s">
        <v>1843</v>
      </c>
    </row>
    <row r="400" spans="1:35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>
        <f t="shared" si="19"/>
        <v>0</v>
      </c>
      <c r="AC400">
        <f t="shared" si="20"/>
        <v>0</v>
      </c>
      <c r="AD400" s="67"/>
      <c r="AE400" s="87">
        <f t="shared" si="18"/>
        <v>0.31481481481481477</v>
      </c>
      <c r="AF400" s="91">
        <v>5</v>
      </c>
      <c r="AG400" s="105" t="s">
        <v>1843</v>
      </c>
      <c r="AH400" s="91">
        <v>5</v>
      </c>
      <c r="AI400" s="105" t="s">
        <v>1843</v>
      </c>
    </row>
    <row r="401" spans="1:35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>
        <f t="shared" si="19"/>
        <v>0</v>
      </c>
      <c r="AC401">
        <f t="shared" si="20"/>
        <v>0</v>
      </c>
      <c r="AD401" s="67"/>
      <c r="AE401" s="87">
        <f t="shared" si="18"/>
        <v>0.31481481481481477</v>
      </c>
      <c r="AF401" s="91">
        <v>5</v>
      </c>
      <c r="AG401" s="105" t="s">
        <v>1843</v>
      </c>
      <c r="AH401" s="91">
        <v>5</v>
      </c>
      <c r="AI401" s="105" t="s">
        <v>1843</v>
      </c>
    </row>
    <row r="402" spans="1:35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>
        <f t="shared" si="19"/>
        <v>0</v>
      </c>
      <c r="AC402">
        <f t="shared" si="20"/>
        <v>0</v>
      </c>
      <c r="AD402" s="67"/>
      <c r="AE402" s="87">
        <f t="shared" si="18"/>
        <v>0.31481481481481477</v>
      </c>
      <c r="AF402" s="91">
        <v>5</v>
      </c>
      <c r="AG402" s="105" t="s">
        <v>1843</v>
      </c>
      <c r="AH402" s="91">
        <v>5</v>
      </c>
      <c r="AI402" s="105" t="s">
        <v>1843</v>
      </c>
    </row>
    <row r="403" spans="1:35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>
        <f t="shared" si="19"/>
        <v>0</v>
      </c>
      <c r="AC403">
        <f t="shared" si="20"/>
        <v>0</v>
      </c>
      <c r="AD403" s="67"/>
      <c r="AE403" s="87">
        <f t="shared" si="18"/>
        <v>0.31481481481481477</v>
      </c>
      <c r="AF403" s="91">
        <v>5</v>
      </c>
      <c r="AG403" s="105" t="s">
        <v>1843</v>
      </c>
      <c r="AH403" s="91">
        <v>5</v>
      </c>
      <c r="AI403" s="105" t="s">
        <v>1843</v>
      </c>
    </row>
    <row r="404" spans="1:35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>
        <f t="shared" si="19"/>
        <v>0</v>
      </c>
      <c r="AC404">
        <f t="shared" si="20"/>
        <v>0</v>
      </c>
      <c r="AD404" s="67"/>
      <c r="AE404" s="87">
        <f t="shared" si="18"/>
        <v>0.31481481481481477</v>
      </c>
      <c r="AF404" s="91">
        <v>5</v>
      </c>
      <c r="AG404" s="105" t="s">
        <v>1843</v>
      </c>
      <c r="AH404" s="91">
        <v>5</v>
      </c>
      <c r="AI404" s="105" t="s">
        <v>1843</v>
      </c>
    </row>
    <row r="405" spans="1:35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>
        <f t="shared" si="19"/>
        <v>0</v>
      </c>
      <c r="AC405">
        <f t="shared" si="20"/>
        <v>0</v>
      </c>
      <c r="AD405" s="67"/>
      <c r="AE405" s="87">
        <f t="shared" si="18"/>
        <v>0.31481481481481477</v>
      </c>
      <c r="AF405" s="91">
        <v>5</v>
      </c>
      <c r="AG405" s="105" t="s">
        <v>1843</v>
      </c>
      <c r="AH405" s="91">
        <v>5</v>
      </c>
      <c r="AI405" s="105" t="s">
        <v>1843</v>
      </c>
    </row>
    <row r="406" spans="1:35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>
        <f t="shared" si="19"/>
        <v>0</v>
      </c>
      <c r="AC406">
        <f t="shared" si="20"/>
        <v>0</v>
      </c>
      <c r="AD406" s="67"/>
      <c r="AE406" s="87">
        <f t="shared" si="18"/>
        <v>0.31481481481481477</v>
      </c>
      <c r="AF406" s="91">
        <v>5</v>
      </c>
      <c r="AG406" s="105" t="s">
        <v>1843</v>
      </c>
      <c r="AH406" s="91">
        <v>5</v>
      </c>
      <c r="AI406" s="105" t="s">
        <v>1843</v>
      </c>
    </row>
    <row r="407" spans="1:35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176</v>
      </c>
      <c r="V407" s="66" t="s">
        <v>213</v>
      </c>
      <c r="W407" s="66"/>
      <c r="X407" s="66"/>
      <c r="Y407" s="66"/>
      <c r="Z407" s="66"/>
      <c r="AA407" s="66"/>
      <c r="AB407">
        <f t="shared" si="19"/>
        <v>0</v>
      </c>
      <c r="AC407">
        <f t="shared" si="20"/>
        <v>0</v>
      </c>
      <c r="AD407" s="67"/>
      <c r="AE407" s="87">
        <f t="shared" si="18"/>
        <v>0.27777777777777779</v>
      </c>
      <c r="AF407" s="91">
        <v>5</v>
      </c>
      <c r="AG407" s="105" t="s">
        <v>1843</v>
      </c>
      <c r="AH407" s="91">
        <v>5</v>
      </c>
      <c r="AI407" s="105" t="s">
        <v>1843</v>
      </c>
    </row>
    <row r="408" spans="1:35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>
        <f t="shared" si="19"/>
        <v>0</v>
      </c>
      <c r="AC408">
        <f t="shared" si="20"/>
        <v>0</v>
      </c>
      <c r="AD408" s="67"/>
      <c r="AE408" s="87">
        <f t="shared" si="18"/>
        <v>0.31481481481481477</v>
      </c>
      <c r="AF408" s="91">
        <v>5</v>
      </c>
      <c r="AG408" s="105" t="s">
        <v>1843</v>
      </c>
      <c r="AH408" s="91">
        <v>5</v>
      </c>
      <c r="AI408" s="105" t="s">
        <v>1843</v>
      </c>
    </row>
    <row r="409" spans="1:35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>
        <f t="shared" si="19"/>
        <v>0</v>
      </c>
      <c r="AC409">
        <f t="shared" si="20"/>
        <v>0</v>
      </c>
      <c r="AD409" s="67"/>
      <c r="AE409" s="87">
        <f t="shared" si="18"/>
        <v>0.31481481481481477</v>
      </c>
      <c r="AF409" s="91">
        <v>5</v>
      </c>
      <c r="AG409" s="105" t="s">
        <v>1843</v>
      </c>
      <c r="AH409" s="91">
        <v>5</v>
      </c>
      <c r="AI409" s="105" t="s">
        <v>1843</v>
      </c>
    </row>
    <row r="410" spans="1:35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>
        <f t="shared" si="19"/>
        <v>0</v>
      </c>
      <c r="AC410">
        <f t="shared" si="20"/>
        <v>0</v>
      </c>
      <c r="AD410" s="67"/>
      <c r="AE410" s="87">
        <f t="shared" si="18"/>
        <v>0.31481481481481477</v>
      </c>
      <c r="AF410" s="91">
        <v>5</v>
      </c>
      <c r="AG410" s="105" t="s">
        <v>1843</v>
      </c>
      <c r="AH410" s="91">
        <v>5</v>
      </c>
      <c r="AI410" s="105" t="s">
        <v>1843</v>
      </c>
    </row>
    <row r="411" spans="1:35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>
        <f t="shared" si="19"/>
        <v>0</v>
      </c>
      <c r="AC411">
        <f t="shared" si="20"/>
        <v>0</v>
      </c>
      <c r="AD411" s="67"/>
      <c r="AE411" s="87">
        <f t="shared" si="18"/>
        <v>0.24074074074074073</v>
      </c>
      <c r="AF411" s="91">
        <v>5</v>
      </c>
      <c r="AG411" s="105" t="s">
        <v>1843</v>
      </c>
      <c r="AH411" s="91">
        <v>5</v>
      </c>
      <c r="AI411" s="105" t="s">
        <v>1843</v>
      </c>
    </row>
    <row r="412" spans="1:35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>
        <f t="shared" si="19"/>
        <v>0</v>
      </c>
      <c r="AC412">
        <f t="shared" si="20"/>
        <v>0</v>
      </c>
      <c r="AD412" s="67"/>
      <c r="AE412" s="87">
        <f t="shared" si="18"/>
        <v>0.31481481481481477</v>
      </c>
      <c r="AF412" s="91">
        <v>5</v>
      </c>
      <c r="AG412" s="105" t="s">
        <v>1843</v>
      </c>
      <c r="AH412" s="91">
        <v>5</v>
      </c>
      <c r="AI412" s="105" t="s">
        <v>1843</v>
      </c>
    </row>
    <row r="413" spans="1:35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>
        <f t="shared" si="19"/>
        <v>0</v>
      </c>
      <c r="AC413">
        <f t="shared" si="20"/>
        <v>0</v>
      </c>
      <c r="AD413" s="67"/>
      <c r="AE413" s="87">
        <f t="shared" si="18"/>
        <v>0.31481481481481477</v>
      </c>
      <c r="AF413" s="91">
        <v>5</v>
      </c>
      <c r="AG413" s="105" t="s">
        <v>1843</v>
      </c>
      <c r="AH413" s="91">
        <v>5</v>
      </c>
      <c r="AI413" s="105" t="s">
        <v>1843</v>
      </c>
    </row>
    <row r="414" spans="1:35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>
        <f t="shared" si="19"/>
        <v>0</v>
      </c>
      <c r="AC414">
        <f t="shared" si="20"/>
        <v>0</v>
      </c>
      <c r="AD414" s="67"/>
      <c r="AE414" s="87">
        <f t="shared" si="18"/>
        <v>0.31481481481481477</v>
      </c>
      <c r="AF414" s="91">
        <v>5</v>
      </c>
      <c r="AG414" s="105" t="s">
        <v>1843</v>
      </c>
      <c r="AH414" s="91">
        <v>5</v>
      </c>
      <c r="AI414" s="105" t="s">
        <v>1843</v>
      </c>
    </row>
    <row r="415" spans="1:35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>
        <f t="shared" si="19"/>
        <v>0</v>
      </c>
      <c r="AC415">
        <f t="shared" si="20"/>
        <v>0</v>
      </c>
      <c r="AD415" s="67"/>
      <c r="AE415" s="87">
        <f t="shared" si="18"/>
        <v>0.31481481481481477</v>
      </c>
      <c r="AF415" s="91">
        <v>5</v>
      </c>
      <c r="AG415" s="105" t="s">
        <v>1843</v>
      </c>
      <c r="AH415" s="91">
        <v>5</v>
      </c>
      <c r="AI415" s="105" t="s">
        <v>1843</v>
      </c>
    </row>
    <row r="416" spans="1:35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>
        <f t="shared" si="19"/>
        <v>0</v>
      </c>
      <c r="AC416">
        <f t="shared" si="20"/>
        <v>0</v>
      </c>
      <c r="AD416" s="67"/>
      <c r="AE416" s="87">
        <f t="shared" si="18"/>
        <v>0.31481481481481477</v>
      </c>
      <c r="AF416" s="91">
        <v>5</v>
      </c>
      <c r="AG416" s="105" t="s">
        <v>1843</v>
      </c>
      <c r="AH416" s="91">
        <v>5</v>
      </c>
      <c r="AI416" s="105" t="s">
        <v>1843</v>
      </c>
    </row>
    <row r="417" spans="1:35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>
        <f t="shared" si="19"/>
        <v>0</v>
      </c>
      <c r="AC417">
        <f t="shared" si="20"/>
        <v>0</v>
      </c>
      <c r="AD417" s="67"/>
      <c r="AE417" s="87">
        <f t="shared" ref="AE417:AE480" si="21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F417" s="91">
        <v>5</v>
      </c>
      <c r="AG417" s="105" t="s">
        <v>1843</v>
      </c>
      <c r="AH417" s="91">
        <v>5</v>
      </c>
      <c r="AI417" s="105" t="s">
        <v>1843</v>
      </c>
    </row>
    <row r="418" spans="1:35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>
        <f t="shared" si="19"/>
        <v>0</v>
      </c>
      <c r="AC418">
        <f t="shared" si="20"/>
        <v>0</v>
      </c>
      <c r="AD418" s="67"/>
      <c r="AE418" s="87">
        <f t="shared" si="21"/>
        <v>0.31481481481481477</v>
      </c>
      <c r="AF418" s="91">
        <v>5</v>
      </c>
      <c r="AG418" s="105" t="s">
        <v>1843</v>
      </c>
      <c r="AH418" s="91">
        <v>5</v>
      </c>
      <c r="AI418" s="105" t="s">
        <v>1843</v>
      </c>
    </row>
    <row r="419" spans="1:35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176</v>
      </c>
      <c r="W419" s="66"/>
      <c r="X419" s="66"/>
      <c r="Y419" s="66"/>
      <c r="Z419" s="66"/>
      <c r="AA419" s="66"/>
      <c r="AB419">
        <f t="shared" si="19"/>
        <v>0</v>
      </c>
      <c r="AC419">
        <f t="shared" si="20"/>
        <v>0</v>
      </c>
      <c r="AD419" s="67"/>
      <c r="AE419" s="87">
        <f t="shared" si="21"/>
        <v>0.27777777777777779</v>
      </c>
      <c r="AF419" s="91">
        <v>5</v>
      </c>
      <c r="AG419" s="105" t="s">
        <v>1843</v>
      </c>
      <c r="AH419" s="91">
        <v>5</v>
      </c>
      <c r="AI419" s="105" t="s">
        <v>1843</v>
      </c>
    </row>
    <row r="420" spans="1:35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>
        <f t="shared" si="19"/>
        <v>0</v>
      </c>
      <c r="AC420">
        <f t="shared" si="20"/>
        <v>0</v>
      </c>
      <c r="AD420" s="67"/>
      <c r="AE420" s="87">
        <f t="shared" si="21"/>
        <v>0.31481481481481477</v>
      </c>
      <c r="AF420" s="91">
        <v>5</v>
      </c>
      <c r="AG420" s="105" t="s">
        <v>1843</v>
      </c>
      <c r="AH420" s="91">
        <v>5</v>
      </c>
      <c r="AI420" s="105" t="s">
        <v>1843</v>
      </c>
    </row>
    <row r="421" spans="1:35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>
        <f t="shared" si="19"/>
        <v>0</v>
      </c>
      <c r="AC421">
        <f t="shared" si="20"/>
        <v>0</v>
      </c>
      <c r="AD421" s="67"/>
      <c r="AE421" s="87">
        <f t="shared" si="21"/>
        <v>0.31481481481481477</v>
      </c>
      <c r="AF421" s="91">
        <v>5</v>
      </c>
      <c r="AG421" s="105" t="s">
        <v>1843</v>
      </c>
      <c r="AH421" s="91">
        <v>5</v>
      </c>
      <c r="AI421" s="105" t="s">
        <v>1843</v>
      </c>
    </row>
    <row r="422" spans="1:35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>
        <f t="shared" si="19"/>
        <v>0</v>
      </c>
      <c r="AC422">
        <f t="shared" si="20"/>
        <v>0</v>
      </c>
      <c r="AD422" s="67"/>
      <c r="AE422" s="87">
        <f t="shared" si="21"/>
        <v>0.31481481481481477</v>
      </c>
      <c r="AF422" s="91">
        <v>5</v>
      </c>
      <c r="AG422" s="105" t="s">
        <v>1843</v>
      </c>
      <c r="AH422" s="91">
        <v>5</v>
      </c>
      <c r="AI422" s="105" t="s">
        <v>1843</v>
      </c>
    </row>
    <row r="423" spans="1:35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>
        <f t="shared" si="19"/>
        <v>0</v>
      </c>
      <c r="AC423">
        <f t="shared" si="20"/>
        <v>0</v>
      </c>
      <c r="AD423" s="67"/>
      <c r="AE423" s="87">
        <f t="shared" si="21"/>
        <v>0.31481481481481477</v>
      </c>
      <c r="AF423" s="91">
        <v>5</v>
      </c>
      <c r="AG423" s="105" t="s">
        <v>1843</v>
      </c>
      <c r="AH423" s="91">
        <v>5</v>
      </c>
      <c r="AI423" s="105" t="s">
        <v>1843</v>
      </c>
    </row>
    <row r="424" spans="1:35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>
        <f t="shared" si="19"/>
        <v>0</v>
      </c>
      <c r="AC424">
        <f t="shared" si="20"/>
        <v>0</v>
      </c>
      <c r="AD424" s="67" t="s">
        <v>1795</v>
      </c>
      <c r="AE424" s="87">
        <f t="shared" si="21"/>
        <v>0.31481481481481477</v>
      </c>
      <c r="AF424" s="91">
        <v>7</v>
      </c>
      <c r="AG424" s="64" t="s">
        <v>1844</v>
      </c>
      <c r="AH424" s="91">
        <v>7</v>
      </c>
      <c r="AI424" s="64" t="s">
        <v>1844</v>
      </c>
    </row>
    <row r="425" spans="1:35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>
        <f t="shared" si="19"/>
        <v>0</v>
      </c>
      <c r="AC425">
        <f t="shared" si="20"/>
        <v>0</v>
      </c>
      <c r="AD425" s="67" t="s">
        <v>1795</v>
      </c>
      <c r="AE425" s="87">
        <f t="shared" si="21"/>
        <v>0.31481481481481477</v>
      </c>
      <c r="AF425" s="91">
        <v>7</v>
      </c>
      <c r="AG425" s="64" t="s">
        <v>1844</v>
      </c>
      <c r="AH425" s="91">
        <v>7</v>
      </c>
      <c r="AI425" s="64" t="s">
        <v>1844</v>
      </c>
    </row>
    <row r="426" spans="1:35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>
        <f t="shared" si="19"/>
        <v>0</v>
      </c>
      <c r="AC426">
        <f t="shared" si="20"/>
        <v>0</v>
      </c>
      <c r="AD426" s="67" t="s">
        <v>1795</v>
      </c>
      <c r="AE426" s="87">
        <f t="shared" si="21"/>
        <v>0.31481481481481477</v>
      </c>
      <c r="AF426" s="91">
        <v>7</v>
      </c>
      <c r="AG426" s="64" t="s">
        <v>1844</v>
      </c>
      <c r="AH426" s="91">
        <v>7</v>
      </c>
      <c r="AI426" s="64" t="s">
        <v>1844</v>
      </c>
    </row>
    <row r="427" spans="1:35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>
        <f t="shared" si="19"/>
        <v>0</v>
      </c>
      <c r="AC427">
        <f t="shared" si="20"/>
        <v>0</v>
      </c>
      <c r="AD427" s="67" t="s">
        <v>1795</v>
      </c>
      <c r="AE427" s="87">
        <f t="shared" si="21"/>
        <v>0.31481481481481477</v>
      </c>
      <c r="AF427" s="91">
        <v>7</v>
      </c>
      <c r="AG427" s="64" t="s">
        <v>1844</v>
      </c>
      <c r="AH427" s="91">
        <v>7</v>
      </c>
      <c r="AI427" s="64" t="s">
        <v>1844</v>
      </c>
    </row>
    <row r="428" spans="1:35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>
        <f t="shared" si="19"/>
        <v>0</v>
      </c>
      <c r="AC428">
        <f t="shared" si="20"/>
        <v>0</v>
      </c>
      <c r="AD428" s="67" t="s">
        <v>1795</v>
      </c>
      <c r="AE428" s="87">
        <f t="shared" si="21"/>
        <v>0.31481481481481477</v>
      </c>
      <c r="AF428" s="91">
        <v>7</v>
      </c>
      <c r="AG428" s="64" t="s">
        <v>1844</v>
      </c>
      <c r="AH428" s="91">
        <v>7</v>
      </c>
      <c r="AI428" s="64" t="s">
        <v>1844</v>
      </c>
    </row>
    <row r="429" spans="1:35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>
        <f t="shared" si="19"/>
        <v>0</v>
      </c>
      <c r="AC429">
        <f t="shared" si="20"/>
        <v>0</v>
      </c>
      <c r="AD429" s="67" t="s">
        <v>1795</v>
      </c>
      <c r="AE429" s="87">
        <f t="shared" si="21"/>
        <v>0.31481481481481477</v>
      </c>
      <c r="AF429" s="91">
        <v>7</v>
      </c>
      <c r="AG429" s="64" t="s">
        <v>1844</v>
      </c>
      <c r="AH429" s="91">
        <v>7</v>
      </c>
      <c r="AI429" s="64" t="s">
        <v>1844</v>
      </c>
    </row>
    <row r="430" spans="1:35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>
        <f t="shared" si="19"/>
        <v>0</v>
      </c>
      <c r="AC430">
        <f t="shared" si="20"/>
        <v>0</v>
      </c>
      <c r="AD430" s="67" t="s">
        <v>1795</v>
      </c>
      <c r="AE430" s="87">
        <f t="shared" si="21"/>
        <v>0.31481481481481477</v>
      </c>
      <c r="AF430" s="91">
        <v>7</v>
      </c>
      <c r="AG430" s="64" t="s">
        <v>1844</v>
      </c>
      <c r="AH430" s="91">
        <v>7</v>
      </c>
      <c r="AI430" s="64" t="s">
        <v>1844</v>
      </c>
    </row>
    <row r="431" spans="1:35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>
        <f t="shared" si="19"/>
        <v>0</v>
      </c>
      <c r="AC431">
        <f t="shared" si="20"/>
        <v>0</v>
      </c>
      <c r="AD431" s="67" t="s">
        <v>1795</v>
      </c>
      <c r="AE431" s="87">
        <f t="shared" si="21"/>
        <v>0.31481481481481477</v>
      </c>
      <c r="AF431" s="91">
        <v>7</v>
      </c>
      <c r="AG431" s="64" t="s">
        <v>1844</v>
      </c>
      <c r="AH431" s="91">
        <v>7</v>
      </c>
      <c r="AI431" s="64" t="s">
        <v>1844</v>
      </c>
    </row>
    <row r="432" spans="1:35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>
        <f t="shared" si="19"/>
        <v>0</v>
      </c>
      <c r="AC432">
        <f t="shared" si="20"/>
        <v>0</v>
      </c>
      <c r="AD432" s="67" t="s">
        <v>1795</v>
      </c>
      <c r="AE432" s="87">
        <f t="shared" si="21"/>
        <v>0.31481481481481477</v>
      </c>
      <c r="AF432" s="91">
        <v>7</v>
      </c>
      <c r="AG432" s="64" t="s">
        <v>1844</v>
      </c>
      <c r="AH432" s="91">
        <v>7</v>
      </c>
      <c r="AI432" s="64" t="s">
        <v>1844</v>
      </c>
    </row>
    <row r="433" spans="1:35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>
        <f t="shared" si="19"/>
        <v>0</v>
      </c>
      <c r="AC433">
        <f t="shared" si="20"/>
        <v>0</v>
      </c>
      <c r="AD433" s="67" t="s">
        <v>1795</v>
      </c>
      <c r="AE433" s="87">
        <f t="shared" si="21"/>
        <v>0.31481481481481477</v>
      </c>
      <c r="AF433" s="91">
        <v>7</v>
      </c>
      <c r="AG433" s="64" t="s">
        <v>1844</v>
      </c>
      <c r="AH433" s="91">
        <v>7</v>
      </c>
      <c r="AI433" s="64" t="s">
        <v>1844</v>
      </c>
    </row>
    <row r="434" spans="1:35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>
        <f t="shared" si="19"/>
        <v>0</v>
      </c>
      <c r="AC434">
        <f t="shared" si="20"/>
        <v>0</v>
      </c>
      <c r="AD434" s="67" t="s">
        <v>1795</v>
      </c>
      <c r="AE434" s="87">
        <f t="shared" si="21"/>
        <v>0.31481481481481477</v>
      </c>
      <c r="AF434" s="91">
        <v>7</v>
      </c>
      <c r="AG434" s="64" t="s">
        <v>1844</v>
      </c>
      <c r="AH434" s="91">
        <v>7</v>
      </c>
      <c r="AI434" s="64" t="s">
        <v>1844</v>
      </c>
    </row>
    <row r="435" spans="1:35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>
        <f t="shared" si="19"/>
        <v>0</v>
      </c>
      <c r="AC435">
        <f t="shared" si="20"/>
        <v>0</v>
      </c>
      <c r="AD435" s="67" t="s">
        <v>1795</v>
      </c>
      <c r="AE435" s="87">
        <f t="shared" si="21"/>
        <v>0.31481481481481477</v>
      </c>
      <c r="AF435" s="91">
        <v>7</v>
      </c>
      <c r="AG435" s="64" t="s">
        <v>1844</v>
      </c>
      <c r="AH435" s="91">
        <v>7</v>
      </c>
      <c r="AI435" s="64" t="s">
        <v>1844</v>
      </c>
    </row>
    <row r="436" spans="1:35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>
        <f t="shared" si="19"/>
        <v>0</v>
      </c>
      <c r="AC436">
        <f t="shared" si="20"/>
        <v>0</v>
      </c>
      <c r="AD436" s="67" t="s">
        <v>1795</v>
      </c>
      <c r="AE436" s="87">
        <f t="shared" si="21"/>
        <v>0.31481481481481477</v>
      </c>
      <c r="AF436" s="91">
        <v>7</v>
      </c>
      <c r="AG436" s="64" t="s">
        <v>1844</v>
      </c>
      <c r="AH436" s="91">
        <v>7</v>
      </c>
      <c r="AI436" s="64" t="s">
        <v>1844</v>
      </c>
    </row>
    <row r="437" spans="1:35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>
        <f t="shared" si="19"/>
        <v>0</v>
      </c>
      <c r="AC437">
        <f t="shared" si="20"/>
        <v>0</v>
      </c>
      <c r="AD437" s="67" t="s">
        <v>1795</v>
      </c>
      <c r="AE437" s="87">
        <f t="shared" si="21"/>
        <v>0.31481481481481477</v>
      </c>
      <c r="AF437" s="91">
        <v>7</v>
      </c>
      <c r="AG437" s="64" t="s">
        <v>1844</v>
      </c>
      <c r="AH437" s="91">
        <v>7</v>
      </c>
      <c r="AI437" s="64" t="s">
        <v>1844</v>
      </c>
    </row>
    <row r="438" spans="1:35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>
        <f t="shared" si="19"/>
        <v>0</v>
      </c>
      <c r="AC438">
        <f t="shared" si="20"/>
        <v>0</v>
      </c>
      <c r="AD438" s="67" t="s">
        <v>1795</v>
      </c>
      <c r="AE438" s="87">
        <f t="shared" si="21"/>
        <v>0.31481481481481477</v>
      </c>
      <c r="AF438" s="91">
        <v>7</v>
      </c>
      <c r="AG438" s="64" t="s">
        <v>1844</v>
      </c>
      <c r="AH438" s="91">
        <v>7</v>
      </c>
      <c r="AI438" s="64" t="s">
        <v>1844</v>
      </c>
    </row>
    <row r="439" spans="1:35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>
        <f t="shared" si="19"/>
        <v>0</v>
      </c>
      <c r="AC439">
        <f t="shared" si="20"/>
        <v>0</v>
      </c>
      <c r="AD439" s="67" t="s">
        <v>1795</v>
      </c>
      <c r="AE439" s="87">
        <f t="shared" si="21"/>
        <v>0.31481481481481477</v>
      </c>
      <c r="AF439" s="91">
        <v>7</v>
      </c>
      <c r="AG439" s="64" t="s">
        <v>1844</v>
      </c>
      <c r="AH439" s="91">
        <v>7</v>
      </c>
      <c r="AI439" s="64" t="s">
        <v>1844</v>
      </c>
    </row>
    <row r="440" spans="1:35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>
        <f t="shared" si="19"/>
        <v>0</v>
      </c>
      <c r="AC440">
        <f t="shared" si="20"/>
        <v>0</v>
      </c>
      <c r="AD440" s="67" t="s">
        <v>1795</v>
      </c>
      <c r="AE440" s="87">
        <f t="shared" si="21"/>
        <v>0.31481481481481477</v>
      </c>
      <c r="AF440" s="91">
        <v>7</v>
      </c>
      <c r="AG440" s="64" t="s">
        <v>1844</v>
      </c>
      <c r="AH440" s="91">
        <v>7</v>
      </c>
      <c r="AI440" s="64" t="s">
        <v>1844</v>
      </c>
    </row>
    <row r="441" spans="1:35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>
        <f t="shared" si="19"/>
        <v>0</v>
      </c>
      <c r="AC441">
        <f t="shared" si="20"/>
        <v>0</v>
      </c>
      <c r="AD441" s="67" t="s">
        <v>1795</v>
      </c>
      <c r="AE441" s="87">
        <f t="shared" si="21"/>
        <v>0.31481481481481477</v>
      </c>
      <c r="AF441" s="91">
        <v>7</v>
      </c>
      <c r="AG441" s="64" t="s">
        <v>1844</v>
      </c>
      <c r="AH441" s="91">
        <v>7</v>
      </c>
      <c r="AI441" s="64" t="s">
        <v>1844</v>
      </c>
    </row>
    <row r="442" spans="1:35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>
        <f t="shared" si="19"/>
        <v>0</v>
      </c>
      <c r="AC442">
        <f t="shared" si="20"/>
        <v>0</v>
      </c>
      <c r="AD442" s="67" t="s">
        <v>1795</v>
      </c>
      <c r="AE442" s="87">
        <f t="shared" si="21"/>
        <v>0.31481481481481477</v>
      </c>
      <c r="AF442" s="91">
        <v>7</v>
      </c>
      <c r="AG442" s="64" t="s">
        <v>1844</v>
      </c>
      <c r="AH442" s="91">
        <v>7</v>
      </c>
      <c r="AI442" s="64" t="s">
        <v>1844</v>
      </c>
    </row>
    <row r="443" spans="1:35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>
        <f t="shared" si="19"/>
        <v>0</v>
      </c>
      <c r="AC443">
        <f t="shared" si="20"/>
        <v>0</v>
      </c>
      <c r="AD443" s="67" t="s">
        <v>1795</v>
      </c>
      <c r="AE443" s="87">
        <f t="shared" si="21"/>
        <v>0.31481481481481477</v>
      </c>
      <c r="AF443" s="91">
        <v>7</v>
      </c>
      <c r="AG443" s="64" t="s">
        <v>1844</v>
      </c>
      <c r="AH443" s="91">
        <v>7</v>
      </c>
      <c r="AI443" s="64" t="s">
        <v>1844</v>
      </c>
    </row>
    <row r="444" spans="1:35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>
        <f t="shared" si="19"/>
        <v>0</v>
      </c>
      <c r="AC444">
        <f t="shared" si="20"/>
        <v>0</v>
      </c>
      <c r="AD444" s="67" t="s">
        <v>1795</v>
      </c>
      <c r="AE444" s="87">
        <f t="shared" si="21"/>
        <v>0.31481481481481477</v>
      </c>
      <c r="AF444" s="91">
        <v>7</v>
      </c>
      <c r="AG444" s="64" t="s">
        <v>1844</v>
      </c>
      <c r="AH444" s="91">
        <v>7</v>
      </c>
      <c r="AI444" s="64" t="s">
        <v>1844</v>
      </c>
    </row>
    <row r="445" spans="1:35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>
        <f t="shared" si="19"/>
        <v>0</v>
      </c>
      <c r="AC445">
        <f t="shared" si="20"/>
        <v>0</v>
      </c>
      <c r="AD445" s="67" t="s">
        <v>1795</v>
      </c>
      <c r="AE445" s="87">
        <f t="shared" si="21"/>
        <v>0.31481481481481477</v>
      </c>
      <c r="AF445" s="91">
        <v>7</v>
      </c>
      <c r="AG445" s="64" t="s">
        <v>1844</v>
      </c>
      <c r="AH445" s="91">
        <v>7</v>
      </c>
      <c r="AI445" s="64" t="s">
        <v>1844</v>
      </c>
    </row>
    <row r="446" spans="1:35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>
        <f t="shared" si="19"/>
        <v>0</v>
      </c>
      <c r="AC446">
        <f t="shared" si="20"/>
        <v>0</v>
      </c>
      <c r="AD446" s="67" t="s">
        <v>1795</v>
      </c>
      <c r="AE446" s="87">
        <f t="shared" si="21"/>
        <v>0.31481481481481477</v>
      </c>
      <c r="AF446" s="91">
        <v>7</v>
      </c>
      <c r="AG446" s="64" t="s">
        <v>1844</v>
      </c>
      <c r="AH446" s="91">
        <v>7</v>
      </c>
      <c r="AI446" s="64" t="s">
        <v>1844</v>
      </c>
    </row>
    <row r="447" spans="1:35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>
        <f t="shared" si="19"/>
        <v>0</v>
      </c>
      <c r="AC447">
        <f t="shared" si="20"/>
        <v>0</v>
      </c>
      <c r="AD447" s="67" t="s">
        <v>1795</v>
      </c>
      <c r="AE447" s="87">
        <f t="shared" si="21"/>
        <v>0.31481481481481477</v>
      </c>
      <c r="AF447" s="91">
        <v>7</v>
      </c>
      <c r="AG447" s="64" t="s">
        <v>1844</v>
      </c>
      <c r="AH447" s="91">
        <v>7</v>
      </c>
      <c r="AI447" s="64" t="s">
        <v>1844</v>
      </c>
    </row>
    <row r="448" spans="1:35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>
        <f t="shared" si="19"/>
        <v>0</v>
      </c>
      <c r="AC448">
        <f t="shared" si="20"/>
        <v>0</v>
      </c>
      <c r="AD448" s="67" t="s">
        <v>1795</v>
      </c>
      <c r="AE448" s="87">
        <f t="shared" si="21"/>
        <v>0.31481481481481477</v>
      </c>
      <c r="AF448" s="91">
        <v>7</v>
      </c>
      <c r="AG448" s="64" t="s">
        <v>1844</v>
      </c>
      <c r="AH448" s="91">
        <v>7</v>
      </c>
      <c r="AI448" s="64" t="s">
        <v>1844</v>
      </c>
    </row>
    <row r="449" spans="1:35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>
        <f t="shared" si="19"/>
        <v>0</v>
      </c>
      <c r="AC449">
        <f t="shared" si="20"/>
        <v>0</v>
      </c>
      <c r="AD449" s="67" t="s">
        <v>1795</v>
      </c>
      <c r="AE449" s="87">
        <f t="shared" si="21"/>
        <v>0.31481481481481477</v>
      </c>
      <c r="AF449" s="91">
        <v>7</v>
      </c>
      <c r="AG449" s="64" t="s">
        <v>1844</v>
      </c>
      <c r="AH449" s="91">
        <v>7</v>
      </c>
      <c r="AI449" s="64" t="s">
        <v>1844</v>
      </c>
    </row>
    <row r="450" spans="1:35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>
        <f t="shared" si="19"/>
        <v>0</v>
      </c>
      <c r="AC450">
        <f t="shared" si="20"/>
        <v>0</v>
      </c>
      <c r="AD450" s="67" t="s">
        <v>1795</v>
      </c>
      <c r="AE450" s="87">
        <f t="shared" si="21"/>
        <v>0.31481481481481477</v>
      </c>
      <c r="AF450" s="91">
        <v>7</v>
      </c>
      <c r="AG450" s="64" t="s">
        <v>1844</v>
      </c>
      <c r="AH450" s="91">
        <v>7</v>
      </c>
      <c r="AI450" s="64" t="s">
        <v>1844</v>
      </c>
    </row>
    <row r="451" spans="1:35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>
        <f t="shared" ref="AB451:AB514" si="22">IF(OR(AND(Z451="SI",AA451="NO"),AND(Z451="NO",AA451="SI")),1,0)</f>
        <v>0</v>
      </c>
      <c r="AC451">
        <f t="shared" ref="AC451:AC514" si="23">IF(AND(OR(Z451="SI",Z451="NO APLICA"),OR(AA451="SI",AA451="NO APLICA")),1,0)</f>
        <v>0</v>
      </c>
      <c r="AD451" s="67" t="s">
        <v>1795</v>
      </c>
      <c r="AE451" s="87">
        <f t="shared" si="21"/>
        <v>0.31481481481481477</v>
      </c>
      <c r="AF451" s="91">
        <v>7</v>
      </c>
      <c r="AG451" s="64" t="s">
        <v>1844</v>
      </c>
      <c r="AH451" s="91">
        <v>7</v>
      </c>
      <c r="AI451" s="64" t="s">
        <v>1844</v>
      </c>
    </row>
    <row r="452" spans="1:35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>
        <f t="shared" si="22"/>
        <v>0</v>
      </c>
      <c r="AC452">
        <f t="shared" si="23"/>
        <v>0</v>
      </c>
      <c r="AD452" s="67" t="s">
        <v>1795</v>
      </c>
      <c r="AE452" s="87">
        <f t="shared" si="21"/>
        <v>0.31481481481481477</v>
      </c>
      <c r="AF452" s="91">
        <v>7</v>
      </c>
      <c r="AG452" s="64" t="s">
        <v>1844</v>
      </c>
      <c r="AH452" s="91">
        <v>7</v>
      </c>
      <c r="AI452" s="64" t="s">
        <v>1844</v>
      </c>
    </row>
    <row r="453" spans="1:35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66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>
        <f t="shared" si="22"/>
        <v>0</v>
      </c>
      <c r="AC453">
        <f t="shared" si="23"/>
        <v>0</v>
      </c>
      <c r="AD453" s="67"/>
      <c r="AE453" s="87">
        <f t="shared" si="21"/>
        <v>0.31481481481481477</v>
      </c>
      <c r="AF453" s="91">
        <v>5</v>
      </c>
      <c r="AG453" s="105" t="s">
        <v>1845</v>
      </c>
      <c r="AH453" s="91">
        <v>5</v>
      </c>
      <c r="AI453" s="105" t="s">
        <v>1845</v>
      </c>
    </row>
    <row r="454" spans="1:35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176</v>
      </c>
      <c r="V454" s="66" t="s">
        <v>176</v>
      </c>
      <c r="W454" s="66"/>
      <c r="X454" s="66"/>
      <c r="Y454" s="66"/>
      <c r="Z454" s="66"/>
      <c r="AA454" s="66"/>
      <c r="AB454">
        <f t="shared" si="22"/>
        <v>0</v>
      </c>
      <c r="AC454">
        <f t="shared" si="23"/>
        <v>0</v>
      </c>
      <c r="AD454" s="67"/>
      <c r="AE454" s="87">
        <f t="shared" si="21"/>
        <v>0.24074074074074073</v>
      </c>
      <c r="AF454" s="91">
        <v>5</v>
      </c>
      <c r="AG454" s="105" t="s">
        <v>1845</v>
      </c>
      <c r="AH454" s="91">
        <v>5</v>
      </c>
      <c r="AI454" s="105" t="s">
        <v>1845</v>
      </c>
    </row>
    <row r="455" spans="1:35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>
        <f t="shared" si="22"/>
        <v>0</v>
      </c>
      <c r="AC455">
        <f t="shared" si="23"/>
        <v>0</v>
      </c>
      <c r="AD455" s="67"/>
      <c r="AE455" s="87">
        <f t="shared" si="21"/>
        <v>0.31481481481481477</v>
      </c>
      <c r="AF455" s="91">
        <v>5</v>
      </c>
      <c r="AG455" s="105" t="s">
        <v>1845</v>
      </c>
      <c r="AH455" s="91">
        <v>5</v>
      </c>
      <c r="AI455" s="105" t="s">
        <v>1845</v>
      </c>
    </row>
    <row r="456" spans="1:35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>
        <f t="shared" si="22"/>
        <v>0</v>
      </c>
      <c r="AC456">
        <f t="shared" si="23"/>
        <v>0</v>
      </c>
      <c r="AD456" s="67"/>
      <c r="AE456" s="87">
        <f t="shared" si="21"/>
        <v>0.31481481481481477</v>
      </c>
      <c r="AF456" s="91">
        <v>5</v>
      </c>
      <c r="AG456" s="105" t="s">
        <v>1845</v>
      </c>
      <c r="AH456" s="91">
        <v>5</v>
      </c>
      <c r="AI456" s="105" t="s">
        <v>1845</v>
      </c>
    </row>
    <row r="457" spans="1:35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>
        <f t="shared" si="22"/>
        <v>0</v>
      </c>
      <c r="AC457">
        <f t="shared" si="23"/>
        <v>0</v>
      </c>
      <c r="AD457" s="67"/>
      <c r="AE457" s="87">
        <f t="shared" si="21"/>
        <v>0.31481481481481477</v>
      </c>
      <c r="AF457" s="91">
        <v>5</v>
      </c>
      <c r="AG457" s="105" t="s">
        <v>1845</v>
      </c>
      <c r="AH457" s="91">
        <v>5</v>
      </c>
      <c r="AI457" s="105" t="s">
        <v>1845</v>
      </c>
    </row>
    <row r="458" spans="1:35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>
        <f t="shared" si="22"/>
        <v>0</v>
      </c>
      <c r="AC458">
        <f t="shared" si="23"/>
        <v>0</v>
      </c>
      <c r="AD458" s="67"/>
      <c r="AE458" s="87">
        <f t="shared" si="21"/>
        <v>0.31481481481481477</v>
      </c>
      <c r="AF458" s="91">
        <v>5</v>
      </c>
      <c r="AG458" s="105" t="s">
        <v>1845</v>
      </c>
      <c r="AH458" s="91">
        <v>5</v>
      </c>
      <c r="AI458" s="105" t="s">
        <v>1845</v>
      </c>
    </row>
    <row r="459" spans="1:35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>
        <f t="shared" si="22"/>
        <v>0</v>
      </c>
      <c r="AC459">
        <f t="shared" si="23"/>
        <v>0</v>
      </c>
      <c r="AD459" s="67"/>
      <c r="AE459" s="87">
        <f t="shared" si="21"/>
        <v>0.31481481481481477</v>
      </c>
      <c r="AF459" s="91">
        <v>5</v>
      </c>
      <c r="AG459" s="105" t="s">
        <v>1845</v>
      </c>
      <c r="AH459" s="91">
        <v>5</v>
      </c>
      <c r="AI459" s="105" t="s">
        <v>1845</v>
      </c>
    </row>
    <row r="460" spans="1:35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>
        <f t="shared" si="22"/>
        <v>0</v>
      </c>
      <c r="AC460">
        <f t="shared" si="23"/>
        <v>0</v>
      </c>
      <c r="AD460" s="67"/>
      <c r="AE460" s="87">
        <f t="shared" si="21"/>
        <v>0.31481481481481477</v>
      </c>
      <c r="AF460" s="91">
        <v>5</v>
      </c>
      <c r="AG460" s="105" t="s">
        <v>1845</v>
      </c>
      <c r="AH460" s="91">
        <v>5</v>
      </c>
      <c r="AI460" s="105" t="s">
        <v>1845</v>
      </c>
    </row>
    <row r="461" spans="1:35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176</v>
      </c>
      <c r="V461" s="66" t="s">
        <v>176</v>
      </c>
      <c r="W461" s="66"/>
      <c r="X461" s="66"/>
      <c r="Y461" s="66"/>
      <c r="Z461" s="66"/>
      <c r="AA461" s="66"/>
      <c r="AB461">
        <f t="shared" si="22"/>
        <v>0</v>
      </c>
      <c r="AC461">
        <f t="shared" si="23"/>
        <v>0</v>
      </c>
      <c r="AD461" s="67"/>
      <c r="AE461" s="87">
        <f t="shared" si="21"/>
        <v>0.24074074074074073</v>
      </c>
      <c r="AF461" s="91">
        <v>5</v>
      </c>
      <c r="AG461" s="105" t="s">
        <v>1845</v>
      </c>
      <c r="AH461" s="91">
        <v>5</v>
      </c>
      <c r="AI461" s="105" t="s">
        <v>1845</v>
      </c>
    </row>
    <row r="462" spans="1:35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>
        <f t="shared" si="22"/>
        <v>0</v>
      </c>
      <c r="AC462">
        <f t="shared" si="23"/>
        <v>0</v>
      </c>
      <c r="AD462" s="67"/>
      <c r="AE462" s="87">
        <f t="shared" si="21"/>
        <v>0.31481481481481477</v>
      </c>
      <c r="AF462" s="91">
        <v>5</v>
      </c>
      <c r="AG462" s="105" t="s">
        <v>1845</v>
      </c>
      <c r="AH462" s="91">
        <v>5</v>
      </c>
      <c r="AI462" s="105" t="s">
        <v>1845</v>
      </c>
    </row>
    <row r="463" spans="1:35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>
        <f t="shared" si="22"/>
        <v>0</v>
      </c>
      <c r="AC463">
        <f t="shared" si="23"/>
        <v>0</v>
      </c>
      <c r="AD463" s="67"/>
      <c r="AE463" s="87">
        <f t="shared" si="21"/>
        <v>0.31481481481481477</v>
      </c>
      <c r="AF463" s="91">
        <v>5</v>
      </c>
      <c r="AG463" s="105" t="s">
        <v>1845</v>
      </c>
      <c r="AH463" s="91">
        <v>5</v>
      </c>
      <c r="AI463" s="105" t="s">
        <v>1845</v>
      </c>
    </row>
    <row r="464" spans="1:35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>
        <f t="shared" si="22"/>
        <v>0</v>
      </c>
      <c r="AC464">
        <f t="shared" si="23"/>
        <v>0</v>
      </c>
      <c r="AD464" s="67"/>
      <c r="AE464" s="87">
        <f t="shared" si="21"/>
        <v>0.31481481481481477</v>
      </c>
      <c r="AF464" s="91">
        <v>5</v>
      </c>
      <c r="AG464" s="105" t="s">
        <v>1845</v>
      </c>
      <c r="AH464" s="91">
        <v>5</v>
      </c>
      <c r="AI464" s="105" t="s">
        <v>1845</v>
      </c>
    </row>
    <row r="465" spans="1:35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>
        <f t="shared" si="22"/>
        <v>0</v>
      </c>
      <c r="AC465">
        <f t="shared" si="23"/>
        <v>0</v>
      </c>
      <c r="AD465" s="67"/>
      <c r="AE465" s="87">
        <f t="shared" si="21"/>
        <v>0.31481481481481477</v>
      </c>
      <c r="AF465" s="91">
        <v>5</v>
      </c>
      <c r="AG465" s="105" t="s">
        <v>1845</v>
      </c>
      <c r="AH465" s="91">
        <v>5</v>
      </c>
      <c r="AI465" s="105" t="s">
        <v>1845</v>
      </c>
    </row>
    <row r="466" spans="1:35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176</v>
      </c>
      <c r="V466" s="66" t="s">
        <v>176</v>
      </c>
      <c r="W466" s="66"/>
      <c r="X466" s="66"/>
      <c r="Y466" s="66"/>
      <c r="Z466" s="66"/>
      <c r="AA466" s="66"/>
      <c r="AB466">
        <f t="shared" si="22"/>
        <v>0</v>
      </c>
      <c r="AC466">
        <f t="shared" si="23"/>
        <v>0</v>
      </c>
      <c r="AD466" s="67"/>
      <c r="AE466" s="87">
        <f t="shared" si="21"/>
        <v>0.24074074074074073</v>
      </c>
      <c r="AF466" s="91">
        <v>5</v>
      </c>
      <c r="AG466" s="105" t="s">
        <v>1845</v>
      </c>
      <c r="AH466" s="91">
        <v>5</v>
      </c>
      <c r="AI466" s="105" t="s">
        <v>1845</v>
      </c>
    </row>
    <row r="467" spans="1:35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>
        <f t="shared" si="22"/>
        <v>0</v>
      </c>
      <c r="AC467">
        <f t="shared" si="23"/>
        <v>0</v>
      </c>
      <c r="AD467" s="67"/>
      <c r="AE467" s="87">
        <f t="shared" si="21"/>
        <v>0.31481481481481477</v>
      </c>
      <c r="AF467" s="91">
        <v>5</v>
      </c>
      <c r="AG467" s="105" t="s">
        <v>1845</v>
      </c>
      <c r="AH467" s="91">
        <v>5</v>
      </c>
      <c r="AI467" s="105" t="s">
        <v>1845</v>
      </c>
    </row>
    <row r="468" spans="1:35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35</v>
      </c>
      <c r="X468" s="66" t="s">
        <v>35</v>
      </c>
      <c r="Y468" s="66"/>
      <c r="Z468" s="66"/>
      <c r="AA468" s="66"/>
      <c r="AB468">
        <f t="shared" si="22"/>
        <v>0</v>
      </c>
      <c r="AC468">
        <f t="shared" si="23"/>
        <v>0</v>
      </c>
      <c r="AD468" s="67"/>
      <c r="AE468" s="87">
        <f t="shared" si="21"/>
        <v>0.55555555555555558</v>
      </c>
      <c r="AF468" s="91">
        <v>6</v>
      </c>
      <c r="AG468" s="105" t="s">
        <v>1785</v>
      </c>
      <c r="AH468" s="91">
        <v>6</v>
      </c>
      <c r="AI468" s="105" t="s">
        <v>1785</v>
      </c>
    </row>
    <row r="469" spans="1:35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/>
      <c r="Z469" s="66"/>
      <c r="AA469" s="66"/>
      <c r="AB469">
        <f t="shared" si="22"/>
        <v>0</v>
      </c>
      <c r="AC469">
        <f t="shared" si="23"/>
        <v>0</v>
      </c>
      <c r="AD469" s="67"/>
      <c r="AE469" s="87">
        <f t="shared" si="21"/>
        <v>0.55555555555555558</v>
      </c>
      <c r="AF469" s="91">
        <v>6</v>
      </c>
      <c r="AG469" s="105" t="s">
        <v>1785</v>
      </c>
      <c r="AH469" s="91">
        <v>6</v>
      </c>
      <c r="AI469" s="105" t="s">
        <v>1785</v>
      </c>
    </row>
    <row r="470" spans="1:35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175</v>
      </c>
      <c r="X470" s="66" t="s">
        <v>175</v>
      </c>
      <c r="Y470" s="66"/>
      <c r="Z470" s="66"/>
      <c r="AA470" s="66"/>
      <c r="AB470">
        <f t="shared" si="22"/>
        <v>0</v>
      </c>
      <c r="AC470">
        <f t="shared" si="23"/>
        <v>0</v>
      </c>
      <c r="AD470" s="67"/>
      <c r="AE470" s="87">
        <f t="shared" si="21"/>
        <v>0.44444444444444442</v>
      </c>
      <c r="AF470" s="91">
        <v>6</v>
      </c>
      <c r="AG470" s="105" t="s">
        <v>1785</v>
      </c>
      <c r="AH470" s="91">
        <v>6</v>
      </c>
      <c r="AI470" s="105" t="s">
        <v>1785</v>
      </c>
    </row>
    <row r="471" spans="1:35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>
        <f t="shared" si="22"/>
        <v>0</v>
      </c>
      <c r="AC471">
        <f t="shared" si="23"/>
        <v>0</v>
      </c>
      <c r="AD471" s="67"/>
      <c r="AE471" s="87">
        <f t="shared" si="21"/>
        <v>0.18518518518518517</v>
      </c>
      <c r="AF471" s="91">
        <v>6</v>
      </c>
      <c r="AG471" s="105" t="s">
        <v>1785</v>
      </c>
      <c r="AH471" s="91">
        <v>6</v>
      </c>
      <c r="AI471" s="105" t="s">
        <v>1785</v>
      </c>
    </row>
    <row r="472" spans="1:35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>
        <f t="shared" si="22"/>
        <v>0</v>
      </c>
      <c r="AC472">
        <f t="shared" si="23"/>
        <v>0</v>
      </c>
      <c r="AD472" s="67"/>
      <c r="AE472" s="87">
        <f t="shared" si="21"/>
        <v>0.55555555555555558</v>
      </c>
      <c r="AF472" s="91">
        <v>6</v>
      </c>
      <c r="AG472" s="105" t="s">
        <v>1785</v>
      </c>
      <c r="AH472" s="91">
        <v>6</v>
      </c>
      <c r="AI472" s="105" t="s">
        <v>1785</v>
      </c>
    </row>
    <row r="473" spans="1:35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>
        <f t="shared" si="22"/>
        <v>0</v>
      </c>
      <c r="AC473">
        <f t="shared" si="23"/>
        <v>0</v>
      </c>
      <c r="AD473" s="67"/>
      <c r="AE473" s="87">
        <f t="shared" si="21"/>
        <v>0.18518518518518517</v>
      </c>
      <c r="AF473" s="91">
        <v>6</v>
      </c>
      <c r="AG473" s="105" t="s">
        <v>1785</v>
      </c>
      <c r="AH473" s="91">
        <v>6</v>
      </c>
      <c r="AI473" s="105" t="s">
        <v>1785</v>
      </c>
    </row>
    <row r="474" spans="1:35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>
        <f t="shared" si="22"/>
        <v>0</v>
      </c>
      <c r="AC474">
        <f t="shared" si="23"/>
        <v>0</v>
      </c>
      <c r="AD474" s="67"/>
      <c r="AE474" s="87">
        <f t="shared" si="21"/>
        <v>0.33333333333333331</v>
      </c>
      <c r="AF474" s="91">
        <v>6</v>
      </c>
      <c r="AG474" s="105" t="s">
        <v>1785</v>
      </c>
      <c r="AH474" s="91">
        <v>6</v>
      </c>
      <c r="AI474" s="105" t="s">
        <v>1785</v>
      </c>
    </row>
    <row r="475" spans="1:35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176</v>
      </c>
      <c r="V475" s="66" t="s">
        <v>176</v>
      </c>
      <c r="W475" s="66"/>
      <c r="X475" s="66"/>
      <c r="Y475" s="66"/>
      <c r="Z475" s="66"/>
      <c r="AA475" s="66"/>
      <c r="AB475">
        <f t="shared" si="22"/>
        <v>0</v>
      </c>
      <c r="AC475">
        <f t="shared" si="23"/>
        <v>0</v>
      </c>
      <c r="AD475" s="67"/>
      <c r="AE475" s="87">
        <f t="shared" si="21"/>
        <v>0.18518518518518517</v>
      </c>
      <c r="AF475" s="91">
        <v>6</v>
      </c>
      <c r="AG475" s="105" t="s">
        <v>1785</v>
      </c>
      <c r="AH475" s="91">
        <v>6</v>
      </c>
      <c r="AI475" s="105" t="s">
        <v>1785</v>
      </c>
    </row>
    <row r="476" spans="1:35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/>
      <c r="X476" s="66"/>
      <c r="Y476" s="66"/>
      <c r="Z476" s="66"/>
      <c r="AA476" s="66"/>
      <c r="AB476">
        <f t="shared" si="22"/>
        <v>0</v>
      </c>
      <c r="AC476">
        <f t="shared" si="23"/>
        <v>0</v>
      </c>
      <c r="AD476" s="67"/>
      <c r="AE476" s="87">
        <f t="shared" si="21"/>
        <v>0.33333333333333331</v>
      </c>
      <c r="AF476" s="91">
        <v>6</v>
      </c>
      <c r="AG476" s="105" t="s">
        <v>1785</v>
      </c>
      <c r="AH476" s="91">
        <v>6</v>
      </c>
      <c r="AI476" s="105" t="s">
        <v>1785</v>
      </c>
    </row>
    <row r="477" spans="1:35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>
        <f t="shared" si="22"/>
        <v>0</v>
      </c>
      <c r="AC477">
        <f t="shared" si="23"/>
        <v>0</v>
      </c>
      <c r="AD477" s="67"/>
      <c r="AE477" s="87">
        <f t="shared" si="21"/>
        <v>0.33333333333333331</v>
      </c>
      <c r="AF477" s="91">
        <v>6</v>
      </c>
      <c r="AG477" s="105" t="s">
        <v>1785</v>
      </c>
      <c r="AH477" s="91">
        <v>6</v>
      </c>
      <c r="AI477" s="105" t="s">
        <v>1785</v>
      </c>
    </row>
    <row r="478" spans="1:35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>
        <f t="shared" si="22"/>
        <v>0</v>
      </c>
      <c r="AC478">
        <f t="shared" si="23"/>
        <v>0</v>
      </c>
      <c r="AD478" s="67"/>
      <c r="AE478" s="87">
        <f t="shared" si="21"/>
        <v>0.55555555555555558</v>
      </c>
      <c r="AF478" s="91">
        <v>6</v>
      </c>
      <c r="AG478" s="105" t="s">
        <v>1785</v>
      </c>
      <c r="AH478" s="91">
        <v>6</v>
      </c>
      <c r="AI478" s="105" t="s">
        <v>1785</v>
      </c>
    </row>
    <row r="479" spans="1:35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>
        <f t="shared" si="22"/>
        <v>0</v>
      </c>
      <c r="AC479">
        <f t="shared" si="23"/>
        <v>0</v>
      </c>
      <c r="AD479" s="67"/>
      <c r="AE479" s="87">
        <f t="shared" si="21"/>
        <v>0.55555555555555558</v>
      </c>
      <c r="AF479" s="91">
        <v>6</v>
      </c>
      <c r="AG479" s="105" t="s">
        <v>1785</v>
      </c>
      <c r="AH479" s="91">
        <v>6</v>
      </c>
      <c r="AI479" s="105" t="s">
        <v>1785</v>
      </c>
    </row>
    <row r="480" spans="1:35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/>
      <c r="X480" s="66"/>
      <c r="Y480" s="66"/>
      <c r="Z480" s="66"/>
      <c r="AA480" s="66"/>
      <c r="AB480">
        <f t="shared" si="22"/>
        <v>0</v>
      </c>
      <c r="AC480">
        <f t="shared" si="23"/>
        <v>0</v>
      </c>
      <c r="AD480" s="67"/>
      <c r="AE480" s="87">
        <f t="shared" si="21"/>
        <v>0.33333333333333331</v>
      </c>
      <c r="AF480" s="91">
        <v>6</v>
      </c>
      <c r="AG480" s="105" t="s">
        <v>1785</v>
      </c>
      <c r="AH480" s="91">
        <v>6</v>
      </c>
      <c r="AI480" s="105" t="s">
        <v>1785</v>
      </c>
    </row>
    <row r="481" spans="1:35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>
        <f t="shared" si="22"/>
        <v>0</v>
      </c>
      <c r="AC481">
        <f t="shared" si="23"/>
        <v>0</v>
      </c>
      <c r="AD481" s="67"/>
      <c r="AE481" s="87">
        <f t="shared" ref="AE481:AE544" si="24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F481" s="91">
        <v>6</v>
      </c>
      <c r="AG481" s="105" t="s">
        <v>1785</v>
      </c>
      <c r="AH481" s="91">
        <v>6</v>
      </c>
      <c r="AI481" s="105" t="s">
        <v>1785</v>
      </c>
    </row>
    <row r="482" spans="1:35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>
        <f t="shared" si="22"/>
        <v>0</v>
      </c>
      <c r="AC482">
        <f t="shared" si="23"/>
        <v>0</v>
      </c>
      <c r="AD482" s="67"/>
      <c r="AE482" s="87">
        <f t="shared" si="24"/>
        <v>0.18518518518518517</v>
      </c>
      <c r="AF482" s="91">
        <v>6</v>
      </c>
      <c r="AG482" s="105" t="s">
        <v>1785</v>
      </c>
      <c r="AH482" s="91">
        <v>6</v>
      </c>
      <c r="AI482" s="105" t="s">
        <v>1785</v>
      </c>
    </row>
    <row r="483" spans="1:35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>
        <f t="shared" si="22"/>
        <v>0</v>
      </c>
      <c r="AC483">
        <f t="shared" si="23"/>
        <v>0</v>
      </c>
      <c r="AD483" s="67"/>
      <c r="AE483" s="87">
        <f t="shared" si="24"/>
        <v>0.18518518518518517</v>
      </c>
      <c r="AF483" s="91">
        <v>6</v>
      </c>
      <c r="AG483" s="105" t="s">
        <v>1785</v>
      </c>
      <c r="AH483" s="91">
        <v>6</v>
      </c>
      <c r="AI483" s="105" t="s">
        <v>1785</v>
      </c>
    </row>
    <row r="484" spans="1:35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>
        <f t="shared" si="22"/>
        <v>0</v>
      </c>
      <c r="AC484">
        <f t="shared" si="23"/>
        <v>0</v>
      </c>
      <c r="AD484" s="67"/>
      <c r="AE484" s="87">
        <f t="shared" si="24"/>
        <v>0.25925925925925924</v>
      </c>
      <c r="AF484" s="91">
        <v>6</v>
      </c>
      <c r="AG484" s="105" t="s">
        <v>1785</v>
      </c>
      <c r="AH484" s="91">
        <v>6</v>
      </c>
      <c r="AI484" s="105" t="s">
        <v>1785</v>
      </c>
    </row>
    <row r="485" spans="1:35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>
        <f t="shared" si="22"/>
        <v>0</v>
      </c>
      <c r="AC485">
        <f t="shared" si="23"/>
        <v>0</v>
      </c>
      <c r="AD485" s="67"/>
      <c r="AE485" s="87">
        <f t="shared" si="24"/>
        <v>0.18518518518518517</v>
      </c>
      <c r="AF485" s="91">
        <v>6</v>
      </c>
      <c r="AG485" s="105" t="s">
        <v>1785</v>
      </c>
      <c r="AH485" s="91">
        <v>6</v>
      </c>
      <c r="AI485" s="105" t="s">
        <v>1785</v>
      </c>
    </row>
    <row r="486" spans="1:35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>
        <f t="shared" si="22"/>
        <v>0</v>
      </c>
      <c r="AC486">
        <f t="shared" si="23"/>
        <v>0</v>
      </c>
      <c r="AD486" s="67"/>
      <c r="AE486" s="87">
        <f t="shared" si="24"/>
        <v>0.55555555555555558</v>
      </c>
      <c r="AF486" s="91">
        <v>6</v>
      </c>
      <c r="AG486" s="105" t="s">
        <v>1785</v>
      </c>
      <c r="AH486" s="91">
        <v>6</v>
      </c>
      <c r="AI486" s="105" t="s">
        <v>1785</v>
      </c>
    </row>
    <row r="487" spans="1:35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>
        <f t="shared" si="22"/>
        <v>0</v>
      </c>
      <c r="AC487">
        <f t="shared" si="23"/>
        <v>0</v>
      </c>
      <c r="AD487" s="67"/>
      <c r="AE487" s="87">
        <f t="shared" si="24"/>
        <v>0.33333333333333331</v>
      </c>
      <c r="AF487" s="91">
        <v>6</v>
      </c>
      <c r="AG487" s="105" t="s">
        <v>1785</v>
      </c>
      <c r="AH487" s="91">
        <v>6</v>
      </c>
      <c r="AI487" s="105" t="s">
        <v>1785</v>
      </c>
    </row>
    <row r="488" spans="1:35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>
        <f t="shared" si="22"/>
        <v>0</v>
      </c>
      <c r="AC488">
        <f t="shared" si="23"/>
        <v>0</v>
      </c>
      <c r="AD488" s="67"/>
      <c r="AE488" s="87">
        <f t="shared" si="24"/>
        <v>0.25925925925925924</v>
      </c>
      <c r="AF488" s="91">
        <v>6</v>
      </c>
      <c r="AG488" s="105" t="s">
        <v>1785</v>
      </c>
      <c r="AH488" s="91">
        <v>6</v>
      </c>
      <c r="AI488" s="105" t="s">
        <v>1785</v>
      </c>
    </row>
    <row r="489" spans="1:35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/>
      <c r="X489" s="66"/>
      <c r="Y489" s="66"/>
      <c r="Z489" s="66"/>
      <c r="AA489" s="66"/>
      <c r="AB489">
        <f t="shared" si="22"/>
        <v>0</v>
      </c>
      <c r="AC489">
        <f t="shared" si="23"/>
        <v>0</v>
      </c>
      <c r="AD489" s="67"/>
      <c r="AE489" s="87">
        <f t="shared" si="24"/>
        <v>0.33333333333333331</v>
      </c>
      <c r="AF489" s="91">
        <v>6</v>
      </c>
      <c r="AG489" s="105" t="s">
        <v>1785</v>
      </c>
      <c r="AH489" s="91">
        <v>6</v>
      </c>
      <c r="AI489" s="105" t="s">
        <v>1785</v>
      </c>
    </row>
    <row r="490" spans="1:35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>
        <f t="shared" si="22"/>
        <v>0</v>
      </c>
      <c r="AC490">
        <f t="shared" si="23"/>
        <v>0</v>
      </c>
      <c r="AD490" s="67"/>
      <c r="AE490" s="87">
        <f t="shared" si="24"/>
        <v>0.55555555555555558</v>
      </c>
      <c r="AF490" s="91">
        <v>6</v>
      </c>
      <c r="AG490" s="105" t="s">
        <v>1785</v>
      </c>
      <c r="AH490" s="91">
        <v>6</v>
      </c>
      <c r="AI490" s="105" t="s">
        <v>1785</v>
      </c>
    </row>
    <row r="491" spans="1:35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>
        <f t="shared" si="22"/>
        <v>0</v>
      </c>
      <c r="AC491">
        <f t="shared" si="23"/>
        <v>0</v>
      </c>
      <c r="AD491" s="67"/>
      <c r="AE491" s="87">
        <f t="shared" si="24"/>
        <v>0.77777777777777779</v>
      </c>
      <c r="AF491" s="91">
        <v>5</v>
      </c>
      <c r="AG491" s="105" t="s">
        <v>1846</v>
      </c>
      <c r="AH491" s="91">
        <v>5</v>
      </c>
      <c r="AI491" s="105" t="s">
        <v>1846</v>
      </c>
    </row>
    <row r="492" spans="1:35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>
        <f t="shared" si="22"/>
        <v>0</v>
      </c>
      <c r="AC492">
        <f t="shared" si="23"/>
        <v>0</v>
      </c>
      <c r="AD492" s="67"/>
      <c r="AE492" s="87">
        <f t="shared" si="24"/>
        <v>0.77777777777777779</v>
      </c>
      <c r="AF492" s="91">
        <v>5</v>
      </c>
      <c r="AG492" s="105" t="s">
        <v>1846</v>
      </c>
      <c r="AH492" s="91">
        <v>5</v>
      </c>
      <c r="AI492" s="105" t="s">
        <v>1846</v>
      </c>
    </row>
    <row r="493" spans="1:35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>
        <f t="shared" si="22"/>
        <v>0</v>
      </c>
      <c r="AC493">
        <f t="shared" si="23"/>
        <v>0</v>
      </c>
      <c r="AD493" s="67"/>
      <c r="AE493" s="87">
        <f t="shared" si="24"/>
        <v>0.77777777777777779</v>
      </c>
      <c r="AF493" s="91">
        <v>5</v>
      </c>
      <c r="AG493" s="105" t="s">
        <v>1846</v>
      </c>
      <c r="AH493" s="91">
        <v>5</v>
      </c>
      <c r="AI493" s="105" t="s">
        <v>1846</v>
      </c>
    </row>
    <row r="494" spans="1:35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>
        <f t="shared" si="22"/>
        <v>0</v>
      </c>
      <c r="AC494">
        <f t="shared" si="23"/>
        <v>0</v>
      </c>
      <c r="AD494" s="67"/>
      <c r="AE494" s="87">
        <f t="shared" si="24"/>
        <v>0.77777777777777779</v>
      </c>
      <c r="AF494" s="91">
        <v>5</v>
      </c>
      <c r="AG494" s="105" t="s">
        <v>1846</v>
      </c>
      <c r="AH494" s="91">
        <v>5</v>
      </c>
      <c r="AI494" s="105" t="s">
        <v>1846</v>
      </c>
    </row>
    <row r="495" spans="1:35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>
        <f t="shared" si="22"/>
        <v>0</v>
      </c>
      <c r="AC495">
        <f t="shared" si="23"/>
        <v>0</v>
      </c>
      <c r="AD495" s="67"/>
      <c r="AE495" s="87">
        <f t="shared" si="24"/>
        <v>0.77777777777777779</v>
      </c>
      <c r="AF495" s="91">
        <v>5</v>
      </c>
      <c r="AG495" s="105" t="s">
        <v>1846</v>
      </c>
      <c r="AH495" s="91">
        <v>5</v>
      </c>
      <c r="AI495" s="105" t="s">
        <v>1846</v>
      </c>
    </row>
    <row r="496" spans="1:35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>
        <f t="shared" si="22"/>
        <v>0</v>
      </c>
      <c r="AC496">
        <f t="shared" si="23"/>
        <v>0</v>
      </c>
      <c r="AD496" s="67" t="s">
        <v>1867</v>
      </c>
      <c r="AE496" s="87">
        <f t="shared" si="24"/>
        <v>0.77777777777777779</v>
      </c>
      <c r="AF496" s="91">
        <v>5</v>
      </c>
      <c r="AG496" s="105" t="s">
        <v>1846</v>
      </c>
      <c r="AH496" s="91">
        <v>5</v>
      </c>
      <c r="AI496" s="105" t="s">
        <v>1846</v>
      </c>
    </row>
    <row r="497" spans="1:35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>
        <f t="shared" si="22"/>
        <v>0</v>
      </c>
      <c r="AC497">
        <f t="shared" si="23"/>
        <v>0</v>
      </c>
      <c r="AD497" s="67"/>
      <c r="AE497" s="87">
        <f t="shared" si="24"/>
        <v>0.66666666666666663</v>
      </c>
      <c r="AF497" s="91">
        <v>5</v>
      </c>
      <c r="AG497" s="105" t="s">
        <v>1846</v>
      </c>
      <c r="AH497" s="91">
        <v>5</v>
      </c>
      <c r="AI497" s="105" t="s">
        <v>1846</v>
      </c>
    </row>
    <row r="498" spans="1:35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175</v>
      </c>
      <c r="X498" s="66" t="s">
        <v>175</v>
      </c>
      <c r="Y498" s="66" t="s">
        <v>36</v>
      </c>
      <c r="Z498" s="66"/>
      <c r="AA498" s="66"/>
      <c r="AB498">
        <f t="shared" si="22"/>
        <v>0</v>
      </c>
      <c r="AC498">
        <f t="shared" si="23"/>
        <v>0</v>
      </c>
      <c r="AD498" s="67"/>
      <c r="AE498" s="87">
        <f t="shared" si="24"/>
        <v>0.66666666666666663</v>
      </c>
      <c r="AF498" s="91">
        <v>5</v>
      </c>
      <c r="AG498" s="105" t="s">
        <v>1846</v>
      </c>
      <c r="AH498" s="91">
        <v>5</v>
      </c>
      <c r="AI498" s="105" t="s">
        <v>1846</v>
      </c>
    </row>
    <row r="499" spans="1:35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175</v>
      </c>
      <c r="X499" s="66" t="s">
        <v>175</v>
      </c>
      <c r="Y499" s="66" t="s">
        <v>36</v>
      </c>
      <c r="Z499" s="66"/>
      <c r="AA499" s="66"/>
      <c r="AB499">
        <f t="shared" si="22"/>
        <v>0</v>
      </c>
      <c r="AC499">
        <f t="shared" si="23"/>
        <v>0</v>
      </c>
      <c r="AD499" s="67"/>
      <c r="AE499" s="87">
        <f t="shared" si="24"/>
        <v>0.66666666666666663</v>
      </c>
      <c r="AF499" s="91">
        <v>5</v>
      </c>
      <c r="AG499" s="105" t="s">
        <v>1846</v>
      </c>
      <c r="AH499" s="91">
        <v>5</v>
      </c>
      <c r="AI499" s="105" t="s">
        <v>1846</v>
      </c>
    </row>
    <row r="500" spans="1:35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175</v>
      </c>
      <c r="X500" s="66" t="s">
        <v>175</v>
      </c>
      <c r="Y500" s="66" t="s">
        <v>36</v>
      </c>
      <c r="Z500" s="66"/>
      <c r="AA500" s="66"/>
      <c r="AB500">
        <f t="shared" si="22"/>
        <v>0</v>
      </c>
      <c r="AC500">
        <f t="shared" si="23"/>
        <v>0</v>
      </c>
      <c r="AD500" s="67"/>
      <c r="AE500" s="87">
        <f t="shared" si="24"/>
        <v>0.66666666666666663</v>
      </c>
      <c r="AF500" s="91">
        <v>5</v>
      </c>
      <c r="AG500" s="105" t="s">
        <v>1846</v>
      </c>
      <c r="AH500" s="91">
        <v>5</v>
      </c>
      <c r="AI500" s="105" t="s">
        <v>1846</v>
      </c>
    </row>
    <row r="501" spans="1:35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>
        <f t="shared" si="22"/>
        <v>0</v>
      </c>
      <c r="AC501">
        <f t="shared" si="23"/>
        <v>0</v>
      </c>
      <c r="AD501" s="67"/>
      <c r="AE501" s="87">
        <f t="shared" si="24"/>
        <v>0.66666666666666663</v>
      </c>
      <c r="AF501" s="91">
        <v>5</v>
      </c>
      <c r="AG501" s="105" t="s">
        <v>1846</v>
      </c>
      <c r="AH501" s="91">
        <v>5</v>
      </c>
      <c r="AI501" s="105" t="s">
        <v>1846</v>
      </c>
    </row>
    <row r="502" spans="1:35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175</v>
      </c>
      <c r="Y502" s="66" t="s">
        <v>36</v>
      </c>
      <c r="Z502" s="66"/>
      <c r="AA502" s="66"/>
      <c r="AB502">
        <f t="shared" si="22"/>
        <v>0</v>
      </c>
      <c r="AC502">
        <f t="shared" si="23"/>
        <v>0</v>
      </c>
      <c r="AD502" s="67"/>
      <c r="AE502" s="87">
        <f t="shared" si="24"/>
        <v>0.66666666666666663</v>
      </c>
      <c r="AF502" s="91">
        <v>5</v>
      </c>
      <c r="AG502" s="105" t="s">
        <v>1846</v>
      </c>
      <c r="AH502" s="91">
        <v>5</v>
      </c>
      <c r="AI502" s="105" t="s">
        <v>1846</v>
      </c>
    </row>
    <row r="503" spans="1:35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>
        <f t="shared" si="22"/>
        <v>0</v>
      </c>
      <c r="AC503">
        <f t="shared" si="23"/>
        <v>0</v>
      </c>
      <c r="AD503" s="67"/>
      <c r="AE503" s="87">
        <f t="shared" si="24"/>
        <v>0.66666666666666663</v>
      </c>
      <c r="AF503" s="91">
        <v>5</v>
      </c>
      <c r="AG503" s="105" t="s">
        <v>1846</v>
      </c>
      <c r="AH503" s="91">
        <v>5</v>
      </c>
      <c r="AI503" s="105" t="s">
        <v>1846</v>
      </c>
    </row>
    <row r="504" spans="1:35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175</v>
      </c>
      <c r="X504" s="66" t="s">
        <v>175</v>
      </c>
      <c r="Y504" s="66" t="s">
        <v>36</v>
      </c>
      <c r="Z504" s="66"/>
      <c r="AA504" s="66"/>
      <c r="AB504">
        <f t="shared" si="22"/>
        <v>0</v>
      </c>
      <c r="AC504">
        <f t="shared" si="23"/>
        <v>0</v>
      </c>
      <c r="AD504" s="67"/>
      <c r="AE504" s="87">
        <f t="shared" si="24"/>
        <v>0.66666666666666663</v>
      </c>
      <c r="AF504" s="91">
        <v>5</v>
      </c>
      <c r="AG504" s="105" t="s">
        <v>1846</v>
      </c>
      <c r="AH504" s="91">
        <v>5</v>
      </c>
      <c r="AI504" s="105" t="s">
        <v>1846</v>
      </c>
    </row>
    <row r="505" spans="1:35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175</v>
      </c>
      <c r="X505" s="66" t="s">
        <v>175</v>
      </c>
      <c r="Y505" s="66" t="s">
        <v>36</v>
      </c>
      <c r="Z505" s="66"/>
      <c r="AA505" s="66"/>
      <c r="AB505">
        <f t="shared" si="22"/>
        <v>0</v>
      </c>
      <c r="AC505">
        <f t="shared" si="23"/>
        <v>0</v>
      </c>
      <c r="AD505" s="67"/>
      <c r="AE505" s="87">
        <f t="shared" si="24"/>
        <v>0.66666666666666663</v>
      </c>
      <c r="AF505" s="91">
        <v>5</v>
      </c>
      <c r="AG505" s="105" t="s">
        <v>1846</v>
      </c>
      <c r="AH505" s="91">
        <v>5</v>
      </c>
      <c r="AI505" s="105" t="s">
        <v>1846</v>
      </c>
    </row>
    <row r="506" spans="1:35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>
        <f t="shared" si="22"/>
        <v>0</v>
      </c>
      <c r="AC506">
        <f t="shared" si="23"/>
        <v>0</v>
      </c>
      <c r="AD506" s="67"/>
      <c r="AE506" s="87">
        <f t="shared" si="24"/>
        <v>0.66666666666666663</v>
      </c>
      <c r="AF506" s="91">
        <v>5</v>
      </c>
      <c r="AG506" s="105" t="s">
        <v>1846</v>
      </c>
      <c r="AH506" s="91">
        <v>5</v>
      </c>
      <c r="AI506" s="105" t="s">
        <v>1846</v>
      </c>
    </row>
    <row r="507" spans="1:35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175</v>
      </c>
      <c r="Y507" s="66" t="s">
        <v>36</v>
      </c>
      <c r="Z507" s="66"/>
      <c r="AA507" s="66"/>
      <c r="AB507">
        <f t="shared" si="22"/>
        <v>0</v>
      </c>
      <c r="AC507">
        <f t="shared" si="23"/>
        <v>0</v>
      </c>
      <c r="AD507" s="67"/>
      <c r="AE507" s="87">
        <f t="shared" si="24"/>
        <v>0.66666666666666663</v>
      </c>
      <c r="AF507" s="91">
        <v>5</v>
      </c>
      <c r="AG507" s="105" t="s">
        <v>1846</v>
      </c>
      <c r="AH507" s="91">
        <v>5</v>
      </c>
      <c r="AI507" s="105" t="s">
        <v>1846</v>
      </c>
    </row>
    <row r="508" spans="1:35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>
        <f t="shared" si="22"/>
        <v>0</v>
      </c>
      <c r="AC508">
        <f t="shared" si="23"/>
        <v>0</v>
      </c>
      <c r="AD508" s="67"/>
      <c r="AE508" s="87">
        <f t="shared" si="24"/>
        <v>0.66666666666666663</v>
      </c>
      <c r="AF508" s="91">
        <v>5</v>
      </c>
      <c r="AG508" s="105" t="s">
        <v>1846</v>
      </c>
      <c r="AH508" s="91">
        <v>5</v>
      </c>
      <c r="AI508" s="105" t="s">
        <v>1846</v>
      </c>
    </row>
    <row r="509" spans="1:35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>
        <f t="shared" si="22"/>
        <v>0</v>
      </c>
      <c r="AC509">
        <f t="shared" si="23"/>
        <v>0</v>
      </c>
      <c r="AD509" s="70" t="s">
        <v>1795</v>
      </c>
      <c r="AE509" s="87">
        <f t="shared" si="24"/>
        <v>0.18518518518518517</v>
      </c>
      <c r="AF509" s="91">
        <v>8</v>
      </c>
      <c r="AG509" s="105" t="s">
        <v>1847</v>
      </c>
      <c r="AH509" s="91">
        <v>8</v>
      </c>
      <c r="AI509" s="105" t="s">
        <v>1847</v>
      </c>
    </row>
    <row r="510" spans="1:35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/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>
        <f t="shared" si="22"/>
        <v>0</v>
      </c>
      <c r="AC510">
        <f t="shared" si="23"/>
        <v>0</v>
      </c>
      <c r="AD510" s="70" t="s">
        <v>1795</v>
      </c>
      <c r="AE510" s="87">
        <f t="shared" si="24"/>
        <v>0.25925925925925924</v>
      </c>
      <c r="AF510" s="91">
        <v>8</v>
      </c>
      <c r="AG510" s="105" t="s">
        <v>1847</v>
      </c>
      <c r="AH510" s="91">
        <v>8</v>
      </c>
      <c r="AI510" s="105" t="s">
        <v>1847</v>
      </c>
    </row>
    <row r="511" spans="1:35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>
        <f t="shared" si="22"/>
        <v>0</v>
      </c>
      <c r="AC511">
        <f t="shared" si="23"/>
        <v>0</v>
      </c>
      <c r="AD511" s="70" t="s">
        <v>1795</v>
      </c>
      <c r="AE511" s="87">
        <f t="shared" si="24"/>
        <v>0.25925925925925924</v>
      </c>
      <c r="AF511" s="91">
        <v>8</v>
      </c>
      <c r="AG511" s="105" t="s">
        <v>1847</v>
      </c>
      <c r="AH511" s="91">
        <v>8</v>
      </c>
      <c r="AI511" s="105" t="s">
        <v>1847</v>
      </c>
    </row>
    <row r="512" spans="1:35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>
        <f t="shared" si="22"/>
        <v>0</v>
      </c>
      <c r="AC512">
        <f t="shared" si="23"/>
        <v>0</v>
      </c>
      <c r="AD512" s="70" t="s">
        <v>1795</v>
      </c>
      <c r="AE512" s="87">
        <f t="shared" si="24"/>
        <v>0.25925925925925924</v>
      </c>
      <c r="AF512" s="91">
        <v>8</v>
      </c>
      <c r="AG512" s="105" t="s">
        <v>1847</v>
      </c>
      <c r="AH512" s="91">
        <v>8</v>
      </c>
      <c r="AI512" s="105" t="s">
        <v>1847</v>
      </c>
    </row>
    <row r="513" spans="1:36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>
        <f t="shared" si="22"/>
        <v>0</v>
      </c>
      <c r="AC513">
        <f t="shared" si="23"/>
        <v>0</v>
      </c>
      <c r="AD513" s="70" t="s">
        <v>1795</v>
      </c>
      <c r="AE513" s="87">
        <f t="shared" si="24"/>
        <v>0.25925925925925924</v>
      </c>
      <c r="AF513" s="91">
        <v>8</v>
      </c>
      <c r="AG513" s="105" t="s">
        <v>1847</v>
      </c>
      <c r="AH513" s="91">
        <v>8</v>
      </c>
      <c r="AI513" s="105" t="s">
        <v>1847</v>
      </c>
    </row>
    <row r="514" spans="1:36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/>
      <c r="U514" s="66" t="s">
        <v>35</v>
      </c>
      <c r="V514" s="66" t="s">
        <v>35</v>
      </c>
      <c r="W514" s="66" t="s">
        <v>35</v>
      </c>
      <c r="X514" s="66" t="s">
        <v>35</v>
      </c>
      <c r="Y514" s="66"/>
      <c r="Z514" s="66"/>
      <c r="AA514" s="66"/>
      <c r="AB514">
        <f t="shared" si="22"/>
        <v>0</v>
      </c>
      <c r="AC514">
        <f t="shared" si="23"/>
        <v>0</v>
      </c>
      <c r="AD514" s="70" t="s">
        <v>1795</v>
      </c>
      <c r="AE514" s="87">
        <f t="shared" si="24"/>
        <v>0.55555555555555558</v>
      </c>
      <c r="AF514" s="91">
        <v>8</v>
      </c>
      <c r="AG514" s="105" t="s">
        <v>1847</v>
      </c>
      <c r="AH514" s="91">
        <v>8</v>
      </c>
      <c r="AI514" s="105" t="s">
        <v>1847</v>
      </c>
    </row>
    <row r="515" spans="1:36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/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>
        <f t="shared" ref="AB515:AB578" si="25">IF(OR(AND(Z515="SI",AA515="NO"),AND(Z515="NO",AA515="SI")),1,0)</f>
        <v>0</v>
      </c>
      <c r="AC515">
        <f t="shared" ref="AC515:AC578" si="26">IF(AND(OR(Z515="SI",Z515="NO APLICA"),OR(AA515="SI",AA515="NO APLICA")),1,0)</f>
        <v>0</v>
      </c>
      <c r="AD515" s="70" t="s">
        <v>1795</v>
      </c>
      <c r="AE515" s="87">
        <f t="shared" si="24"/>
        <v>0.18518518518518517</v>
      </c>
      <c r="AF515" s="91">
        <v>8</v>
      </c>
      <c r="AG515" s="105" t="s">
        <v>1847</v>
      </c>
      <c r="AH515" s="91">
        <v>8</v>
      </c>
      <c r="AI515" s="105" t="s">
        <v>1847</v>
      </c>
    </row>
    <row r="516" spans="1:36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/>
      <c r="U516" s="66" t="s">
        <v>176</v>
      </c>
      <c r="V516" s="66" t="s">
        <v>176</v>
      </c>
      <c r="W516" s="66"/>
      <c r="X516" s="66"/>
      <c r="Y516" s="66"/>
      <c r="Z516" s="66"/>
      <c r="AA516" s="66"/>
      <c r="AB516">
        <f t="shared" si="25"/>
        <v>0</v>
      </c>
      <c r="AC516">
        <f t="shared" si="26"/>
        <v>0</v>
      </c>
      <c r="AD516" s="70" t="s">
        <v>1795</v>
      </c>
      <c r="AE516" s="87">
        <f t="shared" si="24"/>
        <v>0.18518518518518517</v>
      </c>
      <c r="AF516" s="91">
        <v>8</v>
      </c>
      <c r="AG516" s="105" t="s">
        <v>1847</v>
      </c>
      <c r="AH516" s="91">
        <v>8</v>
      </c>
      <c r="AI516" s="105" t="s">
        <v>1847</v>
      </c>
    </row>
    <row r="517" spans="1:36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/>
      <c r="U517" s="66" t="s">
        <v>176</v>
      </c>
      <c r="V517" s="66" t="s">
        <v>176</v>
      </c>
      <c r="W517" s="66"/>
      <c r="X517" s="66"/>
      <c r="Y517" s="76"/>
      <c r="Z517" s="66"/>
      <c r="AA517" s="66"/>
      <c r="AB517">
        <f t="shared" si="25"/>
        <v>0</v>
      </c>
      <c r="AC517">
        <f t="shared" si="26"/>
        <v>0</v>
      </c>
      <c r="AD517" s="70" t="s">
        <v>1795</v>
      </c>
      <c r="AE517" s="87">
        <f t="shared" si="24"/>
        <v>0.18518518518518517</v>
      </c>
      <c r="AF517" s="91">
        <v>8</v>
      </c>
      <c r="AG517" s="105" t="s">
        <v>1847</v>
      </c>
      <c r="AH517" s="91">
        <v>8</v>
      </c>
      <c r="AI517" s="105" t="s">
        <v>1847</v>
      </c>
    </row>
    <row r="518" spans="1:36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/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>
        <f t="shared" si="25"/>
        <v>0</v>
      </c>
      <c r="AC518">
        <f t="shared" si="26"/>
        <v>0</v>
      </c>
      <c r="AD518" s="70" t="s">
        <v>1795</v>
      </c>
      <c r="AE518" s="87">
        <f t="shared" si="24"/>
        <v>0.25925925925925924</v>
      </c>
      <c r="AF518" s="91">
        <v>8</v>
      </c>
      <c r="AG518" s="105" t="s">
        <v>1847</v>
      </c>
      <c r="AH518" s="91">
        <v>8</v>
      </c>
      <c r="AI518" s="105" t="s">
        <v>1847</v>
      </c>
    </row>
    <row r="519" spans="1:36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>
        <f t="shared" si="25"/>
        <v>0</v>
      </c>
      <c r="AC519">
        <f t="shared" si="26"/>
        <v>0</v>
      </c>
      <c r="AD519" s="70" t="s">
        <v>1795</v>
      </c>
      <c r="AE519" s="87">
        <f t="shared" si="24"/>
        <v>0.25925925925925924</v>
      </c>
      <c r="AF519" s="91">
        <v>8</v>
      </c>
      <c r="AG519" s="105" t="s">
        <v>1847</v>
      </c>
      <c r="AH519" s="91">
        <v>8</v>
      </c>
      <c r="AI519" s="105" t="s">
        <v>1847</v>
      </c>
    </row>
    <row r="520" spans="1:36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/>
      <c r="U520" s="66" t="s">
        <v>35</v>
      </c>
      <c r="V520" s="66" t="s">
        <v>35</v>
      </c>
      <c r="W520" s="66" t="s">
        <v>35</v>
      </c>
      <c r="X520" s="66" t="s">
        <v>35</v>
      </c>
      <c r="Y520" s="76"/>
      <c r="Z520" s="66"/>
      <c r="AA520" s="66"/>
      <c r="AB520">
        <f t="shared" si="25"/>
        <v>0</v>
      </c>
      <c r="AC520">
        <f t="shared" si="26"/>
        <v>0</v>
      </c>
      <c r="AD520" s="70" t="s">
        <v>1795</v>
      </c>
      <c r="AE520" s="87">
        <f t="shared" si="24"/>
        <v>0.55555555555555558</v>
      </c>
      <c r="AF520" s="91">
        <v>8</v>
      </c>
      <c r="AG520" s="105" t="s">
        <v>1847</v>
      </c>
      <c r="AH520" s="91">
        <v>8</v>
      </c>
      <c r="AI520" s="105" t="s">
        <v>1847</v>
      </c>
    </row>
    <row r="521" spans="1:36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/>
      <c r="U521" s="66" t="s">
        <v>35</v>
      </c>
      <c r="V521" s="66" t="s">
        <v>35</v>
      </c>
      <c r="W521" s="66" t="s">
        <v>35</v>
      </c>
      <c r="X521" s="66" t="s">
        <v>35</v>
      </c>
      <c r="Y521" s="66"/>
      <c r="Z521" s="66"/>
      <c r="AA521" s="66"/>
      <c r="AB521">
        <f t="shared" si="25"/>
        <v>0</v>
      </c>
      <c r="AC521">
        <f t="shared" si="26"/>
        <v>0</v>
      </c>
      <c r="AD521" s="70" t="s">
        <v>1795</v>
      </c>
      <c r="AE521" s="87">
        <f t="shared" si="24"/>
        <v>0.55555555555555558</v>
      </c>
      <c r="AF521" s="91">
        <v>8</v>
      </c>
      <c r="AG521" s="105" t="s">
        <v>1847</v>
      </c>
      <c r="AH521" s="91">
        <v>8</v>
      </c>
      <c r="AI521" s="105" t="s">
        <v>1847</v>
      </c>
    </row>
    <row r="522" spans="1:36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/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>
        <f t="shared" si="25"/>
        <v>0</v>
      </c>
      <c r="AC522">
        <f t="shared" si="26"/>
        <v>0</v>
      </c>
      <c r="AD522" s="70" t="s">
        <v>1795</v>
      </c>
      <c r="AE522" s="87">
        <f t="shared" si="24"/>
        <v>0.18518518518518517</v>
      </c>
      <c r="AF522" s="91">
        <v>8</v>
      </c>
      <c r="AG522" s="105" t="s">
        <v>1847</v>
      </c>
      <c r="AH522" s="91">
        <v>8</v>
      </c>
      <c r="AI522" s="105" t="s">
        <v>1847</v>
      </c>
    </row>
    <row r="523" spans="1:36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/>
      <c r="U523" s="66" t="s">
        <v>176</v>
      </c>
      <c r="V523" s="66" t="s">
        <v>176</v>
      </c>
      <c r="W523" s="66"/>
      <c r="X523" s="66"/>
      <c r="Y523" s="66"/>
      <c r="Z523" s="66"/>
      <c r="AA523" s="66"/>
      <c r="AB523">
        <f t="shared" si="25"/>
        <v>0</v>
      </c>
      <c r="AC523">
        <f t="shared" si="26"/>
        <v>0</v>
      </c>
      <c r="AD523" s="70" t="s">
        <v>1795</v>
      </c>
      <c r="AE523" s="87">
        <f t="shared" si="24"/>
        <v>0.18518518518518517</v>
      </c>
      <c r="AF523" s="91">
        <v>8</v>
      </c>
      <c r="AG523" s="105" t="s">
        <v>1847</v>
      </c>
      <c r="AH523" s="91">
        <v>8</v>
      </c>
      <c r="AI523" s="105" t="s">
        <v>1847</v>
      </c>
    </row>
    <row r="524" spans="1:36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/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>
        <f t="shared" si="25"/>
        <v>0</v>
      </c>
      <c r="AC524">
        <f t="shared" si="26"/>
        <v>0</v>
      </c>
      <c r="AD524" s="70" t="s">
        <v>1795</v>
      </c>
      <c r="AE524" s="87">
        <f t="shared" si="24"/>
        <v>0.25925925925925924</v>
      </c>
      <c r="AF524" s="91">
        <v>8</v>
      </c>
      <c r="AG524" s="105" t="s">
        <v>1847</v>
      </c>
      <c r="AH524" s="91">
        <v>8</v>
      </c>
      <c r="AI524" s="105" t="s">
        <v>1847</v>
      </c>
    </row>
    <row r="525" spans="1:36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/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>
        <f t="shared" si="25"/>
        <v>0</v>
      </c>
      <c r="AC525">
        <f t="shared" si="26"/>
        <v>0</v>
      </c>
      <c r="AD525" s="70" t="s">
        <v>1795</v>
      </c>
      <c r="AE525" s="87">
        <f t="shared" si="24"/>
        <v>0.25925925925925924</v>
      </c>
      <c r="AF525" s="91">
        <v>8</v>
      </c>
      <c r="AG525" s="105" t="s">
        <v>1847</v>
      </c>
      <c r="AH525" s="91">
        <v>8</v>
      </c>
      <c r="AI525" s="105" t="s">
        <v>1847</v>
      </c>
      <c r="AJ525">
        <f>IF(OR(Z2="SI",AA2="SI"),1,0)</f>
        <v>1</v>
      </c>
    </row>
    <row r="526" spans="1:36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/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>
        <f t="shared" si="25"/>
        <v>0</v>
      </c>
      <c r="AC526">
        <f t="shared" si="26"/>
        <v>0</v>
      </c>
      <c r="AD526" s="70" t="s">
        <v>1795</v>
      </c>
      <c r="AE526" s="87">
        <f t="shared" si="24"/>
        <v>0.25925925925925924</v>
      </c>
      <c r="AF526" s="91">
        <v>8</v>
      </c>
      <c r="AG526" s="105" t="s">
        <v>1847</v>
      </c>
      <c r="AH526" s="91">
        <v>8</v>
      </c>
      <c r="AI526" s="105" t="s">
        <v>1847</v>
      </c>
      <c r="AJ526">
        <f t="shared" ref="AJ526:AJ589" si="27">IF(OR(Z3="SI",AA3="SI"),1,0)</f>
        <v>0</v>
      </c>
    </row>
    <row r="527" spans="1:36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/>
      <c r="U527" s="66" t="s">
        <v>35</v>
      </c>
      <c r="V527" s="66" t="s">
        <v>35</v>
      </c>
      <c r="W527" s="66" t="s">
        <v>35</v>
      </c>
      <c r="X527" s="66" t="s">
        <v>35</v>
      </c>
      <c r="Y527" s="66"/>
      <c r="Z527" s="66"/>
      <c r="AA527" s="66"/>
      <c r="AB527">
        <f t="shared" si="25"/>
        <v>0</v>
      </c>
      <c r="AC527">
        <f t="shared" si="26"/>
        <v>0</v>
      </c>
      <c r="AD527" s="70" t="s">
        <v>1795</v>
      </c>
      <c r="AE527" s="87">
        <f t="shared" si="24"/>
        <v>0.55555555555555558</v>
      </c>
      <c r="AF527" s="91">
        <v>8</v>
      </c>
      <c r="AG527" s="105" t="s">
        <v>1847</v>
      </c>
      <c r="AH527" s="91">
        <v>8</v>
      </c>
      <c r="AI527" s="105" t="s">
        <v>1847</v>
      </c>
      <c r="AJ527">
        <f t="shared" si="27"/>
        <v>0</v>
      </c>
    </row>
    <row r="528" spans="1:36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/>
      <c r="U528" s="66" t="s">
        <v>213</v>
      </c>
      <c r="V528" s="66" t="s">
        <v>213</v>
      </c>
      <c r="W528" s="66"/>
      <c r="X528" s="66"/>
      <c r="Y528" s="66"/>
      <c r="Z528" s="66"/>
      <c r="AA528" s="66"/>
      <c r="AB528">
        <f t="shared" si="25"/>
        <v>0</v>
      </c>
      <c r="AC528">
        <f t="shared" si="26"/>
        <v>0</v>
      </c>
      <c r="AD528" s="70" t="s">
        <v>1795</v>
      </c>
      <c r="AE528" s="87">
        <f t="shared" si="24"/>
        <v>0.25925925925925924</v>
      </c>
      <c r="AF528" s="91">
        <v>8</v>
      </c>
      <c r="AG528" s="105" t="s">
        <v>1847</v>
      </c>
      <c r="AH528" s="91">
        <v>8</v>
      </c>
      <c r="AI528" s="105" t="s">
        <v>1847</v>
      </c>
      <c r="AJ528">
        <f t="shared" si="27"/>
        <v>1</v>
      </c>
    </row>
    <row r="529" spans="1:36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/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>
        <f t="shared" si="25"/>
        <v>0</v>
      </c>
      <c r="AC529">
        <f t="shared" si="26"/>
        <v>0</v>
      </c>
      <c r="AD529" s="70" t="s">
        <v>1795</v>
      </c>
      <c r="AE529" s="87">
        <f t="shared" si="24"/>
        <v>0.25925925925925924</v>
      </c>
      <c r="AF529" s="91">
        <v>8</v>
      </c>
      <c r="AG529" s="105" t="s">
        <v>1847</v>
      </c>
      <c r="AH529" s="91">
        <v>8</v>
      </c>
      <c r="AI529" s="105" t="s">
        <v>1847</v>
      </c>
      <c r="AJ529">
        <f t="shared" si="27"/>
        <v>0</v>
      </c>
    </row>
    <row r="530" spans="1:36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>
        <f t="shared" si="25"/>
        <v>0</v>
      </c>
      <c r="AC530">
        <f t="shared" si="26"/>
        <v>0</v>
      </c>
      <c r="AD530" s="70" t="s">
        <v>1795</v>
      </c>
      <c r="AE530" s="87">
        <f t="shared" si="24"/>
        <v>0.18518518518518517</v>
      </c>
      <c r="AF530" s="91">
        <v>8</v>
      </c>
      <c r="AG530" s="105" t="s">
        <v>1847</v>
      </c>
      <c r="AH530" s="91">
        <v>8</v>
      </c>
      <c r="AI530" s="105" t="s">
        <v>1847</v>
      </c>
      <c r="AJ530">
        <f t="shared" si="27"/>
        <v>0</v>
      </c>
    </row>
    <row r="531" spans="1:36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>
        <f t="shared" si="25"/>
        <v>0</v>
      </c>
      <c r="AC531">
        <f t="shared" si="26"/>
        <v>0</v>
      </c>
      <c r="AD531" s="70" t="s">
        <v>1795</v>
      </c>
      <c r="AE531" s="87">
        <f t="shared" si="24"/>
        <v>0.18518518518518517</v>
      </c>
      <c r="AF531" s="91">
        <v>8</v>
      </c>
      <c r="AG531" s="105" t="s">
        <v>1847</v>
      </c>
      <c r="AH531" s="91">
        <v>8</v>
      </c>
      <c r="AI531" s="105" t="s">
        <v>1847</v>
      </c>
      <c r="AJ531">
        <f t="shared" si="27"/>
        <v>0</v>
      </c>
    </row>
    <row r="532" spans="1:36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>
        <f t="shared" si="25"/>
        <v>0</v>
      </c>
      <c r="AC532">
        <f t="shared" si="26"/>
        <v>0</v>
      </c>
      <c r="AD532" s="67"/>
      <c r="AE532" s="87">
        <f t="shared" si="24"/>
        <v>0.48148148148148157</v>
      </c>
      <c r="AF532" s="91">
        <v>10</v>
      </c>
      <c r="AG532" s="105" t="s">
        <v>1782</v>
      </c>
      <c r="AH532" s="91">
        <v>10</v>
      </c>
      <c r="AI532" s="105" t="s">
        <v>1782</v>
      </c>
      <c r="AJ532">
        <f t="shared" si="27"/>
        <v>0</v>
      </c>
    </row>
    <row r="533" spans="1:36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>
        <f t="shared" si="25"/>
        <v>0</v>
      </c>
      <c r="AC533">
        <f t="shared" si="26"/>
        <v>0</v>
      </c>
      <c r="AD533" s="67"/>
      <c r="AE533" s="87">
        <f t="shared" si="24"/>
        <v>0.18518518518518517</v>
      </c>
      <c r="AF533" s="91">
        <v>10</v>
      </c>
      <c r="AG533" s="105" t="s">
        <v>1782</v>
      </c>
      <c r="AH533" s="91">
        <v>10</v>
      </c>
      <c r="AI533" s="105" t="s">
        <v>1782</v>
      </c>
      <c r="AJ533">
        <f t="shared" si="27"/>
        <v>0</v>
      </c>
    </row>
    <row r="534" spans="1:36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>
        <f t="shared" si="25"/>
        <v>0</v>
      </c>
      <c r="AC534">
        <f t="shared" si="26"/>
        <v>0</v>
      </c>
      <c r="AD534" s="67"/>
      <c r="AE534" s="87">
        <f t="shared" si="24"/>
        <v>0.18518518518518517</v>
      </c>
      <c r="AF534" s="91">
        <v>10</v>
      </c>
      <c r="AG534" s="105" t="s">
        <v>1782</v>
      </c>
      <c r="AH534" s="91">
        <v>10</v>
      </c>
      <c r="AI534" s="105" t="s">
        <v>1782</v>
      </c>
      <c r="AJ534">
        <f t="shared" si="27"/>
        <v>0</v>
      </c>
    </row>
    <row r="535" spans="1:36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>
        <f t="shared" si="25"/>
        <v>0</v>
      </c>
      <c r="AC535">
        <f t="shared" si="26"/>
        <v>0</v>
      </c>
      <c r="AD535" s="67"/>
      <c r="AE535" s="87">
        <f t="shared" si="24"/>
        <v>0.18518518518518517</v>
      </c>
      <c r="AF535" s="91">
        <v>10</v>
      </c>
      <c r="AG535" s="105" t="s">
        <v>1782</v>
      </c>
      <c r="AH535" s="91">
        <v>10</v>
      </c>
      <c r="AI535" s="105" t="s">
        <v>1782</v>
      </c>
      <c r="AJ535">
        <f t="shared" si="27"/>
        <v>0</v>
      </c>
    </row>
    <row r="536" spans="1:36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>
        <f t="shared" si="25"/>
        <v>0</v>
      </c>
      <c r="AC536">
        <f t="shared" si="26"/>
        <v>0</v>
      </c>
      <c r="AD536" s="67"/>
      <c r="AE536" s="87">
        <f t="shared" si="24"/>
        <v>0.18518518518518517</v>
      </c>
      <c r="AF536" s="91">
        <v>10</v>
      </c>
      <c r="AG536" s="105" t="s">
        <v>1782</v>
      </c>
      <c r="AH536" s="91">
        <v>10</v>
      </c>
      <c r="AI536" s="105" t="s">
        <v>1782</v>
      </c>
      <c r="AJ536">
        <f t="shared" si="27"/>
        <v>0</v>
      </c>
    </row>
    <row r="537" spans="1:36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>
        <f t="shared" si="25"/>
        <v>0</v>
      </c>
      <c r="AC537">
        <f t="shared" si="26"/>
        <v>0</v>
      </c>
      <c r="AD537" s="67"/>
      <c r="AE537" s="87">
        <f t="shared" si="24"/>
        <v>0.18518518518518517</v>
      </c>
      <c r="AF537" s="91">
        <v>10</v>
      </c>
      <c r="AG537" s="105" t="s">
        <v>1782</v>
      </c>
      <c r="AH537" s="91">
        <v>10</v>
      </c>
      <c r="AI537" s="105" t="s">
        <v>1782</v>
      </c>
      <c r="AJ537">
        <f t="shared" si="27"/>
        <v>0</v>
      </c>
    </row>
    <row r="538" spans="1:36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>
        <f t="shared" si="25"/>
        <v>0</v>
      </c>
      <c r="AC538">
        <f t="shared" si="26"/>
        <v>0</v>
      </c>
      <c r="AD538" s="67"/>
      <c r="AE538" s="87">
        <f t="shared" si="24"/>
        <v>0.18518518518518517</v>
      </c>
      <c r="AF538" s="91">
        <v>10</v>
      </c>
      <c r="AG538" s="105" t="s">
        <v>1782</v>
      </c>
      <c r="AH538" s="91">
        <v>10</v>
      </c>
      <c r="AI538" s="105" t="s">
        <v>1782</v>
      </c>
      <c r="AJ538">
        <f t="shared" si="27"/>
        <v>0</v>
      </c>
    </row>
    <row r="539" spans="1:36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>
        <f t="shared" si="25"/>
        <v>0</v>
      </c>
      <c r="AC539">
        <f t="shared" si="26"/>
        <v>0</v>
      </c>
      <c r="AD539" s="67"/>
      <c r="AE539" s="87">
        <f t="shared" si="24"/>
        <v>0.18518518518518517</v>
      </c>
      <c r="AF539" s="91">
        <v>10</v>
      </c>
      <c r="AG539" s="105" t="s">
        <v>1782</v>
      </c>
      <c r="AH539" s="91">
        <v>10</v>
      </c>
      <c r="AI539" s="105" t="s">
        <v>1782</v>
      </c>
      <c r="AJ539">
        <f t="shared" si="27"/>
        <v>0</v>
      </c>
    </row>
    <row r="540" spans="1:36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>
        <f t="shared" si="25"/>
        <v>0</v>
      </c>
      <c r="AC540">
        <f t="shared" si="26"/>
        <v>0</v>
      </c>
      <c r="AD540" s="67"/>
      <c r="AE540" s="87">
        <f t="shared" si="24"/>
        <v>0.18518518518518517</v>
      </c>
      <c r="AF540" s="91">
        <v>10</v>
      </c>
      <c r="AG540" s="105" t="s">
        <v>1782</v>
      </c>
      <c r="AH540" s="91">
        <v>10</v>
      </c>
      <c r="AI540" s="105" t="s">
        <v>1782</v>
      </c>
      <c r="AJ540">
        <f t="shared" si="27"/>
        <v>0</v>
      </c>
    </row>
    <row r="541" spans="1:36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>
        <f t="shared" si="25"/>
        <v>0</v>
      </c>
      <c r="AC541">
        <f t="shared" si="26"/>
        <v>0</v>
      </c>
      <c r="AD541" s="67"/>
      <c r="AE541" s="87">
        <f t="shared" si="24"/>
        <v>0.18518518518518517</v>
      </c>
      <c r="AF541" s="91">
        <v>10</v>
      </c>
      <c r="AG541" s="105" t="s">
        <v>1782</v>
      </c>
      <c r="AH541" s="91">
        <v>10</v>
      </c>
      <c r="AI541" s="105" t="s">
        <v>1782</v>
      </c>
      <c r="AJ541">
        <f t="shared" si="27"/>
        <v>0</v>
      </c>
    </row>
    <row r="542" spans="1:36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>
        <f t="shared" si="25"/>
        <v>0</v>
      </c>
      <c r="AC542">
        <f t="shared" si="26"/>
        <v>0</v>
      </c>
      <c r="AD542" s="67"/>
      <c r="AE542" s="87">
        <f t="shared" si="24"/>
        <v>0.18518518518518517</v>
      </c>
      <c r="AF542" s="91">
        <v>10</v>
      </c>
      <c r="AG542" s="105" t="s">
        <v>1782</v>
      </c>
      <c r="AH542" s="91">
        <v>10</v>
      </c>
      <c r="AI542" s="105" t="s">
        <v>1782</v>
      </c>
      <c r="AJ542">
        <f t="shared" si="27"/>
        <v>0</v>
      </c>
    </row>
    <row r="543" spans="1:36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>
        <f t="shared" si="25"/>
        <v>0</v>
      </c>
      <c r="AC543">
        <f t="shared" si="26"/>
        <v>0</v>
      </c>
      <c r="AD543" s="67"/>
      <c r="AE543" s="87">
        <f t="shared" si="24"/>
        <v>0.18518518518518517</v>
      </c>
      <c r="AF543" s="91">
        <v>10</v>
      </c>
      <c r="AG543" s="105" t="s">
        <v>1782</v>
      </c>
      <c r="AH543" s="91">
        <v>10</v>
      </c>
      <c r="AI543" s="105" t="s">
        <v>1782</v>
      </c>
      <c r="AJ543">
        <f t="shared" si="27"/>
        <v>0</v>
      </c>
    </row>
    <row r="544" spans="1:36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>
        <f t="shared" si="25"/>
        <v>0</v>
      </c>
      <c r="AC544">
        <f t="shared" si="26"/>
        <v>0</v>
      </c>
      <c r="AD544" s="67"/>
      <c r="AE544" s="87">
        <f t="shared" si="24"/>
        <v>0.18518518518518517</v>
      </c>
      <c r="AF544" s="91">
        <v>10</v>
      </c>
      <c r="AG544" s="105" t="s">
        <v>1782</v>
      </c>
      <c r="AH544" s="91">
        <v>10</v>
      </c>
      <c r="AI544" s="105" t="s">
        <v>1782</v>
      </c>
      <c r="AJ544">
        <f t="shared" si="27"/>
        <v>0</v>
      </c>
    </row>
    <row r="545" spans="1:36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>
        <f t="shared" si="25"/>
        <v>0</v>
      </c>
      <c r="AC545">
        <f t="shared" si="26"/>
        <v>0</v>
      </c>
      <c r="AD545" s="67"/>
      <c r="AE545" s="87">
        <f t="shared" ref="AE545:AE613" si="28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F545" s="91">
        <v>10</v>
      </c>
      <c r="AG545" s="105" t="s">
        <v>1782</v>
      </c>
      <c r="AH545" s="91">
        <v>10</v>
      </c>
      <c r="AI545" s="105" t="s">
        <v>1782</v>
      </c>
      <c r="AJ545">
        <f t="shared" si="27"/>
        <v>0</v>
      </c>
    </row>
    <row r="546" spans="1:36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>
        <f t="shared" si="25"/>
        <v>0</v>
      </c>
      <c r="AC546">
        <f t="shared" si="26"/>
        <v>0</v>
      </c>
      <c r="AD546" s="67"/>
      <c r="AE546" s="87">
        <f t="shared" si="28"/>
        <v>0.18518518518518517</v>
      </c>
      <c r="AF546" s="91">
        <v>10</v>
      </c>
      <c r="AG546" s="105" t="s">
        <v>1782</v>
      </c>
      <c r="AH546" s="91">
        <v>10</v>
      </c>
      <c r="AI546" s="105" t="s">
        <v>1782</v>
      </c>
      <c r="AJ546">
        <f t="shared" si="27"/>
        <v>1</v>
      </c>
    </row>
    <row r="547" spans="1:36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>
        <f t="shared" si="25"/>
        <v>0</v>
      </c>
      <c r="AC547">
        <f t="shared" si="26"/>
        <v>0</v>
      </c>
      <c r="AD547" s="67"/>
      <c r="AE547" s="87">
        <f t="shared" si="28"/>
        <v>0.18518518518518517</v>
      </c>
      <c r="AF547" s="91">
        <v>10</v>
      </c>
      <c r="AG547" s="105" t="s">
        <v>1782</v>
      </c>
      <c r="AH547" s="91">
        <v>10</v>
      </c>
      <c r="AI547" s="105" t="s">
        <v>1782</v>
      </c>
      <c r="AJ547">
        <f t="shared" si="27"/>
        <v>1</v>
      </c>
    </row>
    <row r="548" spans="1:36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>
        <f t="shared" si="25"/>
        <v>0</v>
      </c>
      <c r="AC548">
        <f t="shared" si="26"/>
        <v>0</v>
      </c>
      <c r="AD548" s="67"/>
      <c r="AE548" s="87">
        <f t="shared" si="28"/>
        <v>0.18518518518518517</v>
      </c>
      <c r="AF548" s="91">
        <v>10</v>
      </c>
      <c r="AG548" s="105" t="s">
        <v>1782</v>
      </c>
      <c r="AH548" s="91">
        <v>10</v>
      </c>
      <c r="AI548" s="105" t="s">
        <v>1782</v>
      </c>
      <c r="AJ548">
        <f t="shared" si="27"/>
        <v>1</v>
      </c>
    </row>
    <row r="549" spans="1:36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>
        <f t="shared" si="25"/>
        <v>0</v>
      </c>
      <c r="AC549">
        <f t="shared" si="26"/>
        <v>0</v>
      </c>
      <c r="AD549" s="67"/>
      <c r="AE549" s="87">
        <f t="shared" si="28"/>
        <v>0.18518518518518517</v>
      </c>
      <c r="AF549" s="91">
        <v>10</v>
      </c>
      <c r="AG549" s="105" t="s">
        <v>1782</v>
      </c>
      <c r="AH549" s="91">
        <v>10</v>
      </c>
      <c r="AI549" s="105" t="s">
        <v>1782</v>
      </c>
      <c r="AJ549">
        <f t="shared" si="27"/>
        <v>1</v>
      </c>
    </row>
    <row r="550" spans="1:36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>
        <f t="shared" si="25"/>
        <v>0</v>
      </c>
      <c r="AC550">
        <f t="shared" si="26"/>
        <v>0</v>
      </c>
      <c r="AD550" s="67"/>
      <c r="AE550" s="87">
        <f t="shared" si="28"/>
        <v>0.18518518518518517</v>
      </c>
      <c r="AF550" s="91">
        <v>10</v>
      </c>
      <c r="AG550" s="105" t="s">
        <v>1782</v>
      </c>
      <c r="AH550" s="91">
        <v>10</v>
      </c>
      <c r="AI550" s="105" t="s">
        <v>1782</v>
      </c>
      <c r="AJ550">
        <f t="shared" si="27"/>
        <v>1</v>
      </c>
    </row>
    <row r="551" spans="1:36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>
        <f t="shared" si="25"/>
        <v>0</v>
      </c>
      <c r="AC551">
        <f t="shared" si="26"/>
        <v>0</v>
      </c>
      <c r="AD551" s="67"/>
      <c r="AE551" s="87">
        <f t="shared" si="28"/>
        <v>0.18518518518518517</v>
      </c>
      <c r="AF551" s="91">
        <v>10</v>
      </c>
      <c r="AG551" s="105" t="s">
        <v>1782</v>
      </c>
      <c r="AH551" s="91">
        <v>10</v>
      </c>
      <c r="AI551" s="105" t="s">
        <v>1782</v>
      </c>
      <c r="AJ551">
        <f t="shared" si="27"/>
        <v>1</v>
      </c>
    </row>
    <row r="552" spans="1:36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>
        <f t="shared" si="25"/>
        <v>0</v>
      </c>
      <c r="AC552">
        <f t="shared" si="26"/>
        <v>0</v>
      </c>
      <c r="AD552" s="67" t="s">
        <v>1818</v>
      </c>
      <c r="AE552" s="87">
        <f t="shared" si="28"/>
        <v>0.83333333333333337</v>
      </c>
      <c r="AF552" s="91">
        <v>3</v>
      </c>
      <c r="AG552" s="105" t="s">
        <v>1848</v>
      </c>
      <c r="AH552" s="91">
        <v>3</v>
      </c>
      <c r="AI552" s="105" t="s">
        <v>1848</v>
      </c>
      <c r="AJ552">
        <f t="shared" si="27"/>
        <v>0</v>
      </c>
    </row>
    <row r="553" spans="1:36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>
        <f t="shared" si="25"/>
        <v>0</v>
      </c>
      <c r="AC553">
        <f t="shared" si="26"/>
        <v>0</v>
      </c>
      <c r="AD553" s="67"/>
      <c r="AE553" s="87">
        <f t="shared" si="28"/>
        <v>0.72222222222222221</v>
      </c>
      <c r="AF553" s="91">
        <v>3</v>
      </c>
      <c r="AG553" s="105" t="s">
        <v>1848</v>
      </c>
      <c r="AH553" s="91">
        <v>3</v>
      </c>
      <c r="AI553" s="105" t="s">
        <v>1848</v>
      </c>
      <c r="AJ553">
        <f t="shared" si="27"/>
        <v>0</v>
      </c>
    </row>
    <row r="554" spans="1:36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>
        <f t="shared" si="25"/>
        <v>0</v>
      </c>
      <c r="AC554">
        <f t="shared" si="26"/>
        <v>0</v>
      </c>
      <c r="AD554" s="67"/>
      <c r="AE554" s="87">
        <f t="shared" si="28"/>
        <v>0.72222222222222221</v>
      </c>
      <c r="AF554" s="91">
        <v>3</v>
      </c>
      <c r="AG554" s="105" t="s">
        <v>1848</v>
      </c>
      <c r="AH554" s="91">
        <v>3</v>
      </c>
      <c r="AI554" s="105" t="s">
        <v>1848</v>
      </c>
      <c r="AJ554">
        <f t="shared" si="27"/>
        <v>0</v>
      </c>
    </row>
    <row r="555" spans="1:36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>
        <f t="shared" si="25"/>
        <v>0</v>
      </c>
      <c r="AC555">
        <f t="shared" si="26"/>
        <v>0</v>
      </c>
      <c r="AD555" s="70"/>
      <c r="AE555" s="87">
        <f t="shared" si="28"/>
        <v>0.72222222222222221</v>
      </c>
      <c r="AF555" s="91">
        <v>3</v>
      </c>
      <c r="AG555" s="105" t="s">
        <v>1848</v>
      </c>
      <c r="AH555" s="91">
        <v>3</v>
      </c>
      <c r="AI555" s="105" t="s">
        <v>1848</v>
      </c>
      <c r="AJ555">
        <f t="shared" si="27"/>
        <v>0</v>
      </c>
    </row>
    <row r="556" spans="1:36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>
        <f t="shared" si="25"/>
        <v>0</v>
      </c>
      <c r="AC556">
        <f t="shared" si="26"/>
        <v>0</v>
      </c>
      <c r="AD556" s="67"/>
      <c r="AE556" s="87">
        <f t="shared" si="28"/>
        <v>0.72222222222222221</v>
      </c>
      <c r="AF556" s="91">
        <v>3</v>
      </c>
      <c r="AG556" s="105" t="s">
        <v>1848</v>
      </c>
      <c r="AH556" s="91">
        <v>3</v>
      </c>
      <c r="AI556" s="105" t="s">
        <v>1848</v>
      </c>
      <c r="AJ556">
        <f t="shared" si="27"/>
        <v>0</v>
      </c>
    </row>
    <row r="557" spans="1:36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>
        <f t="shared" si="25"/>
        <v>0</v>
      </c>
      <c r="AC557">
        <f t="shared" si="26"/>
        <v>0</v>
      </c>
      <c r="AD557" s="67"/>
      <c r="AE557" s="87">
        <f t="shared" si="28"/>
        <v>0.72222222222222221</v>
      </c>
      <c r="AF557" s="91">
        <v>3</v>
      </c>
      <c r="AG557" s="105" t="s">
        <v>1848</v>
      </c>
      <c r="AH557" s="91">
        <v>3</v>
      </c>
      <c r="AI557" s="105" t="s">
        <v>1848</v>
      </c>
      <c r="AJ557">
        <f t="shared" si="27"/>
        <v>0</v>
      </c>
    </row>
    <row r="558" spans="1:36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>
        <f t="shared" si="25"/>
        <v>0</v>
      </c>
      <c r="AC558">
        <f t="shared" si="26"/>
        <v>0</v>
      </c>
      <c r="AD558" s="67"/>
      <c r="AE558" s="87">
        <f t="shared" si="28"/>
        <v>0.72222222222222221</v>
      </c>
      <c r="AF558" s="91">
        <v>3</v>
      </c>
      <c r="AG558" s="105" t="s">
        <v>1848</v>
      </c>
      <c r="AH558" s="91">
        <v>3</v>
      </c>
      <c r="AI558" s="105" t="s">
        <v>1848</v>
      </c>
      <c r="AJ558">
        <f t="shared" si="27"/>
        <v>0</v>
      </c>
    </row>
    <row r="559" spans="1:36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>
        <f t="shared" si="25"/>
        <v>0</v>
      </c>
      <c r="AC559">
        <f t="shared" si="26"/>
        <v>0</v>
      </c>
      <c r="AD559" s="70"/>
      <c r="AE559" s="87">
        <f t="shared" si="28"/>
        <v>0.72222222222222221</v>
      </c>
      <c r="AF559" s="91">
        <v>3</v>
      </c>
      <c r="AG559" s="105" t="s">
        <v>1848</v>
      </c>
      <c r="AH559" s="91">
        <v>3</v>
      </c>
      <c r="AI559" s="105" t="s">
        <v>1848</v>
      </c>
      <c r="AJ559">
        <f t="shared" si="27"/>
        <v>0</v>
      </c>
    </row>
    <row r="560" spans="1:36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>
        <f t="shared" si="25"/>
        <v>0</v>
      </c>
      <c r="AC560">
        <f t="shared" si="26"/>
        <v>0</v>
      </c>
      <c r="AD560" s="67"/>
      <c r="AE560" s="87">
        <f t="shared" si="28"/>
        <v>0.72222222222222221</v>
      </c>
      <c r="AF560" s="91">
        <v>3</v>
      </c>
      <c r="AG560" s="105" t="s">
        <v>1848</v>
      </c>
      <c r="AH560" s="91">
        <v>3</v>
      </c>
      <c r="AI560" s="105" t="s">
        <v>1848</v>
      </c>
      <c r="AJ560">
        <f t="shared" si="27"/>
        <v>0</v>
      </c>
    </row>
    <row r="561" spans="1:36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>
        <f t="shared" si="25"/>
        <v>0</v>
      </c>
      <c r="AC561">
        <f t="shared" si="26"/>
        <v>0</v>
      </c>
      <c r="AD561" s="67"/>
      <c r="AE561" s="87">
        <f t="shared" si="28"/>
        <v>0.72222222222222221</v>
      </c>
      <c r="AF561" s="91">
        <v>3</v>
      </c>
      <c r="AG561" s="105" t="s">
        <v>1848</v>
      </c>
      <c r="AH561" s="91">
        <v>3</v>
      </c>
      <c r="AI561" s="105" t="s">
        <v>1848</v>
      </c>
      <c r="AJ561">
        <f t="shared" si="27"/>
        <v>0</v>
      </c>
    </row>
    <row r="562" spans="1:36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>
        <f t="shared" si="25"/>
        <v>0</v>
      </c>
      <c r="AC562">
        <f t="shared" si="26"/>
        <v>0</v>
      </c>
      <c r="AD562" s="67"/>
      <c r="AE562" s="87">
        <f t="shared" si="28"/>
        <v>0.72222222222222221</v>
      </c>
      <c r="AF562" s="91">
        <v>3</v>
      </c>
      <c r="AG562" s="105" t="s">
        <v>1848</v>
      </c>
      <c r="AH562" s="91">
        <v>3</v>
      </c>
      <c r="AI562" s="105" t="s">
        <v>1848</v>
      </c>
      <c r="AJ562">
        <f t="shared" si="27"/>
        <v>0</v>
      </c>
    </row>
    <row r="563" spans="1:36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>
        <f t="shared" si="25"/>
        <v>0</v>
      </c>
      <c r="AC563">
        <f t="shared" si="26"/>
        <v>0</v>
      </c>
      <c r="AD563" s="67"/>
      <c r="AE563" s="87">
        <f t="shared" si="28"/>
        <v>0.72222222222222221</v>
      </c>
      <c r="AF563" s="91">
        <v>3</v>
      </c>
      <c r="AG563" s="105" t="s">
        <v>1848</v>
      </c>
      <c r="AH563" s="91">
        <v>3</v>
      </c>
      <c r="AI563" s="105" t="s">
        <v>1848</v>
      </c>
      <c r="AJ563">
        <f t="shared" si="27"/>
        <v>0</v>
      </c>
    </row>
    <row r="564" spans="1:36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>
        <f t="shared" si="25"/>
        <v>0</v>
      </c>
      <c r="AC564">
        <f t="shared" si="26"/>
        <v>0</v>
      </c>
      <c r="AD564" s="67"/>
      <c r="AE564" s="87">
        <f t="shared" si="28"/>
        <v>0.72222222222222221</v>
      </c>
      <c r="AF564" s="91">
        <v>3</v>
      </c>
      <c r="AG564" s="105" t="s">
        <v>1848</v>
      </c>
      <c r="AH564" s="91">
        <v>3</v>
      </c>
      <c r="AI564" s="105" t="s">
        <v>1848</v>
      </c>
      <c r="AJ564">
        <f t="shared" si="27"/>
        <v>0</v>
      </c>
    </row>
    <row r="565" spans="1:36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>
        <f t="shared" si="25"/>
        <v>0</v>
      </c>
      <c r="AC565">
        <f t="shared" si="26"/>
        <v>0</v>
      </c>
      <c r="AD565" s="67"/>
      <c r="AE565" s="87">
        <f t="shared" si="28"/>
        <v>0.24074074074074073</v>
      </c>
      <c r="AF565" s="91">
        <v>2</v>
      </c>
      <c r="AG565" s="64" t="s">
        <v>1850</v>
      </c>
      <c r="AH565" s="91">
        <v>2</v>
      </c>
      <c r="AI565" s="64" t="s">
        <v>1850</v>
      </c>
      <c r="AJ565">
        <f t="shared" si="27"/>
        <v>0</v>
      </c>
    </row>
    <row r="566" spans="1:36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176</v>
      </c>
      <c r="V566" s="66" t="s">
        <v>176</v>
      </c>
      <c r="W566" s="66"/>
      <c r="X566" s="66"/>
      <c r="Y566" s="66"/>
      <c r="Z566" s="66"/>
      <c r="AA566" s="66"/>
      <c r="AB566">
        <f t="shared" si="25"/>
        <v>0</v>
      </c>
      <c r="AC566">
        <f t="shared" si="26"/>
        <v>0</v>
      </c>
      <c r="AD566" s="67"/>
      <c r="AE566" s="87">
        <f t="shared" si="28"/>
        <v>0.24074074074074073</v>
      </c>
      <c r="AF566" s="91">
        <v>2</v>
      </c>
      <c r="AG566" s="64" t="s">
        <v>1850</v>
      </c>
      <c r="AH566" s="91">
        <v>2</v>
      </c>
      <c r="AI566" s="64" t="s">
        <v>1850</v>
      </c>
      <c r="AJ566">
        <f t="shared" si="27"/>
        <v>0</v>
      </c>
    </row>
    <row r="567" spans="1:36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176</v>
      </c>
      <c r="V567" s="66" t="s">
        <v>176</v>
      </c>
      <c r="W567" s="66"/>
      <c r="X567" s="66"/>
      <c r="Y567" s="66"/>
      <c r="Z567" s="66"/>
      <c r="AA567" s="66"/>
      <c r="AB567">
        <f t="shared" si="25"/>
        <v>0</v>
      </c>
      <c r="AC567">
        <f t="shared" si="26"/>
        <v>0</v>
      </c>
      <c r="AD567" s="67"/>
      <c r="AE567" s="87">
        <f t="shared" si="28"/>
        <v>0.24074074074074073</v>
      </c>
      <c r="AF567" s="91">
        <v>2</v>
      </c>
      <c r="AG567" s="64" t="s">
        <v>1850</v>
      </c>
      <c r="AH567" s="91">
        <v>2</v>
      </c>
      <c r="AI567" s="64" t="s">
        <v>1850</v>
      </c>
      <c r="AJ567">
        <f t="shared" si="27"/>
        <v>1</v>
      </c>
    </row>
    <row r="568" spans="1:36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>
        <f t="shared" si="25"/>
        <v>0</v>
      </c>
      <c r="AC568">
        <f t="shared" si="26"/>
        <v>0</v>
      </c>
      <c r="AD568" s="67"/>
      <c r="AE568" s="87">
        <f t="shared" si="28"/>
        <v>0.31481481481481477</v>
      </c>
      <c r="AF568" s="91">
        <v>2</v>
      </c>
      <c r="AG568" s="64" t="s">
        <v>1850</v>
      </c>
      <c r="AH568" s="91">
        <v>2</v>
      </c>
      <c r="AI568" s="64" t="s">
        <v>1850</v>
      </c>
      <c r="AJ568">
        <f t="shared" si="27"/>
        <v>0</v>
      </c>
    </row>
    <row r="569" spans="1:36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>
        <f t="shared" si="25"/>
        <v>0</v>
      </c>
      <c r="AC569">
        <f t="shared" si="26"/>
        <v>0</v>
      </c>
      <c r="AD569" s="67"/>
      <c r="AE569" s="87">
        <f t="shared" si="28"/>
        <v>0.24074074074074073</v>
      </c>
      <c r="AF569" s="91">
        <v>2</v>
      </c>
      <c r="AG569" s="64" t="s">
        <v>1850</v>
      </c>
      <c r="AH569" s="91">
        <v>2</v>
      </c>
      <c r="AI569" s="64" t="s">
        <v>1850</v>
      </c>
      <c r="AJ569">
        <f t="shared" si="27"/>
        <v>0</v>
      </c>
    </row>
    <row r="570" spans="1:36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/>
      <c r="Z570" s="66"/>
      <c r="AA570" s="66"/>
      <c r="AB570">
        <f t="shared" si="25"/>
        <v>0</v>
      </c>
      <c r="AC570">
        <f t="shared" si="26"/>
        <v>0</v>
      </c>
      <c r="AD570" s="67"/>
      <c r="AE570" s="87">
        <f t="shared" si="28"/>
        <v>0.61111111111111116</v>
      </c>
      <c r="AF570" s="91">
        <v>3</v>
      </c>
      <c r="AG570" s="103" t="s">
        <v>1851</v>
      </c>
      <c r="AH570" s="91">
        <v>3</v>
      </c>
      <c r="AI570" s="103" t="s">
        <v>1851</v>
      </c>
      <c r="AJ570">
        <f t="shared" si="27"/>
        <v>0</v>
      </c>
    </row>
    <row r="571" spans="1:36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>
        <f t="shared" si="25"/>
        <v>0</v>
      </c>
      <c r="AC571">
        <f t="shared" si="26"/>
        <v>0</v>
      </c>
      <c r="AD571" s="67"/>
      <c r="AE571" s="87">
        <f t="shared" si="28"/>
        <v>0.31481481481481477</v>
      </c>
      <c r="AF571" s="91">
        <v>2</v>
      </c>
      <c r="AG571" s="64" t="s">
        <v>1850</v>
      </c>
      <c r="AH571" s="91">
        <v>2</v>
      </c>
      <c r="AI571" s="64" t="s">
        <v>1850</v>
      </c>
      <c r="AJ571">
        <f t="shared" si="27"/>
        <v>0</v>
      </c>
    </row>
    <row r="572" spans="1:36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>
        <f t="shared" si="25"/>
        <v>0</v>
      </c>
      <c r="AC572">
        <f t="shared" si="26"/>
        <v>0</v>
      </c>
      <c r="AD572" s="67"/>
      <c r="AE572" s="87">
        <f t="shared" si="28"/>
        <v>0.31481481481481477</v>
      </c>
      <c r="AF572" s="91">
        <v>2</v>
      </c>
      <c r="AG572" s="64" t="s">
        <v>1850</v>
      </c>
      <c r="AH572" s="91">
        <v>2</v>
      </c>
      <c r="AI572" s="64" t="s">
        <v>1850</v>
      </c>
      <c r="AJ572">
        <f t="shared" si="27"/>
        <v>0</v>
      </c>
    </row>
    <row r="573" spans="1:36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>
        <f t="shared" si="25"/>
        <v>0</v>
      </c>
      <c r="AC573">
        <f t="shared" si="26"/>
        <v>0</v>
      </c>
      <c r="AD573" s="67"/>
      <c r="AE573" s="87">
        <f t="shared" si="28"/>
        <v>0.31481481481481477</v>
      </c>
      <c r="AF573" s="91">
        <v>2</v>
      </c>
      <c r="AG573" s="64" t="s">
        <v>1850</v>
      </c>
      <c r="AH573" s="91">
        <v>2</v>
      </c>
      <c r="AI573" s="64" t="s">
        <v>1850</v>
      </c>
      <c r="AJ573">
        <f t="shared" si="27"/>
        <v>0</v>
      </c>
    </row>
    <row r="574" spans="1:36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175</v>
      </c>
      <c r="X574" s="66" t="s">
        <v>175</v>
      </c>
      <c r="Y574" s="66"/>
      <c r="Z574" s="66"/>
      <c r="AA574" s="66"/>
      <c r="AB574">
        <f t="shared" si="25"/>
        <v>0</v>
      </c>
      <c r="AC574">
        <f t="shared" si="26"/>
        <v>0</v>
      </c>
      <c r="AD574" s="67"/>
      <c r="AE574" s="87">
        <f t="shared" si="28"/>
        <v>0.5</v>
      </c>
      <c r="AF574" s="91">
        <v>3</v>
      </c>
      <c r="AG574" s="103" t="s">
        <v>1851</v>
      </c>
      <c r="AH574" s="91">
        <v>3</v>
      </c>
      <c r="AI574" s="103" t="s">
        <v>1851</v>
      </c>
      <c r="AJ574">
        <f t="shared" si="27"/>
        <v>0</v>
      </c>
    </row>
    <row r="575" spans="1:36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/>
      <c r="Z575" s="66"/>
      <c r="AA575" s="66"/>
      <c r="AB575">
        <f t="shared" si="25"/>
        <v>0</v>
      </c>
      <c r="AC575">
        <f t="shared" si="26"/>
        <v>0</v>
      </c>
      <c r="AD575" s="67"/>
      <c r="AE575" s="87">
        <f t="shared" si="28"/>
        <v>0.24074074074074073</v>
      </c>
      <c r="AF575" s="91">
        <v>3</v>
      </c>
      <c r="AG575" s="103" t="s">
        <v>1851</v>
      </c>
      <c r="AH575" s="91">
        <v>3</v>
      </c>
      <c r="AI575" s="103" t="s">
        <v>1851</v>
      </c>
      <c r="AJ575">
        <f t="shared" si="27"/>
        <v>0</v>
      </c>
    </row>
    <row r="576" spans="1:36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>
        <f t="shared" si="25"/>
        <v>0</v>
      </c>
      <c r="AC576">
        <f t="shared" si="26"/>
        <v>0</v>
      </c>
      <c r="AD576" s="67"/>
      <c r="AE576" s="87">
        <f t="shared" si="28"/>
        <v>0.24074074074074073</v>
      </c>
      <c r="AF576" s="91">
        <v>2</v>
      </c>
      <c r="AG576" s="64" t="s">
        <v>1850</v>
      </c>
      <c r="AH576" s="91">
        <v>2</v>
      </c>
      <c r="AI576" s="64" t="s">
        <v>1850</v>
      </c>
      <c r="AJ576">
        <f t="shared" si="27"/>
        <v>0</v>
      </c>
    </row>
    <row r="577" spans="1:36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/>
      <c r="Z577" s="66"/>
      <c r="AA577" s="66"/>
      <c r="AB577">
        <f t="shared" si="25"/>
        <v>0</v>
      </c>
      <c r="AC577">
        <f t="shared" si="26"/>
        <v>0</v>
      </c>
      <c r="AD577" s="67"/>
      <c r="AE577" s="87">
        <f t="shared" si="28"/>
        <v>0.24074074074074073</v>
      </c>
      <c r="AF577" s="91">
        <v>3</v>
      </c>
      <c r="AG577" s="103" t="s">
        <v>1851</v>
      </c>
      <c r="AH577" s="91">
        <v>3</v>
      </c>
      <c r="AI577" s="103" t="s">
        <v>1851</v>
      </c>
      <c r="AJ577">
        <f t="shared" si="27"/>
        <v>0</v>
      </c>
    </row>
    <row r="578" spans="1:36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>
        <f t="shared" si="25"/>
        <v>0</v>
      </c>
      <c r="AC578">
        <f t="shared" si="26"/>
        <v>0</v>
      </c>
      <c r="AD578" s="67"/>
      <c r="AE578" s="87">
        <f t="shared" si="28"/>
        <v>0.31481481481481477</v>
      </c>
      <c r="AF578" s="91">
        <v>2</v>
      </c>
      <c r="AG578" s="64" t="s">
        <v>1850</v>
      </c>
      <c r="AH578" s="91">
        <v>2</v>
      </c>
      <c r="AI578" s="64" t="s">
        <v>1850</v>
      </c>
      <c r="AJ578">
        <f t="shared" si="27"/>
        <v>0</v>
      </c>
    </row>
    <row r="579" spans="1:36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>
        <f t="shared" ref="AB579:AB613" si="29">IF(OR(AND(Z579="SI",AA579="NO"),AND(Z579="NO",AA579="SI")),1,0)</f>
        <v>0</v>
      </c>
      <c r="AC579">
        <f t="shared" ref="AC579:AC613" si="30">IF(AND(OR(Z579="SI",Z579="NO APLICA"),OR(AA579="SI",AA579="NO APLICA")),1,0)</f>
        <v>0</v>
      </c>
      <c r="AD579" s="67"/>
      <c r="AE579" s="87">
        <f t="shared" si="28"/>
        <v>0.24074074074074073</v>
      </c>
      <c r="AF579" s="91">
        <v>2</v>
      </c>
      <c r="AG579" s="64" t="s">
        <v>1850</v>
      </c>
      <c r="AH579" s="91">
        <v>2</v>
      </c>
      <c r="AI579" s="64" t="s">
        <v>1850</v>
      </c>
      <c r="AJ579">
        <f t="shared" si="27"/>
        <v>0</v>
      </c>
    </row>
    <row r="580" spans="1:36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>
        <f t="shared" si="29"/>
        <v>0</v>
      </c>
      <c r="AC580">
        <f t="shared" si="30"/>
        <v>0</v>
      </c>
      <c r="AD580" s="67"/>
      <c r="AE580" s="87">
        <f t="shared" si="28"/>
        <v>0.24074074074074073</v>
      </c>
      <c r="AF580" s="91">
        <v>2</v>
      </c>
      <c r="AG580" s="64" t="s">
        <v>1850</v>
      </c>
      <c r="AH580" s="91">
        <v>2</v>
      </c>
      <c r="AI580" s="64" t="s">
        <v>1850</v>
      </c>
      <c r="AJ580">
        <f t="shared" si="27"/>
        <v>0</v>
      </c>
    </row>
    <row r="581" spans="1:36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/>
      <c r="Z581" s="66"/>
      <c r="AA581" s="66"/>
      <c r="AB581">
        <f t="shared" si="29"/>
        <v>0</v>
      </c>
      <c r="AC581">
        <f t="shared" si="30"/>
        <v>0</v>
      </c>
      <c r="AD581" s="67"/>
      <c r="AE581" s="87">
        <f t="shared" si="28"/>
        <v>0.61111111111111116</v>
      </c>
      <c r="AF581" s="91">
        <v>3</v>
      </c>
      <c r="AG581" s="103" t="s">
        <v>1851</v>
      </c>
      <c r="AH581" s="91">
        <v>3</v>
      </c>
      <c r="AI581" s="103" t="s">
        <v>1851</v>
      </c>
      <c r="AJ581">
        <f t="shared" si="27"/>
        <v>0</v>
      </c>
    </row>
    <row r="582" spans="1:36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>
        <f t="shared" si="29"/>
        <v>0</v>
      </c>
      <c r="AC582">
        <f t="shared" si="30"/>
        <v>0</v>
      </c>
      <c r="AD582" s="67"/>
      <c r="AE582" s="87">
        <f t="shared" si="28"/>
        <v>0.31481481481481477</v>
      </c>
      <c r="AF582" s="91">
        <v>3</v>
      </c>
      <c r="AG582" s="103" t="s">
        <v>1851</v>
      </c>
      <c r="AH582" s="91">
        <v>3</v>
      </c>
      <c r="AI582" s="103" t="s">
        <v>1851</v>
      </c>
      <c r="AJ582">
        <f t="shared" si="27"/>
        <v>0</v>
      </c>
    </row>
    <row r="583" spans="1:36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>
        <f t="shared" si="29"/>
        <v>0</v>
      </c>
      <c r="AC583">
        <f t="shared" si="30"/>
        <v>0</v>
      </c>
      <c r="AD583" s="67"/>
      <c r="AE583" s="87">
        <f t="shared" si="28"/>
        <v>0.24074074074074073</v>
      </c>
      <c r="AF583" s="91">
        <v>2</v>
      </c>
      <c r="AG583" s="64" t="s">
        <v>1850</v>
      </c>
      <c r="AH583" s="91">
        <v>2</v>
      </c>
      <c r="AI583" s="64" t="s">
        <v>1850</v>
      </c>
      <c r="AJ583">
        <f t="shared" si="27"/>
        <v>0</v>
      </c>
    </row>
    <row r="584" spans="1:36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176</v>
      </c>
      <c r="V584" s="66" t="s">
        <v>176</v>
      </c>
      <c r="W584" s="66"/>
      <c r="X584" s="66"/>
      <c r="Y584" s="66"/>
      <c r="Z584" s="66"/>
      <c r="AA584" s="66"/>
      <c r="AB584">
        <f t="shared" si="29"/>
        <v>0</v>
      </c>
      <c r="AC584">
        <f t="shared" si="30"/>
        <v>0</v>
      </c>
      <c r="AD584" s="67"/>
      <c r="AE584" s="87">
        <f t="shared" si="28"/>
        <v>0.24074074074074073</v>
      </c>
      <c r="AF584" s="91">
        <v>2</v>
      </c>
      <c r="AG584" s="64" t="s">
        <v>1850</v>
      </c>
      <c r="AH584" s="91">
        <v>2</v>
      </c>
      <c r="AI584" s="64" t="s">
        <v>1850</v>
      </c>
      <c r="AJ584">
        <f t="shared" si="27"/>
        <v>0</v>
      </c>
    </row>
    <row r="585" spans="1:36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/>
      <c r="Z585" s="66"/>
      <c r="AA585" s="66"/>
      <c r="AB585">
        <f t="shared" si="29"/>
        <v>0</v>
      </c>
      <c r="AC585">
        <f t="shared" si="30"/>
        <v>0</v>
      </c>
      <c r="AD585" s="67"/>
      <c r="AE585" s="87">
        <f t="shared" si="28"/>
        <v>0.31481481481481477</v>
      </c>
      <c r="AF585" s="91">
        <v>3</v>
      </c>
      <c r="AG585" s="103" t="s">
        <v>1851</v>
      </c>
      <c r="AH585" s="91">
        <v>3</v>
      </c>
      <c r="AI585" s="103" t="s">
        <v>1851</v>
      </c>
      <c r="AJ585">
        <f t="shared" si="27"/>
        <v>0</v>
      </c>
    </row>
    <row r="586" spans="1:36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>
        <f t="shared" si="29"/>
        <v>0</v>
      </c>
      <c r="AC586">
        <f t="shared" si="30"/>
        <v>0</v>
      </c>
      <c r="AD586" s="67"/>
      <c r="AE586" s="87">
        <f t="shared" si="28"/>
        <v>0.24074074074074073</v>
      </c>
      <c r="AF586" s="91">
        <v>2</v>
      </c>
      <c r="AG586" s="64" t="s">
        <v>1850</v>
      </c>
      <c r="AH586" s="91">
        <v>2</v>
      </c>
      <c r="AI586" s="64" t="s">
        <v>1850</v>
      </c>
      <c r="AJ586">
        <f t="shared" si="27"/>
        <v>0</v>
      </c>
    </row>
    <row r="587" spans="1:36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>
        <f t="shared" si="29"/>
        <v>0</v>
      </c>
      <c r="AC587">
        <f t="shared" si="30"/>
        <v>0</v>
      </c>
      <c r="AD587" s="67"/>
      <c r="AE587" s="87">
        <f t="shared" si="28"/>
        <v>0.24074074074074073</v>
      </c>
      <c r="AF587" s="91">
        <v>2</v>
      </c>
      <c r="AG587" s="64" t="s">
        <v>1850</v>
      </c>
      <c r="AH587" s="91">
        <v>2</v>
      </c>
      <c r="AI587" s="64" t="s">
        <v>1850</v>
      </c>
      <c r="AJ587">
        <f t="shared" si="27"/>
        <v>0</v>
      </c>
    </row>
    <row r="588" spans="1:36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>
        <f t="shared" si="29"/>
        <v>0</v>
      </c>
      <c r="AC588">
        <f t="shared" si="30"/>
        <v>0</v>
      </c>
      <c r="AD588" s="67"/>
      <c r="AE588" s="87">
        <f t="shared" si="28"/>
        <v>0.31481481481481477</v>
      </c>
      <c r="AF588" s="91">
        <v>2</v>
      </c>
      <c r="AG588" s="64" t="s">
        <v>1850</v>
      </c>
      <c r="AH588" s="91">
        <v>2</v>
      </c>
      <c r="AI588" s="64" t="s">
        <v>1850</v>
      </c>
      <c r="AJ588">
        <f t="shared" si="27"/>
        <v>0</v>
      </c>
    </row>
    <row r="589" spans="1:36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>
        <f t="shared" si="29"/>
        <v>0</v>
      </c>
      <c r="AC589">
        <f t="shared" si="30"/>
        <v>0</v>
      </c>
      <c r="AD589" s="67"/>
      <c r="AE589" s="87">
        <f t="shared" si="28"/>
        <v>0.31481481481481477</v>
      </c>
      <c r="AF589" s="91">
        <v>2</v>
      </c>
      <c r="AG589" s="64" t="s">
        <v>1850</v>
      </c>
      <c r="AH589" s="91">
        <v>2</v>
      </c>
      <c r="AI589" s="64" t="s">
        <v>1850</v>
      </c>
      <c r="AJ589">
        <f t="shared" si="27"/>
        <v>0</v>
      </c>
    </row>
    <row r="590" spans="1:36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>
        <f t="shared" si="29"/>
        <v>0</v>
      </c>
      <c r="AC590">
        <f t="shared" si="30"/>
        <v>0</v>
      </c>
      <c r="AD590" s="67"/>
      <c r="AE590" s="87">
        <f t="shared" si="28"/>
        <v>0.27777777777777779</v>
      </c>
      <c r="AF590" s="91">
        <v>2</v>
      </c>
      <c r="AG590" s="64" t="s">
        <v>1850</v>
      </c>
      <c r="AH590" s="91">
        <v>2</v>
      </c>
      <c r="AI590" s="64" t="s">
        <v>1850</v>
      </c>
      <c r="AJ590">
        <f t="shared" ref="AJ590:AJ613" si="31">IF(OR(Z67="SI",AA67="SI"),1,0)</f>
        <v>0</v>
      </c>
    </row>
    <row r="591" spans="1:36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>
        <f t="shared" si="29"/>
        <v>0</v>
      </c>
      <c r="AC591">
        <f t="shared" si="30"/>
        <v>0</v>
      </c>
      <c r="AD591" s="67"/>
      <c r="AE591" s="87">
        <f t="shared" si="28"/>
        <v>0.31481481481481477</v>
      </c>
      <c r="AF591" s="91">
        <v>2</v>
      </c>
      <c r="AG591" s="64" t="s">
        <v>1850</v>
      </c>
      <c r="AH591" s="91">
        <v>2</v>
      </c>
      <c r="AI591" s="64" t="s">
        <v>1850</v>
      </c>
      <c r="AJ591">
        <f t="shared" si="31"/>
        <v>0</v>
      </c>
    </row>
    <row r="592" spans="1:36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>
        <f t="shared" si="29"/>
        <v>0</v>
      </c>
      <c r="AC592">
        <f t="shared" si="30"/>
        <v>0</v>
      </c>
      <c r="AD592" s="67"/>
      <c r="AE592" s="87">
        <f t="shared" si="28"/>
        <v>0.31481481481481477</v>
      </c>
      <c r="AF592" s="91">
        <v>3</v>
      </c>
      <c r="AG592" s="103" t="s">
        <v>1851</v>
      </c>
      <c r="AH592" s="91">
        <v>3</v>
      </c>
      <c r="AI592" s="103" t="s">
        <v>1851</v>
      </c>
      <c r="AJ592">
        <f t="shared" si="31"/>
        <v>0</v>
      </c>
    </row>
    <row r="593" spans="1:36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176</v>
      </c>
      <c r="V593" s="66" t="s">
        <v>176</v>
      </c>
      <c r="W593" s="66"/>
      <c r="X593" s="66"/>
      <c r="Y593" s="66"/>
      <c r="Z593" s="66"/>
      <c r="AA593" s="66"/>
      <c r="AB593">
        <f t="shared" si="29"/>
        <v>0</v>
      </c>
      <c r="AC593">
        <f t="shared" si="30"/>
        <v>0</v>
      </c>
      <c r="AD593" s="67"/>
      <c r="AE593" s="87">
        <f t="shared" si="28"/>
        <v>0.24074074074074073</v>
      </c>
      <c r="AF593" s="91">
        <v>2</v>
      </c>
      <c r="AG593" s="64" t="s">
        <v>1850</v>
      </c>
      <c r="AH593" s="91">
        <v>2</v>
      </c>
      <c r="AI593" s="64" t="s">
        <v>1850</v>
      </c>
      <c r="AJ593">
        <f t="shared" si="31"/>
        <v>0</v>
      </c>
    </row>
    <row r="594" spans="1:36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/>
      <c r="Z594" s="66"/>
      <c r="AA594" s="66"/>
      <c r="AB594">
        <f t="shared" si="29"/>
        <v>0</v>
      </c>
      <c r="AC594">
        <f t="shared" si="30"/>
        <v>0</v>
      </c>
      <c r="AD594" s="67"/>
      <c r="AE594" s="87">
        <f t="shared" si="28"/>
        <v>0.61111111111111116</v>
      </c>
      <c r="AF594" s="91">
        <v>3</v>
      </c>
      <c r="AG594" s="103" t="s">
        <v>1851</v>
      </c>
      <c r="AH594" s="91">
        <v>3</v>
      </c>
      <c r="AI594" s="103" t="s">
        <v>1851</v>
      </c>
      <c r="AJ594">
        <f t="shared" si="31"/>
        <v>0</v>
      </c>
    </row>
    <row r="595" spans="1:36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176</v>
      </c>
      <c r="V595" s="66" t="s">
        <v>176</v>
      </c>
      <c r="W595" s="66"/>
      <c r="X595" s="66"/>
      <c r="Y595" s="66"/>
      <c r="Z595" s="66"/>
      <c r="AA595" s="66"/>
      <c r="AB595">
        <f t="shared" si="29"/>
        <v>0</v>
      </c>
      <c r="AC595">
        <f t="shared" si="30"/>
        <v>0</v>
      </c>
      <c r="AD595" s="67"/>
      <c r="AE595" s="87">
        <f t="shared" si="28"/>
        <v>0.24074074074074073</v>
      </c>
      <c r="AF595" s="91">
        <v>2</v>
      </c>
      <c r="AG595" s="64" t="s">
        <v>1850</v>
      </c>
      <c r="AH595" s="91">
        <v>2</v>
      </c>
      <c r="AI595" s="64" t="s">
        <v>1850</v>
      </c>
      <c r="AJ595">
        <f t="shared" si="31"/>
        <v>0</v>
      </c>
    </row>
    <row r="596" spans="1:36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6"/>
      <c r="AB596">
        <f t="shared" si="29"/>
        <v>0</v>
      </c>
      <c r="AC596">
        <f t="shared" si="30"/>
        <v>0</v>
      </c>
      <c r="AD596" s="67"/>
      <c r="AE596" s="87">
        <f t="shared" si="28"/>
        <v>0.24074074074074073</v>
      </c>
      <c r="AF596" s="91">
        <v>2</v>
      </c>
      <c r="AG596" s="64" t="s">
        <v>1850</v>
      </c>
      <c r="AH596" s="91">
        <v>2</v>
      </c>
      <c r="AI596" s="64" t="s">
        <v>1850</v>
      </c>
      <c r="AJ596">
        <f t="shared" si="31"/>
        <v>0</v>
      </c>
    </row>
    <row r="597" spans="1:36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>
        <f t="shared" si="29"/>
        <v>0</v>
      </c>
      <c r="AC597">
        <f t="shared" si="30"/>
        <v>0</v>
      </c>
      <c r="AD597" s="67"/>
      <c r="AE597" s="87">
        <f t="shared" si="28"/>
        <v>0.31481481481481477</v>
      </c>
      <c r="AF597" s="91">
        <v>2</v>
      </c>
      <c r="AG597" s="64" t="s">
        <v>1850</v>
      </c>
      <c r="AH597" s="91">
        <v>2</v>
      </c>
      <c r="AI597" s="64" t="s">
        <v>1850</v>
      </c>
      <c r="AJ597">
        <f t="shared" si="31"/>
        <v>0</v>
      </c>
    </row>
    <row r="598" spans="1:36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176</v>
      </c>
      <c r="V598" s="66" t="s">
        <v>176</v>
      </c>
      <c r="W598" s="66"/>
      <c r="X598" s="66"/>
      <c r="Y598" s="66"/>
      <c r="Z598" s="66"/>
      <c r="AA598" s="66"/>
      <c r="AB598">
        <f t="shared" si="29"/>
        <v>0</v>
      </c>
      <c r="AC598">
        <f t="shared" si="30"/>
        <v>0</v>
      </c>
      <c r="AD598" s="67"/>
      <c r="AE598" s="87">
        <f t="shared" si="28"/>
        <v>0.24074074074074073</v>
      </c>
      <c r="AF598" s="91">
        <v>2</v>
      </c>
      <c r="AG598" s="64" t="s">
        <v>1850</v>
      </c>
      <c r="AH598" s="91">
        <v>2</v>
      </c>
      <c r="AI598" s="64" t="s">
        <v>1850</v>
      </c>
      <c r="AJ598">
        <f t="shared" si="31"/>
        <v>0</v>
      </c>
    </row>
    <row r="599" spans="1:36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>
        <f t="shared" si="29"/>
        <v>0</v>
      </c>
      <c r="AC599">
        <f t="shared" si="30"/>
        <v>0</v>
      </c>
      <c r="AD599" s="67"/>
      <c r="AE599" s="87">
        <f t="shared" si="28"/>
        <v>0.31481481481481477</v>
      </c>
      <c r="AF599" s="91">
        <v>2</v>
      </c>
      <c r="AG599" s="64" t="s">
        <v>1850</v>
      </c>
      <c r="AH599" s="91">
        <v>2</v>
      </c>
      <c r="AI599" s="64" t="s">
        <v>1850</v>
      </c>
      <c r="AJ599">
        <f t="shared" si="31"/>
        <v>0</v>
      </c>
    </row>
    <row r="600" spans="1:36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>
        <f t="shared" si="29"/>
        <v>0</v>
      </c>
      <c r="AC600">
        <f t="shared" si="30"/>
        <v>0</v>
      </c>
      <c r="AD600" s="67"/>
      <c r="AE600" s="87">
        <f t="shared" si="28"/>
        <v>0.24074074074074073</v>
      </c>
      <c r="AF600" s="91">
        <v>2</v>
      </c>
      <c r="AG600" s="64" t="s">
        <v>1850</v>
      </c>
      <c r="AH600" s="91">
        <v>2</v>
      </c>
      <c r="AI600" s="64" t="s">
        <v>1850</v>
      </c>
      <c r="AJ600">
        <f t="shared" si="31"/>
        <v>0</v>
      </c>
    </row>
    <row r="601" spans="1:36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>
        <f t="shared" si="29"/>
        <v>0</v>
      </c>
      <c r="AC601">
        <f t="shared" si="30"/>
        <v>0</v>
      </c>
      <c r="AD601" s="67"/>
      <c r="AE601" s="87">
        <f t="shared" si="28"/>
        <v>0.24074074074074073</v>
      </c>
      <c r="AF601" s="91">
        <v>2</v>
      </c>
      <c r="AG601" s="64" t="s">
        <v>1850</v>
      </c>
      <c r="AH601" s="91">
        <v>2</v>
      </c>
      <c r="AI601" s="64" t="s">
        <v>1850</v>
      </c>
      <c r="AJ601">
        <f t="shared" si="31"/>
        <v>0</v>
      </c>
    </row>
    <row r="602" spans="1:36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1" t="s">
        <v>1852</v>
      </c>
      <c r="F602" s="122" t="s">
        <v>1853</v>
      </c>
      <c r="G602" s="123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/>
      <c r="Z602" s="66"/>
      <c r="AA602" s="66"/>
      <c r="AB602">
        <f t="shared" si="29"/>
        <v>0</v>
      </c>
      <c r="AC602">
        <f t="shared" si="30"/>
        <v>0</v>
      </c>
      <c r="AD602" s="67"/>
      <c r="AE602" s="87">
        <f t="shared" si="28"/>
        <v>0.44444444444444442</v>
      </c>
      <c r="AF602" s="91">
        <v>3</v>
      </c>
      <c r="AG602" s="103" t="s">
        <v>1851</v>
      </c>
      <c r="AH602" s="91">
        <v>3</v>
      </c>
      <c r="AI602" s="103" t="s">
        <v>1851</v>
      </c>
      <c r="AJ602">
        <f t="shared" si="31"/>
        <v>0</v>
      </c>
    </row>
    <row r="603" spans="1:36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>
        <f t="shared" si="29"/>
        <v>0</v>
      </c>
      <c r="AC603">
        <f t="shared" si="30"/>
        <v>0</v>
      </c>
      <c r="AD603" s="67"/>
      <c r="AE603" s="87">
        <f t="shared" si="28"/>
        <v>0.31481481481481477</v>
      </c>
      <c r="AF603" s="91">
        <v>2</v>
      </c>
      <c r="AG603" s="64" t="s">
        <v>1850</v>
      </c>
      <c r="AH603" s="91">
        <v>2</v>
      </c>
      <c r="AI603" s="64" t="s">
        <v>1850</v>
      </c>
      <c r="AJ603">
        <f t="shared" si="31"/>
        <v>1</v>
      </c>
    </row>
    <row r="604" spans="1:36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/>
      <c r="Z604" s="66"/>
      <c r="AA604" s="66"/>
      <c r="AB604">
        <f t="shared" si="29"/>
        <v>0</v>
      </c>
      <c r="AC604">
        <f t="shared" si="30"/>
        <v>0</v>
      </c>
      <c r="AD604" s="67"/>
      <c r="AE604" s="87">
        <f t="shared" si="28"/>
        <v>0.31481481481481477</v>
      </c>
      <c r="AF604" s="91">
        <v>3</v>
      </c>
      <c r="AG604" s="103" t="s">
        <v>1851</v>
      </c>
      <c r="AH604" s="91">
        <v>3</v>
      </c>
      <c r="AI604" s="103" t="s">
        <v>1851</v>
      </c>
      <c r="AJ604">
        <f t="shared" si="31"/>
        <v>1</v>
      </c>
    </row>
    <row r="605" spans="1:36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176</v>
      </c>
      <c r="V605" s="66" t="s">
        <v>176</v>
      </c>
      <c r="W605" s="66"/>
      <c r="X605" s="66"/>
      <c r="Y605" s="66"/>
      <c r="Z605" s="66"/>
      <c r="AA605" s="66"/>
      <c r="AB605">
        <f t="shared" si="29"/>
        <v>0</v>
      </c>
      <c r="AC605">
        <f t="shared" si="30"/>
        <v>0</v>
      </c>
      <c r="AD605" s="67"/>
      <c r="AE605" s="87">
        <f t="shared" si="28"/>
        <v>0.24074074074074073</v>
      </c>
      <c r="AF605" s="91">
        <v>2</v>
      </c>
      <c r="AG605" s="64" t="s">
        <v>1850</v>
      </c>
      <c r="AH605" s="91">
        <v>2</v>
      </c>
      <c r="AI605" s="64" t="s">
        <v>1850</v>
      </c>
      <c r="AJ605">
        <f t="shared" si="31"/>
        <v>1</v>
      </c>
    </row>
    <row r="606" spans="1:36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/>
      <c r="Z606" s="66"/>
      <c r="AA606" s="66"/>
      <c r="AB606">
        <f t="shared" si="29"/>
        <v>0</v>
      </c>
      <c r="AC606">
        <f t="shared" si="30"/>
        <v>0</v>
      </c>
      <c r="AD606" s="67"/>
      <c r="AE606" s="87">
        <f t="shared" si="28"/>
        <v>0.24074074074074073</v>
      </c>
      <c r="AF606" s="91">
        <v>3</v>
      </c>
      <c r="AG606" s="103" t="s">
        <v>1851</v>
      </c>
      <c r="AH606" s="91">
        <v>3</v>
      </c>
      <c r="AI606" s="103" t="s">
        <v>1851</v>
      </c>
      <c r="AJ606">
        <f t="shared" si="31"/>
        <v>1</v>
      </c>
    </row>
    <row r="607" spans="1:36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>
        <f t="shared" si="29"/>
        <v>0</v>
      </c>
      <c r="AC607">
        <f t="shared" si="30"/>
        <v>0</v>
      </c>
      <c r="AD607" s="67"/>
      <c r="AE607" s="87">
        <f t="shared" si="28"/>
        <v>0.31481481481481477</v>
      </c>
      <c r="AF607" s="91">
        <v>10</v>
      </c>
      <c r="AG607" s="105" t="s">
        <v>1855</v>
      </c>
      <c r="AH607" s="91">
        <v>10</v>
      </c>
      <c r="AI607" s="105" t="s">
        <v>1855</v>
      </c>
      <c r="AJ607">
        <f t="shared" si="31"/>
        <v>1</v>
      </c>
    </row>
    <row r="608" spans="1:36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>
        <f t="shared" si="29"/>
        <v>0</v>
      </c>
      <c r="AC608">
        <f t="shared" si="30"/>
        <v>0</v>
      </c>
      <c r="AD608" s="67"/>
      <c r="AE608" s="87">
        <f t="shared" si="28"/>
        <v>0.31481481481481477</v>
      </c>
      <c r="AF608" s="91">
        <v>10</v>
      </c>
      <c r="AG608" s="105" t="s">
        <v>1855</v>
      </c>
      <c r="AH608" s="91">
        <v>10</v>
      </c>
      <c r="AI608" s="105" t="s">
        <v>1855</v>
      </c>
      <c r="AJ608">
        <f t="shared" si="31"/>
        <v>1</v>
      </c>
    </row>
    <row r="609" spans="1:36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>
        <f t="shared" si="29"/>
        <v>0</v>
      </c>
      <c r="AC609">
        <f t="shared" si="30"/>
        <v>0</v>
      </c>
      <c r="AD609" s="67"/>
      <c r="AE609" s="87">
        <f t="shared" si="28"/>
        <v>0.31481481481481477</v>
      </c>
      <c r="AF609" s="91">
        <v>10</v>
      </c>
      <c r="AG609" s="105" t="s">
        <v>1855</v>
      </c>
      <c r="AH609" s="91">
        <v>10</v>
      </c>
      <c r="AI609" s="105" t="s">
        <v>1855</v>
      </c>
      <c r="AJ609">
        <f t="shared" si="31"/>
        <v>1</v>
      </c>
    </row>
    <row r="610" spans="1:36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4" t="s">
        <v>1609</v>
      </c>
      <c r="F610" s="124" t="s">
        <v>1747</v>
      </c>
      <c r="G610" s="124" t="s">
        <v>1747</v>
      </c>
      <c r="H610" s="125">
        <v>3</v>
      </c>
      <c r="I610" s="124" t="s">
        <v>181</v>
      </c>
      <c r="J610" s="124" t="s">
        <v>182</v>
      </c>
      <c r="K610" s="124" t="s">
        <v>32</v>
      </c>
      <c r="L610" s="124" t="s">
        <v>1760</v>
      </c>
      <c r="M610" s="124" t="s">
        <v>33</v>
      </c>
      <c r="N610" s="126">
        <v>6</v>
      </c>
      <c r="O610" s="126">
        <v>1</v>
      </c>
      <c r="P610" s="126">
        <v>4</v>
      </c>
      <c r="Q610" s="124">
        <v>20.974905799999998</v>
      </c>
      <c r="R610" s="124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>
        <f t="shared" si="29"/>
        <v>0</v>
      </c>
      <c r="AC610">
        <f t="shared" si="30"/>
        <v>0</v>
      </c>
      <c r="AD610" s="67"/>
      <c r="AE610" s="87">
        <f t="shared" si="28"/>
        <v>0.31481481481481477</v>
      </c>
      <c r="AF610" s="91">
        <v>10</v>
      </c>
      <c r="AG610" s="105" t="s">
        <v>1855</v>
      </c>
      <c r="AH610" s="91">
        <v>10</v>
      </c>
      <c r="AI610" s="105" t="s">
        <v>1855</v>
      </c>
      <c r="AJ610">
        <f t="shared" si="31"/>
        <v>1</v>
      </c>
    </row>
    <row r="611" spans="1:36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>
        <f t="shared" si="29"/>
        <v>0</v>
      </c>
      <c r="AC611">
        <f t="shared" si="30"/>
        <v>0</v>
      </c>
      <c r="AD611" s="72"/>
      <c r="AE611" s="87">
        <f t="shared" si="28"/>
        <v>0.31481481481481477</v>
      </c>
      <c r="AF611" s="91">
        <v>10</v>
      </c>
      <c r="AG611" s="105" t="s">
        <v>1855</v>
      </c>
      <c r="AH611" s="91">
        <v>10</v>
      </c>
      <c r="AI611" s="105" t="s">
        <v>1855</v>
      </c>
      <c r="AJ611">
        <f t="shared" si="31"/>
        <v>1</v>
      </c>
    </row>
    <row r="612" spans="1:36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>
        <f t="shared" si="29"/>
        <v>0</v>
      </c>
      <c r="AC612">
        <f t="shared" si="30"/>
        <v>0</v>
      </c>
      <c r="AD612" s="67"/>
      <c r="AE612" s="87">
        <f t="shared" si="28"/>
        <v>0.31481481481481477</v>
      </c>
      <c r="AF612" s="91">
        <v>10</v>
      </c>
      <c r="AG612" s="105" t="s">
        <v>1855</v>
      </c>
      <c r="AH612" s="91">
        <v>10</v>
      </c>
      <c r="AI612" s="105" t="s">
        <v>1855</v>
      </c>
      <c r="AJ612">
        <f t="shared" si="31"/>
        <v>1</v>
      </c>
    </row>
    <row r="613" spans="1:36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7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>
        <f t="shared" si="29"/>
        <v>0</v>
      </c>
      <c r="AC613">
        <f t="shared" si="30"/>
        <v>0</v>
      </c>
      <c r="AD613" s="74"/>
      <c r="AE613" s="87">
        <f t="shared" si="28"/>
        <v>0.31481481481481477</v>
      </c>
      <c r="AF613" s="55">
        <v>10</v>
      </c>
      <c r="AG613" s="105" t="s">
        <v>1855</v>
      </c>
      <c r="AH613" s="55">
        <v>10</v>
      </c>
      <c r="AI613" s="105" t="s">
        <v>1855</v>
      </c>
      <c r="AJ613">
        <f t="shared" si="31"/>
        <v>1</v>
      </c>
    </row>
    <row r="614" spans="1:36" x14ac:dyDescent="0.3">
      <c r="AB614">
        <f>SUM(AB2:AB613)</f>
        <v>11</v>
      </c>
      <c r="AC614">
        <f>SUM(AC2:AC613)</f>
        <v>91</v>
      </c>
      <c r="AD614" s="29">
        <f>SUM(AD2:AD613)</f>
        <v>0</v>
      </c>
      <c r="AE614" s="113">
        <f>SUM(AE2:AE613)</f>
        <v>284.11129629629596</v>
      </c>
      <c r="AF614">
        <f>AE614/612</f>
        <v>0.46423414427499338</v>
      </c>
      <c r="AG614" s="113">
        <f>AF614*100</f>
        <v>46.423414427499338</v>
      </c>
      <c r="AH614" s="29"/>
    </row>
  </sheetData>
  <conditionalFormatting sqref="S1:S613 Q610">
    <cfRule type="containsText" dxfId="463" priority="420" operator="containsText" text="ENVIADO A TICS">
      <formula>NOT(ISERROR(SEARCH("ENVIADO A TICS",Q1)))</formula>
    </cfRule>
    <cfRule type="containsText" dxfId="462" priority="421" operator="containsText" text="ENTREGADO/REVISIÓN">
      <formula>NOT(ISERROR(SEARCH("ENTREGADO/REVISIÓN",Q1)))</formula>
    </cfRule>
    <cfRule type="containsText" dxfId="461" priority="422" operator="containsText" text="ENVIADO A LA CE/UM">
      <formula>NOT(ISERROR(SEARCH("ENVIADO A LA CE/UM",Q1)))</formula>
    </cfRule>
  </conditionalFormatting>
  <conditionalFormatting sqref="T1:T609 R610">
    <cfRule type="containsText" dxfId="460" priority="419" operator="containsText" text="EN PROCESO">
      <formula>NOT(ISERROR(SEARCH("EN PROCESO",R1)))</formula>
    </cfRule>
  </conditionalFormatting>
  <conditionalFormatting sqref="T2:T63 W567:W580 T596">
    <cfRule type="containsText" dxfId="459" priority="135" operator="containsText" text="EN PROCESO">
      <formula>NOT(ISERROR(SEARCH("EN PROCESO",T2)))</formula>
    </cfRule>
  </conditionalFormatting>
  <conditionalFormatting sqref="T2:T63 W117:X613 T596 W2:X115 X116">
    <cfRule type="containsText" dxfId="458" priority="136" operator="containsText" text="ENVIADO">
      <formula>NOT(ISERROR(SEARCH("ENVIADO",T2)))</formula>
    </cfRule>
  </conditionalFormatting>
  <conditionalFormatting sqref="T2:T63 X277:X607 W567:W580 T596">
    <cfRule type="containsText" dxfId="457" priority="138" operator="containsText" text="ENVIADO">
      <formula>NOT(ISERROR(SEARCH("ENVIADO",T2)))</formula>
    </cfRule>
  </conditionalFormatting>
  <conditionalFormatting sqref="T89:T95">
    <cfRule type="containsText" dxfId="456" priority="131" operator="containsText" text="EN PROCESO">
      <formula>NOT(ISERROR(SEARCH("EN PROCESO",T89)))</formula>
    </cfRule>
    <cfRule type="containsText" dxfId="455" priority="132" operator="containsText" text="ENVIADO">
      <formula>NOT(ISERROR(SEARCH("ENVIADO",T89)))</formula>
    </cfRule>
    <cfRule type="containsText" dxfId="454" priority="133" operator="containsText" text="EN PROCESO">
      <formula>NOT(ISERROR(SEARCH("EN PROCESO",T89)))</formula>
    </cfRule>
    <cfRule type="containsText" dxfId="453" priority="134" operator="containsText" text="ENVIADO">
      <formula>NOT(ISERROR(SEARCH("ENVIADO",T89)))</formula>
    </cfRule>
  </conditionalFormatting>
  <conditionalFormatting sqref="T98">
    <cfRule type="containsText" dxfId="452" priority="127" operator="containsText" text="EN PROCESO">
      <formula>NOT(ISERROR(SEARCH("EN PROCESO",T98)))</formula>
    </cfRule>
    <cfRule type="containsText" dxfId="451" priority="128" operator="containsText" text="ENVIADO">
      <formula>NOT(ISERROR(SEARCH("ENVIADO",T98)))</formula>
    </cfRule>
    <cfRule type="containsText" dxfId="450" priority="129" operator="containsText" text="EN PROCESO">
      <formula>NOT(ISERROR(SEARCH("EN PROCESO",T98)))</formula>
    </cfRule>
    <cfRule type="containsText" dxfId="449" priority="130" operator="containsText" text="ENVIADO">
      <formula>NOT(ISERROR(SEARCH("ENVIADO",T98)))</formula>
    </cfRule>
  </conditionalFormatting>
  <conditionalFormatting sqref="T100">
    <cfRule type="containsText" dxfId="448" priority="123" operator="containsText" text="EN PROCESO">
      <formula>NOT(ISERROR(SEARCH("EN PROCESO",T100)))</formula>
    </cfRule>
    <cfRule type="containsText" dxfId="447" priority="124" operator="containsText" text="ENVIADO">
      <formula>NOT(ISERROR(SEARCH("ENVIADO",T100)))</formula>
    </cfRule>
    <cfRule type="containsText" dxfId="446" priority="125" operator="containsText" text="EN PROCESO">
      <formula>NOT(ISERROR(SEARCH("EN PROCESO",T100)))</formula>
    </cfRule>
    <cfRule type="containsText" dxfId="445" priority="126" operator="containsText" text="ENVIADO">
      <formula>NOT(ISERROR(SEARCH("ENVIADO",T100)))</formula>
    </cfRule>
  </conditionalFormatting>
  <conditionalFormatting sqref="T100:T102">
    <cfRule type="containsText" dxfId="444" priority="119" operator="containsText" text="EN PROCESO">
      <formula>NOT(ISERROR(SEARCH("EN PROCESO",T100)))</formula>
    </cfRule>
    <cfRule type="containsText" dxfId="443" priority="120" operator="containsText" text="ENVIADO">
      <formula>NOT(ISERROR(SEARCH("ENVIADO",T100)))</formula>
    </cfRule>
    <cfRule type="containsText" dxfId="442" priority="121" operator="containsText" text="EN PROCESO">
      <formula>NOT(ISERROR(SEARCH("EN PROCESO",T100)))</formula>
    </cfRule>
    <cfRule type="containsText" dxfId="441" priority="122" operator="containsText" text="ENVIADO">
      <formula>NOT(ISERROR(SEARCH("ENVIADO",T100)))</formula>
    </cfRule>
  </conditionalFormatting>
  <conditionalFormatting sqref="T104:T105 X277:X613 W385:W522">
    <cfRule type="containsText" dxfId="440" priority="118" operator="containsText" text="ENVIADO">
      <formula>NOT(ISERROR(SEARCH("ENVIADO",T104)))</formula>
    </cfRule>
  </conditionalFormatting>
  <conditionalFormatting sqref="T104:T106 T109:T112 T118:T155">
    <cfRule type="containsText" dxfId="439" priority="25" operator="containsText" text="EN PROCESO">
      <formula>NOT(ISERROR(SEARCH("EN PROCESO",T104)))</formula>
    </cfRule>
    <cfRule type="containsText" dxfId="438" priority="26" operator="containsText" text="ENVIADO">
      <formula>NOT(ISERROR(SEARCH("ENVIADO",T104)))</formula>
    </cfRule>
  </conditionalFormatting>
  <conditionalFormatting sqref="T106 W109:W115 T112 W117:W291">
    <cfRule type="containsText" dxfId="437" priority="23" operator="containsText" text="EN PROCESO">
      <formula>NOT(ISERROR(SEARCH("EN PROCESO",T106)))</formula>
    </cfRule>
    <cfRule type="containsText" dxfId="436" priority="24" operator="containsText" text="ENVIADO">
      <formula>NOT(ISERROR(SEARCH("ENVIADO",T106)))</formula>
    </cfRule>
  </conditionalFormatting>
  <conditionalFormatting sqref="T109:T111">
    <cfRule type="containsText" dxfId="435" priority="115" operator="containsText" text="EN PROCESO">
      <formula>NOT(ISERROR(SEARCH("EN PROCESO",T109)))</formula>
    </cfRule>
    <cfRule type="containsText" dxfId="434" priority="116" operator="containsText" text="ENVIADO">
      <formula>NOT(ISERROR(SEARCH("ENVIADO",T109)))</formula>
    </cfRule>
  </conditionalFormatting>
  <conditionalFormatting sqref="T115:T117">
    <cfRule type="containsText" dxfId="433" priority="5" operator="containsText" text="EN PROCESO">
      <formula>NOT(ISERROR(SEARCH("EN PROCESO",T115)))</formula>
    </cfRule>
    <cfRule type="containsText" dxfId="432" priority="6" operator="containsText" text="ENVIADO">
      <formula>NOT(ISERROR(SEARCH("ENVIADO",T115)))</formula>
    </cfRule>
  </conditionalFormatting>
  <conditionalFormatting sqref="T115:T155">
    <cfRule type="containsText" dxfId="431" priority="7" operator="containsText" text="EN PROCESO">
      <formula>NOT(ISERROR(SEARCH("EN PROCESO",T115)))</formula>
    </cfRule>
    <cfRule type="containsText" dxfId="430" priority="8" operator="containsText" text="ENVIADO">
      <formula>NOT(ISERROR(SEARCH("ENVIADO",T115)))</formula>
    </cfRule>
  </conditionalFormatting>
  <conditionalFormatting sqref="T187 T190:T191">
    <cfRule type="containsText" dxfId="429" priority="19" operator="containsText" text="EN PROCESO">
      <formula>NOT(ISERROR(SEARCH("EN PROCESO",T187)))</formula>
    </cfRule>
    <cfRule type="containsText" dxfId="428" priority="20" operator="containsText" text="ENVIADO">
      <formula>NOT(ISERROR(SEARCH("ENVIADO",T187)))</formula>
    </cfRule>
    <cfRule type="containsText" dxfId="427" priority="21" operator="containsText" text="EN PROCESO">
      <formula>NOT(ISERROR(SEARCH("EN PROCESO",T187)))</formula>
    </cfRule>
    <cfRule type="containsText" dxfId="426" priority="22" operator="containsText" text="ENVIADO">
      <formula>NOT(ISERROR(SEARCH("ENVIADO",T187)))</formula>
    </cfRule>
  </conditionalFormatting>
  <conditionalFormatting sqref="T198">
    <cfRule type="containsText" dxfId="425" priority="11" operator="containsText" text="EN PROCESO">
      <formula>NOT(ISERROR(SEARCH("EN PROCESO",T198)))</formula>
    </cfRule>
    <cfRule type="containsText" dxfId="424" priority="12" operator="containsText" text="ENVIADO">
      <formula>NOT(ISERROR(SEARCH("ENVIADO",T198)))</formula>
    </cfRule>
    <cfRule type="containsText" dxfId="423" priority="13" operator="containsText" text="EN PROCESO">
      <formula>NOT(ISERROR(SEARCH("EN PROCESO",T198)))</formula>
    </cfRule>
    <cfRule type="containsText" dxfId="422" priority="14" operator="containsText" text="ENVIADO">
      <formula>NOT(ISERROR(SEARCH("ENVIADO",T198)))</formula>
    </cfRule>
  </conditionalFormatting>
  <conditionalFormatting sqref="T201 T203">
    <cfRule type="containsText" dxfId="421" priority="15" operator="containsText" text="EN PROCESO">
      <formula>NOT(ISERROR(SEARCH("EN PROCESO",T201)))</formula>
    </cfRule>
    <cfRule type="containsText" dxfId="420" priority="16" operator="containsText" text="ENVIADO">
      <formula>NOT(ISERROR(SEARCH("ENVIADO",T201)))</formula>
    </cfRule>
    <cfRule type="containsText" dxfId="419" priority="17" operator="containsText" text="EN PROCESO">
      <formula>NOT(ISERROR(SEARCH("EN PROCESO",T201)))</formula>
    </cfRule>
    <cfRule type="containsText" dxfId="418" priority="18" operator="containsText" text="ENVIADO">
      <formula>NOT(ISERROR(SEARCH("ENVIADO",T201)))</formula>
    </cfRule>
  </conditionalFormatting>
  <conditionalFormatting sqref="T277:T283">
    <cfRule type="containsText" dxfId="417" priority="27" operator="containsText" text="EN PROCESO">
      <formula>NOT(ISERROR(SEARCH("EN PROCESO",T277)))</formula>
    </cfRule>
    <cfRule type="containsText" dxfId="416" priority="28" operator="containsText" text="ENVIADO">
      <formula>NOT(ISERROR(SEARCH("ENVIADO",T277)))</formula>
    </cfRule>
    <cfRule type="containsText" dxfId="415" priority="29" operator="containsText" text="EN PROCESO">
      <formula>NOT(ISERROR(SEARCH("EN PROCESO",T277)))</formula>
    </cfRule>
    <cfRule type="containsText" dxfId="414" priority="30" operator="containsText" text="ENVIADO">
      <formula>NOT(ISERROR(SEARCH("ENVIADO",T277)))</formula>
    </cfRule>
  </conditionalFormatting>
  <conditionalFormatting sqref="T292">
    <cfRule type="containsText" dxfId="413" priority="111" operator="containsText" text="EN PROCESO">
      <formula>NOT(ISERROR(SEARCH("EN PROCESO",T292)))</formula>
    </cfRule>
    <cfRule type="containsText" dxfId="412" priority="112" operator="containsText" text="ENVIADO">
      <formula>NOT(ISERROR(SEARCH("ENVIADO",T292)))</formula>
    </cfRule>
    <cfRule type="containsText" dxfId="411" priority="113" operator="containsText" text="EN PROCESO">
      <formula>NOT(ISERROR(SEARCH("EN PROCESO",T292)))</formula>
    </cfRule>
    <cfRule type="containsText" dxfId="410" priority="114" operator="containsText" text="ENVIADO">
      <formula>NOT(ISERROR(SEARCH("ENVIADO",T292)))</formula>
    </cfRule>
  </conditionalFormatting>
  <conditionalFormatting sqref="T294">
    <cfRule type="containsText" dxfId="409" priority="377" operator="containsText" text="EN PROCESO">
      <formula>NOT(ISERROR(SEARCH("EN PROCESO",T294)))</formula>
    </cfRule>
    <cfRule type="containsText" dxfId="408" priority="378" operator="containsText" text="ENVIADO">
      <formula>NOT(ISERROR(SEARCH("ENVIADO",T294)))</formula>
    </cfRule>
    <cfRule type="containsText" dxfId="407" priority="379" operator="containsText" text="EN PROCESO">
      <formula>NOT(ISERROR(SEARCH("EN PROCESO",T294)))</formula>
    </cfRule>
    <cfRule type="containsText" dxfId="406" priority="380" operator="containsText" text="ENVIADO">
      <formula>NOT(ISERROR(SEARCH("ENVIADO",T294)))</formula>
    </cfRule>
  </conditionalFormatting>
  <conditionalFormatting sqref="T294:T295">
    <cfRule type="containsText" dxfId="405" priority="109" operator="containsText" text="EN PROCESO">
      <formula>NOT(ISERROR(SEARCH("EN PROCESO",T294)))</formula>
    </cfRule>
    <cfRule type="containsText" dxfId="404" priority="110" operator="containsText" text="ENVIADO">
      <formula>NOT(ISERROR(SEARCH("ENVIADO",T294)))</formula>
    </cfRule>
  </conditionalFormatting>
  <conditionalFormatting sqref="T295">
    <cfRule type="containsText" dxfId="403" priority="107" operator="containsText" text="EN PROCESO">
      <formula>NOT(ISERROR(SEARCH("EN PROCESO",T295)))</formula>
    </cfRule>
    <cfRule type="containsText" dxfId="402" priority="108" operator="containsText" text="ENVIADO">
      <formula>NOT(ISERROR(SEARCH("ENVIADO",T295)))</formula>
    </cfRule>
  </conditionalFormatting>
  <conditionalFormatting sqref="T297">
    <cfRule type="containsText" dxfId="401" priority="103" operator="containsText" text="EN PROCESO">
      <formula>NOT(ISERROR(SEARCH("EN PROCESO",T297)))</formula>
    </cfRule>
    <cfRule type="containsText" dxfId="400" priority="104" operator="containsText" text="ENVIADO">
      <formula>NOT(ISERROR(SEARCH("ENVIADO",T297)))</formula>
    </cfRule>
    <cfRule type="containsText" dxfId="399" priority="105" operator="containsText" text="EN PROCESO">
      <formula>NOT(ISERROR(SEARCH("EN PROCESO",T297)))</formula>
    </cfRule>
    <cfRule type="containsText" dxfId="398" priority="106" operator="containsText" text="ENVIADO">
      <formula>NOT(ISERROR(SEARCH("ENVIADO",T297)))</formula>
    </cfRule>
  </conditionalFormatting>
  <conditionalFormatting sqref="T303">
    <cfRule type="containsText" dxfId="397" priority="99" operator="containsText" text="EN PROCESO">
      <formula>NOT(ISERROR(SEARCH("EN PROCESO",T303)))</formula>
    </cfRule>
    <cfRule type="containsText" dxfId="396" priority="100" operator="containsText" text="ENVIADO">
      <formula>NOT(ISERROR(SEARCH("ENVIADO",T303)))</formula>
    </cfRule>
    <cfRule type="containsText" dxfId="395" priority="101" operator="containsText" text="EN PROCESO">
      <formula>NOT(ISERROR(SEARCH("EN PROCESO",T303)))</formula>
    </cfRule>
    <cfRule type="containsText" dxfId="394" priority="102" operator="containsText" text="ENVIADO">
      <formula>NOT(ISERROR(SEARCH("ENVIADO",T303)))</formula>
    </cfRule>
  </conditionalFormatting>
  <conditionalFormatting sqref="T305">
    <cfRule type="containsText" dxfId="393" priority="95" operator="containsText" text="EN PROCESO">
      <formula>NOT(ISERROR(SEARCH("EN PROCESO",T305)))</formula>
    </cfRule>
    <cfRule type="containsText" dxfId="392" priority="96" operator="containsText" text="ENVIADO">
      <formula>NOT(ISERROR(SEARCH("ENVIADO",T305)))</formula>
    </cfRule>
    <cfRule type="containsText" dxfId="391" priority="97" operator="containsText" text="EN PROCESO">
      <formula>NOT(ISERROR(SEARCH("EN PROCESO",T305)))</formula>
    </cfRule>
    <cfRule type="containsText" dxfId="390" priority="98" operator="containsText" text="ENVIADO">
      <formula>NOT(ISERROR(SEARCH("ENVIADO",T305)))</formula>
    </cfRule>
  </conditionalFormatting>
  <conditionalFormatting sqref="T307">
    <cfRule type="containsText" dxfId="389" priority="91" operator="containsText" text="EN PROCESO">
      <formula>NOT(ISERROR(SEARCH("EN PROCESO",T307)))</formula>
    </cfRule>
    <cfRule type="containsText" dxfId="388" priority="92" operator="containsText" text="ENVIADO">
      <formula>NOT(ISERROR(SEARCH("ENVIADO",T307)))</formula>
    </cfRule>
    <cfRule type="containsText" dxfId="387" priority="93" operator="containsText" text="EN PROCESO">
      <formula>NOT(ISERROR(SEARCH("EN PROCESO",T307)))</formula>
    </cfRule>
    <cfRule type="containsText" dxfId="386" priority="94" operator="containsText" text="ENVIADO">
      <formula>NOT(ISERROR(SEARCH("ENVIADO",T307)))</formula>
    </cfRule>
  </conditionalFormatting>
  <conditionalFormatting sqref="T309:T314">
    <cfRule type="containsText" dxfId="385" priority="87" operator="containsText" text="EN PROCESO">
      <formula>NOT(ISERROR(SEARCH("EN PROCESO",T309)))</formula>
    </cfRule>
    <cfRule type="containsText" dxfId="384" priority="88" operator="containsText" text="ENVIADO">
      <formula>NOT(ISERROR(SEARCH("ENVIADO",T309)))</formula>
    </cfRule>
    <cfRule type="containsText" dxfId="383" priority="89" operator="containsText" text="EN PROCESO">
      <formula>NOT(ISERROR(SEARCH("EN PROCESO",T309)))</formula>
    </cfRule>
    <cfRule type="containsText" dxfId="382" priority="90" operator="containsText" text="ENVIADO">
      <formula>NOT(ISERROR(SEARCH("ENVIADO",T309)))</formula>
    </cfRule>
  </conditionalFormatting>
  <conditionalFormatting sqref="T329:T337">
    <cfRule type="containsText" dxfId="381" priority="83" operator="containsText" text="EN PROCESO">
      <formula>NOT(ISERROR(SEARCH("EN PROCESO",T329)))</formula>
    </cfRule>
    <cfRule type="containsText" dxfId="380" priority="84" operator="containsText" text="ENVIADO">
      <formula>NOT(ISERROR(SEARCH("ENVIADO",T329)))</formula>
    </cfRule>
    <cfRule type="containsText" dxfId="379" priority="85" operator="containsText" text="EN PROCESO">
      <formula>NOT(ISERROR(SEARCH("EN PROCESO",T329)))</formula>
    </cfRule>
    <cfRule type="containsText" dxfId="378" priority="86" operator="containsText" text="ENVIADO">
      <formula>NOT(ISERROR(SEARCH("ENVIADO",T329)))</formula>
    </cfRule>
  </conditionalFormatting>
  <conditionalFormatting sqref="T385">
    <cfRule type="containsText" dxfId="377" priority="79" operator="containsText" text="EN PROCESO">
      <formula>NOT(ISERROR(SEARCH("EN PROCESO",T385)))</formula>
    </cfRule>
    <cfRule type="containsText" dxfId="376" priority="80" operator="containsText" text="ENVIADO">
      <formula>NOT(ISERROR(SEARCH("ENVIADO",T385)))</formula>
    </cfRule>
    <cfRule type="containsText" dxfId="375" priority="81" operator="containsText" text="EN PROCESO">
      <formula>NOT(ISERROR(SEARCH("EN PROCESO",T385)))</formula>
    </cfRule>
    <cfRule type="containsText" dxfId="374" priority="82" operator="containsText" text="ENVIADO">
      <formula>NOT(ISERROR(SEARCH("ENVIADO",T385)))</formula>
    </cfRule>
  </conditionalFormatting>
  <conditionalFormatting sqref="T446:T455">
    <cfRule type="containsText" dxfId="373" priority="75" operator="containsText" text="EN PROCESO">
      <formula>NOT(ISERROR(SEARCH("EN PROCESO",T446)))</formula>
    </cfRule>
    <cfRule type="containsText" dxfId="372" priority="76" operator="containsText" text="ENVIADO">
      <formula>NOT(ISERROR(SEARCH("ENVIADO",T446)))</formula>
    </cfRule>
    <cfRule type="containsText" dxfId="371" priority="77" operator="containsText" text="EN PROCESO">
      <formula>NOT(ISERROR(SEARCH("EN PROCESO",T446)))</formula>
    </cfRule>
    <cfRule type="containsText" dxfId="370" priority="78" operator="containsText" text="ENVIADO">
      <formula>NOT(ISERROR(SEARCH("ENVIADO",T446)))</formula>
    </cfRule>
  </conditionalFormatting>
  <conditionalFormatting sqref="T517:T521">
    <cfRule type="containsText" dxfId="369" priority="71" operator="containsText" text="EN PROCESO">
      <formula>NOT(ISERROR(SEARCH("EN PROCESO",T517)))</formula>
    </cfRule>
    <cfRule type="containsText" dxfId="368" priority="72" operator="containsText" text="ENVIADO">
      <formula>NOT(ISERROR(SEARCH("ENVIADO",T517)))</formula>
    </cfRule>
    <cfRule type="containsText" dxfId="367" priority="73" operator="containsText" text="EN PROCESO">
      <formula>NOT(ISERROR(SEARCH("EN PROCESO",T517)))</formula>
    </cfRule>
    <cfRule type="containsText" dxfId="366" priority="74" operator="containsText" text="ENVIADO">
      <formula>NOT(ISERROR(SEARCH("ENVIADO",T517)))</formula>
    </cfRule>
  </conditionalFormatting>
  <conditionalFormatting sqref="T533">
    <cfRule type="containsText" dxfId="365" priority="67" operator="containsText" text="EN PROCESO">
      <formula>NOT(ISERROR(SEARCH("EN PROCESO",T533)))</formula>
    </cfRule>
    <cfRule type="containsText" dxfId="364" priority="68" operator="containsText" text="ENVIADO">
      <formula>NOT(ISERROR(SEARCH("ENVIADO",T533)))</formula>
    </cfRule>
    <cfRule type="containsText" dxfId="363" priority="69" operator="containsText" text="EN PROCESO">
      <formula>NOT(ISERROR(SEARCH("EN PROCESO",T533)))</formula>
    </cfRule>
    <cfRule type="containsText" dxfId="362" priority="70" operator="containsText" text="ENVIADO">
      <formula>NOT(ISERROR(SEARCH("ENVIADO",T533)))</formula>
    </cfRule>
  </conditionalFormatting>
  <conditionalFormatting sqref="T541">
    <cfRule type="containsText" dxfId="361" priority="63" operator="containsText" text="EN PROCESO">
      <formula>NOT(ISERROR(SEARCH("EN PROCESO",T541)))</formula>
    </cfRule>
    <cfRule type="containsText" dxfId="360" priority="64" operator="containsText" text="ENVIADO">
      <formula>NOT(ISERROR(SEARCH("ENVIADO",T541)))</formula>
    </cfRule>
    <cfRule type="containsText" dxfId="359" priority="65" operator="containsText" text="EN PROCESO">
      <formula>NOT(ISERROR(SEARCH("EN PROCESO",T541)))</formula>
    </cfRule>
    <cfRule type="containsText" dxfId="358" priority="66" operator="containsText" text="ENVIADO">
      <formula>NOT(ISERROR(SEARCH("ENVIADO",T541)))</formula>
    </cfRule>
  </conditionalFormatting>
  <conditionalFormatting sqref="T544:T545">
    <cfRule type="containsText" dxfId="357" priority="59" operator="containsText" text="EN PROCESO">
      <formula>NOT(ISERROR(SEARCH("EN PROCESO",T544)))</formula>
    </cfRule>
    <cfRule type="containsText" dxfId="356" priority="60" operator="containsText" text="ENVIADO">
      <formula>NOT(ISERROR(SEARCH("ENVIADO",T544)))</formula>
    </cfRule>
    <cfRule type="containsText" dxfId="355" priority="61" operator="containsText" text="EN PROCESO">
      <formula>NOT(ISERROR(SEARCH("EN PROCESO",T544)))</formula>
    </cfRule>
    <cfRule type="containsText" dxfId="354" priority="62" operator="containsText" text="ENVIADO">
      <formula>NOT(ISERROR(SEARCH("ENVIADO",T544)))</formula>
    </cfRule>
  </conditionalFormatting>
  <conditionalFormatting sqref="T547">
    <cfRule type="containsText" dxfId="353" priority="55" operator="containsText" text="EN PROCESO">
      <formula>NOT(ISERROR(SEARCH("EN PROCESO",T547)))</formula>
    </cfRule>
    <cfRule type="containsText" dxfId="352" priority="56" operator="containsText" text="ENVIADO">
      <formula>NOT(ISERROR(SEARCH("ENVIADO",T547)))</formula>
    </cfRule>
    <cfRule type="containsText" dxfId="351" priority="57" operator="containsText" text="EN PROCESO">
      <formula>NOT(ISERROR(SEARCH("EN PROCESO",T547)))</formula>
    </cfRule>
    <cfRule type="containsText" dxfId="350" priority="58" operator="containsText" text="ENVIADO">
      <formula>NOT(ISERROR(SEARCH("ENVIADO",T547)))</formula>
    </cfRule>
  </conditionalFormatting>
  <conditionalFormatting sqref="T566">
    <cfRule type="containsText" dxfId="349" priority="51" operator="containsText" text="EN PROCESO">
      <formula>NOT(ISERROR(SEARCH("EN PROCESO",T566)))</formula>
    </cfRule>
    <cfRule type="containsText" dxfId="348" priority="52" operator="containsText" text="ENVIADO">
      <formula>NOT(ISERROR(SEARCH("ENVIADO",T566)))</formula>
    </cfRule>
    <cfRule type="containsText" dxfId="347" priority="53" operator="containsText" text="EN PROCESO">
      <formula>NOT(ISERROR(SEARCH("EN PROCESO",T566)))</formula>
    </cfRule>
    <cfRule type="containsText" dxfId="346" priority="54" operator="containsText" text="ENVIADO">
      <formula>NOT(ISERROR(SEARCH("ENVIADO",T566)))</formula>
    </cfRule>
  </conditionalFormatting>
  <conditionalFormatting sqref="T581">
    <cfRule type="containsText" dxfId="345" priority="47" operator="containsText" text="EN PROCESO">
      <formula>NOT(ISERROR(SEARCH("EN PROCESO",T581)))</formula>
    </cfRule>
    <cfRule type="containsText" dxfId="344" priority="48" operator="containsText" text="ENVIADO">
      <formula>NOT(ISERROR(SEARCH("ENVIADO",T581)))</formula>
    </cfRule>
    <cfRule type="containsText" dxfId="343" priority="49" operator="containsText" text="EN PROCESO">
      <formula>NOT(ISERROR(SEARCH("EN PROCESO",T581)))</formula>
    </cfRule>
    <cfRule type="containsText" dxfId="342" priority="50" operator="containsText" text="ENVIADO">
      <formula>NOT(ISERROR(SEARCH("ENVIADO",T581)))</formula>
    </cfRule>
  </conditionalFormatting>
  <conditionalFormatting sqref="T590:T591">
    <cfRule type="containsText" dxfId="341" priority="43" operator="containsText" text="EN PROCESO">
      <formula>NOT(ISERROR(SEARCH("EN PROCESO",T590)))</formula>
    </cfRule>
    <cfRule type="containsText" dxfId="340" priority="44" operator="containsText" text="ENVIADO">
      <formula>NOT(ISERROR(SEARCH("ENVIADO",T590)))</formula>
    </cfRule>
    <cfRule type="containsText" dxfId="339" priority="45" operator="containsText" text="EN PROCESO">
      <formula>NOT(ISERROR(SEARCH("EN PROCESO",T590)))</formula>
    </cfRule>
    <cfRule type="containsText" dxfId="338" priority="46" operator="containsText" text="ENVIADO">
      <formula>NOT(ISERROR(SEARCH("ENVIADO",T590)))</formula>
    </cfRule>
  </conditionalFormatting>
  <conditionalFormatting sqref="T604">
    <cfRule type="containsText" dxfId="337" priority="39" operator="containsText" text="EN PROCESO">
      <formula>NOT(ISERROR(SEARCH("EN PROCESO",T604)))</formula>
    </cfRule>
    <cfRule type="containsText" dxfId="336" priority="40" operator="containsText" text="ENVIADO">
      <formula>NOT(ISERROR(SEARCH("ENVIADO",T604)))</formula>
    </cfRule>
    <cfRule type="containsText" dxfId="335" priority="41" operator="containsText" text="EN PROCESO">
      <formula>NOT(ISERROR(SEARCH("EN PROCESO",T604)))</formula>
    </cfRule>
    <cfRule type="containsText" dxfId="334" priority="42" operator="containsText" text="ENVIADO">
      <formula>NOT(ISERROR(SEARCH("ENVIADO",T604)))</formula>
    </cfRule>
  </conditionalFormatting>
  <conditionalFormatting sqref="T608">
    <cfRule type="containsText" dxfId="333" priority="35" operator="containsText" text="EN PROCESO">
      <formula>NOT(ISERROR(SEARCH("EN PROCESO",T608)))</formula>
    </cfRule>
    <cfRule type="containsText" dxfId="332" priority="36" operator="containsText" text="ENVIADO">
      <formula>NOT(ISERROR(SEARCH("ENVIADO",T608)))</formula>
    </cfRule>
    <cfRule type="containsText" dxfId="331" priority="37" operator="containsText" text="EN PROCESO">
      <formula>NOT(ISERROR(SEARCH("EN PROCESO",T608)))</formula>
    </cfRule>
    <cfRule type="containsText" dxfId="330" priority="38" operator="containsText" text="ENVIADO">
      <formula>NOT(ISERROR(SEARCH("ENVIADO",T608)))</formula>
    </cfRule>
  </conditionalFormatting>
  <conditionalFormatting sqref="T611:T613">
    <cfRule type="containsText" dxfId="329" priority="427" operator="containsText" text="EN PROCESO">
      <formula>NOT(ISERROR(SEARCH("EN PROCESO",T611)))</formula>
    </cfRule>
  </conditionalFormatting>
  <conditionalFormatting sqref="T610:U610">
    <cfRule type="containsText" dxfId="328" priority="33" operator="containsText" text="EN REVISIÓN CENTRAL">
      <formula>NOT(ISERROR(SEARCH("EN REVISIÓN CENTRAL",T610)))</formula>
    </cfRule>
    <cfRule type="containsText" dxfId="327" priority="34" operator="containsText" text="ENVIADO A LA CE/UM">
      <formula>NOT(ISERROR(SEARCH("ENVIADO A LA CE/UM",T610)))</formula>
    </cfRule>
  </conditionalFormatting>
  <conditionalFormatting sqref="T1:X1">
    <cfRule type="containsText" dxfId="326" priority="2128" operator="containsText" text="CONCLUIDO">
      <formula>NOT(ISERROR(SEARCH("CONCLUIDO",T1)))</formula>
    </cfRule>
  </conditionalFormatting>
  <conditionalFormatting sqref="T2:X115 T116:V116 T117:W117 T118:X613 R610 X116:X117">
    <cfRule type="containsText" dxfId="325" priority="424" operator="containsText" text="CONCLUIDO">
      <formula>NOT(ISERROR(SEARCH("CONCLUIDO",R2)))</formula>
    </cfRule>
  </conditionalFormatting>
  <conditionalFormatting sqref="U1">
    <cfRule type="containsText" dxfId="324" priority="2130" operator="containsText" text="ENVIADO A LA CE/UM">
      <formula>NOT(ISERROR(SEARCH("ENVIADO A LA CE/UM",U1)))</formula>
    </cfRule>
  </conditionalFormatting>
  <conditionalFormatting sqref="U2:U609 V2:V613 U611:U613">
    <cfRule type="containsText" dxfId="323" priority="426" operator="containsText" text="ENVIADO A LA CE/UM">
      <formula>NOT(ISERROR(SEARCH("ENVIADO A LA CE/UM",U2)))</formula>
    </cfRule>
  </conditionalFormatting>
  <conditionalFormatting sqref="U610">
    <cfRule type="containsText" dxfId="322" priority="417" operator="containsText" text="EN PROCESO">
      <formula>NOT(ISERROR(SEARCH("EN PROCESO",U610)))</formula>
    </cfRule>
    <cfRule type="containsText" dxfId="321" priority="418" operator="containsText" text="ENVIADO">
      <formula>NOT(ISERROR(SEARCH("ENVIADO",U610)))</formula>
    </cfRule>
  </conditionalFormatting>
  <conditionalFormatting sqref="U1:V1">
    <cfRule type="containsText" dxfId="320" priority="2129" operator="containsText" text="EN REVISIÓN CENTRAL">
      <formula>NOT(ISERROR(SEARCH("EN REVISIÓN CENTRAL",U1)))</formula>
    </cfRule>
  </conditionalFormatting>
  <conditionalFormatting sqref="U2:V609 V610:V613 U611:U613">
    <cfRule type="containsText" dxfId="319" priority="425" operator="containsText" text="EN REVISIÓN CENTRAL">
      <formula>NOT(ISERROR(SEARCH("EN REVISIÓN CENTRAL",U2)))</formula>
    </cfRule>
  </conditionalFormatting>
  <conditionalFormatting sqref="W7">
    <cfRule type="containsText" dxfId="318" priority="9" operator="containsText" text="EN REVISIÓN CENTRAL">
      <formula>NOT(ISERROR(SEARCH("EN REVISIÓN CENTRAL",W7)))</formula>
    </cfRule>
    <cfRule type="containsText" dxfId="317" priority="10" operator="containsText" text="ENVIADO A LA CE/UM">
      <formula>NOT(ISERROR(SEARCH("ENVIADO A LA CE/UM",W7)))</formula>
    </cfRule>
  </conditionalFormatting>
  <conditionalFormatting sqref="W49:W98">
    <cfRule type="containsText" dxfId="316" priority="355" operator="containsText" text="EN PROCESO">
      <formula>NOT(ISERROR(SEARCH("EN PROCESO",W49)))</formula>
    </cfRule>
    <cfRule type="containsText" dxfId="315" priority="356" operator="containsText" text="ENVIADO">
      <formula>NOT(ISERROR(SEARCH("ENVIADO",W49)))</formula>
    </cfRule>
  </conditionalFormatting>
  <conditionalFormatting sqref="W64:W96">
    <cfRule type="containsText" dxfId="314" priority="403" operator="containsText" text="EN PROCESO">
      <formula>NOT(ISERROR(SEARCH("EN PROCESO",W64)))</formula>
    </cfRule>
    <cfRule type="containsText" dxfId="313" priority="404" operator="containsText" text="ENVIADO">
      <formula>NOT(ISERROR(SEARCH("ENVIADO",W64)))</formula>
    </cfRule>
  </conditionalFormatting>
  <conditionalFormatting sqref="W98:W107">
    <cfRule type="containsText" dxfId="312" priority="323" operator="containsText" text="EN PROCESO">
      <formula>NOT(ISERROR(SEARCH("EN PROCESO",W98)))</formula>
    </cfRule>
    <cfRule type="containsText" dxfId="311" priority="324" operator="containsText" text="ENVIADO">
      <formula>NOT(ISERROR(SEARCH("ENVIADO",W98)))</formula>
    </cfRule>
  </conditionalFormatting>
  <conditionalFormatting sqref="W100:W104">
    <cfRule type="containsText" dxfId="310" priority="353" operator="containsText" text="EN PROCESO">
      <formula>NOT(ISERROR(SEARCH("EN PROCESO",W100)))</formula>
    </cfRule>
    <cfRule type="containsText" dxfId="309" priority="354" operator="containsText" text="ENVIADO">
      <formula>NOT(ISERROR(SEARCH("ENVIADO",W100)))</formula>
    </cfRule>
  </conditionalFormatting>
  <conditionalFormatting sqref="W105:W108">
    <cfRule type="containsText" dxfId="308" priority="257" operator="containsText" text="EN PROCESO">
      <formula>NOT(ISERROR(SEARCH("EN PROCESO",W105)))</formula>
    </cfRule>
    <cfRule type="containsText" dxfId="307" priority="258" operator="containsText" text="ENVIADO">
      <formula>NOT(ISERROR(SEARCH("ENVIADO",W105)))</formula>
    </cfRule>
  </conditionalFormatting>
  <conditionalFormatting sqref="W108">
    <cfRule type="containsText" dxfId="306" priority="255" operator="containsText" text="EN PROCESO">
      <formula>NOT(ISERROR(SEARCH("EN PROCESO",W108)))</formula>
    </cfRule>
    <cfRule type="containsText" dxfId="305" priority="256" operator="containsText" text="ENVIADO">
      <formula>NOT(ISERROR(SEARCH("ENVIADO",W108)))</formula>
    </cfRule>
  </conditionalFormatting>
  <conditionalFormatting sqref="W117:W291">
    <cfRule type="containsText" dxfId="304" priority="321" operator="containsText" text="EN PROCESO">
      <formula>NOT(ISERROR(SEARCH("EN PROCESO",W117)))</formula>
    </cfRule>
    <cfRule type="containsText" dxfId="303" priority="322" operator="containsText" text="ENVIADO">
      <formula>NOT(ISERROR(SEARCH("ENVIADO",W117)))</formula>
    </cfRule>
  </conditionalFormatting>
  <conditionalFormatting sqref="W240:W241">
    <cfRule type="containsText" dxfId="302" priority="405" operator="containsText" text="EN PROCESO">
      <formula>NOT(ISERROR(SEARCH("EN PROCESO",W240)))</formula>
    </cfRule>
    <cfRule type="containsText" dxfId="301" priority="406" operator="containsText" text="ENVIADO">
      <formula>NOT(ISERROR(SEARCH("ENVIADO",W240)))</formula>
    </cfRule>
  </conditionalFormatting>
  <conditionalFormatting sqref="W277:W292">
    <cfRule type="containsText" dxfId="300" priority="351" operator="containsText" text="EN PROCESO">
      <formula>NOT(ISERROR(SEARCH("EN PROCESO",W277)))</formula>
    </cfRule>
    <cfRule type="containsText" dxfId="299" priority="352" operator="containsText" text="ENVIADO">
      <formula>NOT(ISERROR(SEARCH("ENVIADO",W277)))</formula>
    </cfRule>
  </conditionalFormatting>
  <conditionalFormatting sqref="W293:W294">
    <cfRule type="containsText" dxfId="298" priority="251" operator="containsText" text="EN PROCESO">
      <formula>NOT(ISERROR(SEARCH("EN PROCESO",W293)))</formula>
    </cfRule>
    <cfRule type="containsText" dxfId="297" priority="252" operator="containsText" text="ENVIADO">
      <formula>NOT(ISERROR(SEARCH("ENVIADO",W293)))</formula>
    </cfRule>
  </conditionalFormatting>
  <conditionalFormatting sqref="W293:W295">
    <cfRule type="containsText" dxfId="296" priority="253" operator="containsText" text="EN PROCESO">
      <formula>NOT(ISERROR(SEARCH("EN PROCESO",W293)))</formula>
    </cfRule>
    <cfRule type="containsText" dxfId="295" priority="254" operator="containsText" text="ENVIADO">
      <formula>NOT(ISERROR(SEARCH("ENVIADO",W293)))</formula>
    </cfRule>
  </conditionalFormatting>
  <conditionalFormatting sqref="W294">
    <cfRule type="containsText" dxfId="294" priority="381" operator="containsText" text="EN PROCESO">
      <formula>NOT(ISERROR(SEARCH("EN PROCESO",W294)))</formula>
    </cfRule>
    <cfRule type="containsText" dxfId="293" priority="382" operator="containsText" text="ENVIADO">
      <formula>NOT(ISERROR(SEARCH("ENVIADO",W294)))</formula>
    </cfRule>
  </conditionalFormatting>
  <conditionalFormatting sqref="W294:W295">
    <cfRule type="containsText" dxfId="292" priority="347" operator="containsText" text="EN PROCESO">
      <formula>NOT(ISERROR(SEARCH("EN PROCESO",W294)))</formula>
    </cfRule>
    <cfRule type="containsText" dxfId="291" priority="348" operator="containsText" text="ENVIADO">
      <formula>NOT(ISERROR(SEARCH("ENVIADO",W294)))</formula>
    </cfRule>
  </conditionalFormatting>
  <conditionalFormatting sqref="W296">
    <cfRule type="containsText" dxfId="290" priority="243" operator="containsText" text="EN PROCESO">
      <formula>NOT(ISERROR(SEARCH("EN PROCESO",W296)))</formula>
    </cfRule>
    <cfRule type="containsText" dxfId="289" priority="244" operator="containsText" text="ENVIADO">
      <formula>NOT(ISERROR(SEARCH("ENVIADO",W296)))</formula>
    </cfRule>
    <cfRule type="containsText" dxfId="288" priority="245" operator="containsText" text="EN PROCESO">
      <formula>NOT(ISERROR(SEARCH("EN PROCESO",W296)))</formula>
    </cfRule>
    <cfRule type="containsText" dxfId="287" priority="246" operator="containsText" text="ENVIADO">
      <formula>NOT(ISERROR(SEARCH("ENVIADO",W296)))</formula>
    </cfRule>
    <cfRule type="containsText" dxfId="286" priority="247" operator="containsText" text="EN PROCESO">
      <formula>NOT(ISERROR(SEARCH("EN PROCESO",W296)))</formula>
    </cfRule>
    <cfRule type="containsText" dxfId="285" priority="248" operator="containsText" text="ENVIADO">
      <formula>NOT(ISERROR(SEARCH("ENVIADO",W296)))</formula>
    </cfRule>
    <cfRule type="containsText" dxfId="284" priority="249" operator="containsText" text="EN PROCESO">
      <formula>NOT(ISERROR(SEARCH("EN PROCESO",W296)))</formula>
    </cfRule>
    <cfRule type="containsText" dxfId="283" priority="250" operator="containsText" text="ENVIADO">
      <formula>NOT(ISERROR(SEARCH("ENVIADO",W296)))</formula>
    </cfRule>
  </conditionalFormatting>
  <conditionalFormatting sqref="W297:W309">
    <cfRule type="containsText" dxfId="282" priority="319" operator="containsText" text="EN PROCESO">
      <formula>NOT(ISERROR(SEARCH("EN PROCESO",W297)))</formula>
    </cfRule>
    <cfRule type="containsText" dxfId="281" priority="320" operator="containsText" text="ENVIADO">
      <formula>NOT(ISERROR(SEARCH("ENVIADO",W297)))</formula>
    </cfRule>
    <cfRule type="containsText" dxfId="280" priority="345" operator="containsText" text="EN PROCESO">
      <formula>NOT(ISERROR(SEARCH("EN PROCESO",W297)))</formula>
    </cfRule>
    <cfRule type="containsText" dxfId="279" priority="346" operator="containsText" text="ENVIADO">
      <formula>NOT(ISERROR(SEARCH("ENVIADO",W297)))</formula>
    </cfRule>
  </conditionalFormatting>
  <conditionalFormatting sqref="W301">
    <cfRule type="containsText" dxfId="278" priority="317" operator="containsText" text="EN PROCESO">
      <formula>NOT(ISERROR(SEARCH("EN PROCESO",W301)))</formula>
    </cfRule>
    <cfRule type="containsText" dxfId="277" priority="318" operator="containsText" text="ENVIADO">
      <formula>NOT(ISERROR(SEARCH("ENVIADO",W301)))</formula>
    </cfRule>
  </conditionalFormatting>
  <conditionalFormatting sqref="W310:W311">
    <cfRule type="containsText" dxfId="276" priority="235" operator="containsText" text="EN PROCESO">
      <formula>NOT(ISERROR(SEARCH("EN PROCESO",W310)))</formula>
    </cfRule>
    <cfRule type="containsText" dxfId="275" priority="236" operator="containsText" text="ENVIADO">
      <formula>NOT(ISERROR(SEARCH("ENVIADO",W310)))</formula>
    </cfRule>
    <cfRule type="containsText" dxfId="274" priority="237" operator="containsText" text="EN PROCESO">
      <formula>NOT(ISERROR(SEARCH("EN PROCESO",W310)))</formula>
    </cfRule>
    <cfRule type="containsText" dxfId="273" priority="238" operator="containsText" text="ENVIADO">
      <formula>NOT(ISERROR(SEARCH("ENVIADO",W310)))</formula>
    </cfRule>
    <cfRule type="containsText" dxfId="272" priority="239" operator="containsText" text="EN PROCESO">
      <formula>NOT(ISERROR(SEARCH("EN PROCESO",W310)))</formula>
    </cfRule>
    <cfRule type="containsText" dxfId="271" priority="240" operator="containsText" text="ENVIADO">
      <formula>NOT(ISERROR(SEARCH("ENVIADO",W310)))</formula>
    </cfRule>
  </conditionalFormatting>
  <conditionalFormatting sqref="W310:W313">
    <cfRule type="containsText" dxfId="270" priority="241" operator="containsText" text="EN PROCESO">
      <formula>NOT(ISERROR(SEARCH("EN PROCESO",W310)))</formula>
    </cfRule>
    <cfRule type="containsText" dxfId="269" priority="242" operator="containsText" text="ENVIADO">
      <formula>NOT(ISERROR(SEARCH("ENVIADO",W310)))</formula>
    </cfRule>
  </conditionalFormatting>
  <conditionalFormatting sqref="W312:W313">
    <cfRule type="containsText" dxfId="268" priority="343" operator="containsText" text="EN PROCESO">
      <formula>NOT(ISERROR(SEARCH("EN PROCESO",W312)))</formula>
    </cfRule>
    <cfRule type="containsText" dxfId="267" priority="344" operator="containsText" text="ENVIADO">
      <formula>NOT(ISERROR(SEARCH("ENVIADO",W312)))</formula>
    </cfRule>
  </conditionalFormatting>
  <conditionalFormatting sqref="W314">
    <cfRule type="containsText" dxfId="266" priority="227" operator="containsText" text="EN PROCESO">
      <formula>NOT(ISERROR(SEARCH("EN PROCESO",W314)))</formula>
    </cfRule>
    <cfRule type="containsText" dxfId="265" priority="228" operator="containsText" text="ENVIADO">
      <formula>NOT(ISERROR(SEARCH("ENVIADO",W314)))</formula>
    </cfRule>
    <cfRule type="containsText" dxfId="264" priority="229" operator="containsText" text="EN PROCESO">
      <formula>NOT(ISERROR(SEARCH("EN PROCESO",W314)))</formula>
    </cfRule>
    <cfRule type="containsText" dxfId="263" priority="230" operator="containsText" text="ENVIADO">
      <formula>NOT(ISERROR(SEARCH("ENVIADO",W314)))</formula>
    </cfRule>
    <cfRule type="containsText" dxfId="262" priority="231" operator="containsText" text="EN PROCESO">
      <formula>NOT(ISERROR(SEARCH("EN PROCESO",W314)))</formula>
    </cfRule>
    <cfRule type="containsText" dxfId="261" priority="232" operator="containsText" text="ENVIADO">
      <formula>NOT(ISERROR(SEARCH("ENVIADO",W314)))</formula>
    </cfRule>
  </conditionalFormatting>
  <conditionalFormatting sqref="W314:W328">
    <cfRule type="containsText" dxfId="260" priority="233" operator="containsText" text="EN PROCESO">
      <formula>NOT(ISERROR(SEARCH("EN PROCESO",W314)))</formula>
    </cfRule>
    <cfRule type="containsText" dxfId="259" priority="234" operator="containsText" text="ENVIADO">
      <formula>NOT(ISERROR(SEARCH("ENVIADO",W314)))</formula>
    </cfRule>
  </conditionalFormatting>
  <conditionalFormatting sqref="W315:W337">
    <cfRule type="containsText" dxfId="258" priority="341" operator="containsText" text="EN PROCESO">
      <formula>NOT(ISERROR(SEARCH("EN PROCESO",W315)))</formula>
    </cfRule>
    <cfRule type="containsText" dxfId="257" priority="342" operator="containsText" text="ENVIADO">
      <formula>NOT(ISERROR(SEARCH("ENVIADO",W315)))</formula>
    </cfRule>
  </conditionalFormatting>
  <conditionalFormatting sqref="W315:W384">
    <cfRule type="containsText" dxfId="256" priority="315" operator="containsText" text="EN PROCESO">
      <formula>NOT(ISERROR(SEARCH("EN PROCESO",W315)))</formula>
    </cfRule>
    <cfRule type="containsText" dxfId="255" priority="316" operator="containsText" text="ENVIADO">
      <formula>NOT(ISERROR(SEARCH("ENVIADO",W315)))</formula>
    </cfRule>
  </conditionalFormatting>
  <conditionalFormatting sqref="W338:W408">
    <cfRule type="containsText" dxfId="254" priority="407" operator="containsText" text="EN PROCESO">
      <formula>NOT(ISERROR(SEARCH("EN PROCESO",W338)))</formula>
    </cfRule>
    <cfRule type="containsText" dxfId="253" priority="408" operator="containsText" text="ENVIADO">
      <formula>NOT(ISERROR(SEARCH("ENVIADO",W338)))</formula>
    </cfRule>
  </conditionalFormatting>
  <conditionalFormatting sqref="W338:W409">
    <cfRule type="containsText" dxfId="252" priority="225" operator="containsText" text="EN PROCESO">
      <formula>NOT(ISERROR(SEARCH("EN PROCESO",W338)))</formula>
    </cfRule>
    <cfRule type="containsText" dxfId="251" priority="226" operator="containsText" text="ENVIADO">
      <formula>NOT(ISERROR(SEARCH("ENVIADO",W338)))</formula>
    </cfRule>
  </conditionalFormatting>
  <conditionalFormatting sqref="W385">
    <cfRule type="containsText" dxfId="250" priority="221" operator="containsText" text="EN PROCESO">
      <formula>NOT(ISERROR(SEARCH("EN PROCESO",W385)))</formula>
    </cfRule>
    <cfRule type="containsText" dxfId="249" priority="222" operator="containsText" text="ENVIADO">
      <formula>NOT(ISERROR(SEARCH("ENVIADO",W385)))</formula>
    </cfRule>
    <cfRule type="containsText" dxfId="248" priority="223" operator="containsText" text="EN PROCESO">
      <formula>NOT(ISERROR(SEARCH("EN PROCESO",W385)))</formula>
    </cfRule>
    <cfRule type="containsText" dxfId="247" priority="224" operator="containsText" text="ENVIADO">
      <formula>NOT(ISERROR(SEARCH("ENVIADO",W385)))</formula>
    </cfRule>
  </conditionalFormatting>
  <conditionalFormatting sqref="W446:W450">
    <cfRule type="containsText" dxfId="246" priority="215" operator="containsText" text="EN PROCESO">
      <formula>NOT(ISERROR(SEARCH("EN PROCESO",W446)))</formula>
    </cfRule>
    <cfRule type="containsText" dxfId="245" priority="216" operator="containsText" text="ENVIADO">
      <formula>NOT(ISERROR(SEARCH("ENVIADO",W446)))</formula>
    </cfRule>
    <cfRule type="containsText" dxfId="244" priority="217" operator="containsText" text="EN PROCESO">
      <formula>NOT(ISERROR(SEARCH("EN PROCESO",W446)))</formula>
    </cfRule>
    <cfRule type="containsText" dxfId="243" priority="218" operator="containsText" text="ENVIADO">
      <formula>NOT(ISERROR(SEARCH("ENVIADO",W446)))</formula>
    </cfRule>
  </conditionalFormatting>
  <conditionalFormatting sqref="W446:W452">
    <cfRule type="containsText" dxfId="242" priority="219" operator="containsText" text="EN PROCESO">
      <formula>NOT(ISERROR(SEARCH("EN PROCESO",W446)))</formula>
    </cfRule>
    <cfRule type="containsText" dxfId="241" priority="220" operator="containsText" text="ENVIADO">
      <formula>NOT(ISERROR(SEARCH("ENVIADO",W446)))</formula>
    </cfRule>
  </conditionalFormatting>
  <conditionalFormatting sqref="W453:W454">
    <cfRule type="containsText" dxfId="240" priority="207" operator="containsText" text="EN PROCESO">
      <formula>NOT(ISERROR(SEARCH("EN PROCESO",W453)))</formula>
    </cfRule>
    <cfRule type="containsText" dxfId="239" priority="208" operator="containsText" text="ENVIADO">
      <formula>NOT(ISERROR(SEARCH("ENVIADO",W453)))</formula>
    </cfRule>
    <cfRule type="containsText" dxfId="238" priority="209" operator="containsText" text="EN PROCESO">
      <formula>NOT(ISERROR(SEARCH("EN PROCESO",W453)))</formula>
    </cfRule>
    <cfRule type="containsText" dxfId="237" priority="210" operator="containsText" text="ENVIADO">
      <formula>NOT(ISERROR(SEARCH("ENVIADO",W453)))</formula>
    </cfRule>
    <cfRule type="containsText" dxfId="236" priority="211" operator="containsText" text="EN PROCESO">
      <formula>NOT(ISERROR(SEARCH("EN PROCESO",W453)))</formula>
    </cfRule>
    <cfRule type="containsText" dxfId="235" priority="212" operator="containsText" text="ENVIADO">
      <formula>NOT(ISERROR(SEARCH("ENVIADO",W453)))</formula>
    </cfRule>
  </conditionalFormatting>
  <conditionalFormatting sqref="W453:W468">
    <cfRule type="containsText" dxfId="234" priority="213" operator="containsText" text="EN PROCESO">
      <formula>NOT(ISERROR(SEARCH("EN PROCESO",W453)))</formula>
    </cfRule>
    <cfRule type="containsText" dxfId="233" priority="214" operator="containsText" text="ENVIADO">
      <formula>NOT(ISERROR(SEARCH("ENVIADO",W453)))</formula>
    </cfRule>
  </conditionalFormatting>
  <conditionalFormatting sqref="W455">
    <cfRule type="containsText" dxfId="232" priority="339" operator="containsText" text="EN PROCESO">
      <formula>NOT(ISERROR(SEARCH("EN PROCESO",W455)))</formula>
    </cfRule>
    <cfRule type="containsText" dxfId="231" priority="340" operator="containsText" text="ENVIADO">
      <formula>NOT(ISERROR(SEARCH("ENVIADO",W455)))</formula>
    </cfRule>
  </conditionalFormatting>
  <conditionalFormatting sqref="W456:W483">
    <cfRule type="containsText" dxfId="230" priority="205" operator="containsText" text="EN PROCESO">
      <formula>NOT(ISERROR(SEARCH("EN PROCESO",W456)))</formula>
    </cfRule>
    <cfRule type="containsText" dxfId="229" priority="206" operator="containsText" text="ENVIADO">
      <formula>NOT(ISERROR(SEARCH("ENVIADO",W456)))</formula>
    </cfRule>
  </conditionalFormatting>
  <conditionalFormatting sqref="W469">
    <cfRule type="containsText" dxfId="228" priority="199" operator="containsText" text="EN PROCESO">
      <formula>NOT(ISERROR(SEARCH("EN PROCESO",W469)))</formula>
    </cfRule>
    <cfRule type="containsText" dxfId="227" priority="200" operator="containsText" text="ENVIADO">
      <formula>NOT(ISERROR(SEARCH("ENVIADO",W469)))</formula>
    </cfRule>
    <cfRule type="containsText" dxfId="226" priority="201" operator="containsText" text="EN PROCESO">
      <formula>NOT(ISERROR(SEARCH("EN PROCESO",W469)))</formula>
    </cfRule>
    <cfRule type="containsText" dxfId="225" priority="202" operator="containsText" text="ENVIADO">
      <formula>NOT(ISERROR(SEARCH("ENVIADO",W469)))</formula>
    </cfRule>
    <cfRule type="containsText" dxfId="224" priority="203" operator="containsText" text="EN PROCESO">
      <formula>NOT(ISERROR(SEARCH("EN PROCESO",W469)))</formula>
    </cfRule>
    <cfRule type="containsText" dxfId="223" priority="204" operator="containsText" text="ENVIADO">
      <formula>NOT(ISERROR(SEARCH("ENVIADO",W469)))</formula>
    </cfRule>
  </conditionalFormatting>
  <conditionalFormatting sqref="W470:W483">
    <cfRule type="containsText" dxfId="222" priority="313" operator="containsText" text="EN PROCESO">
      <formula>NOT(ISERROR(SEARCH("EN PROCESO",W470)))</formula>
    </cfRule>
    <cfRule type="containsText" dxfId="221" priority="314" operator="containsText" text="ENVIADO">
      <formula>NOT(ISERROR(SEARCH("ENVIADO",W470)))</formula>
    </cfRule>
  </conditionalFormatting>
  <conditionalFormatting sqref="W484">
    <cfRule type="containsText" dxfId="220" priority="191" operator="containsText" text="EN PROCESO">
      <formula>NOT(ISERROR(SEARCH("EN PROCESO",W484)))</formula>
    </cfRule>
    <cfRule type="containsText" dxfId="219" priority="192" operator="containsText" text="ENVIADO">
      <formula>NOT(ISERROR(SEARCH("ENVIADO",W484)))</formula>
    </cfRule>
    <cfRule type="containsText" dxfId="218" priority="193" operator="containsText" text="EN PROCESO">
      <formula>NOT(ISERROR(SEARCH("EN PROCESO",W484)))</formula>
    </cfRule>
    <cfRule type="containsText" dxfId="217" priority="194" operator="containsText" text="ENVIADO">
      <formula>NOT(ISERROR(SEARCH("ENVIADO",W484)))</formula>
    </cfRule>
    <cfRule type="containsText" dxfId="216" priority="195" operator="containsText" text="EN PROCESO">
      <formula>NOT(ISERROR(SEARCH("EN PROCESO",W484)))</formula>
    </cfRule>
    <cfRule type="containsText" dxfId="215" priority="196" operator="containsText" text="ENVIADO">
      <formula>NOT(ISERROR(SEARCH("ENVIADO",W484)))</formula>
    </cfRule>
  </conditionalFormatting>
  <conditionalFormatting sqref="W484:W518">
    <cfRule type="containsText" dxfId="214" priority="197" operator="containsText" text="EN PROCESO">
      <formula>NOT(ISERROR(SEARCH("EN PROCESO",W484)))</formula>
    </cfRule>
    <cfRule type="containsText" dxfId="213" priority="198" operator="containsText" text="ENVIADO">
      <formula>NOT(ISERROR(SEARCH("ENVIADO",W484)))</formula>
    </cfRule>
  </conditionalFormatting>
  <conditionalFormatting sqref="W485:W518">
    <cfRule type="containsText" dxfId="212" priority="311" operator="containsText" text="EN PROCESO">
      <formula>NOT(ISERROR(SEARCH("EN PROCESO",W485)))</formula>
    </cfRule>
    <cfRule type="containsText" dxfId="211" priority="312" operator="containsText" text="ENVIADO">
      <formula>NOT(ISERROR(SEARCH("ENVIADO",W485)))</formula>
    </cfRule>
  </conditionalFormatting>
  <conditionalFormatting sqref="W519">
    <cfRule type="containsText" dxfId="210" priority="183" operator="containsText" text="EN PROCESO">
      <formula>NOT(ISERROR(SEARCH("EN PROCESO",W519)))</formula>
    </cfRule>
    <cfRule type="containsText" dxfId="209" priority="184" operator="containsText" text="ENVIADO">
      <formula>NOT(ISERROR(SEARCH("ENVIADO",W519)))</formula>
    </cfRule>
    <cfRule type="containsText" dxfId="208" priority="185" operator="containsText" text="EN PROCESO">
      <formula>NOT(ISERROR(SEARCH("EN PROCESO",W519)))</formula>
    </cfRule>
    <cfRule type="containsText" dxfId="207" priority="186" operator="containsText" text="ENVIADO">
      <formula>NOT(ISERROR(SEARCH("ENVIADO",W519)))</formula>
    </cfRule>
    <cfRule type="containsText" dxfId="206" priority="187" operator="containsText" text="EN PROCESO">
      <formula>NOT(ISERROR(SEARCH("EN PROCESO",W519)))</formula>
    </cfRule>
    <cfRule type="containsText" dxfId="205" priority="188" operator="containsText" text="ENVIADO">
      <formula>NOT(ISERROR(SEARCH("ENVIADO",W519)))</formula>
    </cfRule>
  </conditionalFormatting>
  <conditionalFormatting sqref="W519:W520">
    <cfRule type="containsText" dxfId="204" priority="189" operator="containsText" text="EN PROCESO">
      <formula>NOT(ISERROR(SEARCH("EN PROCESO",W519)))</formula>
    </cfRule>
    <cfRule type="containsText" dxfId="203" priority="190" operator="containsText" text="ENVIADO">
      <formula>NOT(ISERROR(SEARCH("ENVIADO",W519)))</formula>
    </cfRule>
  </conditionalFormatting>
  <conditionalFormatting sqref="W520:W532">
    <cfRule type="containsText" dxfId="202" priority="309" operator="containsText" text="EN PROCESO">
      <formula>NOT(ISERROR(SEARCH("EN PROCESO",W520)))</formula>
    </cfRule>
    <cfRule type="containsText" dxfId="201" priority="310" operator="containsText" text="ENVIADO">
      <formula>NOT(ISERROR(SEARCH("ENVIADO",W520)))</formula>
    </cfRule>
  </conditionalFormatting>
  <conditionalFormatting sqref="W521:W522">
    <cfRule type="containsText" dxfId="200" priority="337" operator="containsText" text="EN PROCESO">
      <formula>NOT(ISERROR(SEARCH("EN PROCESO",W521)))</formula>
    </cfRule>
    <cfRule type="containsText" dxfId="199" priority="338" operator="containsText" text="ENVIADO">
      <formula>NOT(ISERROR(SEARCH("ENVIADO",W521)))</formula>
    </cfRule>
  </conditionalFormatting>
  <conditionalFormatting sqref="W522">
    <cfRule type="containsText" dxfId="198" priority="409" operator="containsText" text="EN PROCESO">
      <formula>NOT(ISERROR(SEARCH("EN PROCESO",W522)))</formula>
    </cfRule>
    <cfRule type="containsText" dxfId="197" priority="410" operator="containsText" text="ENVIADO">
      <formula>NOT(ISERROR(SEARCH("ENVIADO",W522)))</formula>
    </cfRule>
  </conditionalFormatting>
  <conditionalFormatting sqref="W522:W531">
    <cfRule type="containsText" dxfId="196" priority="307" operator="containsText" text="EN PROCESO">
      <formula>NOT(ISERROR(SEARCH("EN PROCESO",W522)))</formula>
    </cfRule>
    <cfRule type="containsText" dxfId="195" priority="308" operator="containsText" text="ENVIADO">
      <formula>NOT(ISERROR(SEARCH("ENVIADO",W522)))</formula>
    </cfRule>
  </conditionalFormatting>
  <conditionalFormatting sqref="W522:W546">
    <cfRule type="containsText" dxfId="194" priority="411" operator="containsText" text="EN PROCESO">
      <formula>NOT(ISERROR(SEARCH("EN PROCESO",W522)))</formula>
    </cfRule>
    <cfRule type="containsText" dxfId="193" priority="412" operator="containsText" text="ENVIADO">
      <formula>NOT(ISERROR(SEARCH("ENVIADO",W522)))</formula>
    </cfRule>
  </conditionalFormatting>
  <conditionalFormatting sqref="W532">
    <cfRule type="containsText" dxfId="192" priority="335" operator="containsText" text="EN PROCESO">
      <formula>NOT(ISERROR(SEARCH("EN PROCESO",W532)))</formula>
    </cfRule>
    <cfRule type="containsText" dxfId="191" priority="336" operator="containsText" text="ENVIADO">
      <formula>NOT(ISERROR(SEARCH("ENVIADO",W532)))</formula>
    </cfRule>
  </conditionalFormatting>
  <conditionalFormatting sqref="W533:W540">
    <cfRule type="containsText" dxfId="190" priority="305" operator="containsText" text="EN PROCESO">
      <formula>NOT(ISERROR(SEARCH("EN PROCESO",W533)))</formula>
    </cfRule>
    <cfRule type="containsText" dxfId="189" priority="306" operator="containsText" text="ENVIADO">
      <formula>NOT(ISERROR(SEARCH("ENVIADO",W533)))</formula>
    </cfRule>
  </conditionalFormatting>
  <conditionalFormatting sqref="W533:W543">
    <cfRule type="containsText" dxfId="188" priority="181" operator="containsText" text="EN PROCESO">
      <formula>NOT(ISERROR(SEARCH("EN PROCESO",W533)))</formula>
    </cfRule>
    <cfRule type="containsText" dxfId="187" priority="182" operator="containsText" text="ENVIADO">
      <formula>NOT(ISERROR(SEARCH("ENVIADO",W533)))</formula>
    </cfRule>
  </conditionalFormatting>
  <conditionalFormatting sqref="W541">
    <cfRule type="containsText" dxfId="186" priority="173" operator="containsText" text="EN PROCESO">
      <formula>NOT(ISERROR(SEARCH("EN PROCESO",W541)))</formula>
    </cfRule>
    <cfRule type="containsText" dxfId="185" priority="174" operator="containsText" text="ENVIADO">
      <formula>NOT(ISERROR(SEARCH("ENVIADO",W541)))</formula>
    </cfRule>
    <cfRule type="containsText" dxfId="184" priority="175" operator="containsText" text="EN PROCESO">
      <formula>NOT(ISERROR(SEARCH("EN PROCESO",W541)))</formula>
    </cfRule>
    <cfRule type="containsText" dxfId="183" priority="176" operator="containsText" text="ENVIADO">
      <formula>NOT(ISERROR(SEARCH("ENVIADO",W541)))</formula>
    </cfRule>
    <cfRule type="containsText" dxfId="182" priority="177" operator="containsText" text="EN PROCESO">
      <formula>NOT(ISERROR(SEARCH("EN PROCESO",W541)))</formula>
    </cfRule>
    <cfRule type="containsText" dxfId="181" priority="178" operator="containsText" text="ENVIADO">
      <formula>NOT(ISERROR(SEARCH("ENVIADO",W541)))</formula>
    </cfRule>
    <cfRule type="containsText" dxfId="180" priority="179" operator="containsText" text="EN PROCESO">
      <formula>NOT(ISERROR(SEARCH("EN PROCESO",W541)))</formula>
    </cfRule>
    <cfRule type="containsText" dxfId="179" priority="180" operator="containsText" text="ENVIADO">
      <formula>NOT(ISERROR(SEARCH("ENVIADO",W541)))</formula>
    </cfRule>
  </conditionalFormatting>
  <conditionalFormatting sqref="W542:W543">
    <cfRule type="containsText" dxfId="178" priority="303" operator="containsText" text="EN PROCESO">
      <formula>NOT(ISERROR(SEARCH("EN PROCESO",W542)))</formula>
    </cfRule>
    <cfRule type="containsText" dxfId="177" priority="304" operator="containsText" text="ENVIADO">
      <formula>NOT(ISERROR(SEARCH("ENVIADO",W542)))</formula>
    </cfRule>
  </conditionalFormatting>
  <conditionalFormatting sqref="W544">
    <cfRule type="containsText" dxfId="176" priority="163" operator="containsText" text="EN PROCESO">
      <formula>NOT(ISERROR(SEARCH("EN PROCESO",W544)))</formula>
    </cfRule>
    <cfRule type="containsText" dxfId="175" priority="164" operator="containsText" text="ENVIADO">
      <formula>NOT(ISERROR(SEARCH("ENVIADO",W544)))</formula>
    </cfRule>
    <cfRule type="containsText" dxfId="174" priority="165" operator="containsText" text="EN PROCESO">
      <formula>NOT(ISERROR(SEARCH("EN PROCESO",W544)))</formula>
    </cfRule>
    <cfRule type="containsText" dxfId="173" priority="166" operator="containsText" text="ENVIADO">
      <formula>NOT(ISERROR(SEARCH("ENVIADO",W544)))</formula>
    </cfRule>
    <cfRule type="containsText" dxfId="172" priority="167" operator="containsText" text="EN PROCESO">
      <formula>NOT(ISERROR(SEARCH("EN PROCESO",W544)))</formula>
    </cfRule>
    <cfRule type="containsText" dxfId="171" priority="168" operator="containsText" text="ENVIADO">
      <formula>NOT(ISERROR(SEARCH("ENVIADO",W544)))</formula>
    </cfRule>
    <cfRule type="containsText" dxfId="170" priority="169" operator="containsText" text="EN PROCESO">
      <formula>NOT(ISERROR(SEARCH("EN PROCESO",W544)))</formula>
    </cfRule>
    <cfRule type="containsText" dxfId="169" priority="170" operator="containsText" text="ENVIADO">
      <formula>NOT(ISERROR(SEARCH("ENVIADO",W544)))</formula>
    </cfRule>
    <cfRule type="containsText" dxfId="168" priority="171" operator="containsText" text="EN PROCESO">
      <formula>NOT(ISERROR(SEARCH("EN PROCESO",W544)))</formula>
    </cfRule>
    <cfRule type="containsText" dxfId="167" priority="172" operator="containsText" text="ENVIADO">
      <formula>NOT(ISERROR(SEARCH("ENVIADO",W544)))</formula>
    </cfRule>
  </conditionalFormatting>
  <conditionalFormatting sqref="W545">
    <cfRule type="containsText" dxfId="166" priority="333" operator="containsText" text="EN PROCESO">
      <formula>NOT(ISERROR(SEARCH("EN PROCESO",W545)))</formula>
    </cfRule>
    <cfRule type="containsText" dxfId="165" priority="334" operator="containsText" text="ENVIADO">
      <formula>NOT(ISERROR(SEARCH("ENVIADO",W545)))</formula>
    </cfRule>
  </conditionalFormatting>
  <conditionalFormatting sqref="W545:W547">
    <cfRule type="containsText" dxfId="164" priority="301" operator="containsText" text="EN PROCESO">
      <formula>NOT(ISERROR(SEARCH("EN PROCESO",W545)))</formula>
    </cfRule>
    <cfRule type="containsText" dxfId="163" priority="302" operator="containsText" text="ENVIADO">
      <formula>NOT(ISERROR(SEARCH("ENVIADO",W545)))</formula>
    </cfRule>
  </conditionalFormatting>
  <conditionalFormatting sqref="W546">
    <cfRule type="containsText" dxfId="162" priority="299" operator="containsText" text="EN PROCESO">
      <formula>NOT(ISERROR(SEARCH("EN PROCESO",W546)))</formula>
    </cfRule>
    <cfRule type="containsText" dxfId="161" priority="300" operator="containsText" text="ENVIADO">
      <formula>NOT(ISERROR(SEARCH("ENVIADO",W546)))</formula>
    </cfRule>
  </conditionalFormatting>
  <conditionalFormatting sqref="W547">
    <cfRule type="containsText" dxfId="160" priority="331" operator="containsText" text="EN PROCESO">
      <formula>NOT(ISERROR(SEARCH("EN PROCESO",W547)))</formula>
    </cfRule>
    <cfRule type="containsText" dxfId="159" priority="332" operator="containsText" text="ENVIADO">
      <formula>NOT(ISERROR(SEARCH("ENVIADO",W547)))</formula>
    </cfRule>
  </conditionalFormatting>
  <conditionalFormatting sqref="W548">
    <cfRule type="containsText" dxfId="158" priority="293" operator="containsText" text="EN PROCESO">
      <formula>NOT(ISERROR(SEARCH("EN PROCESO",W548)))</formula>
    </cfRule>
    <cfRule type="containsText" dxfId="157" priority="294" operator="containsText" text="ENVIADO">
      <formula>NOT(ISERROR(SEARCH("ENVIADO",W548)))</formula>
    </cfRule>
    <cfRule type="containsText" dxfId="156" priority="295" operator="containsText" text="EN PROCESO">
      <formula>NOT(ISERROR(SEARCH("EN PROCESO",W548)))</formula>
    </cfRule>
    <cfRule type="containsText" dxfId="155" priority="296" operator="containsText" text="ENVIADO">
      <formula>NOT(ISERROR(SEARCH("ENVIADO",W548)))</formula>
    </cfRule>
    <cfRule type="containsText" dxfId="154" priority="297" operator="containsText" text="EN PROCESO">
      <formula>NOT(ISERROR(SEARCH("EN PROCESO",W548)))</formula>
    </cfRule>
    <cfRule type="containsText" dxfId="153" priority="298" operator="containsText" text="ENVIADO">
      <formula>NOT(ISERROR(SEARCH("ENVIADO",W548)))</formula>
    </cfRule>
  </conditionalFormatting>
  <conditionalFormatting sqref="W548:W563">
    <cfRule type="containsText" dxfId="152" priority="287" operator="containsText" text="EN PROCESO">
      <formula>NOT(ISERROR(SEARCH("EN PROCESO",W548)))</formula>
    </cfRule>
    <cfRule type="containsText" dxfId="151" priority="288" operator="containsText" text="ENVIADO">
      <formula>NOT(ISERROR(SEARCH("ENVIADO",W548)))</formula>
    </cfRule>
    <cfRule type="containsText" dxfId="150" priority="289" operator="containsText" text="EN PROCESO">
      <formula>NOT(ISERROR(SEARCH("EN PROCESO",W548)))</formula>
    </cfRule>
    <cfRule type="containsText" dxfId="149" priority="290" operator="containsText" text="ENVIADO">
      <formula>NOT(ISERROR(SEARCH("ENVIADO",W548)))</formula>
    </cfRule>
  </conditionalFormatting>
  <conditionalFormatting sqref="W548:W564">
    <cfRule type="containsText" dxfId="148" priority="291" operator="containsText" text="EN PROCESO">
      <formula>NOT(ISERROR(SEARCH("EN PROCESO",W548)))</formula>
    </cfRule>
    <cfRule type="containsText" dxfId="147" priority="292" operator="containsText" text="ENVIADO">
      <formula>NOT(ISERROR(SEARCH("ENVIADO",W548)))</formula>
    </cfRule>
  </conditionalFormatting>
  <conditionalFormatting sqref="W564">
    <cfRule type="containsText" dxfId="146" priority="329" operator="containsText" text="EN PROCESO">
      <formula>NOT(ISERROR(SEARCH("EN PROCESO",W564)))</formula>
    </cfRule>
    <cfRule type="containsText" dxfId="145" priority="330" operator="containsText" text="ENVIADO">
      <formula>NOT(ISERROR(SEARCH("ENVIADO",W564)))</formula>
    </cfRule>
  </conditionalFormatting>
  <conditionalFormatting sqref="W565">
    <cfRule type="containsText" dxfId="144" priority="281" operator="containsText" text="EN PROCESO">
      <formula>NOT(ISERROR(SEARCH("EN PROCESO",W565)))</formula>
    </cfRule>
    <cfRule type="containsText" dxfId="143" priority="282" operator="containsText" text="ENVIADO">
      <formula>NOT(ISERROR(SEARCH("ENVIADO",W565)))</formula>
    </cfRule>
    <cfRule type="containsText" dxfId="142" priority="283" operator="containsText" text="EN PROCESO">
      <formula>NOT(ISERROR(SEARCH("EN PROCESO",W565)))</formula>
    </cfRule>
    <cfRule type="containsText" dxfId="141" priority="284" operator="containsText" text="ENVIADO">
      <formula>NOT(ISERROR(SEARCH("ENVIADO",W565)))</formula>
    </cfRule>
  </conditionalFormatting>
  <conditionalFormatting sqref="W565:W566">
    <cfRule type="containsText" dxfId="140" priority="285" operator="containsText" text="EN PROCESO">
      <formula>NOT(ISERROR(SEARCH("EN PROCESO",W565)))</formula>
    </cfRule>
    <cfRule type="containsText" dxfId="139" priority="286" operator="containsText" text="ENVIADO">
      <formula>NOT(ISERROR(SEARCH("ENVIADO",W565)))</formula>
    </cfRule>
  </conditionalFormatting>
  <conditionalFormatting sqref="W566">
    <cfRule type="containsText" dxfId="138" priority="327" operator="containsText" text="EN PROCESO">
      <formula>NOT(ISERROR(SEARCH("EN PROCESO",W566)))</formula>
    </cfRule>
    <cfRule type="containsText" dxfId="137" priority="328" operator="containsText" text="ENVIADO">
      <formula>NOT(ISERROR(SEARCH("ENVIADO",W566)))</formula>
    </cfRule>
    <cfRule type="containsText" dxfId="136" priority="383" operator="containsText" text="EN PROCESO">
      <formula>NOT(ISERROR(SEARCH("EN PROCESO",W566)))</formula>
    </cfRule>
    <cfRule type="containsText" dxfId="135" priority="384" operator="containsText" text="ENVIADO">
      <formula>NOT(ISERROR(SEARCH("ENVIADO",W566)))</formula>
    </cfRule>
    <cfRule type="containsText" dxfId="134" priority="385" operator="containsText" text="EN PROCESO">
      <formula>NOT(ISERROR(SEARCH("EN PROCESO",W566)))</formula>
    </cfRule>
    <cfRule type="containsText" dxfId="133" priority="386" operator="containsText" text="ENVIADO">
      <formula>NOT(ISERROR(SEARCH("ENVIADO",W566)))</formula>
    </cfRule>
  </conditionalFormatting>
  <conditionalFormatting sqref="W581:W589">
    <cfRule type="containsText" dxfId="132" priority="279" operator="containsText" text="EN PROCESO">
      <formula>NOT(ISERROR(SEARCH("EN PROCESO",W581)))</formula>
    </cfRule>
    <cfRule type="containsText" dxfId="131" priority="280" operator="containsText" text="ENVIADO">
      <formula>NOT(ISERROR(SEARCH("ENVIADO",W581)))</formula>
    </cfRule>
  </conditionalFormatting>
  <conditionalFormatting sqref="W582:W589">
    <cfRule type="containsText" dxfId="130" priority="277" operator="containsText" text="EN PROCESO">
      <formula>NOT(ISERROR(SEARCH("EN PROCESO",W582)))</formula>
    </cfRule>
    <cfRule type="containsText" dxfId="129" priority="278" operator="containsText" text="ENVIADO">
      <formula>NOT(ISERROR(SEARCH("ENVIADO",W582)))</formula>
    </cfRule>
  </conditionalFormatting>
  <conditionalFormatting sqref="W582:W590">
    <cfRule type="containsText" dxfId="128" priority="161" operator="containsText" text="EN PROCESO">
      <formula>NOT(ISERROR(SEARCH("EN PROCESO",W582)))</formula>
    </cfRule>
    <cfRule type="containsText" dxfId="127" priority="162" operator="containsText" text="ENVIADO">
      <formula>NOT(ISERROR(SEARCH("ENVIADO",W582)))</formula>
    </cfRule>
  </conditionalFormatting>
  <conditionalFormatting sqref="W590">
    <cfRule type="containsText" dxfId="126" priority="153" operator="containsText" text="EN PROCESO">
      <formula>NOT(ISERROR(SEARCH("EN PROCESO",W590)))</formula>
    </cfRule>
    <cfRule type="containsText" dxfId="125" priority="154" operator="containsText" text="ENVIADO">
      <formula>NOT(ISERROR(SEARCH("ENVIADO",W590)))</formula>
    </cfRule>
    <cfRule type="containsText" dxfId="124" priority="155" operator="containsText" text="EN PROCESO">
      <formula>NOT(ISERROR(SEARCH("EN PROCESO",W590)))</formula>
    </cfRule>
    <cfRule type="containsText" dxfId="123" priority="156" operator="containsText" text="ENVIADO">
      <formula>NOT(ISERROR(SEARCH("ENVIADO",W590)))</formula>
    </cfRule>
    <cfRule type="containsText" dxfId="122" priority="157" operator="containsText" text="EN PROCESO">
      <formula>NOT(ISERROR(SEARCH("EN PROCESO",W590)))</formula>
    </cfRule>
    <cfRule type="containsText" dxfId="121" priority="158" operator="containsText" text="ENVIADO">
      <formula>NOT(ISERROR(SEARCH("ENVIADO",W590)))</formula>
    </cfRule>
    <cfRule type="containsText" dxfId="120" priority="159" operator="containsText" text="EN PROCESO">
      <formula>NOT(ISERROR(SEARCH("EN PROCESO",W590)))</formula>
    </cfRule>
    <cfRule type="containsText" dxfId="119" priority="160" operator="containsText" text="ENVIADO">
      <formula>NOT(ISERROR(SEARCH("ENVIADO",W590)))</formula>
    </cfRule>
  </conditionalFormatting>
  <conditionalFormatting sqref="W591:W596">
    <cfRule type="containsText" dxfId="118" priority="275" operator="containsText" text="EN PROCESO">
      <formula>NOT(ISERROR(SEARCH("EN PROCESO",W591)))</formula>
    </cfRule>
    <cfRule type="containsText" dxfId="117" priority="276" operator="containsText" text="ENVIADO">
      <formula>NOT(ISERROR(SEARCH("ENVIADO",W591)))</formula>
    </cfRule>
  </conditionalFormatting>
  <conditionalFormatting sqref="W592:W595">
    <cfRule type="containsText" dxfId="116" priority="273" operator="containsText" text="EN PROCESO">
      <formula>NOT(ISERROR(SEARCH("EN PROCESO",W592)))</formula>
    </cfRule>
    <cfRule type="containsText" dxfId="115" priority="274" operator="containsText" text="ENVIADO">
      <formula>NOT(ISERROR(SEARCH("ENVIADO",W592)))</formula>
    </cfRule>
  </conditionalFormatting>
  <conditionalFormatting sqref="W597:W603">
    <cfRule type="containsText" dxfId="114" priority="269" operator="containsText" text="EN PROCESO">
      <formula>NOT(ISERROR(SEARCH("EN PROCESO",W597)))</formula>
    </cfRule>
    <cfRule type="containsText" dxfId="113" priority="270" operator="containsText" text="ENVIADO">
      <formula>NOT(ISERROR(SEARCH("ENVIADO",W597)))</formula>
    </cfRule>
    <cfRule type="containsText" dxfId="112" priority="271" operator="containsText" text="EN PROCESO">
      <formula>NOT(ISERROR(SEARCH("EN PROCESO",W597)))</formula>
    </cfRule>
    <cfRule type="containsText" dxfId="111" priority="272" operator="containsText" text="ENVIADO">
      <formula>NOT(ISERROR(SEARCH("ENVIADO",W597)))</formula>
    </cfRule>
  </conditionalFormatting>
  <conditionalFormatting sqref="W597:W606">
    <cfRule type="containsText" dxfId="110" priority="151" operator="containsText" text="EN PROCESO">
      <formula>NOT(ISERROR(SEARCH("EN PROCESO",W597)))</formula>
    </cfRule>
    <cfRule type="containsText" dxfId="109" priority="152" operator="containsText" text="ENVIADO">
      <formula>NOT(ISERROR(SEARCH("ENVIADO",W597)))</formula>
    </cfRule>
  </conditionalFormatting>
  <conditionalFormatting sqref="W604">
    <cfRule type="containsText" dxfId="108" priority="143" operator="containsText" text="EN PROCESO">
      <formula>NOT(ISERROR(SEARCH("EN PROCESO",W604)))</formula>
    </cfRule>
    <cfRule type="containsText" dxfId="107" priority="144" operator="containsText" text="ENVIADO">
      <formula>NOT(ISERROR(SEARCH("ENVIADO",W604)))</formula>
    </cfRule>
    <cfRule type="containsText" dxfId="106" priority="145" operator="containsText" text="EN PROCESO">
      <formula>NOT(ISERROR(SEARCH("EN PROCESO",W604)))</formula>
    </cfRule>
    <cfRule type="containsText" dxfId="105" priority="146" operator="containsText" text="ENVIADO">
      <formula>NOT(ISERROR(SEARCH("ENVIADO",W604)))</formula>
    </cfRule>
    <cfRule type="containsText" dxfId="104" priority="147" operator="containsText" text="EN PROCESO">
      <formula>NOT(ISERROR(SEARCH("EN PROCESO",W604)))</formula>
    </cfRule>
    <cfRule type="containsText" dxfId="103" priority="148" operator="containsText" text="ENVIADO">
      <formula>NOT(ISERROR(SEARCH("ENVIADO",W604)))</formula>
    </cfRule>
    <cfRule type="containsText" dxfId="102" priority="149" operator="containsText" text="EN PROCESO">
      <formula>NOT(ISERROR(SEARCH("EN PROCESO",W604)))</formula>
    </cfRule>
    <cfRule type="containsText" dxfId="101" priority="150" operator="containsText" text="ENVIADO">
      <formula>NOT(ISERROR(SEARCH("ENVIADO",W604)))</formula>
    </cfRule>
  </conditionalFormatting>
  <conditionalFormatting sqref="W605:W606">
    <cfRule type="containsText" dxfId="100" priority="265" operator="containsText" text="EN PROCESO">
      <formula>NOT(ISERROR(SEARCH("EN PROCESO",W605)))</formula>
    </cfRule>
    <cfRule type="containsText" dxfId="99" priority="266" operator="containsText" text="ENVIADO">
      <formula>NOT(ISERROR(SEARCH("ENVIADO",W605)))</formula>
    </cfRule>
  </conditionalFormatting>
  <conditionalFormatting sqref="W605:W607">
    <cfRule type="containsText" dxfId="98" priority="267" operator="containsText" text="EN PROCESO">
      <formula>NOT(ISERROR(SEARCH("EN PROCESO",W605)))</formula>
    </cfRule>
    <cfRule type="containsText" dxfId="97" priority="268" operator="containsText" text="ENVIADO">
      <formula>NOT(ISERROR(SEARCH("ENVIADO",W605)))</formula>
    </cfRule>
  </conditionalFormatting>
  <conditionalFormatting sqref="W607">
    <cfRule type="containsText" dxfId="96" priority="325" operator="containsText" text="EN PROCESO">
      <formula>NOT(ISERROR(SEARCH("EN PROCESO",W607)))</formula>
    </cfRule>
    <cfRule type="containsText" dxfId="95" priority="326" operator="containsText" text="ENVIADO">
      <formula>NOT(ISERROR(SEARCH("ENVIADO",W607)))</formula>
    </cfRule>
  </conditionalFormatting>
  <conditionalFormatting sqref="W608:W613">
    <cfRule type="containsText" dxfId="94" priority="259" operator="containsText" text="EN PROCESO">
      <formula>NOT(ISERROR(SEARCH("EN PROCESO",W608)))</formula>
    </cfRule>
    <cfRule type="containsText" dxfId="93" priority="260" operator="containsText" text="ENVIADO">
      <formula>NOT(ISERROR(SEARCH("ENVIADO",W608)))</formula>
    </cfRule>
    <cfRule type="containsText" dxfId="92" priority="261" operator="containsText" text="EN PROCESO">
      <formula>NOT(ISERROR(SEARCH("EN PROCESO",W608)))</formula>
    </cfRule>
    <cfRule type="containsText" dxfId="91" priority="262" operator="containsText" text="ENVIADO">
      <formula>NOT(ISERROR(SEARCH("ENVIADO",W608)))</formula>
    </cfRule>
    <cfRule type="containsText" dxfId="90" priority="263" operator="containsText" text="EN PROCESO">
      <formula>NOT(ISERROR(SEARCH("EN PROCESO",W608)))</formula>
    </cfRule>
    <cfRule type="containsText" dxfId="89" priority="264" operator="containsText" text="ENVIADO">
      <formula>NOT(ISERROR(SEARCH("ENVIADO",W608)))</formula>
    </cfRule>
  </conditionalFormatting>
  <conditionalFormatting sqref="W610 Z2:AA613">
    <cfRule type="containsText" dxfId="88" priority="413" operator="containsText" text="SI">
      <formula>NOT(ISERROR(SEARCH("SI",W2)))</formula>
    </cfRule>
  </conditionalFormatting>
  <conditionalFormatting sqref="W1:X1">
    <cfRule type="containsText" dxfId="87" priority="1722" operator="containsText" text="ENVIADO">
      <formula>NOT(ISERROR(SEARCH("ENVIADO",W1)))</formula>
    </cfRule>
  </conditionalFormatting>
  <conditionalFormatting sqref="W1:X115 T2:T63 X116 W117:X613 T596">
    <cfRule type="containsText" dxfId="86" priority="137" operator="containsText" text="EN PROCESO">
      <formula>NOT(ISERROR(SEARCH("EN PROCESO",T1)))</formula>
    </cfRule>
  </conditionalFormatting>
  <conditionalFormatting sqref="W243:X276 W517:X518">
    <cfRule type="containsText" dxfId="85" priority="371" operator="containsText" text="EN PROCESO">
      <formula>NOT(ISERROR(SEARCH("EN PROCESO",W243)))</formula>
    </cfRule>
    <cfRule type="containsText" dxfId="84" priority="372" operator="containsText" text="ENVIADO">
      <formula>NOT(ISERROR(SEARCH("ENVIADO",W243)))</formula>
    </cfRule>
  </conditionalFormatting>
  <conditionalFormatting sqref="W292:X292">
    <cfRule type="containsText" dxfId="83" priority="349" operator="containsText" text="EN PROCESO">
      <formula>NOT(ISERROR(SEARCH("EN PROCESO",W292)))</formula>
    </cfRule>
    <cfRule type="containsText" dxfId="82" priority="350" operator="containsText" text="ENVIADO">
      <formula>NOT(ISERROR(SEARCH("ENVIADO",W292)))</formula>
    </cfRule>
  </conditionalFormatting>
  <conditionalFormatting sqref="W396:X409">
    <cfRule type="containsText" dxfId="81" priority="363" operator="containsText" text="EN PROCESO">
      <formula>NOT(ISERROR(SEARCH("EN PROCESO",W396)))</formula>
    </cfRule>
    <cfRule type="containsText" dxfId="80" priority="364" operator="containsText" text="ENVIADO">
      <formula>NOT(ISERROR(SEARCH("ENVIADO",W396)))</formula>
    </cfRule>
  </conditionalFormatting>
  <conditionalFormatting sqref="W519:X519">
    <cfRule type="containsText" dxfId="79" priority="31" operator="containsText" text="EN REVISIÓN CENTRAL">
      <formula>NOT(ISERROR(SEARCH("EN REVISIÓN CENTRAL",W519)))</formula>
    </cfRule>
    <cfRule type="containsText" dxfId="78" priority="32" operator="containsText" text="ENVIADO A LA CE/UM">
      <formula>NOT(ISERROR(SEARCH("ENVIADO A LA CE/UM",W519)))</formula>
    </cfRule>
  </conditionalFormatting>
  <conditionalFormatting sqref="W520:X520 W533:X533">
    <cfRule type="containsText" dxfId="77" priority="369" operator="containsText" text="EN PROCESO">
      <formula>NOT(ISERROR(SEARCH("EN PROCESO",W520)))</formula>
    </cfRule>
    <cfRule type="containsText" dxfId="76" priority="370" operator="containsText" text="ENVIADO">
      <formula>NOT(ISERROR(SEARCH("ENVIADO",W520)))</formula>
    </cfRule>
  </conditionalFormatting>
  <conditionalFormatting sqref="W523:X523 W536:X536">
    <cfRule type="containsText" dxfId="75" priority="361" operator="containsText" text="EN PROCESO">
      <formula>NOT(ISERROR(SEARCH("EN PROCESO",W523)))</formula>
    </cfRule>
    <cfRule type="containsText" dxfId="74" priority="362" operator="containsText" text="ENVIADO">
      <formula>NOT(ISERROR(SEARCH("ENVIADO",W523)))</formula>
    </cfRule>
  </conditionalFormatting>
  <conditionalFormatting sqref="W564:X564">
    <cfRule type="containsText" dxfId="73" priority="359" operator="containsText" text="EN PROCESO">
      <formula>NOT(ISERROR(SEARCH("EN PROCESO",W564)))</formula>
    </cfRule>
    <cfRule type="containsText" dxfId="72" priority="360" operator="containsText" text="ENVIADO">
      <formula>NOT(ISERROR(SEARCH("ENVIADO",W564)))</formula>
    </cfRule>
  </conditionalFormatting>
  <conditionalFormatting sqref="W586:X586 W599:X599">
    <cfRule type="containsText" dxfId="71" priority="357" operator="containsText" text="EN PROCESO">
      <formula>NOT(ISERROR(SEARCH("EN PROCESO",W586)))</formula>
    </cfRule>
    <cfRule type="containsText" dxfId="70" priority="358" operator="containsText" text="ENVIADO">
      <formula>NOT(ISERROR(SEARCH("ENVIADO",W586)))</formula>
    </cfRule>
  </conditionalFormatting>
  <conditionalFormatting sqref="X41:X43">
    <cfRule type="containsText" dxfId="69" priority="387" operator="containsText" text="EN PROCESO">
      <formula>NOT(ISERROR(SEARCH("EN PROCESO",X41)))</formula>
    </cfRule>
    <cfRule type="containsText" dxfId="68" priority="388" operator="containsText" text="ENVIADO">
      <formula>NOT(ISERROR(SEARCH("ENVIADO",X41)))</formula>
    </cfRule>
    <cfRule type="containsText" dxfId="67" priority="389" operator="containsText" text="EN PROCESO">
      <formula>NOT(ISERROR(SEARCH("EN PROCESO",X41)))</formula>
    </cfRule>
    <cfRule type="containsText" dxfId="66" priority="390" operator="containsText" text="ENVIADO">
      <formula>NOT(ISERROR(SEARCH("ENVIADO",X41)))</formula>
    </cfRule>
    <cfRule type="containsText" dxfId="65" priority="391" operator="containsText" text="EN PROCESO">
      <formula>NOT(ISERROR(SEARCH("EN PROCESO",X41)))</formula>
    </cfRule>
    <cfRule type="containsText" dxfId="64" priority="392" operator="containsText" text="ENVIADO">
      <formula>NOT(ISERROR(SEARCH("ENVIADO",X41)))</formula>
    </cfRule>
    <cfRule type="containsText" dxfId="63" priority="393" operator="containsText" text="EN PROCESO">
      <formula>NOT(ISERROR(SEARCH("EN PROCESO",X41)))</formula>
    </cfRule>
    <cfRule type="containsText" dxfId="62" priority="394" operator="containsText" text="ENVIADO">
      <formula>NOT(ISERROR(SEARCH("ENVIADO",X41)))</formula>
    </cfRule>
  </conditionalFormatting>
  <conditionalFormatting sqref="X46 X63">
    <cfRule type="containsText" dxfId="61" priority="373" operator="containsText" text="EN PROCESO">
      <formula>NOT(ISERROR(SEARCH("EN PROCESO",X46)))</formula>
    </cfRule>
    <cfRule type="containsText" dxfId="60" priority="374" operator="containsText" text="ENVIADO">
      <formula>NOT(ISERROR(SEARCH("ENVIADO",X46)))</formula>
    </cfRule>
    <cfRule type="containsText" dxfId="59" priority="375" operator="containsText" text="EN PROCESO">
      <formula>NOT(ISERROR(SEARCH("EN PROCESO",X46)))</formula>
    </cfRule>
    <cfRule type="containsText" dxfId="58" priority="376" operator="containsText" text="ENVIADO">
      <formula>NOT(ISERROR(SEARCH("ENVIADO",X46)))</formula>
    </cfRule>
  </conditionalFormatting>
  <conditionalFormatting sqref="X146">
    <cfRule type="containsText" dxfId="57" priority="367" operator="containsText" text="EN PROCESO">
      <formula>NOT(ISERROR(SEARCH("EN PROCESO",X146)))</formula>
    </cfRule>
    <cfRule type="containsText" dxfId="56" priority="368" operator="containsText" text="ENVIADO">
      <formula>NOT(ISERROR(SEARCH("ENVIADO",X146)))</formula>
    </cfRule>
  </conditionalFormatting>
  <conditionalFormatting sqref="X146:X164">
    <cfRule type="containsText" dxfId="55" priority="365" operator="containsText" text="EN PROCESO">
      <formula>NOT(ISERROR(SEARCH("EN PROCESO",X146)))</formula>
    </cfRule>
    <cfRule type="containsText" dxfId="54" priority="366" operator="containsText" text="ENVIADO">
      <formula>NOT(ISERROR(SEARCH("ENVIADO",X146)))</formula>
    </cfRule>
  </conditionalFormatting>
  <conditionalFormatting sqref="X241:X276">
    <cfRule type="containsText" dxfId="53" priority="401" operator="containsText" text="EN PROCESO">
      <formula>NOT(ISERROR(SEARCH("EN PROCESO",X241)))</formula>
    </cfRule>
    <cfRule type="containsText" dxfId="52" priority="402" operator="containsText" text="ENVIADO">
      <formula>NOT(ISERROR(SEARCH("ENVIADO",X241)))</formula>
    </cfRule>
  </conditionalFormatting>
  <conditionalFormatting sqref="X266:X283">
    <cfRule type="containsText" dxfId="51" priority="399" operator="containsText" text="EN PROCESO">
      <formula>NOT(ISERROR(SEARCH("EN PROCESO",X266)))</formula>
    </cfRule>
    <cfRule type="containsText" dxfId="50" priority="400" operator="containsText" text="ENVIADO">
      <formula>NOT(ISERROR(SEARCH("ENVIADO",X266)))</formula>
    </cfRule>
  </conditionalFormatting>
  <conditionalFormatting sqref="X277:X283">
    <cfRule type="containsText" dxfId="49" priority="397" operator="containsText" text="EN PROCESO">
      <formula>NOT(ISERROR(SEARCH("EN PROCESO",X277)))</formula>
    </cfRule>
    <cfRule type="containsText" dxfId="48" priority="398" operator="containsText" text="ENVIADO">
      <formula>NOT(ISERROR(SEARCH("ENVIADO",X277)))</formula>
    </cfRule>
  </conditionalFormatting>
  <conditionalFormatting sqref="X292">
    <cfRule type="containsText" dxfId="47" priority="395" operator="containsText" text="EN PROCESO">
      <formula>NOT(ISERROR(SEARCH("EN PROCESO",X292)))</formula>
    </cfRule>
    <cfRule type="containsText" dxfId="46" priority="396" operator="containsText" text="ENVIADO">
      <formula>NOT(ISERROR(SEARCH("ENVIADO",X292)))</formula>
    </cfRule>
  </conditionalFormatting>
  <conditionalFormatting sqref="X292:X299">
    <cfRule type="containsText" dxfId="45" priority="139" operator="containsText" text="EN PROCESO">
      <formula>NOT(ISERROR(SEARCH("EN PROCESO",X292)))</formula>
    </cfRule>
    <cfRule type="containsText" dxfId="44" priority="140" operator="containsText" text="ENVIADO">
      <formula>NOT(ISERROR(SEARCH("ENVIADO",X292)))</formula>
    </cfRule>
  </conditionalFormatting>
  <conditionalFormatting sqref="X299:X301">
    <cfRule type="containsText" dxfId="43" priority="141" operator="containsText" text="EN PROCESO">
      <formula>NOT(ISERROR(SEARCH("EN PROCESO",X299)))</formula>
    </cfRule>
    <cfRule type="containsText" dxfId="42" priority="142" operator="containsText" text="ENVIADO">
      <formula>NOT(ISERROR(SEARCH("ENVIADO",X299)))</formula>
    </cfRule>
  </conditionalFormatting>
  <conditionalFormatting sqref="X302:X613 W385:W522 T104:T105">
    <cfRule type="containsText" dxfId="41" priority="117" operator="containsText" text="EN PROCESO">
      <formula>NOT(ISERROR(SEARCH("EN PROCESO",T104)))</formula>
    </cfRule>
  </conditionalFormatting>
  <conditionalFormatting sqref="Y1:Y613">
    <cfRule type="containsText" dxfId="40" priority="415" operator="containsText" text="CONCLUIDAS">
      <formula>NOT(ISERROR(SEARCH("CONCLUIDAS",Y1)))</formula>
    </cfRule>
    <cfRule type="containsText" dxfId="39" priority="416" operator="containsText" text="PROGRAMADAS">
      <formula>NOT(ISERROR(SEARCH("PROGRAMADAS",Y1)))</formula>
    </cfRule>
  </conditionalFormatting>
  <conditionalFormatting sqref="W610 Z2:AA613">
    <cfRule type="containsText" dxfId="38" priority="414" operator="containsText" text="NO">
      <formula>NOT(ISERROR(SEARCH("NO",W2)))</formula>
    </cfRule>
  </conditionalFormatting>
  <conditionalFormatting sqref="Z1:AA1 AD1:AE1">
    <cfRule type="containsText" dxfId="37" priority="2117" operator="containsText" text="SI">
      <formula>NOT(ISERROR(SEARCH("SI",Z1)))</formula>
    </cfRule>
    <cfRule type="containsText" dxfId="36" priority="2118" operator="containsText" text="NO">
      <formula>NOT(ISERROR(SEARCH("NO",Z1)))</formula>
    </cfRule>
  </conditionalFormatting>
  <conditionalFormatting sqref="AD614">
    <cfRule type="containsText" dxfId="35" priority="1685" operator="containsText" text="SI">
      <formula>NOT(ISERROR(SEARCH("SI",AD614)))</formula>
    </cfRule>
    <cfRule type="containsText" dxfId="34" priority="1686" operator="containsText" text="NO">
      <formula>NOT(ISERROR(SEARCH("NO",AD614)))</formula>
    </cfRule>
  </conditionalFormatting>
  <conditionalFormatting sqref="AE2:AE613">
    <cfRule type="dataBar" priority="4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4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G1">
    <cfRule type="dataBar" priority="163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H1:AI1">
    <cfRule type="containsText" dxfId="33" priority="7813" operator="containsText" text="EN PROCESO">
      <formula>NOT(ISERROR(SEARCH("EN PROCESO",AH1)))</formula>
    </cfRule>
    <cfRule type="containsText" dxfId="32" priority="7814" operator="containsText" text="ENVIADO">
      <formula>NOT(ISERROR(SEARCH("ENVIADO",AH1)))</formula>
    </cfRule>
    <cfRule type="containsText" dxfId="31" priority="7815" operator="containsText" text="CONCLUIDO">
      <formula>NOT(ISERROR(SEARCH("CONCLUIDO",AH1)))</formula>
    </cfRule>
  </conditionalFormatting>
  <conditionalFormatting sqref="AB3:AB614">
    <cfRule type="containsText" dxfId="3" priority="1" operator="containsText" text="SI">
      <formula>NOT(ISERROR(SEARCH("SI",AB3)))</formula>
    </cfRule>
  </conditionalFormatting>
  <conditionalFormatting sqref="AB3:AB614">
    <cfRule type="containsText" dxfId="2" priority="2" operator="containsText" text="NO">
      <formula>NOT(ISERROR(SEARCH("NO",AB3)))</formula>
    </cfRule>
  </conditionalFormatting>
  <conditionalFormatting sqref="AB1:AC1">
    <cfRule type="containsText" dxfId="1" priority="3" operator="containsText" text="SI">
      <formula>NOT(ISERROR(SEARCH("SI",AB1)))</formula>
    </cfRule>
    <cfRule type="containsText" dxfId="0" priority="4" operator="containsText" text="NO">
      <formula>NOT(ISERROR(SEARCH("NO",AB1)))</formula>
    </cfRule>
  </conditionalFormatting>
  <dataValidations count="11">
    <dataValidation type="list" allowBlank="1" showInputMessage="1" showErrorMessage="1" sqref="T610 V286:V287" xr:uid="{653A9C7C-47E2-4EC6-87FC-005BA5CFAC71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5A508C60-64DE-471B-B603-4D23B30D4DE5}">
      <formula1>"EN PROCESO,CONCLUIDO"</formula1>
    </dataValidation>
    <dataValidation type="list" allowBlank="1" showInputMessage="1" showErrorMessage="1" sqref="Q610 S2:S613" xr:uid="{62BB361F-178A-4068-BD8B-54F55B655413}">
      <formula1>"ENVIADO A LA CE/UM,ENTREGADO/REVISIÓN,ENVIADO A TICS"</formula1>
    </dataValidation>
    <dataValidation type="list" allowBlank="1" showInputMessage="1" showErrorMessage="1" sqref="Y2:Y613" xr:uid="{2303CBE9-3DCE-4D6E-A617-6AFD21B8BC80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85BE5407-0D2B-47E2-9ED9-A2D6E34CBC6E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42590A7D-E405-4AA0-BA2F-2A92D882ADFF}">
      <formula1>"ENVIADO A LA CE/UM,EN REVISIÓN CENTRAL,CONCLUIDO, NO APLICA"</formula1>
    </dataValidation>
    <dataValidation type="list" allowBlank="1" showInputMessage="1" showErrorMessage="1" sqref="AA2:AA613" xr:uid="{AEA98556-DD43-4137-858F-E8849C8D3273}">
      <formula1>"SI,NO,NO APLICA"</formula1>
    </dataValidation>
    <dataValidation type="list" allowBlank="1" showInputMessage="1" showErrorMessage="1" sqref="W520:W613 W49:W115 W117:W518" xr:uid="{5E8F7AD9-6628-4138-8DEA-C81613DC72FA}">
      <formula1>"EN PROCESO,CONCLUIDO,NO APLICA"</formula1>
    </dataValidation>
    <dataValidation type="list" allowBlank="1" showInputMessage="1" showErrorMessage="1" sqref="W2:W6 W8:W48" xr:uid="{76FCF917-C68C-4EDF-9D82-0765A3CBC111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A2D0E1CB-1B9D-4EF0-8B06-905105F44A03}">
      <formula1>"EN PROCESO,CONCLUIDO, NO APLICA"</formula1>
    </dataValidation>
    <dataValidation type="list" allowBlank="1" showInputMessage="1" showErrorMessage="1" sqref="Z2:Z613" xr:uid="{168238ED-C358-456F-9D38-751CA292815C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AE2:AE613</xm:sqref>
        </x14:conditionalFormatting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AG1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30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1">
        <v>95</v>
      </c>
      <c r="E2" s="108">
        <v>58</v>
      </c>
      <c r="F2" s="132">
        <v>0</v>
      </c>
      <c r="G2" s="108">
        <v>49</v>
      </c>
      <c r="H2" s="131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1">
        <v>722</v>
      </c>
      <c r="E3" s="108">
        <v>97</v>
      </c>
      <c r="F3" s="132">
        <v>0</v>
      </c>
      <c r="G3" s="109">
        <v>245</v>
      </c>
      <c r="H3" s="131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1">
        <v>0</v>
      </c>
      <c r="E4" s="109">
        <v>104</v>
      </c>
      <c r="F4" s="131">
        <v>104</v>
      </c>
      <c r="G4" s="109">
        <v>106</v>
      </c>
      <c r="H4" s="131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2">
        <v>0</v>
      </c>
      <c r="E5" s="108">
        <v>21</v>
      </c>
      <c r="F5" s="132">
        <v>15</v>
      </c>
      <c r="G5" s="109">
        <v>60</v>
      </c>
      <c r="H5" s="131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1">
        <v>700</v>
      </c>
      <c r="E6" s="111">
        <v>216</v>
      </c>
      <c r="F6" s="131">
        <v>216</v>
      </c>
      <c r="G6" s="109">
        <v>221</v>
      </c>
      <c r="H6" s="131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1">
        <v>349</v>
      </c>
      <c r="E7" s="111">
        <v>188</v>
      </c>
      <c r="F7" s="131">
        <v>188</v>
      </c>
      <c r="G7" s="109">
        <v>170</v>
      </c>
      <c r="H7" s="131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1">
        <v>200</v>
      </c>
      <c r="E8" s="108">
        <v>67</v>
      </c>
      <c r="F8" s="132">
        <v>0</v>
      </c>
      <c r="G8" s="108">
        <v>0</v>
      </c>
      <c r="H8" s="132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1">
        <v>347</v>
      </c>
      <c r="E9" s="108">
        <v>35</v>
      </c>
      <c r="F9" s="132">
        <v>0</v>
      </c>
      <c r="G9" s="108">
        <v>0</v>
      </c>
      <c r="H9" s="132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1">
        <v>175</v>
      </c>
      <c r="E10" s="108">
        <v>51</v>
      </c>
      <c r="F10" s="131">
        <v>51</v>
      </c>
      <c r="G10" s="109">
        <v>18</v>
      </c>
      <c r="H10" s="131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1">
        <v>486</v>
      </c>
      <c r="E11" s="108">
        <v>77</v>
      </c>
      <c r="F11" s="132">
        <v>0</v>
      </c>
      <c r="G11" s="108">
        <v>0</v>
      </c>
      <c r="H11" s="132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1">
        <v>332</v>
      </c>
      <c r="E12" s="108">
        <v>25</v>
      </c>
      <c r="F12" s="132">
        <v>17</v>
      </c>
      <c r="G12" s="109">
        <v>20</v>
      </c>
      <c r="H12" s="131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2">
        <v>0</v>
      </c>
      <c r="E13" s="108">
        <v>63</v>
      </c>
      <c r="F13" s="132">
        <v>0</v>
      </c>
      <c r="G13" s="109">
        <v>113</v>
      </c>
      <c r="H13" s="131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2">
        <v>0</v>
      </c>
      <c r="E14" s="108">
        <v>31</v>
      </c>
      <c r="F14" s="132">
        <v>0</v>
      </c>
      <c r="G14" s="109">
        <v>100</v>
      </c>
      <c r="H14" s="131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2">
        <v>0</v>
      </c>
      <c r="E15" s="108">
        <v>61</v>
      </c>
      <c r="F15" s="132">
        <v>0</v>
      </c>
      <c r="G15" s="109">
        <v>36</v>
      </c>
      <c r="H15" s="131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2">
        <v>0</v>
      </c>
      <c r="E16" s="108">
        <v>26</v>
      </c>
      <c r="F16" s="132">
        <v>0</v>
      </c>
      <c r="G16" s="108">
        <v>197</v>
      </c>
      <c r="H16" s="131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1">
        <v>185</v>
      </c>
      <c r="E17" s="108">
        <v>135</v>
      </c>
      <c r="F17" s="132">
        <v>99</v>
      </c>
      <c r="G17" s="109">
        <v>244</v>
      </c>
      <c r="H17" s="131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2">
        <v>0</v>
      </c>
      <c r="E18" s="108">
        <v>162</v>
      </c>
      <c r="F18" s="132">
        <v>3</v>
      </c>
      <c r="G18" s="108">
        <v>0</v>
      </c>
      <c r="H18" s="132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2">
        <v>0</v>
      </c>
      <c r="E19" s="108">
        <v>154</v>
      </c>
      <c r="F19" s="132">
        <v>0</v>
      </c>
      <c r="G19" s="108">
        <v>0</v>
      </c>
      <c r="H19" s="132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2">
        <v>0</v>
      </c>
      <c r="E20" s="108">
        <v>125</v>
      </c>
      <c r="F20" s="132">
        <v>15</v>
      </c>
      <c r="G20" s="108">
        <v>48</v>
      </c>
      <c r="H20" s="131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2">
        <v>0</v>
      </c>
      <c r="E21" s="108">
        <v>223</v>
      </c>
      <c r="F21" s="132">
        <v>0</v>
      </c>
      <c r="G21" s="108">
        <v>34</v>
      </c>
      <c r="H21" s="131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2">
        <v>0</v>
      </c>
      <c r="E22" s="108">
        <v>175</v>
      </c>
      <c r="F22" s="132">
        <v>0</v>
      </c>
      <c r="G22" s="108">
        <v>86</v>
      </c>
      <c r="H22" s="131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2">
        <v>0</v>
      </c>
      <c r="E23" s="108">
        <v>317</v>
      </c>
      <c r="F23" s="132">
        <v>301</v>
      </c>
      <c r="G23" s="108">
        <v>521</v>
      </c>
      <c r="H23" s="131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2">
        <v>0</v>
      </c>
      <c r="E24" s="108">
        <v>355</v>
      </c>
      <c r="F24" s="132">
        <v>0</v>
      </c>
      <c r="G24" s="108">
        <v>324</v>
      </c>
      <c r="H24" s="131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3">
        <v>0</v>
      </c>
      <c r="E25" s="111">
        <v>82</v>
      </c>
      <c r="F25" s="136">
        <v>71</v>
      </c>
      <c r="G25" s="111">
        <v>70</v>
      </c>
      <c r="H25" s="135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3">
        <v>0</v>
      </c>
      <c r="E26" s="111">
        <v>269</v>
      </c>
      <c r="F26" s="136">
        <v>119</v>
      </c>
      <c r="G26" s="111">
        <v>441</v>
      </c>
      <c r="H26" s="133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2">
        <v>0</v>
      </c>
      <c r="E27" s="108">
        <v>6</v>
      </c>
      <c r="F27" s="132">
        <v>0</v>
      </c>
      <c r="G27" s="108">
        <v>0</v>
      </c>
      <c r="H27" s="132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1">
        <v>114</v>
      </c>
      <c r="E28" s="111">
        <v>0</v>
      </c>
      <c r="F28" s="136"/>
      <c r="G28" s="109">
        <v>52</v>
      </c>
      <c r="H28" s="131">
        <v>52</v>
      </c>
    </row>
    <row r="29" spans="1:8" ht="15" x14ac:dyDescent="0.35">
      <c r="B29" s="106" t="s">
        <v>26</v>
      </c>
      <c r="C29" s="109">
        <v>1000</v>
      </c>
      <c r="D29" s="134">
        <v>1000</v>
      </c>
      <c r="E29" s="108">
        <v>39</v>
      </c>
      <c r="F29" s="137">
        <v>34</v>
      </c>
      <c r="G29" s="109">
        <v>698</v>
      </c>
      <c r="H29" s="134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30" priority="27"/>
  </conditionalFormatting>
  <conditionalFormatting sqref="Q611">
    <cfRule type="containsText" dxfId="29" priority="10" operator="containsText" text="ENVIADO A TICS">
      <formula>NOT(ISERROR(SEARCH("ENVIADO A TICS",Q611)))</formula>
    </cfRule>
    <cfRule type="containsText" dxfId="28" priority="11" operator="containsText" text="ENTREGADO/REVISIÓN">
      <formula>NOT(ISERROR(SEARCH("ENTREGADO/REVISIÓN",Q611)))</formula>
    </cfRule>
    <cfRule type="containsText" dxfId="27" priority="12" operator="containsText" text="ENVIADO A LA CE/UM">
      <formula>NOT(ISERROR(SEARCH("ENVIADO A LA CE/UM",Q611)))</formula>
    </cfRule>
  </conditionalFormatting>
  <conditionalFormatting sqref="R611">
    <cfRule type="containsText" dxfId="26" priority="9" operator="containsText" text="EN PROCESO">
      <formula>NOT(ISERROR(SEARCH("EN PROCESO",R611)))</formula>
    </cfRule>
  </conditionalFormatting>
  <conditionalFormatting sqref="R611:U611 T1:W610">
    <cfRule type="containsText" dxfId="25" priority="18" operator="containsText" text="CONCLUIDO">
      <formula>NOT(ISERROR(SEARCH("CONCLUIDO",R1)))</formula>
    </cfRule>
  </conditionalFormatting>
  <conditionalFormatting sqref="S1:S610">
    <cfRule type="containsText" dxfId="24" priority="24" operator="containsText" text="ENVIADO A TICS">
      <formula>NOT(ISERROR(SEARCH("ENVIADO A TICS",S1)))</formula>
    </cfRule>
    <cfRule type="containsText" dxfId="23" priority="25" operator="containsText" text="ENTREGADO/REVISIÓN">
      <formula>NOT(ISERROR(SEARCH("ENTREGADO/REVISIÓN",S1)))</formula>
    </cfRule>
    <cfRule type="containsText" dxfId="22" priority="26" operator="containsText" text="ENVIADO A LA CE/UM">
      <formula>NOT(ISERROR(SEARCH("ENVIADO A LA CE/UM",S1)))</formula>
    </cfRule>
  </conditionalFormatting>
  <conditionalFormatting sqref="S611:T611">
    <cfRule type="containsText" dxfId="21" priority="7" operator="containsText" text="EN REVISIÓN CENTRAL">
      <formula>NOT(ISERROR(SEARCH("EN REVISIÓN CENTRAL",S611)))</formula>
    </cfRule>
    <cfRule type="containsText" dxfId="20" priority="8" operator="containsText" text="ENVIADO A LA CE/UM">
      <formula>NOT(ISERROR(SEARCH("ENVIADO A LA CE/UM",S611)))</formula>
    </cfRule>
  </conditionalFormatting>
  <conditionalFormatting sqref="T1:T610">
    <cfRule type="containsText" dxfId="19" priority="23" operator="containsText" text="EN PROCESO">
      <formula>NOT(ISERROR(SEARCH("EN PROCESO",T1)))</formula>
    </cfRule>
  </conditionalFormatting>
  <conditionalFormatting sqref="U1">
    <cfRule type="containsText" dxfId="18" priority="28" operator="containsText" text="ENVIADO A LA CE/UM">
      <formula>NOT(ISERROR(SEARCH("ENVIADO A LA CE/UM",U1)))</formula>
    </cfRule>
  </conditionalFormatting>
  <conditionalFormatting sqref="U611">
    <cfRule type="containsText" dxfId="17" priority="5" operator="containsText" text="EN PROCESO">
      <formula>NOT(ISERROR(SEARCH("EN PROCESO",U611)))</formula>
    </cfRule>
    <cfRule type="containsText" dxfId="16" priority="6" operator="containsText" text="ENVIADO">
      <formula>NOT(ISERROR(SEARCH("ENVIADO",U611)))</formula>
    </cfRule>
  </conditionalFormatting>
  <conditionalFormatting sqref="U1:V610">
    <cfRule type="containsText" dxfId="15" priority="21" operator="containsText" text="EN REVISIÓN CENTRAL">
      <formula>NOT(ISERROR(SEARCH("EN REVISIÓN CENTRAL",U1)))</formula>
    </cfRule>
  </conditionalFormatting>
  <conditionalFormatting sqref="U2:V610">
    <cfRule type="containsText" dxfId="14" priority="22" operator="containsText" text="ENVIADO A LA CE/UM">
      <formula>NOT(ISERROR(SEARCH("ENVIADO A LA CE/UM",U2)))</formula>
    </cfRule>
  </conditionalFormatting>
  <conditionalFormatting sqref="V611">
    <cfRule type="containsText" dxfId="13" priority="3" operator="containsText" text="CONCLUIDAS">
      <formula>NOT(ISERROR(SEARCH("CONCLUIDAS",V611)))</formula>
    </cfRule>
    <cfRule type="containsText" dxfId="12" priority="4" operator="containsText" text="PROGRAMADAS">
      <formula>NOT(ISERROR(SEARCH("PROGRAMADAS",V611)))</formula>
    </cfRule>
  </conditionalFormatting>
  <conditionalFormatting sqref="W1:W610">
    <cfRule type="containsText" dxfId="11" priority="19" operator="containsText" text="EN PROCESO">
      <formula>NOT(ISERROR(SEARCH("EN PROCESO",W1)))</formula>
    </cfRule>
    <cfRule type="containsText" dxfId="10" priority="20" operator="containsText" text="ENVIADO">
      <formula>NOT(ISERROR(SEARCH("ENVIADO",W1)))</formula>
    </cfRule>
  </conditionalFormatting>
  <conditionalFormatting sqref="W611:Z611">
    <cfRule type="containsText" dxfId="9" priority="1" operator="containsText" text="SI">
      <formula>NOT(ISERROR(SEARCH("SI",W611)))</formula>
    </cfRule>
    <cfRule type="containsText" dxfId="8" priority="2" operator="containsText" text="NO">
      <formula>NOT(ISERROR(SEARCH("NO",W611)))</formula>
    </cfRule>
  </conditionalFormatting>
  <conditionalFormatting sqref="X1:X610">
    <cfRule type="containsText" dxfId="7" priority="16" operator="containsText" text="CONCLUIDAS">
      <formula>NOT(ISERROR(SEARCH("CONCLUIDAS",X1)))</formula>
    </cfRule>
    <cfRule type="containsText" dxfId="6" priority="17" operator="containsText" text="PROGRAMADAS">
      <formula>NOT(ISERROR(SEARCH("PROGRAMADAS",X1)))</formula>
    </cfRule>
  </conditionalFormatting>
  <conditionalFormatting sqref="Y1:Z610">
    <cfRule type="containsText" dxfId="5" priority="14" operator="containsText" text="SI">
      <formula>NOT(ISERROR(SEARCH("SI",Y1)))</formula>
    </cfRule>
    <cfRule type="containsText" dxfId="4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2026-08-25T19:08:18Z</dcterms:modified>
</cp:coreProperties>
</file>