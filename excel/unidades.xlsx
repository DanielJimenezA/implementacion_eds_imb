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B0C6397-B340-4EFF-AA62-607F69B3A06E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Unidades!$A$1:$AG$614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tc={24544369-5023-435F-8335-88634B63A7CC}</author>
  </authors>
  <commentList>
    <comment ref="Q194" authorId="0" shapeId="0" xr:uid="{24544369-5023-435F-8335-88634B63A7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<sst xmlns="http://schemas.openxmlformats.org/spreadsheetml/2006/main" count="20032" uniqueCount="1872">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</sst>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</fonts>
  <fills count="26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7C8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  <xf numFmtId="0" fontId="14" fillId="25" borderId="1" xfId="0" applyFont="1" applyFill="1" applyBorder="1" applyAlignment="1">
      <alignment horizontal="center"/>
    </xf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24544369-5023-435F-8335-88634B63A7CC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965A71F6-B913-49D9-BA6C-70F1F4D89CB0}" parentId="{24544369-5023-435F-8335-88634B63A7CC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G561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37</v>
      </c>
      <c r="AA3" s="66" t="s">
        <v>37</v>
      </c>
      <c r="AB3" s="70" t="s">
        <v>1795</v>
      </c>
      <c r="AC3" s="87">
        <f t="shared" si="0"/>
        <v>0.94444444444444442</v>
      </c>
      <c r="AD3" s="91">
        <v>8</v>
      </c>
      <c r="AE3" s="103" t="s">
        <v>1830</v>
      </c>
      <c r="AF3">
        <f t="shared" ref="AF3:AF66" si="2">IF(OR(AND(Z3="SI",AA3="NO"),AND(Z3="NO",AA3="SI")),1,0)</f>
        <v>0</v>
      </c>
      <c r="AG3">
        <f t="shared" si="1"/>
        <v>1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>
        <f t="shared" si="2"/>
        <v>0</v>
      </c>
      <c r="AG6">
        <f t="shared" si="1"/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35</v>
      </c>
      <c r="V13" s="66" t="s">
        <v>35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0.55555555555555558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>
        <f t="shared" si="2"/>
        <v>0</v>
      </c>
      <c r="AG21">
        <f t="shared" si="1"/>
        <v>1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37</v>
      </c>
      <c r="AA22" s="66" t="s">
        <v>37</v>
      </c>
      <c r="AB22" s="67"/>
      <c r="AC22" s="87">
        <f t="shared" si="0"/>
        <v>1</v>
      </c>
      <c r="AD22" s="91">
        <v>9</v>
      </c>
      <c r="AE22" s="105" t="s">
        <v>1842</v>
      </c>
      <c r="AF22">
        <f t="shared" si="2"/>
        <v>0</v>
      </c>
      <c r="AG22">
        <f t="shared" si="1"/>
        <v>1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74</v>
      </c>
      <c r="AA80" s="66" t="s">
        <v>37</v>
      </c>
      <c r="AB80" s="73" t="s">
        <v>1864</v>
      </c>
      <c r="AC80" s="87">
        <f t="shared" si="3"/>
        <v>0.77777777777777779</v>
      </c>
      <c r="AD80" s="91">
        <v>2</v>
      </c>
      <c r="AE80" s="103" t="s">
        <v>1829</v>
      </c>
      <c r="AF80">
        <f t="shared" si="5"/>
        <v>1</v>
      </c>
      <c r="AG80">
        <f t="shared" si="4"/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3"/>
        <v>0.88888888888888884</v>
      </c>
      <c r="AD81" s="91">
        <v>2</v>
      </c>
      <c r="AE81" s="103" t="s">
        <v>1829</v>
      </c>
      <c r="AF81">
        <f t="shared" si="5"/>
        <v>1</v>
      </c>
      <c r="AG81">
        <f t="shared" si="4"/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>
        <f t="shared" si="5"/>
        <v>1</v>
      </c>
      <c r="AG130">
        <f t="shared" ref="AG130:AG193" si="7">IF(AND(OR(Z130="SI",Z130="NO APLICA"),OR(AA130="SI",AA130="NO APLICA")),1,0)</f>
        <v>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6"/>
        <v>0.83333333333333337</v>
      </c>
      <c r="AD135" s="91">
        <v>8</v>
      </c>
      <c r="AE135" s="103" t="s">
        <v>1830</v>
      </c>
      <c r="AF135">
        <f t="shared" si="8"/>
        <v>1</v>
      </c>
      <c r="AG135">
        <f t="shared" si="7"/>
        <v>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6"/>
        <v>1</v>
      </c>
      <c r="AD174" s="91">
        <v>1</v>
      </c>
      <c r="AE174" s="64" t="s">
        <v>1828</v>
      </c>
      <c r="AF174">
        <f t="shared" si="8"/>
        <v>0</v>
      </c>
      <c r="AG174">
        <f t="shared" si="7"/>
        <v>1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0.72222222222222221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0.72222222222222221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0.72222222222222221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0.72222222222222221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0.72222222222222221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0.72222222222222221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0.72222222222222221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0.72222222222222221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/>
      <c r="AA185" s="66"/>
      <c r="AB185" s="67"/>
      <c r="AC185" s="87">
        <f t="shared" si="6"/>
        <v>0.77777777777777779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 t="s">
        <v>1799</v>
      </c>
      <c r="Z190" s="66"/>
      <c r="AA190" s="66"/>
      <c r="AB190" s="67"/>
      <c r="AC190" s="87">
        <f t="shared" si="6"/>
        <v>0.29629629629629628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 t="s">
        <v>1799</v>
      </c>
      <c r="Z191" s="66"/>
      <c r="AA191" s="66"/>
      <c r="AB191" s="67"/>
      <c r="AC191" s="87">
        <f t="shared" si="6"/>
        <v>0.29629629629629628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/>
      <c r="AA192" s="66"/>
      <c r="AB192" s="67"/>
      <c r="AC192" s="87">
        <f t="shared" si="6"/>
        <v>0.66666666666666663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1799</v>
      </c>
      <c r="Z193" s="66"/>
      <c r="AA193" s="66"/>
      <c r="AB193" s="67"/>
      <c r="AC193" s="87">
        <f t="shared" si="6"/>
        <v>0.66666666666666663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1799</v>
      </c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0.66666666666666663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 t="s">
        <v>1799</v>
      </c>
      <c r="Z195" s="66"/>
      <c r="AA195" s="66"/>
      <c r="AB195" s="67"/>
      <c r="AC195" s="87">
        <f t="shared" si="9"/>
        <v>0.29629629629629628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 t="s">
        <v>1799</v>
      </c>
      <c r="Z196" s="66"/>
      <c r="AA196" s="66"/>
      <c r="AB196" s="67"/>
      <c r="AC196" s="87">
        <f t="shared" si="9"/>
        <v>0.29629629629629628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 t="s">
        <v>1799</v>
      </c>
      <c r="Z197" s="66"/>
      <c r="AA197" s="66"/>
      <c r="AB197" s="67"/>
      <c r="AC197" s="87">
        <f t="shared" si="9"/>
        <v>0.29629629629629628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1799</v>
      </c>
      <c r="Z198" s="66"/>
      <c r="AA198" s="66"/>
      <c r="AB198" s="67"/>
      <c r="AC198" s="87">
        <f t="shared" si="9"/>
        <v>0.66666666666666663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 t="s">
        <v>1799</v>
      </c>
      <c r="Z199" s="66"/>
      <c r="AA199" s="66"/>
      <c r="AB199" s="67"/>
      <c r="AC199" s="87">
        <f t="shared" si="9"/>
        <v>0.29629629629629628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1799</v>
      </c>
      <c r="Z200" s="66"/>
      <c r="AA200" s="66"/>
      <c r="AB200" s="67"/>
      <c r="AC200" s="87">
        <f t="shared" si="9"/>
        <v>0.66666666666666663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9"/>
        <v>0.24074074074074073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 t="s">
        <v>1799</v>
      </c>
      <c r="Z202" s="66"/>
      <c r="AA202" s="66"/>
      <c r="AB202" s="67"/>
      <c r="AC202" s="87">
        <f t="shared" si="9"/>
        <v>0.29629629629629628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9"/>
        <v>3.7037037037037035E-2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9"/>
        <v>3.7037037037037035E-2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9"/>
        <v>3.7037037037037035E-2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3.7037037037037035E-2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9"/>
        <v>3.7037037037037035E-2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9"/>
        <v>3.7037037037037035E-2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9"/>
        <v>3.7037037037037035E-2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3.7037037037037035E-2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3.7037037037037035E-2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3.7037037037037035E-2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3.7037037037037035E-2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3.7037037037037035E-2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3.7037037037037035E-2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3.7037037037037035E-2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3.7037037037037035E-2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9"/>
        <v>0.31481481481481477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0.55555555555555558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 t="s">
        <v>175</v>
      </c>
      <c r="X224" s="66" t="s">
        <v>175</v>
      </c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 t="s">
        <v>175</v>
      </c>
      <c r="X226" s="66" t="s">
        <v>175</v>
      </c>
      <c r="Y226" s="66"/>
      <c r="Z226" s="66"/>
      <c r="AA226" s="66"/>
      <c r="AB226" s="67"/>
      <c r="AC226" s="87">
        <f t="shared" si="12"/>
        <v>0.5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35</v>
      </c>
      <c r="V227" s="66" t="s">
        <v>35</v>
      </c>
      <c r="W227" s="66" t="s">
        <v>175</v>
      </c>
      <c r="X227" s="66" t="s">
        <v>175</v>
      </c>
      <c r="Y227" s="66"/>
      <c r="Z227" s="66"/>
      <c r="AA227" s="66"/>
      <c r="AB227" s="67"/>
      <c r="AC227" s="87">
        <f t="shared" si="12"/>
        <v>0.5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35</v>
      </c>
      <c r="V228" s="66" t="s">
        <v>35</v>
      </c>
      <c r="W228" s="66" t="s">
        <v>175</v>
      </c>
      <c r="X228" s="66" t="s">
        <v>175</v>
      </c>
      <c r="Y228" s="66"/>
      <c r="Z228" s="66"/>
      <c r="AA228" s="66"/>
      <c r="AB228" s="67"/>
      <c r="AC228" s="87">
        <f t="shared" si="12"/>
        <v>0.5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35</v>
      </c>
      <c r="V229" s="66" t="s">
        <v>35</v>
      </c>
      <c r="W229" s="66" t="s">
        <v>175</v>
      </c>
      <c r="X229" s="66" t="s">
        <v>175</v>
      </c>
      <c r="Y229" s="66"/>
      <c r="Z229" s="66"/>
      <c r="AA229" s="66"/>
      <c r="AB229" s="67"/>
      <c r="AC229" s="87">
        <f t="shared" si="12"/>
        <v>0.5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12"/>
        <v>0.31481481481481477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12"/>
        <v>0.31481481481481477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12"/>
        <v>0.31481481481481477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12"/>
        <v>0.31481481481481477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35</v>
      </c>
      <c r="V237" s="66" t="s">
        <v>35</v>
      </c>
      <c r="W237" s="66" t="s">
        <v>175</v>
      </c>
      <c r="X237" s="66" t="s">
        <v>175</v>
      </c>
      <c r="Y237" s="66"/>
      <c r="Z237" s="66"/>
      <c r="AA237" s="66"/>
      <c r="AB237" s="67"/>
      <c r="AC237" s="87">
        <f t="shared" si="12"/>
        <v>0.5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12"/>
        <v>0.31481481481481477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35</v>
      </c>
      <c r="V239" s="66" t="s">
        <v>35</v>
      </c>
      <c r="W239" s="66" t="s">
        <v>175</v>
      </c>
      <c r="X239" s="66" t="s">
        <v>175</v>
      </c>
      <c r="Y239" s="66"/>
      <c r="Z239" s="66"/>
      <c r="AA239" s="66"/>
      <c r="AB239" s="67"/>
      <c r="AC239" s="87">
        <f t="shared" si="12"/>
        <v>0.5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35</v>
      </c>
      <c r="V240" s="66" t="s">
        <v>35</v>
      </c>
      <c r="W240" s="66" t="s">
        <v>175</v>
      </c>
      <c r="X240" s="66" t="s">
        <v>175</v>
      </c>
      <c r="Y240" s="66"/>
      <c r="Z240" s="66"/>
      <c r="AA240" s="66"/>
      <c r="AB240" s="67"/>
      <c r="AC240" s="87">
        <f t="shared" si="12"/>
        <v>0.5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12"/>
        <v>0.31481481481481477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12"/>
        <v>0.31481481481481477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12"/>
        <v>0.31481481481481477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12"/>
        <v>0.31481481481481477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35</v>
      </c>
      <c r="V246" s="66" t="s">
        <v>35</v>
      </c>
      <c r="W246" s="66"/>
      <c r="X246" s="66"/>
      <c r="Y246" s="66"/>
      <c r="Z246" s="66"/>
      <c r="AA246" s="66"/>
      <c r="AB246" s="67"/>
      <c r="AC246" s="87">
        <f t="shared" si="12"/>
        <v>0.3888888888888889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35</v>
      </c>
      <c r="X247" s="66" t="s">
        <v>175</v>
      </c>
      <c r="Y247" s="66"/>
      <c r="Z247" s="66"/>
      <c r="AA247" s="66"/>
      <c r="AB247" s="67"/>
      <c r="AC247" s="87">
        <f t="shared" si="12"/>
        <v>0.55555555555555558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12"/>
        <v>0.31481481481481477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12"/>
        <v>0.31481481481481477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12"/>
        <v>0.31481481481481477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12"/>
        <v>0.31481481481481477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12"/>
        <v>0.31481481481481477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12"/>
        <v>0.31481481481481477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12"/>
        <v>0.31481481481481477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12"/>
        <v>0.31481481481481477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175</v>
      </c>
      <c r="X258" s="66" t="s">
        <v>175</v>
      </c>
      <c r="Y258" s="66"/>
      <c r="Z258" s="66"/>
      <c r="AA258" s="66"/>
      <c r="AB258" s="67"/>
      <c r="AC258" s="87">
        <f t="shared" si="12"/>
        <v>0.5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12"/>
        <v>0.31481481481481477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35</v>
      </c>
      <c r="V320" s="66" t="s">
        <v>35</v>
      </c>
      <c r="W320" s="66" t="s">
        <v>175</v>
      </c>
      <c r="X320" s="66" t="s">
        <v>175</v>
      </c>
      <c r="Y320" s="66"/>
      <c r="Z320" s="66"/>
      <c r="AA320" s="66"/>
      <c r="AB320" s="67"/>
      <c r="AC320" s="87">
        <f t="shared" si="15"/>
        <v>0.5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35</v>
      </c>
      <c r="V326" s="66" t="s">
        <v>35</v>
      </c>
      <c r="W326" s="66" t="s">
        <v>175</v>
      </c>
      <c r="X326" s="66" t="s">
        <v>175</v>
      </c>
      <c r="Y326" s="66"/>
      <c r="Z326" s="66"/>
      <c r="AA326" s="66"/>
      <c r="AB326" s="67"/>
      <c r="AC326" s="87">
        <f t="shared" si="15"/>
        <v>0.5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35</v>
      </c>
      <c r="V328" s="66" t="s">
        <v>35</v>
      </c>
      <c r="W328" s="66" t="s">
        <v>175</v>
      </c>
      <c r="X328" s="66" t="s">
        <v>175</v>
      </c>
      <c r="Y328" s="66"/>
      <c r="Z328" s="66"/>
      <c r="AA328" s="66"/>
      <c r="AB328" s="67"/>
      <c r="AC328" s="87">
        <f t="shared" si="15"/>
        <v>0.5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 t="s">
        <v>175</v>
      </c>
      <c r="X332" s="66" t="s">
        <v>175</v>
      </c>
      <c r="Y332" s="66"/>
      <c r="Z332" s="66"/>
      <c r="AA332" s="66"/>
      <c r="AB332" s="67"/>
      <c r="AC332" s="87">
        <f t="shared" si="15"/>
        <v>0.5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 t="s">
        <v>175</v>
      </c>
      <c r="X337" s="66" t="s">
        <v>175</v>
      </c>
      <c r="Y337" s="66"/>
      <c r="Z337" s="66"/>
      <c r="AA337" s="66"/>
      <c r="AB337" s="67"/>
      <c r="AC337" s="87">
        <f t="shared" si="15"/>
        <v>0.5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 t="s">
        <v>175</v>
      </c>
      <c r="X340" s="66" t="s">
        <v>175</v>
      </c>
      <c r="Y340" s="66"/>
      <c r="Z340" s="66"/>
      <c r="AA340" s="66"/>
      <c r="AB340" s="67"/>
      <c r="AC340" s="87">
        <f t="shared" si="15"/>
        <v>0.5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 t="s">
        <v>175</v>
      </c>
      <c r="X343" s="66" t="s">
        <v>175</v>
      </c>
      <c r="Y343" s="66"/>
      <c r="Z343" s="66"/>
      <c r="AA343" s="66"/>
      <c r="AB343" s="67"/>
      <c r="AC343" s="87">
        <f t="shared" si="15"/>
        <v>0.5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 t="s">
        <v>175</v>
      </c>
      <c r="X345" s="66" t="s">
        <v>175</v>
      </c>
      <c r="Y345" s="66"/>
      <c r="Z345" s="66"/>
      <c r="AA345" s="66"/>
      <c r="AB345" s="67"/>
      <c r="AC345" s="87">
        <f t="shared" si="15"/>
        <v>0.5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35</v>
      </c>
      <c r="V348" s="66" t="s">
        <v>35</v>
      </c>
      <c r="W348" s="66" t="s">
        <v>175</v>
      </c>
      <c r="X348" s="66" t="s">
        <v>175</v>
      </c>
      <c r="Y348" s="66"/>
      <c r="Z348" s="66"/>
      <c r="AA348" s="66"/>
      <c r="AB348" s="67"/>
      <c r="AC348" s="87">
        <f t="shared" si="15"/>
        <v>0.44444444444444442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 t="s">
        <v>175</v>
      </c>
      <c r="X351" s="66" t="s">
        <v>175</v>
      </c>
      <c r="Y351" s="66"/>
      <c r="Z351" s="66"/>
      <c r="AA351" s="66"/>
      <c r="AB351" s="67"/>
      <c r="AC351" s="87">
        <f t="shared" si="15"/>
        <v>0.44444444444444442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 t="s">
        <v>175</v>
      </c>
      <c r="X353" s="66" t="s">
        <v>175</v>
      </c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0.44444444444444442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18"/>
        <v>0.33333333333333331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18"/>
        <v>0.25925925925925924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 t="s">
        <v>1799</v>
      </c>
      <c r="Z363" s="66"/>
      <c r="AA363" s="66"/>
      <c r="AB363" s="67"/>
      <c r="AC363" s="87">
        <f t="shared" si="18"/>
        <v>0.61111111111111116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 t="s">
        <v>1799</v>
      </c>
      <c r="Z364" s="66"/>
      <c r="AA364" s="66"/>
      <c r="AB364" s="67"/>
      <c r="AC364" s="87">
        <f t="shared" si="18"/>
        <v>0.24074074074074073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 t="s">
        <v>1799</v>
      </c>
      <c r="Z365" s="66"/>
      <c r="AA365" s="66"/>
      <c r="AB365" s="67"/>
      <c r="AC365" s="87">
        <f t="shared" si="18"/>
        <v>0.24074074074074073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 t="s">
        <v>1799</v>
      </c>
      <c r="Z366" s="66"/>
      <c r="AA366" s="66"/>
      <c r="AB366" s="67"/>
      <c r="AC366" s="87">
        <f t="shared" si="18"/>
        <v>0.24074074074074073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 t="s">
        <v>1799</v>
      </c>
      <c r="Z367" s="66"/>
      <c r="AA367" s="66"/>
      <c r="AB367" s="67"/>
      <c r="AC367" s="87">
        <f t="shared" si="18"/>
        <v>0.61111111111111116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213</v>
      </c>
      <c r="V368" s="66" t="s">
        <v>213</v>
      </c>
      <c r="W368" s="66"/>
      <c r="X368" s="66"/>
      <c r="Y368" s="66" t="s">
        <v>1799</v>
      </c>
      <c r="Z368" s="66"/>
      <c r="AA368" s="66"/>
      <c r="AB368" s="67"/>
      <c r="AC368" s="87">
        <f t="shared" si="18"/>
        <v>0.31481481481481477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35</v>
      </c>
      <c r="V369" s="66" t="s">
        <v>35</v>
      </c>
      <c r="W369" s="66" t="s">
        <v>35</v>
      </c>
      <c r="X369" s="66" t="s">
        <v>35</v>
      </c>
      <c r="Y369" s="66" t="s">
        <v>1799</v>
      </c>
      <c r="Z369" s="66"/>
      <c r="AA369" s="66"/>
      <c r="AB369" s="67"/>
      <c r="AC369" s="87">
        <f t="shared" si="18"/>
        <v>0.61111111111111116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213</v>
      </c>
      <c r="V370" s="66" t="s">
        <v>213</v>
      </c>
      <c r="W370" s="66"/>
      <c r="X370" s="66"/>
      <c r="Y370" s="66" t="s">
        <v>1799</v>
      </c>
      <c r="Z370" s="66"/>
      <c r="AA370" s="66"/>
      <c r="AB370" s="67"/>
      <c r="AC370" s="87">
        <f t="shared" si="18"/>
        <v>0.31481481481481477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 t="s">
        <v>1799</v>
      </c>
      <c r="Z371" s="66"/>
      <c r="AA371" s="66"/>
      <c r="AB371" s="67"/>
      <c r="AC371" s="87">
        <f t="shared" si="18"/>
        <v>0.24074074074074073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 t="s">
        <v>1799</v>
      </c>
      <c r="Z372" s="66"/>
      <c r="AA372" s="66"/>
      <c r="AB372" s="67"/>
      <c r="AC372" s="87">
        <f t="shared" si="18"/>
        <v>0.61111111111111116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 t="s">
        <v>1799</v>
      </c>
      <c r="Z373" s="66"/>
      <c r="AA373" s="66"/>
      <c r="AB373" s="67"/>
      <c r="AC373" s="87">
        <f t="shared" si="18"/>
        <v>0.24074074074074073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 t="s">
        <v>1799</v>
      </c>
      <c r="Z374" s="66"/>
      <c r="AA374" s="66"/>
      <c r="AB374" s="67"/>
      <c r="AC374" s="87">
        <f t="shared" si="18"/>
        <v>0.24074074074074073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 t="s">
        <v>1799</v>
      </c>
      <c r="Z375" s="66"/>
      <c r="AA375" s="66"/>
      <c r="AB375" s="67"/>
      <c r="AC375" s="87">
        <f t="shared" si="18"/>
        <v>0.24074074074074073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 t="s">
        <v>1799</v>
      </c>
      <c r="Z376" s="66"/>
      <c r="AA376" s="66"/>
      <c r="AB376" s="67"/>
      <c r="AC376" s="87">
        <f t="shared" si="18"/>
        <v>0.24074074074074073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 t="s">
        <v>1799</v>
      </c>
      <c r="Z377" s="66"/>
      <c r="AA377" s="66"/>
      <c r="AB377" s="67"/>
      <c r="AC377" s="87">
        <f t="shared" si="18"/>
        <v>0.24074074074074073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 t="s">
        <v>1799</v>
      </c>
      <c r="Z378" s="66"/>
      <c r="AA378" s="66"/>
      <c r="AB378" s="67"/>
      <c r="AC378" s="87">
        <f t="shared" si="18"/>
        <v>0.61111111111111116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 t="s">
        <v>1799</v>
      </c>
      <c r="Z379" s="66"/>
      <c r="AA379" s="66"/>
      <c r="AB379" s="67"/>
      <c r="AC379" s="87">
        <f t="shared" si="18"/>
        <v>0.24074074074074073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 t="s">
        <v>1799</v>
      </c>
      <c r="Z380" s="66"/>
      <c r="AA380" s="66"/>
      <c r="AB380" s="67"/>
      <c r="AC380" s="87">
        <f t="shared" si="18"/>
        <v>0.24074074074074073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 t="s">
        <v>1799</v>
      </c>
      <c r="Z381" s="66"/>
      <c r="AA381" s="66"/>
      <c r="AB381" s="67"/>
      <c r="AC381" s="87">
        <f t="shared" si="18"/>
        <v>0.24074074074074073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 t="s">
        <v>1799</v>
      </c>
      <c r="Z382" s="66"/>
      <c r="AA382" s="66"/>
      <c r="AB382" s="67"/>
      <c r="AC382" s="87">
        <f t="shared" si="18"/>
        <v>0.24074074074074073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 t="s">
        <v>1799</v>
      </c>
      <c r="Z383" s="66"/>
      <c r="AA383" s="66"/>
      <c r="AB383" s="67"/>
      <c r="AC383" s="87">
        <f t="shared" si="18"/>
        <v>0.24074074074074073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 t="s">
        <v>1799</v>
      </c>
      <c r="Z384" s="66"/>
      <c r="AA384" s="66"/>
      <c r="AB384" s="67"/>
      <c r="AC384" s="87">
        <f t="shared" si="18"/>
        <v>0.24074074074074073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 t="s">
        <v>1799</v>
      </c>
      <c r="Z385" s="66"/>
      <c r="AA385" s="66"/>
      <c r="AB385" s="67"/>
      <c r="AC385" s="87">
        <f t="shared" si="18"/>
        <v>0.24074074074074073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 t="s">
        <v>1799</v>
      </c>
      <c r="Z386" s="66"/>
      <c r="AA386" s="66"/>
      <c r="AB386" s="67"/>
      <c r="AC386" s="87">
        <f t="shared" si="18"/>
        <v>0.24074074074074073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 t="s">
        <v>1799</v>
      </c>
      <c r="Z387" s="66"/>
      <c r="AA387" s="66"/>
      <c r="AB387" s="67"/>
      <c r="AC387" s="87">
        <f t="shared" si="18"/>
        <v>0.24074074074074073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 t="s">
        <v>1799</v>
      </c>
      <c r="Z388" s="66"/>
      <c r="AA388" s="66"/>
      <c r="AB388" s="67"/>
      <c r="AC388" s="87">
        <f t="shared" si="18"/>
        <v>0.24074074074074073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 t="s">
        <v>1799</v>
      </c>
      <c r="Z389" s="66"/>
      <c r="AA389" s="66"/>
      <c r="AB389" s="67"/>
      <c r="AC389" s="87">
        <f t="shared" si="18"/>
        <v>0.24074074074074073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 t="s">
        <v>1799</v>
      </c>
      <c r="Z390" s="66"/>
      <c r="AA390" s="66"/>
      <c r="AB390" s="67"/>
      <c r="AC390" s="87">
        <f t="shared" si="18"/>
        <v>0.24074074074074073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 t="s">
        <v>1799</v>
      </c>
      <c r="Z391" s="66"/>
      <c r="AA391" s="66"/>
      <c r="AB391" s="67"/>
      <c r="AC391" s="87">
        <f t="shared" si="18"/>
        <v>0.24074074074074073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 t="s">
        <v>1799</v>
      </c>
      <c r="Z392" s="66"/>
      <c r="AA392" s="66"/>
      <c r="AB392" s="67"/>
      <c r="AC392" s="87">
        <f t="shared" si="18"/>
        <v>0.61111111111111116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 t="s">
        <v>1799</v>
      </c>
      <c r="Z393" s="66"/>
      <c r="AA393" s="66"/>
      <c r="AB393" s="67"/>
      <c r="AC393" s="87">
        <f t="shared" si="18"/>
        <v>0.24074074074074073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 t="s">
        <v>1799</v>
      </c>
      <c r="Z394" s="66"/>
      <c r="AA394" s="66"/>
      <c r="AB394" s="67"/>
      <c r="AC394" s="87">
        <f t="shared" si="18"/>
        <v>0.24074074074074073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 t="s">
        <v>1799</v>
      </c>
      <c r="Z395" s="66"/>
      <c r="AA395" s="66"/>
      <c r="AB395" s="67"/>
      <c r="AC395" s="87">
        <f t="shared" si="18"/>
        <v>0.24074074074074073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 t="s">
        <v>1799</v>
      </c>
      <c r="Z396" s="66"/>
      <c r="AA396" s="66"/>
      <c r="AB396" s="67"/>
      <c r="AC396" s="87">
        <f t="shared" si="18"/>
        <v>0.24074074074074073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 t="s">
        <v>1799</v>
      </c>
      <c r="Z397" s="66"/>
      <c r="AA397" s="66"/>
      <c r="AB397" s="67" t="s">
        <v>1814</v>
      </c>
      <c r="AC397" s="87">
        <f t="shared" si="18"/>
        <v>0.61111111111111116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35</v>
      </c>
      <c r="V398" s="66" t="s">
        <v>35</v>
      </c>
      <c r="W398" s="66" t="s">
        <v>175</v>
      </c>
      <c r="X398" s="66" t="s">
        <v>175</v>
      </c>
      <c r="Y398" s="66" t="s">
        <v>1799</v>
      </c>
      <c r="Z398" s="66"/>
      <c r="AA398" s="66"/>
      <c r="AB398" s="67"/>
      <c r="AC398" s="87">
        <f t="shared" si="18"/>
        <v>0.5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18"/>
        <v>0.31481481481481477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18"/>
        <v>0.31481481481481477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18"/>
        <v>0.31481481481481477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18"/>
        <v>0.31481481481481477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18"/>
        <v>0.31481481481481477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18"/>
        <v>0.31481481481481477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18"/>
        <v>0.31481481481481477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18"/>
        <v>0.31481481481481477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18"/>
        <v>0.31481481481481477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18"/>
        <v>0.31481481481481477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18"/>
        <v>0.31481481481481477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18"/>
        <v>0.31481481481481477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213</v>
      </c>
      <c r="W411" s="66"/>
      <c r="X411" s="66"/>
      <c r="Y411" s="66"/>
      <c r="Z411" s="66"/>
      <c r="AA411" s="66"/>
      <c r="AB411" s="67"/>
      <c r="AC411" s="87">
        <f t="shared" si="18"/>
        <v>0.27777777777777779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18"/>
        <v>0.31481481481481477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18"/>
        <v>0.31481481481481477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18"/>
        <v>0.31481481481481477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18"/>
        <v>0.31481481481481477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18"/>
        <v>0.31481481481481477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21"/>
        <v>0.31481481481481477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21"/>
        <v>0.31481481481481477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21"/>
        <v>0.31481481481481477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21"/>
        <v>0.31481481481481477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21"/>
        <v>0.31481481481481477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21"/>
        <v>0.31481481481481477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21"/>
        <v>0.31481481481481477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138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213</v>
      </c>
      <c r="V454" s="66" t="s">
        <v>213</v>
      </c>
      <c r="W454" s="66"/>
      <c r="X454" s="66"/>
      <c r="Y454" s="66"/>
      <c r="Z454" s="66"/>
      <c r="AA454" s="66"/>
      <c r="AB454" s="67"/>
      <c r="AC454" s="87">
        <f t="shared" si="21"/>
        <v>0.31481481481481477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213</v>
      </c>
      <c r="V461" s="66" t="s">
        <v>213</v>
      </c>
      <c r="W461" s="66"/>
      <c r="X461" s="66"/>
      <c r="Y461" s="66"/>
      <c r="Z461" s="66"/>
      <c r="AA461" s="66"/>
      <c r="AB461" s="67"/>
      <c r="AC461" s="87">
        <f t="shared" si="21"/>
        <v>0.31481481481481477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213</v>
      </c>
      <c r="V466" s="66" t="s">
        <v>213</v>
      </c>
      <c r="W466" s="66"/>
      <c r="X466" s="66"/>
      <c r="Y466" s="66"/>
      <c r="Z466" s="66"/>
      <c r="AA466" s="66"/>
      <c r="AB466" s="67"/>
      <c r="AC466" s="87">
        <f t="shared" si="21"/>
        <v>0.31481481481481477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175</v>
      </c>
      <c r="X468" s="66" t="s">
        <v>35</v>
      </c>
      <c r="Y468" s="66"/>
      <c r="Z468" s="66"/>
      <c r="AA468" s="66"/>
      <c r="AB468" s="67"/>
      <c r="AC468" s="87">
        <f t="shared" si="21"/>
        <v>0.5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175</v>
      </c>
      <c r="X469" s="66" t="s">
        <v>35</v>
      </c>
      <c r="Y469" s="66"/>
      <c r="Z469" s="66"/>
      <c r="AA469" s="66"/>
      <c r="AB469" s="67"/>
      <c r="AC469" s="87">
        <f t="shared" si="21"/>
        <v>0.5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67"/>
      <c r="AC475" s="87">
        <f t="shared" si="21"/>
        <v>0.25925925925925924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 t="s">
        <v>35</v>
      </c>
      <c r="X476" s="66" t="s">
        <v>35</v>
      </c>
      <c r="Y476" s="66"/>
      <c r="Z476" s="66"/>
      <c r="AA476" s="66"/>
      <c r="AB476" s="67"/>
      <c r="AC476" s="87">
        <f t="shared" si="21"/>
        <v>0.55555555555555558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35</v>
      </c>
      <c r="X480" s="66" t="s">
        <v>35</v>
      </c>
      <c r="Y480" s="66"/>
      <c r="Z480" s="66"/>
      <c r="AA480" s="66"/>
      <c r="AB480" s="67"/>
      <c r="AC480" s="87">
        <f t="shared" si="21"/>
        <v>0.55555555555555558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35</v>
      </c>
      <c r="V488" s="66" t="s">
        <v>35</v>
      </c>
      <c r="W488" s="66"/>
      <c r="X488" s="66" t="s">
        <v>35</v>
      </c>
      <c r="Y488" s="66"/>
      <c r="Z488" s="66"/>
      <c r="AA488" s="66"/>
      <c r="AB488" s="67"/>
      <c r="AC488" s="87">
        <f t="shared" si="24"/>
        <v>0.44444444444444442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35</v>
      </c>
      <c r="Y489" s="66"/>
      <c r="Z489" s="66"/>
      <c r="AA489" s="66"/>
      <c r="AB489" s="67"/>
      <c r="AC489" s="87">
        <f t="shared" si="24"/>
        <v>0.5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35</v>
      </c>
      <c r="X498" s="66" t="s">
        <v>35</v>
      </c>
      <c r="Y498" s="66" t="s">
        <v>36</v>
      </c>
      <c r="Z498" s="66"/>
      <c r="AA498" s="66"/>
      <c r="AB498" s="67"/>
      <c r="AC498" s="87">
        <f t="shared" si="24"/>
        <v>0.77777777777777779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35</v>
      </c>
      <c r="Y499" s="66" t="s">
        <v>36</v>
      </c>
      <c r="Z499" s="66"/>
      <c r="AA499" s="66"/>
      <c r="AB499" s="67"/>
      <c r="AC499" s="87">
        <f t="shared" si="24"/>
        <v>0.77777777777777779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35</v>
      </c>
      <c r="Y502" s="66" t="s">
        <v>36</v>
      </c>
      <c r="Z502" s="66"/>
      <c r="AA502" s="66"/>
      <c r="AB502" s="67"/>
      <c r="AC502" s="87">
        <f t="shared" si="24"/>
        <v>0.72222222222222221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0.25925925925925924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0.25925925925925924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0.25925925925925924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0.25925925925925924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24"/>
        <v>0.55555555555555558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0.18518518518518517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0.29629629629629634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35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0.44444444444444442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0.37037037037037035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0.25925925925925924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24"/>
        <v>0.66666666666666663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24"/>
        <v>0.55555555555555558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35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0.33333333333333331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0.25925925925925924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0.25925925925925924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0.25925925925925924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24"/>
        <v>0.55555555555555558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0.25925925925925924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0.25925925925925924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0.18518518518518517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0.18518518518518517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213</v>
      </c>
      <c r="V566" s="66" t="s">
        <v>213</v>
      </c>
      <c r="W566" s="66"/>
      <c r="X566" s="66"/>
      <c r="Y566" s="66"/>
      <c r="Z566" s="66"/>
      <c r="AA566" s="66"/>
      <c r="AB566" s="67"/>
      <c r="AC566" s="87">
        <f t="shared" si="27"/>
        <v>0.31481481481481477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27"/>
        <v>0.31481481481481477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213</v>
      </c>
      <c r="V569" s="66" t="s">
        <v>213</v>
      </c>
      <c r="W569" s="66"/>
      <c r="X569" s="66"/>
      <c r="Y569" s="66"/>
      <c r="Z569" s="66"/>
      <c r="AA569" s="66"/>
      <c r="AB569" s="67"/>
      <c r="AC569" s="87">
        <f t="shared" si="27"/>
        <v>0.31481481481481477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 t="s">
        <v>36</v>
      </c>
      <c r="Z570" s="66"/>
      <c r="AA570" s="66"/>
      <c r="AB570" s="67"/>
      <c r="AC570" s="87">
        <f t="shared" si="27"/>
        <v>0.72222222222222221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35</v>
      </c>
      <c r="X574" s="66" t="s">
        <v>175</v>
      </c>
      <c r="Y574" s="66" t="s">
        <v>36</v>
      </c>
      <c r="Z574" s="66"/>
      <c r="AA574" s="66"/>
      <c r="AB574" s="67"/>
      <c r="AC574" s="87">
        <f t="shared" si="27"/>
        <v>0.66666666666666663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 t="s">
        <v>36</v>
      </c>
      <c r="Z575" s="66"/>
      <c r="AA575" s="66"/>
      <c r="AB575" s="67"/>
      <c r="AC575" s="87">
        <f t="shared" si="27"/>
        <v>0.35185185185185186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 t="s">
        <v>36</v>
      </c>
      <c r="Z577" s="66"/>
      <c r="AA577" s="66"/>
      <c r="AB577" s="67"/>
      <c r="AC577" s="87">
        <f t="shared" si="27"/>
        <v>0.35185185185185186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213</v>
      </c>
      <c r="V580" s="66" t="s">
        <v>213</v>
      </c>
      <c r="W580" s="66"/>
      <c r="X580" s="66"/>
      <c r="Y580" s="66"/>
      <c r="Z580" s="66"/>
      <c r="AA580" s="66"/>
      <c r="AB580" s="67"/>
      <c r="AC580" s="87">
        <f t="shared" si="27"/>
        <v>0.31481481481481477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 t="s">
        <v>36</v>
      </c>
      <c r="Z581" s="66"/>
      <c r="AA581" s="66"/>
      <c r="AB581" s="67"/>
      <c r="AC581" s="87">
        <f t="shared" si="27"/>
        <v>0.72222222222222221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 t="s">
        <v>36</v>
      </c>
      <c r="Z582" s="66"/>
      <c r="AA582" s="66"/>
      <c r="AB582" s="67"/>
      <c r="AC582" s="87">
        <f t="shared" si="27"/>
        <v>0.42592592592592587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27"/>
        <v>0.31481481481481477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 t="s">
        <v>36</v>
      </c>
      <c r="Z585" s="66"/>
      <c r="AA585" s="66"/>
      <c r="AB585" s="67"/>
      <c r="AC585" s="87">
        <f t="shared" si="27"/>
        <v>0.42592592592592587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213</v>
      </c>
      <c r="V586" s="66" t="s">
        <v>213</v>
      </c>
      <c r="W586" s="66"/>
      <c r="X586" s="66"/>
      <c r="Y586" s="66"/>
      <c r="Z586" s="66"/>
      <c r="AA586" s="66"/>
      <c r="AB586" s="67"/>
      <c r="AC586" s="87">
        <f t="shared" si="27"/>
        <v>0.31481481481481477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 t="s">
        <v>36</v>
      </c>
      <c r="Z592" s="66"/>
      <c r="AA592" s="66"/>
      <c r="AB592" s="67"/>
      <c r="AC592" s="87">
        <f t="shared" si="27"/>
        <v>0.42592592592592587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67"/>
      <c r="AC593" s="87">
        <f t="shared" si="27"/>
        <v>0.31481481481481477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 t="s">
        <v>36</v>
      </c>
      <c r="Z594" s="66"/>
      <c r="AA594" s="66"/>
      <c r="AB594" s="67"/>
      <c r="AC594" s="87">
        <f t="shared" si="27"/>
        <v>0.72222222222222221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27"/>
        <v>0.31481481481481477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213</v>
      </c>
      <c r="V596" s="66" t="s">
        <v>213</v>
      </c>
      <c r="W596" s="66"/>
      <c r="X596" s="66"/>
      <c r="Y596" s="66"/>
      <c r="Z596" s="66"/>
      <c r="AA596" s="66"/>
      <c r="AB596" s="67"/>
      <c r="AC596" s="87">
        <f t="shared" si="27"/>
        <v>0.31481481481481477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213</v>
      </c>
      <c r="V598" s="66" t="s">
        <v>213</v>
      </c>
      <c r="W598" s="66"/>
      <c r="X598" s="66"/>
      <c r="Y598" s="66"/>
      <c r="Z598" s="66"/>
      <c r="AA598" s="66"/>
      <c r="AB598" s="67"/>
      <c r="AC598" s="87">
        <f t="shared" si="27"/>
        <v>0.31481481481481477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/>
      <c r="AA602" s="66"/>
      <c r="AB602" s="67"/>
      <c r="AC602" s="87">
        <f t="shared" si="27"/>
        <v>0.55555555555555558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 t="s">
        <v>36</v>
      </c>
      <c r="Z604" s="66"/>
      <c r="AA604" s="66"/>
      <c r="AB604" s="67"/>
      <c r="AC604" s="87">
        <f t="shared" si="27"/>
        <v>0.42592592592592587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213</v>
      </c>
      <c r="V605" s="66" t="s">
        <v>213</v>
      </c>
      <c r="W605" s="66"/>
      <c r="X605" s="66"/>
      <c r="Y605" s="66"/>
      <c r="Z605" s="66"/>
      <c r="AA605" s="66"/>
      <c r="AB605" s="67"/>
      <c r="AC605" s="87">
        <f t="shared" si="27"/>
        <v>0.31481481481481477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 t="s">
        <v>36</v>
      </c>
      <c r="Z606" s="66"/>
      <c r="AA606" s="66"/>
      <c r="AB606" s="67"/>
      <c r="AC606" s="87">
        <f t="shared" si="27"/>
        <v>0.35185185185185186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Y614" t="s">
        <v>1871</v>
      </c>
      <c r="AC614" s="113">
        <f>SUM(AC2:AC613)</f>
        <v>299.94462962962893</v>
      </c>
      <c r="AD614" s="29">
        <f>AC614/612*100</f>
        <v>49.010560396998194</v>
      </c>
      <c r="AF614">
        <f>SUM(AF2:AF613)</f>
        <v>13</v>
      </c>
      <c r="AG614">
        <f>SUM(AG2:AG613)</f>
        <v>95</v>
      </c>
    </row>
  </sheetData>
  <conditionalFormatting sqref="S1">
    <cfRule type="containsText" dxfId="879" priority="839" operator="containsText" text="ENTREGADO/REVISIÓN">
      <formula>NOT(ISERROR(SEARCH("ENTREGADO/REVISIÓN",S1)))</formula>
    </cfRule>
    <cfRule type="containsText" dxfId="878" priority="838" operator="containsText" text="ENVIADO A TICS">
      <formula>NOT(ISERROR(SEARCH("ENVIADO A TICS",S1)))</formula>
    </cfRule>
    <cfRule type="containsText" dxfId="877" priority="840" operator="containsText" text="ENVIADO A LA CE/UM">
      <formula>NOT(ISERROR(SEARCH("ENVIADO A LA CE/UM",S1)))</formula>
    </cfRule>
  </conditionalFormatting>
  <conditionalFormatting sqref="T1">
    <cfRule type="containsText" dxfId="876" priority="837" operator="containsText" text="EN PROCESO">
      <formula>NOT(ISERROR(SEARCH("EN PROCESO",T1)))</formula>
    </cfRule>
  </conditionalFormatting>
  <conditionalFormatting sqref="T1:X1">
    <cfRule type="containsText" dxfId="742" priority="4662" operator="containsText" text="CONCLUIDO">
      <formula>NOT(ISERROR(SEARCH("CONCLUIDO",T1)))</formula>
    </cfRule>
  </conditionalFormatting>
  <conditionalFormatting sqref="U1">
    <cfRule type="containsText" dxfId="740" priority="4664" operator="containsText" text="ENVIADO A LA CE/UM">
      <formula>NOT(ISERROR(SEARCH("ENVIADO A LA CE/UM",U1)))</formula>
    </cfRule>
  </conditionalFormatting>
  <conditionalFormatting sqref="U1:V1">
    <cfRule type="containsText" dxfId="736" priority="4663" operator="containsText" text="EN REVISIÓN CENTRAL">
      <formula>NOT(ISERROR(SEARCH("EN REVISIÓN CENTRAL",U1)))</formula>
    </cfRule>
  </conditionalFormatting>
  <conditionalFormatting sqref="Z1:AA1">
    <cfRule type="containsText" dxfId="504" priority="831" operator="containsText" text="SI">
      <formula>NOT(ISERROR(SEARCH("SI",Z1)))</formula>
    </cfRule>
  </conditionalFormatting>
  <conditionalFormatting sqref="W1:X1">
    <cfRule type="containsText" dxfId="503" priority="4256" operator="containsText" text="ENVIADO">
      <formula>NOT(ISERROR(SEARCH("ENVIADO",W1)))</formula>
    </cfRule>
  </conditionalFormatting>
  <conditionalFormatting sqref="W1:X1">
    <cfRule type="containsText" dxfId="502" priority="555" operator="containsText" text="EN PROCESO">
      <formula>NOT(ISERROR(SEARCH("EN PROCESO",W1)))</formula>
    </cfRule>
  </conditionalFormatting>
  <conditionalFormatting sqref="Y1">
    <cfRule type="containsText" dxfId="456" priority="833" operator="containsText" text="CONCLUIDAS">
      <formula>NOT(ISERROR(SEARCH("CONCLUIDAS",Y1)))</formula>
    </cfRule>
    <cfRule type="containsText" dxfId="455" priority="834" operator="containsText" text="PROGRAMADAS">
      <formula>NOT(ISERROR(SEARCH("PROGRAMADAS",Y1)))</formula>
    </cfRule>
  </conditionalFormatting>
  <conditionalFormatting sqref="Z1:AA1">
    <cfRule type="containsText" dxfId="454" priority="832" operator="containsText" text="NO">
      <formula>NOT(ISERROR(SEARCH("NO",Z1)))</formula>
    </cfRule>
  </conditionalFormatting>
  <conditionalFormatting sqref="AC1 AF1:AG1 AF3:AF614">
    <cfRule type="containsText" dxfId="453" priority="2535" operator="containsText" text="SI">
      <formula>NOT(ISERROR(SEARCH("SI",AC1)))</formula>
    </cfRule>
    <cfRule type="containsText" dxfId="452" priority="2536" operator="containsText" text="NO">
      <formula>NOT(ISERROR(SEARCH("NO",AC1)))</formula>
    </cfRule>
  </conditionalFormatting>
  <conditionalFormatting sqref="AC2:AC613">
    <cfRule type="dataBar" priority="29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29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10349" operator="containsText" text="CONCLUIDO">
      <formula>NOT(ISERROR(SEARCH("CONCLUIDO",AD1)))</formula>
    </cfRule>
    <cfRule type="containsText" dxfId="450" priority="10347" operator="containsText" text="EN PROCESO">
      <formula>NOT(ISERROR(SEARCH("EN PROCESO",AD1)))</formula>
    </cfRule>
    <cfRule type="containsText" dxfId="449" priority="10348" operator="containsText" text="ENVIADO">
      <formula>NOT(ISERROR(SEARCH("ENVIADO",AD1)))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1" priority="128" operator="containsText" text="ENVIADO">
      <formula>NOT(ISERROR(SEARCH("ENVIADO",T89)))</formula>
    </cfRule>
    <cfRule type="containsText" dxfId="413" priority="129" operator="containsText" text="EN PROCESO">
      <formula>NOT(ISERROR(SEARCH("EN PROCESO",T89)))</formula>
    </cfRule>
    <cfRule type="containsText" dxfId="414" priority="130" operator="containsText" text="ENVIADO">
      <formula>NOT(ISERROR(SEARCH("ENVIADO",T89)))</formula>
    </cfRule>
  </conditionalFormatting>
  <conditionalFormatting sqref="T98">
    <cfRule type="containsText" dxfId="408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10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3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5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4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6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">
    <cfRule type="containsText" dxfId="379" priority="11" operator="containsText" text="EN PROCESO">
      <formula>NOT(ISERROR(SEARCH("EN PROCESO",T201)))</formula>
    </cfRule>
    <cfRule type="containsText" dxfId="376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8" priority="14" operator="containsText" text="ENVIADO">
      <formula>NOT(ISERROR(SEARCH("ENVIADO",T201)))</formula>
    </cfRule>
  </conditionalFormatting>
  <conditionalFormatting sqref="T277:T283">
    <cfRule type="containsText" dxfId="374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2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69" priority="107" operator="containsText" text="EN PROCESO">
      <formula>NOT(ISERROR(SEARCH("EN PROCESO",T292)))</formula>
    </cfRule>
    <cfRule type="containsText" dxfId="368" priority="108" operator="containsText" text="ENVIADO">
      <formula>NOT(ISERROR(SEARCH("ENVIADO",T292)))</formula>
    </cfRule>
    <cfRule type="containsText" dxfId="371" priority="109" operator="containsText" text="EN PROCESO">
      <formula>NOT(ISERROR(SEARCH("EN PROCESO",T292)))</formula>
    </cfRule>
    <cfRule type="containsText" dxfId="370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7" priority="374" operator="containsText" text="ENVIADO">
      <formula>NOT(ISERROR(SEARCH("ENVIADO",T294)))</formula>
    </cfRule>
    <cfRule type="containsText" dxfId="366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8" priority="99" operator="containsText" text="EN PROCESO">
      <formula>NOT(ISERROR(SEARCH("EN PROCESO",T297)))</formula>
    </cfRule>
    <cfRule type="containsText" dxfId="357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3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2" priority="97" operator="containsText" text="EN PROCESO">
      <formula>NOT(ISERROR(SEARCH("EN PROCESO",T303)))</formula>
    </cfRule>
    <cfRule type="containsText" dxfId="355" priority="98" operator="containsText" text="ENVIADO">
      <formula>NOT(ISERROR(SEARCH("ENVIADO",T303)))</formula>
    </cfRule>
  </conditionalFormatting>
  <conditionalFormatting sqref="T305">
    <cfRule type="containsText" dxfId="349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51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6" priority="87" operator="containsText" text="EN PROCESO">
      <formula>NOT(ISERROR(SEARCH("EN PROCESO",T307)))</formula>
    </cfRule>
    <cfRule type="containsText" dxfId="345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1" priority="83" operator="containsText" text="EN PROCESO">
      <formula>NOT(ISERROR(SEARCH("EN PROCESO",T309)))</formula>
    </cfRule>
    <cfRule type="containsText" dxfId="343" priority="84" operator="containsText" text="ENVIADO">
      <formula>NOT(ISERROR(SEARCH("ENVIADO",T309)))</formula>
    </cfRule>
    <cfRule type="containsText" dxfId="340" priority="85" operator="containsText" text="EN PROCESO">
      <formula>NOT(ISERROR(SEARCH("EN PROCESO",T309)))</formula>
    </cfRule>
    <cfRule type="containsText" dxfId="342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4" priority="75" operator="containsText" text="EN PROCESO">
      <formula>NOT(ISERROR(SEARCH("EN PROCESO",T385)))</formula>
    </cfRule>
    <cfRule type="containsText" dxfId="333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6" priority="70" operator="containsText" text="ENVIADO">
      <formula>NOT(ISERROR(SEARCH("ENVIADO",T517)))</formula>
    </cfRule>
  </conditionalFormatting>
  <conditionalFormatting sqref="T533">
    <cfRule type="containsText" dxfId="322" priority="63" operator="containsText" text="EN PROCESO">
      <formula>NOT(ISERROR(SEARCH("EN PROCESO",T533)))</formula>
    </cfRule>
    <cfRule type="containsText" dxfId="321" priority="64" operator="containsText" text="ENVIADO">
      <formula>NOT(ISERROR(SEARCH("ENVIADO",T533)))</formula>
    </cfRule>
    <cfRule type="containsText" dxfId="320" priority="65" operator="containsText" text="EN PROCESO">
      <formula>NOT(ISERROR(SEARCH("EN PROCESO",T533)))</formula>
    </cfRule>
    <cfRule type="containsText" dxfId="323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2" priority="57" operator="containsText" text="EN PROCESO">
      <formula>NOT(ISERROR(SEARCH("EN PROCESO",T544)))</formula>
    </cfRule>
    <cfRule type="containsText" dxfId="313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1" priority="53" operator="containsText" text="EN PROCESO">
      <formula>NOT(ISERROR(SEARCH("EN PROCESO",T547)))</formula>
    </cfRule>
    <cfRule type="containsText" dxfId="310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4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5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1" priority="44" operator="containsText" text="ENVIADO">
      <formula>NOT(ISERROR(SEARCH("ENVIADO",T581)))</formula>
    </cfRule>
    <cfRule type="containsText" dxfId="302" priority="45" operator="containsText" text="EN PROCESO">
      <formula>NOT(ISERROR(SEARCH("EN PROCESO",T581)))</formula>
    </cfRule>
    <cfRule type="containsText" dxfId="303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6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8" priority="42" operator="containsText" text="ENVIADO">
      <formula>NOT(ISERROR(SEARCH("ENVIADO",T590)))</formula>
    </cfRule>
  </conditionalFormatting>
  <conditionalFormatting sqref="T604">
    <cfRule type="containsText" dxfId="292" priority="35" operator="containsText" text="EN PROCESO">
      <formula>NOT(ISERROR(SEARCH("EN PROCESO",T604)))</formula>
    </cfRule>
    <cfRule type="containsText" dxfId="293" priority="36" operator="containsText" text="ENVIADO">
      <formula>NOT(ISERROR(SEARCH("ENVIADO",T604)))</formula>
    </cfRule>
    <cfRule type="containsText" dxfId="295" priority="37" operator="containsText" text="EN PROCESO">
      <formula>NOT(ISERROR(SEARCH("EN PROCESO",T604)))</formula>
    </cfRule>
    <cfRule type="containsText" dxfId="294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5" priority="29" operator="containsText" text="EN REVISIÓN CENTRAL">
      <formula>NOT(ISERROR(SEARCH("EN REVISIÓN CENTRAL",T610)))</formula>
    </cfRule>
    <cfRule type="containsText" dxfId="286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6" priority="251" operator="containsText" text="EN PROCESO">
      <formula>NOT(ISERROR(SEARCH("EN PROCESO",W108)))</formula>
    </cfRule>
    <cfRule type="containsText" dxfId="267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6" priority="249" operator="containsText" text="EN PROCESO">
      <formula>NOT(ISERROR(SEARCH("EN PROCESO",W293)))</formula>
    </cfRule>
    <cfRule type="containsText" dxfId="257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47" priority="239" operator="containsText" text="EN PROCESO">
      <formula>NOT(ISERROR(SEARCH("EN PROCESO",W296)))</formula>
    </cfRule>
    <cfRule type="containsText" dxfId="248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50" priority="242" operator="containsText" text="ENVIADO">
      <formula>NOT(ISERROR(SEARCH("ENVIADO",W296)))</formula>
    </cfRule>
    <cfRule type="containsText" dxfId="244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6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0" priority="316" operator="containsText" text="ENVIADO">
      <formula>NOT(ISERROR(SEARCH("ENVIADO",W297)))</formula>
    </cfRule>
    <cfRule type="containsText" dxfId="242" priority="341" operator="containsText" text="EN PROCESO">
      <formula>NOT(ISERROR(SEARCH("EN PROCESO",W297)))</formula>
    </cfRule>
    <cfRule type="containsText" dxfId="243" priority="342" operator="containsText" text="ENVIADO">
      <formula>NOT(ISERROR(SEARCH("ENVIADO",W297)))</formula>
    </cfRule>
  </conditionalFormatting>
  <conditionalFormatting sqref="W301">
    <cfRule type="containsText" dxfId="238" priority="313" operator="containsText" text="EN PROCESO">
      <formula>NOT(ISERROR(SEARCH("EN PROCESO",W301)))</formula>
    </cfRule>
    <cfRule type="containsText" dxfId="239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4" priority="232" operator="containsText" text="ENVIADO">
      <formula>NOT(ISERROR(SEARCH("ENVIADO",W310)))</formula>
    </cfRule>
    <cfRule type="containsText" dxfId="232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0" priority="237" operator="containsText" text="EN PROCESO">
      <formula>NOT(ISERROR(SEARCH("EN PROCESO",W310)))</formula>
    </cfRule>
    <cfRule type="containsText" dxfId="231" priority="238" operator="containsText" text="ENVIADO">
      <formula>NOT(ISERROR(SEARCH("ENVIADO",W310)))</formula>
    </cfRule>
  </conditionalFormatting>
  <conditionalFormatting sqref="W312:W313">
    <cfRule type="containsText" dxfId="228" priority="339" operator="containsText" text="EN PROCESO">
      <formula>NOT(ISERROR(SEARCH("EN PROCESO",W312)))</formula>
    </cfRule>
    <cfRule type="containsText" dxfId="229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0" priority="217" operator="containsText" text="EN PROCESO">
      <formula>NOT(ISERROR(SEARCH("EN PROCESO",W385)))</formula>
    </cfRule>
    <cfRule type="containsText" dxfId="211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4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5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196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8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201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0" priority="201" operator="containsText" text="EN PROCESO">
      <formula>NOT(ISERROR(SEARCH("EN PROCESO",W456)))</formula>
    </cfRule>
    <cfRule type="containsText" dxfId="191" priority="202" operator="containsText" text="ENVIADO">
      <formula>NOT(ISERROR(SEARCH("ENVIADO",W456)))</formula>
    </cfRule>
  </conditionalFormatting>
  <conditionalFormatting sqref="W469">
    <cfRule type="containsText" dxfId="185" priority="195" operator="containsText" text="EN PROCESO">
      <formula>NOT(ISERROR(SEARCH("EN PROCESO",W469)))</formula>
    </cfRule>
    <cfRule type="containsText" dxfId="184" priority="196" operator="containsText" text="ENVIADO">
      <formula>NOT(ISERROR(SEARCH("ENVIADO",W469)))</formula>
    </cfRule>
    <cfRule type="containsText" dxfId="189" priority="197" operator="containsText" text="EN PROCESO">
      <formula>NOT(ISERROR(SEARCH("EN PROCESO",W469)))</formula>
    </cfRule>
    <cfRule type="containsText" dxfId="188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6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77" priority="187" operator="containsText" text="EN PROCESO">
      <formula>NOT(ISERROR(SEARCH("EN PROCESO",W484)))</formula>
    </cfRule>
    <cfRule type="containsText" dxfId="176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79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81" priority="192" operator="containsText" text="ENVIADO">
      <formula>NOT(ISERROR(SEARCH("ENVIADO",W484)))</formula>
    </cfRule>
  </conditionalFormatting>
  <conditionalFormatting sqref="W484:W518">
    <cfRule type="containsText" dxfId="174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1" priority="180" operator="containsText" text="ENVIADO">
      <formula>NOT(ISERROR(SEARCH("ENVIADO",W519)))</formula>
    </cfRule>
    <cfRule type="containsText" dxfId="170" priority="181" operator="containsText" text="EN PROCESO">
      <formula>NOT(ISERROR(SEARCH("EN PROCESO",W519)))</formula>
    </cfRule>
    <cfRule type="containsText" dxfId="166" priority="182" operator="containsText" text="ENVIADO">
      <formula>NOT(ISERROR(SEARCH("ENVIADO",W519)))</formula>
    </cfRule>
    <cfRule type="containsText" dxfId="168" priority="183" operator="containsText" text="EN PROCESO">
      <formula>NOT(ISERROR(SEARCH("EN PROCESO",W519)))</formula>
    </cfRule>
    <cfRule type="containsText" dxfId="167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8" priority="405" operator="containsText" text="EN PROCESO">
      <formula>NOT(ISERROR(SEARCH("EN PROCESO",W522)))</formula>
    </cfRule>
    <cfRule type="containsText" dxfId="159" priority="406" operator="containsText" text="ENVIADO">
      <formula>NOT(ISERROR(SEARCH("ENVIADO",W522)))</formula>
    </cfRule>
  </conditionalFormatting>
  <conditionalFormatting sqref="W522:W531">
    <cfRule type="containsText" dxfId="156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0" priority="169" operator="containsText" text="EN PROCESO">
      <formula>NOT(ISERROR(SEARCH("EN PROCESO",W541)))</formula>
    </cfRule>
    <cfRule type="containsText" dxfId="141" priority="170" operator="containsText" text="ENVIADO">
      <formula>NOT(ISERROR(SEARCH("ENVIADO",W541)))</formula>
    </cfRule>
    <cfRule type="containsText" dxfId="144" priority="171" operator="containsText" text="EN PROCESO">
      <formula>NOT(ISERROR(SEARCH("EN PROCESO",W541)))</formula>
    </cfRule>
    <cfRule type="containsText" dxfId="145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5" priority="159" operator="containsText" text="EN PROCESO">
      <formula>NOT(ISERROR(SEARCH("EN PROCESO",W544)))</formula>
    </cfRule>
    <cfRule type="containsText" dxfId="134" priority="160" operator="containsText" text="ENVIADO">
      <formula>NOT(ISERROR(SEARCH("ENVIADO",W544)))</formula>
    </cfRule>
    <cfRule type="containsText" dxfId="133" priority="161" operator="containsText" text="EN PROCESO">
      <formula>NOT(ISERROR(SEARCH("EN PROCESO",W544)))</formula>
    </cfRule>
    <cfRule type="containsText" dxfId="136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31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29" priority="166" operator="containsText" text="ENVIADO">
      <formula>NOT(ISERROR(SEARCH("ENVIADO",W544)))</formula>
    </cfRule>
    <cfRule type="containsText" dxfId="128" priority="167" operator="containsText" text="EN PROCESO">
      <formula>NOT(ISERROR(SEARCH("EN PROCESO",W544)))</formula>
    </cfRule>
    <cfRule type="containsText" dxfId="137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4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4" priority="289" operator="containsText" text="EN PROCESO">
      <formula>NOT(ISERROR(SEARCH("EN PROCESO",W548)))</formula>
    </cfRule>
    <cfRule type="containsText" dxfId="115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7" priority="293" operator="containsText" text="EN PROCESO">
      <formula>NOT(ISERROR(SEARCH("EN PROCESO",W548)))</formula>
    </cfRule>
    <cfRule type="containsText" dxfId="119" priority="294" operator="containsText" text="ENVIADO">
      <formula>NOT(ISERROR(SEARCH("ENVIADO",W548)))</formula>
    </cfRule>
  </conditionalFormatting>
  <conditionalFormatting sqref="W548:W563">
    <cfRule type="containsText" dxfId="110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2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2" priority="277" operator="containsText" text="EN PROCESO">
      <formula>NOT(ISERROR(SEARCH("EN PROCESO",W565)))</formula>
    </cfRule>
    <cfRule type="containsText" dxfId="105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0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0" priority="149" operator="containsText" text="EN PROCESO">
      <formula>NOT(ISERROR(SEARCH("EN PROCESO",W590)))</formula>
    </cfRule>
    <cfRule type="containsText" dxfId="81" priority="150" operator="containsText" text="ENVIADO">
      <formula>NOT(ISERROR(SEARCH("ENVIADO",W590)))</formula>
    </cfRule>
    <cfRule type="containsText" dxfId="82" priority="151" operator="containsText" text="EN PROCESO">
      <formula>NOT(ISERROR(SEARCH("EN PROCESO",W590)))</formula>
    </cfRule>
    <cfRule type="containsText" dxfId="83" priority="152" operator="containsText" text="ENVIADO">
      <formula>NOT(ISERROR(SEARCH("ENVIADO",W590)))</formula>
    </cfRule>
    <cfRule type="containsText" dxfId="87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5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3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6" priority="143" operator="containsText" text="EN PROCESO">
      <formula>NOT(ISERROR(SEARCH("EN PROCESO",W604)))</formula>
    </cfRule>
    <cfRule type="containsText" dxfId="69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7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6" priority="321" operator="containsText" text="EN PROCESO">
      <formula>NOT(ISERROR(SEARCH("EN PROCESO",W607)))</formula>
    </cfRule>
    <cfRule type="containsText" dxfId="57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2" priority="257" operator="containsText" text="EN PROCESO">
      <formula>NOT(ISERROR(SEARCH("EN PROCESO",W608)))</formula>
    </cfRule>
    <cfRule type="containsText" dxfId="53" priority="258" operator="containsText" text="ENVIADO">
      <formula>NOT(ISERROR(SEARCH("ENVIADO",W608)))</formula>
    </cfRule>
    <cfRule type="containsText" dxfId="54" priority="259" operator="containsText" text="EN PROCESO">
      <formula>NOT(ISERROR(SEARCH("EN PROCESO",W608)))</formula>
    </cfRule>
    <cfRule type="containsText" dxfId="55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29" priority="383" operator="containsText" text="EN PROCESO">
      <formula>NOT(ISERROR(SEARCH("EN PROCESO",X41)))</formula>
    </cfRule>
    <cfRule type="containsText" dxfId="28" priority="384" operator="containsText" text="ENVIADO">
      <formula>NOT(ISERROR(SEARCH("ENVIADO",X41)))</formula>
    </cfRule>
    <cfRule type="containsText" dxfId="27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5" priority="387" operator="containsText" text="EN PROCESO">
      <formula>NOT(ISERROR(SEARCH("EN PROCESO",X41)))</formula>
    </cfRule>
    <cfRule type="containsText" dxfId="24" priority="388" operator="containsText" text="ENVIADO">
      <formula>NOT(ISERROR(SEARCH("ENVIADO",X41)))</formula>
    </cfRule>
    <cfRule type="containsText" dxfId="31" priority="389" operator="containsText" text="EN PROCESO">
      <formula>NOT(ISERROR(SEARCH("EN PROCESO",X41)))</formula>
    </cfRule>
    <cfRule type="containsText" dxfId="30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0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2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2" priority="395" operator="containsText" text="EN PROCESO">
      <formula>NOT(ISERROR(SEARCH("EN PROCESO",X266)))</formula>
    </cfRule>
    <cfRule type="containsText" dxfId="13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count="11">
    <dataValidation type="list" allowBlank="1" showInputMessage="1" showErrorMessage="1" sqref="T610 V286:V287" xr:uid="{9CB058DB-5DC9-41E1-AA0B-14388ABA7917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 T453" xr:uid="{878253C1-3E83-46BD-A219-6B4E171963A8}">
      <formula1>"EN PROCESO,CONCLUIDO"</formula1>
    </dataValidation>
    <dataValidation type="list" allowBlank="1" showInputMessage="1" showErrorMessage="1" sqref="Q610 S2:S613" xr:uid="{131CB45D-7520-4427-A664-3BB2BCA1C328}">
      <formula1>"ENVIADO A LA CE/UM,ENTREGADO/REVISIÓN,ENVIADO A TICS"</formula1>
    </dataValidation>
    <dataValidation type="list" allowBlank="1" showInputMessage="1" showErrorMessage="1" sqref="Y2:Y613" xr:uid="{88A15EBE-95C8-461D-B55F-2A275B768D56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A2E2753E-3A6D-4F5D-8F80-DC6996421EE7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4D0F1207-47D3-47D1-88BD-DF9F8CA420D9}">
      <formula1>"ENVIADO A LA CE/UM,EN REVISIÓN CENTRAL,CONCLUIDO, NO APLICA"</formula1>
    </dataValidation>
    <dataValidation type="list" allowBlank="1" showInputMessage="1" showErrorMessage="1" sqref="AA2:AA613" xr:uid="{5AB159A1-68E2-4555-95F8-A7E2F2A8F5EF}">
      <formula1>"SI,NO,NO APLICA"</formula1>
    </dataValidation>
    <dataValidation type="list" allowBlank="1" showInputMessage="1" showErrorMessage="1" sqref="W520:W613 W49:W115 W117:W222 W224:W518" xr:uid="{C1C10522-C383-4E16-BE65-A8A4F89D85D5}">
      <formula1>"EN PROCESO,CONCLUIDO,NO APLICA"</formula1>
    </dataValidation>
    <dataValidation type="list" allowBlank="1" showInputMessage="1" showErrorMessage="1" sqref="W2:W6 W8:W48" xr:uid="{B0162FD4-3533-4B80-889D-D0418A33BEFB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W223 T517:T521 T541 T544:T545 T547 T566 T581 T590:T591 T604 T2:T63 T596 X520:X613 T115:T155 T93:T95 T446:T452 T454:T455" xr:uid="{346B736C-E85A-4A06-92EE-7DC2E5012741}">
      <formula1>"EN PROCESO,CONCLUIDO, NO APLICA"</formula1>
    </dataValidation>
    <dataValidation type="list" allowBlank="1" showInputMessage="1" showErrorMessage="1" sqref="Z2:Z613" xr:uid="{DF67EC8A-724A-42E5-9996-6754350BDE0F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2026-09-02T17:15:38Z</dcterms:modified>
</cp:coreProperties>
</file>