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ep\Documents\dev\implementacion_eds_imb\excel\"/>
    </mc:Choice>
  </mc:AlternateContent>
  <xr:revisionPtr revIDLastSave="0" documentId="13_ncr:1_{2AA68FC5-F48A-4B8F-868A-6BB7BC70DB35}" xr6:coauthVersionLast="47" xr6:coauthVersionMax="47" xr10:uidLastSave="{00000000-0000-0000-0000-000000000000}"/>
  <bookViews>
    <workbookView xWindow="0" yWindow="1430" windowWidth="25200" windowHeight="15370" xr2:uid="{A71EBC0A-EF77-4480-B2A6-100C25EC669C}"/>
  </bookViews>
  <sheets>
    <sheet name="Hoja1" sheetId="1" r:id="rId1"/>
    <sheet name="equipamiento" sheetId="4" r:id="rId2"/>
    <sheet name="Hoja2" sheetId="3" r:id="rId3"/>
  </sheets>
  <definedNames>
    <definedName name="_xlnm._FilterDatabase" localSheetId="0" hidden="1">Hoja1!$A$1:$AD$613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2" i="1" l="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 r="AD6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tc={7FD2B3E9-7CC1-4366-873F-902991DB8A87}</author>
  </authors>
  <commentList>
    <comment ref="Q25" authorId="0" shapeId="0" xr:uid="{7FD2B3E9-7CC1-4366-873F-902991DB8A87}">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<sst xmlns="http://schemas.openxmlformats.org/spreadsheetml/2006/main" count="18819" uniqueCount="1852">
  <si>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</si>
  <si>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</si>
  <si>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</si>
  <si>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</si>
  <si>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</si>
  <si>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</si>
  <si>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</si>
  <si>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</si>
  <si>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</si>
  <si>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</si>
  <si>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</si>
  <si>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</si>
  <si>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</si>
  <si>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</si>
  <si>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</si>
  <si>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</si>
  <si>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</si>
  <si>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</si>
  <si>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</si>
  <si>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</si>
  <si>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</si>
  <si>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</si>
  <si>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</si>
  <si>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</si>
  <si>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</si>
  <si>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</si>
  <si>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</si>
  <si>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</si>
  <si>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</si>
  <si>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</si>
  <si>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</si>
  <si>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</si>
  <si>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</si>
  <si>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</si>
  <si>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</si>
  <si>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</si>
  <si>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</si>
  <si>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</si>
  <si>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</si>
  <si>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</si>
  <si>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</si>
  <si>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</si>
  <si>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</si>
  <si>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</si>
  <si>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</si>
  <si>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</si>
  <si>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</si>
  <si>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</si>
  <si>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</si>
  <si>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</si>
  <si>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</si>
  <si>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</si>
  <si>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</si>
  <si>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</si>
  <si>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</si>
  <si>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</si>
  <si>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</si>
  <si>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</si>
  <si>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</si>
  <si>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</si>
  <si>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</si>
  <si>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</si>
  <si>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</si>
  <si>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</si>
  <si>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</si>
  <si>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</si>
  <si>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</si>
  <si>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</si>
  <si>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</si>
  <si>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</si>
  <si>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</si>
  <si>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</si>
  <si>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</si>
  <si>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</si>
  <si>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</si>
  <si>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</si>
  <si>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</si>
  <si>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</si>
  <si>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</si>
  <si>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</si>
  <si>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</si>
  <si>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</si>
  <si>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</si>
  <si>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</si>
  <si>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</si>
  <si>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</si>
  <si>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</si>
  <si>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</si>
  <si>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</si>
  <si>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</si>
  <si>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</si>
  <si>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</si>
  <si>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</si>
  <si>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</si>
  <si>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</si>
  <si>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</si>
  <si>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</si>
  <si>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</si>
  <si>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</si>
  <si>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</si>
  <si>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</si>
  <si>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</si>
  <si>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</si>
  <si>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</si>
  <si>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</si>
  <si>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</si>
  <si>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</si>
  <si>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</si>
  <si>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</si>
  <si>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</si>
  <si>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</si>
  <si>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</si>
  <si>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</si>
  <si>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</si>
  <si>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</si>
  <si>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</si>
  <si>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</si>
  <si>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</si>
  <si>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</si>
  <si>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</si>
  <si>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</si>
  <si>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</si>
  <si>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</si>
  <si>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</si>
  <si>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</si>
  <si>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</si>
  <si>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</si>
  <si>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</si>
  <si>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</si>
  <si>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</si>
  <si>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</si>
  <si>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</si>
  <si>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</si>
  <si>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</si>
  <si>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</si>
  <si>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</si>
  <si>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</si>
  <si>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</si>
  <si>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</si>
  <si>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</si>
  <si>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</si>
  <si>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</si>
  <si>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</si>
  <si>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</si>
  <si>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</si>
  <si>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</si>
  <si>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</si>
  <si>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</si>
  <si>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</si>
  <si>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</si>
  <si>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</si>
  <si>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</si>
  <si>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</si>
  <si>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</si>
  <si>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</si>
  <si>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</si>
  <si>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</si>
  <si>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</si>
  <si>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</si>
  <si>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</si>
  <si>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</si>
  <si>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</si>
  <si>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</si>
  <si>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</si>
  <si>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</si>
  <si>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</si>
  <si>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</si>
  <si>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</si>
  <si>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</si>
  <si>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</si>
  <si>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</si>
  <si>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</si>
  <si>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</si>
  <si>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</si>
  <si>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</si>
  <si>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</si>
  <si>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</si>
  <si>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</si>
  <si>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</si>
  <si>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</si>
  <si>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</si>
  <si>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</si>
  <si>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</si>
  <si>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</si>
  <si>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</si>
  <si>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</si>
  <si>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</si>
  <si>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</si>
  <si>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</si>
  <si>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</si>
  <si>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</si>
  <si>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</si>
  <si>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</si>
  <si>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</si>
  <si>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</si>
  <si>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</si>
  <si>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</si>
  <si>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</si>
  <si>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</si>
  <si>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</si>
  <si>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</si>
  <si>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</si>
  <si>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</si>
  <si>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</si>
  <si>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</si>
  <si>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</si>
  <si>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</si>
  <si>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</si>
  <si>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</si>
  <si>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</si>
  <si>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</si>
  <si>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</si>
  <si>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</si>
  <si>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</si>
  <si>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</si>
  <si>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</si>
  <si>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</si>
  <si>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</si>
  <si>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</si>
  <si>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</si>
  <si>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</si>
  <si>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</si>
  <si>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</si>
  <si>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</si>
  <si>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</si>
  <si>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</si>
  <si>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</si>
  <si>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</si>
  <si>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</si>
  <si>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</si>
  <si>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</si>
  <si>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</si>
  <si>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</si>
  <si>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</si>
  <si>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</si>
  <si>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</si>
  <si>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</si>
  <si>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</si>
  <si>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</si>
  <si>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</si>
  <si>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</si>
  <si>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</si>
  <si>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</si>
  <si>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</si>
  <si>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</si>
  <si>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</si>
  <si>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</si>
  <si>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</si>
  <si>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</si>
  <si>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</si>
  <si>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</si>
  <si>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</si>
  <si>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</si>
  <si>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</si>
  <si>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</si>
  <si>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</si>
  <si>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</si>
  <si>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</si>
  <si>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</si>
  <si>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</si>
  <si>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</si>
  <si>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</si>
  <si>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</si>
  <si>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</si>
  <si>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</si>
  <si>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</si>
  <si>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</si>
  <si>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</si>
  <si>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</si>
  <si>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</si>
  <si>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</si>
  <si>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</si>
  <si>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</si>
  <si>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</si>
  <si>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</si>
  <si>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</si>
  <si>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</si>
  <si>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</si>
  <si>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</si>
  <si>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</si>
  <si>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</si>
  <si>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</si>
  <si>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</si>
  <si>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</si>
  <si>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</si>
  <si>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</si>
  <si>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</si>
  <si>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</si>
  <si>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</si>
  <si>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</si>
  <si>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</si>
  <si>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</si>
  <si>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</si>
  <si>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</si>
  <si>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</si>
  <si>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</si>
  <si>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</si>
  <si>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</si>
  <si>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</si>
  <si>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</si>
  <si>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</si>
  <si>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</si>
  <si>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</si>
  <si>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</si>
  <si>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</si>
  <si>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</si>
  <si>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</si>
  <si>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</si>
  <si>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</si>
  <si>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</si>
  <si>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</si>
  <si>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</si>
  <si>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</si>
  <si>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</si>
  <si>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</si>
  <si>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</si>
  <si>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</si>
  <si>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</si>
  <si>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</si>
  <si>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</si>
  <si>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</si>
  <si>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</si>
  <si>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</si>
  <si>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</si>
  <si>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</si>
  <si>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</si>
  <si>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</si>
  <si>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</si>
  <si>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</si>
  <si>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</si>
  <si>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</si>
  <si>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</si>
  <si>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</si>
  <si>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</si>
  <si>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</si>
  <si>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</si>
  <si>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</si>
  <si>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</si>
  <si>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</si>
  <si>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</si>
  <si>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</si>
  <si>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</si>
  <si>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</si>
  <si>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</si>
  <si>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</si>
  <si>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</si>
  <si>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</si>
  <si>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</si>
  <si>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</si>
  <si>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</si>
  <si>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</si>
  <si>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</si>
  <si>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</si>
  <si>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</si>
  <si>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</si>
  <si>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</si>
  <si>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</si>
  <si>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</si>
  <si>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</si>
  <si>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</si>
  <si>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</si>
  <si>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</si>
  <si>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</si>
  <si>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</si>
  <si>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</si>
  <si>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</si>
  <si>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</si>
  <si>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</si>
  <si>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</si>
  <si>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</si>
  <si>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</si>
  <si>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</si>
  <si>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</si>
  <si>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</si>
  <si>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</si>
  <si>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</si>
  <si>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</si>
  <si>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</si>
  <si>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</si>
  <si>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</si>
  <si>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</si>
  <si>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</si>
  <si>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</si>
  <si>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</si>
  <si>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</si>
  <si>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</si>
  <si>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</si>
  <si>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</si>
  <si>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</si>
  <si>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</si>
  <si>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</si>
  <si>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</si>
  <si>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</si>
  <si>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</si>
  <si>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</si>
  <si>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</si>
  <si>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</si>
  <si>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</si>
  <si>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</si>
  <si>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</si>
  <si>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</si>
  <si>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</si>
  <si>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</si>
  <si>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</si>
  <si>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</si>
  <si>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</si>
  <si>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</si>
  <si>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</si>
  <si>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</si>
  <si>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</si>
  <si>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</si>
  <si>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</si>
  <si>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</si>
  <si>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</si>
  <si>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</si>
  <si>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</si>
  <si>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</si>
  <si>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</si>
  <si>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</si>
  <si>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</si>
  <si>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</si>
  <si>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</si>
  <si>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</si>
  <si>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</si>
  <si>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</si>
  <si>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</si>
  <si>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</si>
  <si>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</si>
  <si>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</si>
  <si>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</si>
  <si>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</si>
  <si>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</si>
  <si>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</si>
  <si>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</si>
  <si>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</si>
  <si>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</si>
  <si>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</si>
  <si>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</si>
  <si>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</si>
  <si>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</si>
  <si>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</si>
  <si>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</si>
  <si>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</si>
  <si>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</si>
  <si>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</si>
  <si>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</si>
  <si>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</si>
  <si>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</si>
  <si>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</si>
  <si>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</si>
  <si>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</si>
  <si>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</si>
  <si>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</si>
  <si>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</si>
  <si>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</si>
  <si>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</si>
  <si>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</si>
  <si>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</si>
  <si>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</si>
  <si>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</si>
  <si>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</si>
  <si>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</si>
  <si>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</si>
  <si>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</si>
  <si>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</si>
  <si>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</si>
  <si>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</si>
  <si>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</si>
  <si>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</si>
  <si>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</si>
  <si>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</si>
  <si>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</si>
  <si>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</si>
  <si>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</si>
  <si>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</si>
  <si>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</si>
  <si>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</si>
  <si>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</si>
  <si>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</si>
  <si>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</si>
  <si>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</si>
  <si>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</si>
  <si>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</si>
  <si>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</si>
  <si>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</si>
  <si>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</si>
  <si>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</si>
  <si>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</si>
  <si>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</si>
  <si>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</si>
  <si>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</si>
  <si>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</si>
  <si>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</si>
  <si>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</si>
  <si>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</si>
  <si>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</si>
  <si>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</si>
  <si>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</si>
  <si>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</si>
  <si>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</si>
  <si>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</si>
  <si>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</si>
  <si>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</si>
  <si>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</si>
  <si>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</si>
  <si>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</si>
  <si>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</si>
  <si>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</si>
  <si>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</si>
  <si>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</si>
  <si>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</si>
  <si>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</si>
  <si>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</si>
  <si>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</si>
  <si>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</si>
  <si>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</si>
  <si>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</si>
  <si>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</si>
  <si>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</si>
  <si>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</si>
  <si>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</si>
  <si>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</si>
  <si>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</si>
  <si>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</si>
  <si>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</si>
  <si>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</si>
  <si>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</si>
  <si>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</si>
  <si>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</si>
  <si>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</si>
  <si>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</si>
  <si>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</si>
  <si>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</si>
  <si>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</si>
  <si>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</si>
  <si>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</si>
  <si>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</si>
  <si>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</si>
  <si>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</si>
  <si>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</si>
  <si>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</si>
  <si>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</si>
  <si>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</si>
  <si>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</si>
  <si>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</si>
  <si>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</si>
  <si>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</si>
  <si>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</si>
  <si>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</si>
  <si>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</si>
  <si>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</si>
  <si>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</si>
  <si>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</si>
  <si>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</si>
  <si>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</si>
  <si>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</si>
  <si>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</si>
  <si>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</si>
  <si>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</si>
  <si>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</si>
  <si>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</si>
  <si>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</si>
  <si>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</si>
  <si>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</si>
  <si>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</si>
  <si>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</si>
  <si>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</si>
  <si>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</si>
  <si>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</si>
  <si>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</si>
  <si>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</si>
  <si>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</si>
  <si>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</si>
  <si>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</si>
  <si>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</si>
  <si>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</si>
  <si>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</si>
  <si>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</si>
  <si>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</si>
  <si>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</si>
  <si>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</si>
  <si>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</si>
  <si>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</si>
  <si>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</si>
  <si>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</si>
  <si>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</si>
  <si>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</si>
  <si>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</si>
  <si>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</si>
  <si>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</si>
  <si>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</si>
  <si>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</si>
  <si>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</si>
  <si>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</si>
  <si>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</si>
  <si>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</si>
  <si>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</si>
  <si>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</si>
  <si>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</si>
  <si>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</si>
  <si>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</si>
  <si>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</si>
  <si>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</si>
  <si>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</si>
  <si>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</si>
  <si>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</si>
  <si>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</si>
  <si>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</si>
  <si>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</si>
  <si>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</si>
  <si>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</si>
  <si>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</si>
  <si>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</si>
  <si>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</si>
  <si>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</si>
  <si>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</si>
  <si>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</si>
  <si>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</si>
  <si>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</si>
  <si>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</si>
  <si>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</si>
  <si>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</si>
  <si>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</si>
  <si>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</si>
  <si>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</si>
  <si>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</si>
  <si>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</si>
  <si>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</si>
  <si>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</si>
  <si>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</si>
  <si>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</si>
  <si>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</si>
  <si>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</si>
  <si>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</si>
  <si>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</si>
  <si>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</si>
  <si>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</si>
  <si>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</si>
  <si>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</si>
  <si>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</si>
  <si>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</si>
  <si>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</si>
  <si>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</si>
  <si>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</si>
  <si>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</si>
  <si>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</si>
  <si>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</si>
  <si>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</si>
  <si>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</si>
  <si>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</si>
  <si>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</si>
  <si>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</si>
  <si>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</si>
  <si>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</si>
  <si>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</si>
  <si>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</si>
  <si>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</si>
  <si>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</si>
  <si>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</si>
  <si>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</si>
  <si>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</si>
  <si>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</si>
  <si>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</si>
  <si>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</si>
  <si>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</si>
  <si>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</si>
  <si>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</si>
  <si>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</si>
  <si>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</si>
  <si>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</si>
  <si>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</si>
  <si>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</si>
  <si>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</si>
  <si>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</si>
  <si>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</si>
  <si>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</si>
  <si>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</si>
  <si>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</si>
  <si>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</si>
  <si>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</si>
  <si>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</si>
  <si>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</si>
  <si>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</si>
  <si>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</si>
  <si>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</si>
  <si>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</si>
  <si>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</si>
  <si>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</si>
  <si>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</si>
  <si>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</si>
  <si>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</si>
  <si>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</si>
  <si>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</si>
  <si>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</si>
  <si>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</si>
  <si>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</si>
  <si>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</si>
  <si>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</si>
  <si>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</si>
  <si>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</si>
  <si>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</si>
  <si>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</si>
  <si>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</si>
  <si>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</si>
  <si>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</si>
  <si>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</si>
  <si>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</si>
  <si>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</si>
  <si>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</si>
  <si>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</si>
  <si>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</si>
  <si>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</si>
  <si>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</si>
  <si>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</si>
  <si>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</si>
  <si>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</si>
  <si>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</si>
  <si>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</si>
  <si>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</si>
  <si>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</si>
  <si>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</si>
  <si>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</si>
  <si>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</si>
  <si>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</si>
  <si>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</si>
  <si>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</si>
  <si>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</si>
  <si>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</si>
  <si>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</si>
  <si>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</si>
  <si>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</si>
  <si>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</si>
  <si>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</si>
  <si>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</si>
  <si>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</si>
  <si>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</si>
  <si>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</si>
  <si>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</si>
  <si>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</si>
  <si>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</si>
  <si>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</si>
  <si>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</si>
  <si>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</si>
  <si>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</si>
  <si>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</si>
  <si>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</si>
  <si>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</si>
  <si>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</si>
  <si>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</si>
  <si>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</si>
  <si>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</si>
  <si>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</si>
  <si>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</si>
  <si>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</si>
  <si>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</si>
  <si>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</si>
  <si>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</si>
  <si>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</si>
  <si>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</si>
  <si>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</si>
  <si>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</si>
  <si>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</si>
  <si>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</si>
  <si>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</si>
  <si>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</si>
  <si>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</si>
  <si>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</si>
  <si>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</si>
  <si>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</si>
  <si>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</si>
  <si>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</si>
  <si>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</si>
  <si>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</si>
  <si>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</si>
  <si>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</si>
  <si>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</si>
  <si>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</si>
  <si>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</si>
  <si>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</si>
  <si>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</si>
  <si>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</si>
  <si>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</si>
  <si>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</si>
  <si>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</si>
  <si>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</si>
  <si>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</si>
  <si>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</si>
  <si>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</si>
  <si>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</si>
  <si>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</si>
  <si>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</si>
  <si>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</si>
  <si>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</si>
  <si>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</si>
  <si>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</si>
  <si>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</si>
  <si>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</si>
  <si>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</si>
  <si>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</si>
  <si>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</si>
  <si>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</si>
  <si>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</si>
  <si>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</si>
  <si>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</si>
  <si>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</si>
  <si>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</si>
  <si>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</si>
  <si>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</si>
  <si>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</si>
  <si>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</si>
  <si>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</si>
  <si>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</si>
  <si>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</si>
  <si>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</si>
  <si>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</si>
  <si>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</si>
  <si>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</si>
  <si>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</si>
  <si>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</si>
  <si>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</si>
  <si>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</si>
  <si>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</si>
  <si>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</si>
  <si>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</si>
  <si>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</si>
  <si>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</si>
  <si>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</si>
  <si>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</si>
  <si>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</si>
  <si>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</si>
  <si>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</si>
  <si>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</si>
  <si>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</si>
  <si>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</si>
  <si>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</si>
  <si>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</si>
  <si>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</si>
  <si>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</si>
  <si>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</si>
  <si>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</si>
  <si>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</si>
  <si>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</si>
  <si>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</si>
  <si>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</si>
  <si>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</si>
  <si>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</si>
  <si>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</si>
  <si>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</si>
  <si>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</si>
  <si>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</si>
  <si>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</si>
  <si>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</si>
  <si>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</si>
  <si>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</si>
  <si>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</si>
  <si>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</si>
  <si>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</si>
  <si>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</si>
  <si>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</si>
  <si>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</si>
  <si>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</si>
  <si>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</si>
  <si>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</si>
  <si>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</si>
  <si>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</si>
  <si>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</si>
  <si>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</si>
  <si>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</si>
  <si>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</si>
  <si>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</si>
  <si>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</si>
  <si>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</si>
  <si>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</si>
  <si>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</si>
  <si>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</si>
  <si>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</si>
  <si>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</si>
  <si>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</si>
  <si>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</si>
  <si>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</si>
  <si>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</si>
  <si>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</si>
  <si>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</si>
  <si>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</si>
  <si>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</si>
  <si>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</si>
  <si>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</si>
  <si>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</si>
  <si>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</si>
  <si>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</si>
  <si>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</si>
  <si>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</si>
  <si>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</si>
  <si>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</si>
  <si>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</si>
  <si>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</si>
  <si>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</si>
  <si>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</si>
  <si>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</si>
  <si>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</si>
  <si>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</si>
  <si>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</si>
  <si>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</si>
  <si>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</si>
  <si>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</si>
  <si>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</si>
  <si>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</si>
  <si>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</si>
  <si>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</si>
  <si>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</si>
  <si>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</si>
  <si>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</si>
  <si>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</si>
  <si>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</si>
  <si>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</si>
  <si>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</si>
  <si>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</si>
  <si>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</si>
  <si>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</si>
  <si>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</si>
  <si>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</si>
  <si>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</si>
  <si>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</si>
  <si>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</si>
  <si>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</si>
  <si>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</si>
  <si>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</si>
  <si>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</si>
  <si>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</si>
  <si>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</si>
  <si>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</si>
  <si>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</si>
  <si>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</si>
  <si>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</si>
  <si>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</si>
  <si>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</si>
  <si>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</si>
  <si>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</si>
  <si>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</si>
  <si>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</si>
  <si>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</si>
  <si>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</si>
  <si>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</si>
  <si>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</si>
  <si>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</si>
  <si>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</si>
  <si>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</si>
  <si>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</si>
  <si>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</si>
  <si>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</si>
  <si>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</si>
  <si>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</si>
  <si>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</si>
  <si>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</si>
  <si>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</si>
  <si>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</si>
  <si>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</si>
  <si>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</si>
  <si>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</si>
  <si>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</si>
  <si>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</si>
  <si>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</si>
  <si>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</si>
  <si>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</si>
  <si>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</si>
  <si>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</si>
  <si>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</si>
  <si>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</si>
  <si>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</si>
  <si>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</si>
  <si>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</si>
  <si>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</si>
  <si>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</si>
  <si>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</si>
  <si>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</si>
  <si>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</si>
  <si>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</si>
  <si>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</si>
  <si>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</si>
  <si>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</si>
  <si>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</si>
  <si>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</si>
  <si>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</si>
  <si>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</si>
  <si>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</si>
  <si>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</si>
  <si>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</si>
  <si>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</si>
  <si>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</si>
  <si>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</si>
  <si>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</si>
  <si>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</si>
  <si>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</si>
  <si>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</si>
  <si>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</si>
  <si>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</si>
  <si>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</si>
  <si>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</si>
  <si>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</si>
  <si>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</si>
  <si>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</si>
  <si>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</si>
  <si>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</si>
  <si>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</si>
  <si>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</si>
  <si>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</si>
  <si>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</si>
  <si>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</si>
  <si>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</si>
  <si>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</si>
  <si>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</si>
  <si>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</si>
  <si>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</si>
  <si>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</si>
  <si>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</si>
  <si>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</si>
  <si>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</si>
  <si>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</si>
  <si>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</si>
  <si>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</si>
  <si>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</si>
  <si>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</si>
  <si>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</si>
  <si>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</si>
  <si>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</si>
  <si>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</si>
  <si>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</si>
  <si>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</si>
  <si>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</si>
  <si>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</si>
  <si>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</si>
  <si>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</si>
  <si>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</si>
  <si>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</si>
  <si>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</si>
  <si>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</si>
  <si>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</si>
  <si>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</si>
  <si>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</si>
  <si>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</si>
  <si>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</si>
  <si>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</si>
  <si>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</si>
  <si>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</si>
  <si>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</si>
  <si>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</si>
  <si>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</si>
  <si>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</si>
  <si>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</si>
  <si>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</si>
  <si>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</si>
  <si>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</si>
  <si>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</si>
  <si>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</si>
  <si>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</si>
  <si>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</si>
  <si>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</si>
  <si>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</si>
  <si>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</si>
  <si>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</si>
  <si>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</si>
  <si>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</si>
  <si>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</si>
  <si>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</si>
  <si>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</si>
  <si>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</si>
  <si>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</si>
  <si>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</si>
  <si>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</si>
  <si>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</si>
  <si>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</si>
  <si>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</si>
  <si>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</si>
  <si>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</si>
  <si>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</si>
  <si>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</si>
  <si>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</si>
  <si>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</si>
  <si>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</si>
  <si>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</si>
  <si>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</si>
  <si>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</si>
  <si>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</si>
  <si>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</si>
  <si>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</si>
  <si>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</si>
  <si>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</si>
  <si>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</si>
  <si>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</si>
  <si>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</si>
  <si>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</si>
  <si>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</si>
  <si>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</si>
  <si>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</si>
  <si>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</si>
  <si>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</si>
  <si>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</si>
  <si>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</si>
  <si>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</si>
  <si>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</si>
  <si>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</si>
  <si>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</si>
  <si>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</si>
  <si>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</si>
  <si>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</si>
  <si>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</si>
  <si>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</si>
  <si>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</si>
  <si>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</si>
  <si>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</si>
  <si>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</si>
  <si>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</si>
  <si>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</si>
  <si>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</si>
  <si>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</si>
  <si>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</si>
  <si>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</si>
  <si>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</si>
  <si>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</si>
  <si>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</si>
  <si>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</si>
  <si>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</si>
  <si>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</si>
  <si>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</si>
  <si>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</si>
  <si>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</si>
  <si>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</si>
  <si>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</si>
  <si>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</si>
  <si>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</si>
  <si>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</si>
  <si>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</si>
  <si>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</si>
  <si>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</si>
  <si>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</si>
  <si>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</si>
  <si>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</si>
  <si>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</si>
  <si>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</si>
  <si>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</si>
  <si>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</si>
  <si>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</si>
  <si>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</si>
  <si>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</si>
  <si>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</si>
  <si>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</si>
  <si>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</si>
  <si>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</si>
  <si>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</si>
  <si>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</si>
  <si>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</si>
  <si>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</si>
  <si>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</si>
  <si>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</si>
  <si>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</si>
  <si>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</si>
  <si>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</si>
  <si>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</si>
  <si>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</si>
  <si>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</si>
  <si>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</si>
  <si>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</si>
  <si>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</si>
  <si>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</si>
  <si>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</si>
  <si>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</si>
  <si>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</si>
  <si>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</si>
  <si>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</si>
  <si>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</si>
  <si>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</si>
  <si>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</si>
  <si>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</si>
  <si>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</si>
  <si>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</si>
  <si>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</si>
  <si>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</si>
  <si>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</si>
  <si>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</si>
  <si>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</si>
  <si>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</si>
  <si>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</si>
  <si>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</si>
  <si>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</si>
  <si>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</si>
  <si>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</si>
  <si>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</si>
  <si>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</si>
  <si>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</si>
  <si>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</si>
  <si>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</si>
  <si>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</si>
  <si>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</si>
  <si>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</si>
  <si>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</si>
  <si>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</si>
  <si>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</si>
  <si>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</si>
  <si>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</si>
  <si>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</si>
  <si>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</si>
  <si>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</si>
  <si>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</si>
  <si>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</si>
  <si>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</si>
  <si>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</si>
  <si>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</si>
  <si>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</si>
  <si>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</si>
  <si>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</si>
  <si>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</si>
  <si>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</si>
  <si>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</si>
  <si>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</si>
  <si>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</si>
  <si>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</si>
  <si>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</si>
  <si>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</si>
  <si>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</si>
  <si>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</si>
  <si>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</si>
  <si>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</si>
  <si>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</si>
  <si>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</si>
  <si>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</si>
  <si>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</si>
  <si>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</si>
  <si>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</si>
  <si>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</si>
  <si>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</si>
  <si>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</si>
  <si>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</si>
  <si>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</si>
  <si>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</si>
  <si>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</si>
  <si>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</si>
  <si>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</si>
  <si>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</si>
  <si>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</si>
  <si>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</si>
  <si>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</si>
  <si>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</si>
  <si>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</si>
  <si>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</si>
  <si>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</si>
  <si>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</si>
  <si>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</si>
  <si>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</si>
  <si>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</si>
  <si>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</si>
  <si>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</si>
  <si>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</si>
  <si>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</si>
  <si>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</si>
  <si>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</si>
  <si>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</si>
  <si>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</si>
  <si>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</si>
  <si>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</si>
  <si>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</si>
  <si>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</si>
  <si>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</si>
  <si>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</si>
  <si>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</si>
  <si>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</si>
  <si>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</si>
  <si>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</si>
  <si>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</si>
  <si>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</si>
  <si>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</si>
  <si>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</si>
  <si>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</si>
  <si>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</si>
  <si>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</si>
  <si>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</si>
  <si>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</si>
  <si>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</si>
  <si>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</si>
  <si>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</si>
  <si>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</si>
  <si>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</si>
  <si>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</si>
  <si>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</si>
  <si>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</si>
  <si>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</si>
  <si>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</si>
  <si>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</si>
  <si>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</si>
  <si>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</si>
  <si>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</si>
  <si>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</si>
  <si>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</si>
  <si>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</si>
  <si>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</si>
  <si>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</si>
  <si>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</si>
  <si>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</si>
  <si>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</si>
  <si>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</si>
  <si>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</si>
  <si>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</si>
  <si>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</si>
  <si>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</si>
  <si>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</si>
  <si>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</si>
  <si>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</si>
  <si>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</si>
  <si>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</si>
  <si>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</si>
  <si>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</si>
  <si>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</si>
  <si>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</si>
  <si>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</si>
  <si>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</si>
  <si>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</si>
  <si>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</si>
  <si>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</si>
  <si>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</si>
  <si>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</si>
  <si>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</si>
  <si>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</si>
  <si>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</si>
  <si>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</si>
  <si>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</si>
  <si>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</si>
  <si>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</si>
  <si>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</si>
  <si>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</si>
  <si>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</si>
  <si>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</si>
  <si>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</si>
  <si>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</si>
  <si>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</si>
  <si>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</si>
  <si>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</si>
  <si>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</si>
  <si>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</si>
  <si>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</si>
  <si>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</si>
  <si>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</si>
  <si>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</si>
  <si>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</si>
  <si>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</si>
  <si>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</si>
  <si>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</si>
  <si>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</si>
  <si>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</si>
  <si>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</si>
  <si>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</si>
  <si>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</si>
  <si>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</si>
  <si>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</si>
  <si>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</si>
  <si>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</si>
  <si>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</si>
  <si>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</si>
  <si>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</si>
  <si>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</si>
  <si>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</si>
  <si>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</si>
  <si>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</si>
  <si>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</si>
  <si>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</si>
  <si>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</si>
  <si>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</si>
  <si>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</si>
  <si>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</si>
  <si>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</si>
  <si>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</si>
  <si>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</si>
  <si>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</si>
  <si>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</si>
  <si>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</si>
  <si>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</si>
  <si>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</si>
  <si>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</si>
  <si>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</si>
  <si>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</si>
  <si>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</si>
  <si>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</si>
  <si>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</si>
  <si>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</si>
  <si>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</si>
  <si>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</si>
  <si>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</si>
  <si>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</si>
  <si>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</si>
  <si>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</si>
  <si>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</si>
  <si>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</si>
  <si>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</si>
  <si>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</si>
  <si>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</si>
  <si>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</si>
  <si>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</si>
  <si>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</si>
  <si>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</si>
  <si>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</si>
  <si>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</si>
  <si>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</si>
  <si>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</si>
  <si>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</si>
  <si>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</si>
  <si>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</si>
  <si>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</si>
  <si>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</si>
  <si>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</si>
  <si>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</si>
  <si>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</si>
  <si>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</si>
  <si>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</si>
  <si>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</si>
  <si>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</si>
  <si>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</si>
  <si>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</si>
  <si>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</si>
  <si>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</si>
  <si>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</si>
  <si>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</si>
  <si>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</si>
  <si>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</si>
  <si>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</si>
  <si>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</si>
  <si>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</si>
  <si>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</si>
  <si>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</si>
  <si>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</si>
  <si>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</si>
  <si>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</si>
  <si>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</si>
  <si>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</si>
  <si>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</si>
  <si>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</si>
  <si>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</si>
  <si>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</si>
  <si>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</si>
  <si>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</si>
  <si>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</si>
  <si>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</si>
  <si>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</si>
  <si>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</si>
  <si>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</si>
  <si>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</si>
  <si>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</si>
  <si>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</si>
  <si>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</si>
  <si>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</si>
  <si>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</si>
  <si>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</si>
  <si>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</si>
  <si>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</si>
  <si>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</si>
  <si>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</si>
  <si>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</si>
  <si>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</si>
  <si>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</si>
  <si>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</si>
  <si>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</si>
  <si>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</si>
  <si>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</si>
  <si>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</si>
  <si>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</si>
  <si>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</si>
  <si>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</si>
  <si>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</si>
  <si>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</si>
  <si>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</si>
  <si>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</si>
  <si>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</si>
  <si>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</si>
  <si>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</si>
  <si>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</si>
  <si>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</si>
  <si>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</si>
  <si>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</si>
  <si>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</si>
  <si>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</si>
  <si>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</si>
  <si>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</si>
  <si>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</si>
  <si>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</si>
  <si>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</si>
  <si>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</si>
  <si>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</si>
  <si>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</si>
  <si>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</si>
  <si>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</si>
  <si>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</si>
  <si>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</si>
  <si>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</si>
  <si>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</si>
  <si>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</si>
  <si>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</si>
  <si>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</si>
  <si>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</si>
  <si>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</si>
  <si>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</si>
  <si>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</si>
  <si>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</si>
  <si>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</si>
  <si>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</si>
  <si>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</si>
  <si>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</si>
  <si>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</si>
  <si>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</si>
  <si>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</si>
  <si>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</si>
  <si>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</si>
  <si>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</si>
  <si>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</si>
  <si>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</si>
  <si>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</si>
  <si>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</si>
  <si>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</si>
  <si>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</si>
  <si>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</si>
  <si>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</si>
  <si>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</si>
  <si>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</si>
  <si>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</si>
  <si>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</si>
  <si>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</si>
  <si>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</si>
  <si>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</si>
  <si>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</si>
  <si>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</si>
  <si>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</si>
  <si>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</si>
  <si>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</si>
  <si>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</si>
  <si>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</si>
  <si>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</si>
  <si>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</si>
  <si>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</si>
  <si>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</si>
  <si>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</si>
  <si>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</si>
  <si>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</si>
  <si>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</si>
  <si>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</si>
  <si>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</si>
  <si>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</si>
  <si>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</si>
  <si>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</si>
  <si>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</si>
  <si>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</si>
  <si>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</si>
  <si>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</si>
  <si>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</si>
  <si>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</si>
  <si>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</si>
  <si>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</si>
  <si>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</si>
  <si>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</si>
  <si>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</si>
  <si>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</si>
  <si>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</si>
  <si>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</si>
  <si>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</si>
  <si>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</si>
  <si>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</si>
  <si>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</si>
  <si>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</si>
  <si>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</si>
  <si>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</si>
  <si>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</si>
  <si>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</si>
  <si>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</si>
  <si>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</si>
  <si>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</si>
  <si>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</si>
  <si>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</si>
  <si>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</si>
  <si>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</si>
  <si>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</si>
  <si>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</si>
  <si>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</si>
  <si>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</si>
  <si>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</si>
  <si>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</si>
  <si>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</si>
  <si>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</si>
  <si>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</si>
  <si>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</si>
  <si>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</si>
  <si>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</si>
  <si>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</si>
  <si>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</si>
  <si>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</si>
  <si>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</si>
  <si>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</si>
  <si>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</si>
  <si>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</si>
  <si>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</si>
  <si>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</si>
  <si>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</si>
  <si>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</si>
  <si>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</si>
  <si>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</si>
  <si>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</si>
  <si>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</si>
  <si>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</si>
  <si>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</si>
  <si>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</si>
  <si>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</si>
  <si>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</si>
  <si>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</si>
  <si>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</si>
  <si>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</si>
  <si>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</si>
  <si>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</si>
  <si>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</si>
  <si>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</si>
  <si>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</si>
  <si>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</si>
  <si>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</si>
  <si>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</si>
  <si>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</si>
  <si>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</si>
  <si>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</si>
  <si>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</si>
  <si>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</si>
  <si>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</si>
  <si>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</si>
  <si>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</si>
  <si>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</si>
  <si>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</si>
  <si>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</si>
  <si>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</si>
  <si>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</si>
  <si>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</si>
  <si>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</si>
  <si>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</si>
  <si>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</si>
  <si>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</si>
  <si>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</si>
  <si>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</si>
  <si>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</si>
  <si>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</si>
  <si>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</si>
  <si>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</si>
  <si>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</si>
  <si>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</si>
  <si>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</si>
  <si>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</si>
  <si>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</si>
  <si>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</si>
  <si>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</si>
  <si>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</si>
  <si>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</si>
  <si>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</si>
  <si>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</si>
  <si>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</si>
  <si>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</si>
  <si>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</si>
  <si>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</si>
  <si>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</si>
  <si>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</si>
  <si>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</si>
  <si>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</si>
  <si>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</si>
  <si>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</si>
  <si>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</si>
  <si>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</si>
  <si>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</si>
  <si>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</si>
  <si>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</si>
  <si>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</si>
  <si>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</si>
  <si>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</si>
  <si>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</si>
  <si>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</si>
  <si>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</si>
  <si>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</si>
  <si>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</si>
  <si>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</si>
  <si>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</si>
  <si>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</si>
  <si>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</si>
  <si>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</si>
  <si>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</si>
  <si>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</si>
  <si>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</si>
  <si>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</si>
  <si>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</si>
  <si>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</si>
  <si>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</si>
  <si>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</si>
  <si>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</si>
  <si>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</si>
  <si>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</si>
  <si>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</si>
  <si>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</si>
  <si>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</si>
  <si>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</si>
  <si>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</si>
  <si>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</si>
  <si>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</si>
  <si>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</si>
  <si>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</si>
  <si>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</si>
  <si>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</si>
  <si>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</si>
  <si>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</si>
  <si>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</si>
  <si>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</si>
  <si>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</si>
  <si>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</si>
  <si>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</si>
  <si>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</si>
  <si>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</si>
  <si>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</si>
  <si>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</si>
  <si>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</si>
  <si>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</si>
  <si>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</si>
  <si>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</si>
  <si>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</si>
  <si>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</si>
  <si>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</si>
  <si>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</si>
  <si>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</si>
  <si>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</si>
  <si>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</si>
  <si>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</si>
  <si>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</si>
  <si>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</si>
  <si>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</si>
  <si>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</si>
  <si>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</si>
  <si>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</si>
  <si>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</si>
  <si>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</si>
  <si>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</si>
  <si>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</si>
  <si>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</si>
  <si>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</si>
  <si>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</si>
  <si>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</si>
  <si>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</si>
  <si>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</si>
  <si>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</si>
  <si>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</si>
  <si>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</si>
  <si>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</si>
  <si>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</si>
  <si>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</si>
  <si>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</si>
  <si>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</si>
  <si>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</si>
  <si>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</si>
  <si>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</si>
  <si>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</si>
  <si>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</si>
  <si>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</si>
  <si>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</si>
  <si>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</si>
  <si>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</si>
  <si>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</si>
  <si>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</si>
  <si>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</si>
  <si>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</si>
  <si>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</si>
  <si>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</si>
  <si>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</si>
  <si>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</si>
  <si>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</si>
  <si>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</si>
  <si>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</si>
  <si>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</si>
  <si>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</si>
  <si>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</si>
  <si>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</si>
  <si>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</si>
  <si>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</si>
  <si>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</si>
  <si>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</si>
  <si>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</si>
  <si>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</si>
  <si>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</si>
  <si>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</si>
  <si>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</si>
  <si>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</si>
  <si>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</si>
  <si>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</si>
  <si>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</si>
  <si>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</si>
  <si>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</si>
  <si>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</si>
  <si>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</si>
  <si>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</si>
  <si>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</si>
  <si>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</si>
  <si>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</si>
  <si>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</si>
  <si>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</si>
  <si>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</si>
  <si>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</si>
  <si>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</si>
  <si>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</si>
  <si>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</si>
  <si>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</si>
  <si>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</si>
  <si>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</si>
  <si>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</si>
  <si>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</si>
  <si>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</si>
  <si>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</si>
  <si>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</si>
  <si>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</si>
  <si>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</si>
  <si>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</si>
  <si>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</si>
  <si>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</si>
  <si>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</si>
  <si>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</si>
  <si>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</si>
  <si>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</si>
  <si>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</si>
  <si>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</si>
  <si>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</si>
  <si>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</si>
  <si>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</si>
  <si>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</si>
  <si>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</si>
  <si>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</si>
  <si>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</si>
  <si>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</si>
  <si>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</si>
  <si>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</si>
  <si>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</si>
  <si>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</si>
  <si>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</si>
  <si>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</si>
  <si>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</si>
  <si>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</si>
  <si>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</si>
  <si>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</si>
  <si>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</si>
  <si>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</si>
  <si>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</si>
  <si>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</si>
  <si>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</si>
  <si>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</si>
  <si>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</si>
  <si>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</si>
  <si>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</si>
  <si>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</si>
  <si>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</si>
  <si>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</si>
  <si>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EN ESPERA DE EQUIPAMIENTO TECNOLOGICO</t>
  </si>
  <si>
    <t>EN ESPERA DE PRUEBAS VPN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</si>
</sst>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0">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3" fillId="6" borderId="2" xfId="0" applyFont="1" applyFill="1" applyBorder="1"/>
    <xf numFmtId="0" fontId="0" fillId="9" borderId="3" xfId="0" applyFill="1" applyBorder="1"/>
    <xf numFmtId="0" fontId="14" fillId="9" borderId="10" xfId="0" applyFont="1" applyFill="1" applyBorder="1"/>
    <xf numFmtId="0" fontId="10" fillId="0" borderId="1" xfId="0" applyFont="1" applyBorder="1" applyAlignment="1">
      <alignment vertical="top" wrapText="1"/>
    </xf>
  </cellXfs>
  <cellStyles count="3">
    <cellStyle name="Normal" xfId="0" builtinId="0"/>
    <cellStyle name="Normal 2 2" xfId="1" xr:uid="{BBAC9C38-E6FF-4A4E-98C5-89F45FD601CF}"/>
    <cellStyle name="Notas" xfId="2" builtinId="10"/>
  </cellStyles>
  <dxfs count="891">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7FD2B3E9-7CC1-4366-873F-902991DB8A87}">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580" activePane="bottomRight" state="frozen"/>
      <selection pane="topRight" activeCell="B1" sqref="B1"/>
      <selection pane="bottomLeft" activeCell="A2" sqref="A2"/>
      <selection pane="bottomRight" activeCell="D1" sqref="D1"/>
    </sheetView>
  </sheetViews>
  <sheetFormatPr baseColWidth="10" defaultRowHeight="14.5" x14ac:dyDescent="0.35"/>
  <cols>
    <col min="6" max="6" width="50.08984375" customWidth="1"/>
    <col min="18" max="18" width="13.08984375" bestFit="1" customWidth="1"/>
    <col min="20" max="20" width="27.54296875" bestFit="1" customWidth="1"/>
    <col min="21" max="21" width="19" bestFit="1" customWidth="1"/>
    <col min="22" max="22" width="18.54296875" bestFit="1" customWidth="1"/>
  </cols>
  <sheetData>
    <row r="1" spans="1:29" ht="25.25" customHeight="1" x14ac:dyDescent="0.35">
      <c r="A1" s="1" t="s">
        <v>0</v>
      </c>
      <c r="B1" s="1" t="s">
        <v>1</v>
      </c>
      <c r="C1" s="1" t="s">
        <v>2</v>
      </c>
      <c r="D1" s="1" t="s">
        <v>1772</v>
      </c>
      <c r="E1" s="1" t="s">
        <v>3</v>
      </c>
      <c r="F1" s="1" t="s">
        <v>4</v>
      </c>
      <c r="G1" s="1" t="s">
        <v>5</v>
      </c>
      <c r="H1" s="1" t="s">
        <v>1761</v>
      </c>
      <c r="I1" s="1" t="s">
        <v>6</v>
      </c>
      <c r="J1" s="1" t="s">
        <v>1840</v>
      </c>
      <c r="K1" s="1" t="s">
        <v>8</v>
      </c>
      <c r="L1" s="1" t="s">
        <v>1762</v>
      </c>
      <c r="M1" s="1" t="s">
        <v>9</v>
      </c>
      <c r="N1" s="1" t="s">
        <v>10</v>
      </c>
      <c r="O1" s="1" t="s">
        <v>11</v>
      </c>
      <c r="P1" s="1" t="s">
        <v>1763</v>
      </c>
      <c r="Q1" s="1" t="s">
        <v>12</v>
      </c>
      <c r="R1" s="1" t="s">
        <v>13</v>
      </c>
      <c r="S1" s="2" t="s">
        <v>14</v>
      </c>
      <c r="T1" s="2" t="s">
        <v>15</v>
      </c>
      <c r="U1" s="2" t="s">
        <v>16</v>
      </c>
      <c r="V1" s="2" t="s">
        <v>17</v>
      </c>
      <c r="W1" s="3" t="s">
        <v>1838</v>
      </c>
      <c r="X1" s="3" t="s">
        <v>1839</v>
      </c>
      <c r="Y1" s="3" t="s">
        <v>19</v>
      </c>
      <c r="Z1" s="3" t="s">
        <v>20</v>
      </c>
      <c r="AA1" s="3" t="s">
        <v>21</v>
      </c>
      <c r="AB1" s="4" t="s">
        <v>22</v>
      </c>
      <c r="AC1" s="5" t="s">
        <v>23</v>
      </c>
    </row>
    <row r="2" spans="1:29" x14ac:dyDescent="0.35">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row>
    <row r="3" spans="1:29" x14ac:dyDescent="0.35">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175</v>
      </c>
      <c r="U3" s="77" t="s">
        <v>35</v>
      </c>
      <c r="V3" s="77" t="s">
        <v>35</v>
      </c>
      <c r="W3" s="77" t="s">
        <v>175</v>
      </c>
      <c r="X3" s="77" t="s">
        <v>175</v>
      </c>
      <c r="Y3" s="77"/>
      <c r="Z3" s="77"/>
      <c r="AA3" s="77"/>
      <c r="AB3" s="78"/>
      <c r="AC3" s="99">
        <f t="shared" si="0"/>
        <v>0.5</v>
      </c>
    </row>
    <row r="4" spans="1:29" x14ac:dyDescent="0.35">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row>
    <row r="5" spans="1:29" x14ac:dyDescent="0.35">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row>
    <row r="6" spans="1:29" x14ac:dyDescent="0.35">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175</v>
      </c>
      <c r="U6" s="77" t="s">
        <v>35</v>
      </c>
      <c r="V6" s="77" t="s">
        <v>35</v>
      </c>
      <c r="W6" s="77" t="s">
        <v>175</v>
      </c>
      <c r="X6" s="77" t="s">
        <v>175</v>
      </c>
      <c r="Y6" s="77"/>
      <c r="Z6" s="77"/>
      <c r="AA6" s="77"/>
      <c r="AB6" s="78"/>
      <c r="AC6" s="99">
        <f t="shared" si="0"/>
        <v>0.5</v>
      </c>
    </row>
    <row r="7" spans="1:29" x14ac:dyDescent="0.35">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row>
    <row r="8" spans="1:29" x14ac:dyDescent="0.35">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row>
    <row r="9" spans="1:29" x14ac:dyDescent="0.35">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row>
    <row r="10" spans="1:29" x14ac:dyDescent="0.35">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row>
    <row r="11" spans="1:29" x14ac:dyDescent="0.35">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row>
    <row r="12" spans="1:29" x14ac:dyDescent="0.35">
      <c r="A12" s="34" t="s">
        <v>889</v>
      </c>
      <c r="B12" s="37" t="s">
        <v>25</v>
      </c>
      <c r="C12" s="34" t="s">
        <v>886</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row>
    <row r="13" spans="1:29" x14ac:dyDescent="0.35">
      <c r="A13" s="34" t="s">
        <v>885</v>
      </c>
      <c r="B13" s="37" t="s">
        <v>25</v>
      </c>
      <c r="C13" s="34" t="s">
        <v>886</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213</v>
      </c>
      <c r="V13" s="77" t="s">
        <v>213</v>
      </c>
      <c r="W13" s="77"/>
      <c r="X13" s="77"/>
      <c r="Y13" s="77" t="s">
        <v>36</v>
      </c>
      <c r="Z13" s="77"/>
      <c r="AA13" s="77"/>
      <c r="AB13" s="78"/>
      <c r="AC13" s="99">
        <f t="shared" si="0"/>
        <v>0.42592592592592587</v>
      </c>
    </row>
    <row r="14" spans="1:29" x14ac:dyDescent="0.35">
      <c r="A14" s="34" t="s">
        <v>892</v>
      </c>
      <c r="B14" s="37" t="s">
        <v>25</v>
      </c>
      <c r="C14" s="34" t="s">
        <v>886</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row>
    <row r="15" spans="1:29" x14ac:dyDescent="0.35">
      <c r="A15" s="34" t="s">
        <v>1848</v>
      </c>
      <c r="B15" s="37" t="s">
        <v>25</v>
      </c>
      <c r="C15" s="34" t="s">
        <v>886</v>
      </c>
      <c r="D15" s="33" t="s">
        <v>1775</v>
      </c>
      <c r="E15" s="34" t="s">
        <v>895</v>
      </c>
      <c r="F15" s="34" t="s">
        <v>1849</v>
      </c>
      <c r="G15" s="34"/>
      <c r="H15" s="37"/>
      <c r="I15" s="34" t="s">
        <v>181</v>
      </c>
      <c r="J15" s="34" t="s">
        <v>1820</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1842</v>
      </c>
      <c r="AA15" s="77"/>
      <c r="AB15" s="78"/>
      <c r="AC15" s="99">
        <f t="shared" si="0"/>
        <v>0.42592592592592587</v>
      </c>
    </row>
    <row r="16" spans="1:29" x14ac:dyDescent="0.35">
      <c r="A16" s="34" t="s">
        <v>894</v>
      </c>
      <c r="B16" s="37" t="s">
        <v>25</v>
      </c>
      <c r="C16" s="34" t="s">
        <v>886</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row>
    <row r="17" spans="1:29" x14ac:dyDescent="0.35">
      <c r="A17" s="34" t="s">
        <v>1592</v>
      </c>
      <c r="B17" s="37" t="s">
        <v>25</v>
      </c>
      <c r="C17" s="34" t="s">
        <v>886</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row>
    <row r="18" spans="1:29" ht="29" x14ac:dyDescent="0.35">
      <c r="A18" s="35" t="s">
        <v>1728</v>
      </c>
      <c r="B18" s="41" t="s">
        <v>25</v>
      </c>
      <c r="C18" s="35" t="s">
        <v>886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213</v>
      </c>
      <c r="V18" s="77" t="s">
        <v>213</v>
      </c>
      <c r="W18" s="77"/>
      <c r="X18" s="77"/>
      <c r="Y18" s="77" t="s">
        <v>36</v>
      </c>
      <c r="Z18" s="77"/>
      <c r="AA18" s="77"/>
      <c r="AB18" s="78"/>
      <c r="AC18" s="99">
        <f t="shared" si="0"/>
        <v>0.42592592592592587</v>
      </c>
    </row>
    <row r="19" spans="1:29" x14ac:dyDescent="0.35">
      <c r="A19" s="34" t="s">
        <v>1676</v>
      </c>
      <c r="B19" s="37" t="s">
        <v>25</v>
      </c>
      <c r="C19" s="34" t="s">
        <v>886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row>
    <row r="20" spans="1:29" x14ac:dyDescent="0.35">
      <c r="A20" s="34" t="s">
        <v>1612</v>
      </c>
      <c r="B20" s="37" t="s">
        <v>25</v>
      </c>
      <c r="C20" s="34" t="s">
        <v>886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213</v>
      </c>
      <c r="V20" s="77" t="s">
        <v>213</v>
      </c>
      <c r="W20" s="77"/>
      <c r="X20" s="77"/>
      <c r="Y20" s="77" t="s">
        <v>36</v>
      </c>
      <c r="Z20" s="77"/>
      <c r="AA20" s="77"/>
      <c r="AB20" s="78"/>
      <c r="AC20" s="99">
        <f t="shared" si="0"/>
        <v>0.42592592592592587</v>
      </c>
    </row>
    <row r="21" spans="1:29" x14ac:dyDescent="0.35">
      <c r="A21" s="34" t="s">
        <v>897</v>
      </c>
      <c r="B21" s="37" t="s">
        <v>25</v>
      </c>
      <c r="C21" s="34" t="s">
        <v>187</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row>
    <row r="22" spans="1:29" x14ac:dyDescent="0.35">
      <c r="A22" s="34" t="s">
        <v>1678</v>
      </c>
      <c r="B22" s="37" t="s">
        <v>25</v>
      </c>
      <c r="C22" s="34" t="s">
        <v>187</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row>
    <row r="23" spans="1:29" x14ac:dyDescent="0.35">
      <c r="A23" s="34" t="s">
        <v>899</v>
      </c>
      <c r="B23" s="37" t="s">
        <v>25</v>
      </c>
      <c r="C23" s="34" t="s">
        <v>187</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row>
    <row r="24" spans="1:29" x14ac:dyDescent="0.35">
      <c r="A24" s="34" t="s">
        <v>186</v>
      </c>
      <c r="B24" s="37" t="s">
        <v>25</v>
      </c>
      <c r="C24" s="34" t="s">
        <v>187</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row>
    <row r="25" spans="1:29" x14ac:dyDescent="0.35">
      <c r="A25" s="34" t="s">
        <v>191</v>
      </c>
      <c r="B25" s="37" t="s">
        <v>25</v>
      </c>
      <c r="C25" s="34" t="s">
        <v>187</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row>
    <row r="26" spans="1:29" x14ac:dyDescent="0.35">
      <c r="A26" s="34" t="s">
        <v>194</v>
      </c>
      <c r="B26" s="37" t="s">
        <v>25</v>
      </c>
      <c r="C26" s="34" t="s">
        <v>187</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row>
    <row r="27" spans="1:29" x14ac:dyDescent="0.35">
      <c r="A27" s="34" t="s">
        <v>197</v>
      </c>
      <c r="B27" s="37" t="s">
        <v>25</v>
      </c>
      <c r="C27" s="34" t="s">
        <v>187</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row>
    <row r="28" spans="1:29" x14ac:dyDescent="0.35">
      <c r="A28" s="34" t="s">
        <v>200</v>
      </c>
      <c r="B28" s="37" t="s">
        <v>25</v>
      </c>
      <c r="C28" s="34" t="s">
        <v>187</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row>
    <row r="29" spans="1:29" x14ac:dyDescent="0.35">
      <c r="A29" s="34" t="s">
        <v>203</v>
      </c>
      <c r="B29" s="37" t="s">
        <v>25</v>
      </c>
      <c r="C29" s="34" t="s">
        <v>187</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row>
    <row r="30" spans="1:29" x14ac:dyDescent="0.35">
      <c r="A30" s="34" t="s">
        <v>206</v>
      </c>
      <c r="B30" s="37" t="s">
        <v>25</v>
      </c>
      <c r="C30" s="34" t="s">
        <v>187</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row>
    <row r="31" spans="1:29" x14ac:dyDescent="0.35">
      <c r="A31" s="35" t="s">
        <v>1719</v>
      </c>
      <c r="B31" s="41" t="s">
        <v>25</v>
      </c>
      <c r="C31" s="35" t="s">
        <v>187</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row>
    <row r="32" spans="1:29" x14ac:dyDescent="0.35">
      <c r="A32" s="34" t="s">
        <v>901</v>
      </c>
      <c r="B32" s="37" t="s">
        <v>25</v>
      </c>
      <c r="C32" s="34" t="s">
        <v>187</v>
      </c>
      <c r="D32" s="34" t="s">
        <v>1775</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row>
    <row r="33" spans="1:29" x14ac:dyDescent="0.35">
      <c r="A33" s="34" t="s">
        <v>903</v>
      </c>
      <c r="B33" s="37" t="s">
        <v>25</v>
      </c>
      <c r="C33" s="34" t="s">
        <v>187</v>
      </c>
      <c r="D33" s="34" t="s">
        <v>1775</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row>
    <row r="34" spans="1:29" x14ac:dyDescent="0.35">
      <c r="A34" s="34" t="s">
        <v>707</v>
      </c>
      <c r="B34" s="37" t="s">
        <v>25</v>
      </c>
      <c r="C34" s="34" t="s">
        <v>708</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row>
    <row r="35" spans="1:29" x14ac:dyDescent="0.35">
      <c r="A35" s="34" t="s">
        <v>710</v>
      </c>
      <c r="B35" s="37" t="s">
        <v>25</v>
      </c>
      <c r="C35" s="34" t="s">
        <v>708</v>
      </c>
      <c r="D35" s="33" t="s">
        <v>1775</v>
      </c>
      <c r="E35" s="54" t="s">
        <v>711</v>
      </c>
      <c r="F35" s="34" t="s">
        <v>712</v>
      </c>
      <c r="G35" s="34" t="s">
        <v>111</v>
      </c>
      <c r="H35" s="37">
        <v>1</v>
      </c>
      <c r="I35" s="34" t="s">
        <v>112</v>
      </c>
      <c r="J35" s="34" t="s">
        <v>31</v>
      </c>
      <c r="K35" s="34" t="s">
        <v>32</v>
      </c>
      <c r="L35" s="34" t="s">
        <v>1755</v>
      </c>
      <c r="M35" s="34" t="s">
        <v>33</v>
      </c>
      <c r="N35" s="49">
        <v>9</v>
      </c>
      <c r="O35" s="50">
        <v>0</v>
      </c>
      <c r="P35" s="51">
        <v>45</v>
      </c>
      <c r="Q35" s="52">
        <v>18.997540999999998</v>
      </c>
      <c r="R35" s="52">
        <v>-103.736051</v>
      </c>
      <c r="S35" s="77" t="s">
        <v>34</v>
      </c>
      <c r="T35" s="77" t="s">
        <v>35</v>
      </c>
      <c r="U35" s="77" t="s">
        <v>35</v>
      </c>
      <c r="V35" s="77" t="s">
        <v>35</v>
      </c>
      <c r="W35" s="77" t="s">
        <v>35</v>
      </c>
      <c r="X35" s="77" t="s">
        <v>35</v>
      </c>
      <c r="Y35" s="77" t="s">
        <v>36</v>
      </c>
      <c r="Z35" s="77" t="s">
        <v>37</v>
      </c>
      <c r="AA35" s="77" t="s">
        <v>37</v>
      </c>
      <c r="AB35" s="78"/>
      <c r="AC35" s="99">
        <f t="shared" si="0"/>
        <v>1</v>
      </c>
    </row>
    <row r="36" spans="1:29" x14ac:dyDescent="0.35">
      <c r="A36" s="34" t="s">
        <v>713</v>
      </c>
      <c r="B36" s="37" t="s">
        <v>25</v>
      </c>
      <c r="C36" s="34" t="s">
        <v>708</v>
      </c>
      <c r="D36" s="33" t="s">
        <v>1775</v>
      </c>
      <c r="E36" s="54" t="s">
        <v>714</v>
      </c>
      <c r="F36" s="34" t="s">
        <v>715</v>
      </c>
      <c r="G36" s="34" t="s">
        <v>111</v>
      </c>
      <c r="H36" s="37">
        <v>1</v>
      </c>
      <c r="I36" s="34" t="s">
        <v>112</v>
      </c>
      <c r="J36" s="34" t="s">
        <v>31</v>
      </c>
      <c r="K36" s="34" t="s">
        <v>32</v>
      </c>
      <c r="L36" s="34" t="s">
        <v>1755</v>
      </c>
      <c r="M36" s="34" t="s">
        <v>33</v>
      </c>
      <c r="N36" s="49">
        <v>12</v>
      </c>
      <c r="O36" s="50">
        <v>4</v>
      </c>
      <c r="P36" s="51">
        <v>77</v>
      </c>
      <c r="Q36" s="52">
        <v>18.906326</v>
      </c>
      <c r="R36" s="52">
        <v>-103.884075</v>
      </c>
      <c r="S36" s="77" t="s">
        <v>34</v>
      </c>
      <c r="T36" s="77" t="s">
        <v>35</v>
      </c>
      <c r="U36" s="77" t="s">
        <v>35</v>
      </c>
      <c r="V36" s="77" t="s">
        <v>35</v>
      </c>
      <c r="W36" s="77" t="s">
        <v>35</v>
      </c>
      <c r="X36" s="77" t="s">
        <v>35</v>
      </c>
      <c r="Y36" s="77" t="s">
        <v>36</v>
      </c>
      <c r="Z36" s="77" t="s">
        <v>37</v>
      </c>
      <c r="AA36" s="77" t="s">
        <v>37</v>
      </c>
      <c r="AB36" s="78"/>
      <c r="AC36" s="99">
        <f t="shared" si="0"/>
        <v>1</v>
      </c>
    </row>
    <row r="37" spans="1:29" x14ac:dyDescent="0.35">
      <c r="A37" s="34" t="s">
        <v>716</v>
      </c>
      <c r="B37" s="37" t="s">
        <v>25</v>
      </c>
      <c r="C37" s="34" t="s">
        <v>708</v>
      </c>
      <c r="D37" s="33" t="s">
        <v>1775</v>
      </c>
      <c r="E37" s="54" t="s">
        <v>717</v>
      </c>
      <c r="F37" s="34" t="s">
        <v>718</v>
      </c>
      <c r="G37" s="34" t="s">
        <v>111</v>
      </c>
      <c r="H37" s="37">
        <v>1</v>
      </c>
      <c r="I37" s="34" t="s">
        <v>112</v>
      </c>
      <c r="J37" s="34" t="s">
        <v>31</v>
      </c>
      <c r="K37" s="34" t="s">
        <v>32</v>
      </c>
      <c r="L37" s="34" t="s">
        <v>1755</v>
      </c>
      <c r="M37" s="34" t="s">
        <v>33</v>
      </c>
      <c r="N37" s="49">
        <v>13</v>
      </c>
      <c r="O37" s="50">
        <v>3</v>
      </c>
      <c r="P37" s="51">
        <v>75</v>
      </c>
      <c r="Q37" s="52">
        <v>19.116565000000001</v>
      </c>
      <c r="R37" s="52">
        <v>-104.327259</v>
      </c>
      <c r="S37" s="77" t="s">
        <v>34</v>
      </c>
      <c r="T37" s="77" t="s">
        <v>35</v>
      </c>
      <c r="U37" s="77" t="s">
        <v>35</v>
      </c>
      <c r="V37" s="77" t="s">
        <v>35</v>
      </c>
      <c r="W37" s="77" t="s">
        <v>35</v>
      </c>
      <c r="X37" s="77" t="s">
        <v>35</v>
      </c>
      <c r="Y37" s="77" t="s">
        <v>36</v>
      </c>
      <c r="Z37" s="77" t="s">
        <v>37</v>
      </c>
      <c r="AA37" s="77" t="s">
        <v>37</v>
      </c>
      <c r="AB37" s="78"/>
      <c r="AC37" s="99">
        <f t="shared" si="0"/>
        <v>1</v>
      </c>
    </row>
    <row r="38" spans="1:29" x14ac:dyDescent="0.35">
      <c r="A38" s="34" t="s">
        <v>721</v>
      </c>
      <c r="B38" s="37" t="s">
        <v>25</v>
      </c>
      <c r="C38" s="34" t="s">
        <v>708</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row>
    <row r="39" spans="1:29" x14ac:dyDescent="0.35">
      <c r="A39" s="34" t="s">
        <v>719</v>
      </c>
      <c r="B39" s="37" t="s">
        <v>25</v>
      </c>
      <c r="C39" s="34" t="s">
        <v>708</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row>
    <row r="40" spans="1:29" x14ac:dyDescent="0.35">
      <c r="A40" s="34" t="s">
        <v>24</v>
      </c>
      <c r="B40" s="37" t="s">
        <v>25</v>
      </c>
      <c r="C40" s="34" t="s">
        <v>26</v>
      </c>
      <c r="D40" s="33" t="s">
        <v>1775</v>
      </c>
      <c r="E40" s="34" t="s">
        <v>27</v>
      </c>
      <c r="F40" s="34" t="s">
        <v>28</v>
      </c>
      <c r="G40" s="34" t="s">
        <v>29</v>
      </c>
      <c r="H40" s="37">
        <v>1</v>
      </c>
      <c r="I40" s="34" t="s">
        <v>30</v>
      </c>
      <c r="J40" s="34" t="s">
        <v>31</v>
      </c>
      <c r="K40" s="34" t="s">
        <v>32</v>
      </c>
      <c r="L40" s="34" t="s">
        <v>1755</v>
      </c>
      <c r="M40" s="34" t="s">
        <v>33</v>
      </c>
      <c r="N40" s="49">
        <v>7</v>
      </c>
      <c r="O40" s="50">
        <v>2</v>
      </c>
      <c r="P40" s="51">
        <v>23</v>
      </c>
      <c r="Q40" s="52">
        <v>16.556405000000002</v>
      </c>
      <c r="R40" s="52">
        <v>-92.815190999999999</v>
      </c>
      <c r="S40" s="77" t="s">
        <v>34</v>
      </c>
      <c r="T40" s="77" t="s">
        <v>35</v>
      </c>
      <c r="U40" s="77" t="s">
        <v>35</v>
      </c>
      <c r="V40" s="77" t="s">
        <v>35</v>
      </c>
      <c r="W40" s="77" t="s">
        <v>35</v>
      </c>
      <c r="X40" s="77" t="s">
        <v>35</v>
      </c>
      <c r="Y40" s="77" t="s">
        <v>36</v>
      </c>
      <c r="Z40" s="77" t="s">
        <v>37</v>
      </c>
      <c r="AA40" s="77" t="s">
        <v>37</v>
      </c>
      <c r="AB40" s="78"/>
      <c r="AC40" s="99">
        <f t="shared" si="0"/>
        <v>1</v>
      </c>
    </row>
    <row r="41" spans="1:29" x14ac:dyDescent="0.35">
      <c r="A41" s="34" t="s">
        <v>38</v>
      </c>
      <c r="B41" s="37" t="s">
        <v>25</v>
      </c>
      <c r="C41" s="34" t="s">
        <v>26</v>
      </c>
      <c r="D41" s="33" t="s">
        <v>1775</v>
      </c>
      <c r="E41" s="34" t="s">
        <v>39</v>
      </c>
      <c r="F41" s="34" t="s">
        <v>40</v>
      </c>
      <c r="G41" s="34" t="s">
        <v>29</v>
      </c>
      <c r="H41" s="37">
        <v>1</v>
      </c>
      <c r="I41" s="34" t="s">
        <v>30</v>
      </c>
      <c r="J41" s="34" t="s">
        <v>31</v>
      </c>
      <c r="K41" s="34" t="s">
        <v>32</v>
      </c>
      <c r="L41" s="34" t="s">
        <v>1755</v>
      </c>
      <c r="M41" s="34" t="s">
        <v>33</v>
      </c>
      <c r="N41" s="49">
        <v>3</v>
      </c>
      <c r="O41" s="50">
        <v>2</v>
      </c>
      <c r="P41" s="51">
        <v>19</v>
      </c>
      <c r="Q41" s="52">
        <v>15.872464000000001</v>
      </c>
      <c r="R41" s="52">
        <v>-92.716949999999997</v>
      </c>
      <c r="S41" s="77" t="s">
        <v>34</v>
      </c>
      <c r="T41" s="77" t="s">
        <v>35</v>
      </c>
      <c r="U41" s="77" t="s">
        <v>35</v>
      </c>
      <c r="V41" s="77" t="s">
        <v>35</v>
      </c>
      <c r="W41" s="77" t="s">
        <v>35</v>
      </c>
      <c r="X41" s="77" t="s">
        <v>35</v>
      </c>
      <c r="Y41" s="77" t="s">
        <v>36</v>
      </c>
      <c r="Z41" s="77" t="s">
        <v>37</v>
      </c>
      <c r="AA41" s="77" t="s">
        <v>37</v>
      </c>
      <c r="AB41" s="78"/>
      <c r="AC41" s="99">
        <f t="shared" si="0"/>
        <v>1</v>
      </c>
    </row>
    <row r="42" spans="1:29" x14ac:dyDescent="0.35">
      <c r="A42" s="34" t="s">
        <v>108</v>
      </c>
      <c r="B42" s="37" t="s">
        <v>25</v>
      </c>
      <c r="C42" s="34" t="s">
        <v>26</v>
      </c>
      <c r="D42" s="33" t="s">
        <v>1775</v>
      </c>
      <c r="E42" s="34" t="s">
        <v>109</v>
      </c>
      <c r="F42" s="34" t="s">
        <v>110</v>
      </c>
      <c r="G42" s="34" t="s">
        <v>111</v>
      </c>
      <c r="H42" s="37">
        <v>1</v>
      </c>
      <c r="I42" s="34" t="s">
        <v>112</v>
      </c>
      <c r="J42" s="34" t="s">
        <v>31</v>
      </c>
      <c r="K42" s="34" t="s">
        <v>32</v>
      </c>
      <c r="L42" s="34" t="s">
        <v>1755</v>
      </c>
      <c r="M42" s="34" t="s">
        <v>33</v>
      </c>
      <c r="N42" s="49">
        <v>11</v>
      </c>
      <c r="O42" s="50">
        <v>2</v>
      </c>
      <c r="P42" s="51">
        <v>40</v>
      </c>
      <c r="Q42" s="52">
        <v>16.241557</v>
      </c>
      <c r="R42" s="52">
        <v>-93.887718000000007</v>
      </c>
      <c r="S42" s="77" t="s">
        <v>34</v>
      </c>
      <c r="T42" s="77" t="s">
        <v>35</v>
      </c>
      <c r="U42" s="77" t="s">
        <v>35</v>
      </c>
      <c r="V42" s="77" t="s">
        <v>35</v>
      </c>
      <c r="W42" s="77" t="s">
        <v>35</v>
      </c>
      <c r="X42" s="77" t="s">
        <v>35</v>
      </c>
      <c r="Y42" s="77" t="s">
        <v>36</v>
      </c>
      <c r="Z42" s="77" t="s">
        <v>37</v>
      </c>
      <c r="AA42" s="77" t="s">
        <v>37</v>
      </c>
      <c r="AB42" s="78"/>
      <c r="AC42" s="99">
        <f t="shared" si="0"/>
        <v>1</v>
      </c>
    </row>
    <row r="43" spans="1:29" x14ac:dyDescent="0.35">
      <c r="A43" s="34" t="s">
        <v>41</v>
      </c>
      <c r="B43" s="37" t="s">
        <v>25</v>
      </c>
      <c r="C43" s="34" t="s">
        <v>26</v>
      </c>
      <c r="D43" s="33" t="s">
        <v>1775</v>
      </c>
      <c r="E43" s="34" t="s">
        <v>42</v>
      </c>
      <c r="F43" s="34" t="s">
        <v>43</v>
      </c>
      <c r="G43" s="34" t="s">
        <v>29</v>
      </c>
      <c r="H43" s="37">
        <v>1</v>
      </c>
      <c r="I43" s="34" t="s">
        <v>30</v>
      </c>
      <c r="J43" s="34" t="s">
        <v>31</v>
      </c>
      <c r="K43" s="34" t="s">
        <v>32</v>
      </c>
      <c r="L43" s="34" t="s">
        <v>1755</v>
      </c>
      <c r="M43" s="34" t="s">
        <v>33</v>
      </c>
      <c r="N43" s="49">
        <v>11</v>
      </c>
      <c r="O43" s="50">
        <v>2</v>
      </c>
      <c r="P43" s="51">
        <v>20</v>
      </c>
      <c r="Q43" s="52">
        <v>16.681322999999999</v>
      </c>
      <c r="R43" s="52">
        <v>-93.730085000000003</v>
      </c>
      <c r="S43" s="77" t="s">
        <v>34</v>
      </c>
      <c r="T43" s="77" t="s">
        <v>35</v>
      </c>
      <c r="U43" s="77" t="s">
        <v>35</v>
      </c>
      <c r="V43" s="77" t="s">
        <v>35</v>
      </c>
      <c r="W43" s="77" t="s">
        <v>35</v>
      </c>
      <c r="X43" s="77" t="s">
        <v>35</v>
      </c>
      <c r="Y43" s="77" t="s">
        <v>36</v>
      </c>
      <c r="Z43" s="77" t="s">
        <v>37</v>
      </c>
      <c r="AA43" s="77" t="s">
        <v>37</v>
      </c>
      <c r="AB43" s="78"/>
      <c r="AC43" s="99">
        <f t="shared" si="0"/>
        <v>1</v>
      </c>
    </row>
    <row r="44" spans="1:29" x14ac:dyDescent="0.35">
      <c r="A44" s="34" t="s">
        <v>113</v>
      </c>
      <c r="B44" s="37" t="s">
        <v>25</v>
      </c>
      <c r="C44" s="34" t="s">
        <v>26</v>
      </c>
      <c r="D44" s="33" t="s">
        <v>1775</v>
      </c>
      <c r="E44" s="34" t="s">
        <v>114</v>
      </c>
      <c r="F44" s="34" t="s">
        <v>115</v>
      </c>
      <c r="G44" s="34" t="s">
        <v>111</v>
      </c>
      <c r="H44" s="37">
        <v>1</v>
      </c>
      <c r="I44" s="34" t="s">
        <v>112</v>
      </c>
      <c r="J44" s="34" t="s">
        <v>31</v>
      </c>
      <c r="K44" s="34" t="s">
        <v>32</v>
      </c>
      <c r="L44" s="34" t="s">
        <v>1755</v>
      </c>
      <c r="M44" s="34" t="s">
        <v>33</v>
      </c>
      <c r="N44" s="49">
        <v>10</v>
      </c>
      <c r="O44" s="50">
        <v>5</v>
      </c>
      <c r="P44" s="51">
        <v>105</v>
      </c>
      <c r="Q44" s="52">
        <v>16.246123999999998</v>
      </c>
      <c r="R44" s="52">
        <v>-92.129626999999999</v>
      </c>
      <c r="S44" s="77" t="s">
        <v>34</v>
      </c>
      <c r="T44" s="77" t="s">
        <v>35</v>
      </c>
      <c r="U44" s="77" t="s">
        <v>35</v>
      </c>
      <c r="V44" s="77" t="s">
        <v>35</v>
      </c>
      <c r="W44" s="77" t="s">
        <v>35</v>
      </c>
      <c r="X44" s="77" t="s">
        <v>35</v>
      </c>
      <c r="Y44" s="77" t="s">
        <v>36</v>
      </c>
      <c r="Z44" s="77" t="s">
        <v>37</v>
      </c>
      <c r="AA44" s="77" t="s">
        <v>37</v>
      </c>
      <c r="AB44" s="78"/>
      <c r="AC44" s="99">
        <f t="shared" si="0"/>
        <v>1</v>
      </c>
    </row>
    <row r="45" spans="1:29" x14ac:dyDescent="0.35">
      <c r="A45" s="34" t="s">
        <v>116</v>
      </c>
      <c r="B45" s="37" t="s">
        <v>25</v>
      </c>
      <c r="C45" s="34" t="s">
        <v>26</v>
      </c>
      <c r="D45" s="33" t="s">
        <v>1775</v>
      </c>
      <c r="E45" s="34" t="s">
        <v>117</v>
      </c>
      <c r="F45" s="34" t="s">
        <v>118</v>
      </c>
      <c r="G45" s="34" t="s">
        <v>111</v>
      </c>
      <c r="H45" s="37">
        <v>1</v>
      </c>
      <c r="I45" s="34" t="s">
        <v>112</v>
      </c>
      <c r="J45" s="34" t="s">
        <v>31</v>
      </c>
      <c r="K45" s="34" t="s">
        <v>32</v>
      </c>
      <c r="L45" s="34" t="s">
        <v>1755</v>
      </c>
      <c r="M45" s="34" t="s">
        <v>33</v>
      </c>
      <c r="N45" s="49">
        <v>9</v>
      </c>
      <c r="O45" s="50">
        <v>3</v>
      </c>
      <c r="P45" s="51">
        <v>68</v>
      </c>
      <c r="Q45" s="52">
        <v>15.145903000000001</v>
      </c>
      <c r="R45" s="52">
        <v>-92.457536000000005</v>
      </c>
      <c r="S45" s="77" t="s">
        <v>34</v>
      </c>
      <c r="T45" s="77" t="s">
        <v>35</v>
      </c>
      <c r="U45" s="77" t="s">
        <v>35</v>
      </c>
      <c r="V45" s="77" t="s">
        <v>35</v>
      </c>
      <c r="W45" s="77" t="s">
        <v>35</v>
      </c>
      <c r="X45" s="77" t="s">
        <v>35</v>
      </c>
      <c r="Y45" s="77" t="s">
        <v>36</v>
      </c>
      <c r="Z45" s="77" t="s">
        <v>37</v>
      </c>
      <c r="AA45" s="77" t="s">
        <v>37</v>
      </c>
      <c r="AB45" s="78"/>
      <c r="AC45" s="99">
        <f t="shared" si="0"/>
        <v>1</v>
      </c>
    </row>
    <row r="46" spans="1:29" x14ac:dyDescent="0.35">
      <c r="A46" s="34" t="s">
        <v>44</v>
      </c>
      <c r="B46" s="37" t="s">
        <v>25</v>
      </c>
      <c r="C46" s="34" t="s">
        <v>26</v>
      </c>
      <c r="D46" s="33" t="s">
        <v>1775</v>
      </c>
      <c r="E46" s="34" t="s">
        <v>45</v>
      </c>
      <c r="F46" s="34" t="s">
        <v>46</v>
      </c>
      <c r="G46" s="34" t="s">
        <v>29</v>
      </c>
      <c r="H46" s="37">
        <v>1</v>
      </c>
      <c r="I46" s="34" t="s">
        <v>30</v>
      </c>
      <c r="J46" s="34" t="s">
        <v>31</v>
      </c>
      <c r="K46" s="34" t="s">
        <v>32</v>
      </c>
      <c r="L46" s="34" t="s">
        <v>1755</v>
      </c>
      <c r="M46" s="34" t="s">
        <v>33</v>
      </c>
      <c r="N46" s="49">
        <v>11</v>
      </c>
      <c r="O46" s="50">
        <v>1</v>
      </c>
      <c r="P46" s="51">
        <v>9</v>
      </c>
      <c r="Q46" s="52">
        <v>16.320459</v>
      </c>
      <c r="R46" s="52">
        <v>-91.977010000000007</v>
      </c>
      <c r="S46" s="77" t="s">
        <v>34</v>
      </c>
      <c r="T46" s="77" t="s">
        <v>35</v>
      </c>
      <c r="U46" s="77" t="s">
        <v>35</v>
      </c>
      <c r="V46" s="77" t="s">
        <v>35</v>
      </c>
      <c r="W46" s="77" t="s">
        <v>35</v>
      </c>
      <c r="X46" s="77" t="s">
        <v>35</v>
      </c>
      <c r="Y46" s="77" t="s">
        <v>36</v>
      </c>
      <c r="Z46" s="77" t="s">
        <v>37</v>
      </c>
      <c r="AA46" s="77" t="s">
        <v>37</v>
      </c>
      <c r="AB46" s="78"/>
      <c r="AC46" s="99">
        <f t="shared" si="0"/>
        <v>1</v>
      </c>
    </row>
    <row r="47" spans="1:29" x14ac:dyDescent="0.35">
      <c r="A47" s="34" t="s">
        <v>119</v>
      </c>
      <c r="B47" s="37" t="s">
        <v>25</v>
      </c>
      <c r="C47" s="34" t="s">
        <v>26</v>
      </c>
      <c r="D47" s="33" t="s">
        <v>1775</v>
      </c>
      <c r="E47" s="75" t="s">
        <v>120</v>
      </c>
      <c r="F47" s="34" t="s">
        <v>121</v>
      </c>
      <c r="G47" s="34" t="s">
        <v>111</v>
      </c>
      <c r="H47" s="37">
        <v>1</v>
      </c>
      <c r="I47" s="34" t="s">
        <v>112</v>
      </c>
      <c r="J47" s="34" t="s">
        <v>31</v>
      </c>
      <c r="K47" s="34" t="s">
        <v>32</v>
      </c>
      <c r="L47" s="34" t="s">
        <v>1755</v>
      </c>
      <c r="M47" s="34" t="s">
        <v>33</v>
      </c>
      <c r="N47" s="49">
        <v>17</v>
      </c>
      <c r="O47" s="50">
        <v>3</v>
      </c>
      <c r="P47" s="51">
        <v>90</v>
      </c>
      <c r="Q47" s="52">
        <v>17.507697</v>
      </c>
      <c r="R47" s="82">
        <v>-91.988442000000006</v>
      </c>
      <c r="S47" s="77" t="s">
        <v>34</v>
      </c>
      <c r="T47" s="77" t="s">
        <v>35</v>
      </c>
      <c r="U47" s="77" t="s">
        <v>35</v>
      </c>
      <c r="V47" s="77" t="s">
        <v>35</v>
      </c>
      <c r="W47" s="77" t="s">
        <v>35</v>
      </c>
      <c r="X47" s="77" t="s">
        <v>35</v>
      </c>
      <c r="Y47" s="77" t="s">
        <v>36</v>
      </c>
      <c r="Z47" s="77" t="s">
        <v>37</v>
      </c>
      <c r="AA47" s="77" t="s">
        <v>37</v>
      </c>
      <c r="AB47" s="78"/>
      <c r="AC47" s="99">
        <f t="shared" si="0"/>
        <v>1</v>
      </c>
    </row>
    <row r="48" spans="1:29" x14ac:dyDescent="0.35">
      <c r="A48" s="34" t="s">
        <v>122</v>
      </c>
      <c r="B48" s="37" t="s">
        <v>25</v>
      </c>
      <c r="C48" s="34" t="s">
        <v>26</v>
      </c>
      <c r="D48" s="33" t="s">
        <v>1775</v>
      </c>
      <c r="E48" s="34" t="s">
        <v>123</v>
      </c>
      <c r="F48" s="34" t="s">
        <v>124</v>
      </c>
      <c r="G48" s="56" t="s">
        <v>111</v>
      </c>
      <c r="H48" s="37">
        <v>1</v>
      </c>
      <c r="I48" s="56" t="s">
        <v>112</v>
      </c>
      <c r="J48" s="56" t="s">
        <v>31</v>
      </c>
      <c r="K48" s="56" t="s">
        <v>32</v>
      </c>
      <c r="L48" s="56" t="s">
        <v>1755</v>
      </c>
      <c r="M48" s="56" t="s">
        <v>33</v>
      </c>
      <c r="N48" s="49">
        <v>14</v>
      </c>
      <c r="O48" s="50">
        <v>3</v>
      </c>
      <c r="P48" s="51">
        <v>33</v>
      </c>
      <c r="Q48" s="89">
        <v>17.513850000000001</v>
      </c>
      <c r="R48" s="90">
        <v>-93.120507000000003</v>
      </c>
      <c r="S48" s="77" t="s">
        <v>34</v>
      </c>
      <c r="T48" s="77" t="s">
        <v>35</v>
      </c>
      <c r="U48" s="77" t="s">
        <v>35</v>
      </c>
      <c r="V48" s="77" t="s">
        <v>35</v>
      </c>
      <c r="W48" s="77" t="s">
        <v>35</v>
      </c>
      <c r="X48" s="77" t="s">
        <v>35</v>
      </c>
      <c r="Y48" s="77" t="s">
        <v>36</v>
      </c>
      <c r="Z48" s="77" t="s">
        <v>37</v>
      </c>
      <c r="AA48" s="77" t="s">
        <v>37</v>
      </c>
      <c r="AB48" s="78"/>
      <c r="AC48" s="99">
        <f t="shared" si="0"/>
        <v>1</v>
      </c>
    </row>
    <row r="49" spans="1:29" x14ac:dyDescent="0.35">
      <c r="A49" s="34" t="s">
        <v>47</v>
      </c>
      <c r="B49" s="37" t="s">
        <v>25</v>
      </c>
      <c r="C49" s="34" t="s">
        <v>26</v>
      </c>
      <c r="D49" s="33" t="s">
        <v>1775</v>
      </c>
      <c r="E49" s="34" t="s">
        <v>48</v>
      </c>
      <c r="F49" s="34" t="s">
        <v>49</v>
      </c>
      <c r="G49" s="34" t="s">
        <v>29</v>
      </c>
      <c r="H49" s="37">
        <v>1</v>
      </c>
      <c r="I49" s="34" t="s">
        <v>30</v>
      </c>
      <c r="J49" s="34" t="s">
        <v>31</v>
      </c>
      <c r="K49" s="34" t="s">
        <v>32</v>
      </c>
      <c r="L49" s="34" t="s">
        <v>1755</v>
      </c>
      <c r="M49" s="34" t="s">
        <v>33</v>
      </c>
      <c r="N49" s="49">
        <v>9</v>
      </c>
      <c r="O49" s="50">
        <v>1</v>
      </c>
      <c r="P49" s="51">
        <v>22</v>
      </c>
      <c r="Q49" s="52">
        <v>17.552807000000001</v>
      </c>
      <c r="R49" s="52">
        <v>-92.338727000000006</v>
      </c>
      <c r="S49" s="77" t="s">
        <v>34</v>
      </c>
      <c r="T49" s="77" t="s">
        <v>35</v>
      </c>
      <c r="U49" s="77" t="s">
        <v>35</v>
      </c>
      <c r="V49" s="77" t="s">
        <v>35</v>
      </c>
      <c r="W49" s="77" t="s">
        <v>35</v>
      </c>
      <c r="X49" s="77" t="s">
        <v>35</v>
      </c>
      <c r="Y49" s="77" t="s">
        <v>36</v>
      </c>
      <c r="Z49" s="77" t="s">
        <v>37</v>
      </c>
      <c r="AA49" s="77" t="s">
        <v>37</v>
      </c>
      <c r="AB49" s="78"/>
      <c r="AC49" s="99">
        <f t="shared" si="0"/>
        <v>1</v>
      </c>
    </row>
    <row r="50" spans="1:29" x14ac:dyDescent="0.35">
      <c r="A50" s="34" t="s">
        <v>165</v>
      </c>
      <c r="B50" s="37" t="s">
        <v>25</v>
      </c>
      <c r="C50" s="34" t="s">
        <v>26</v>
      </c>
      <c r="D50" s="33" t="s">
        <v>1775</v>
      </c>
      <c r="E50" s="34" t="s">
        <v>141</v>
      </c>
      <c r="F50" s="34" t="s">
        <v>166</v>
      </c>
      <c r="G50" s="34" t="s">
        <v>164</v>
      </c>
      <c r="H50" s="37">
        <v>2</v>
      </c>
      <c r="I50" s="34" t="s">
        <v>112</v>
      </c>
      <c r="J50" s="34" t="s">
        <v>31</v>
      </c>
      <c r="K50" s="34" t="s">
        <v>32</v>
      </c>
      <c r="L50" s="34" t="s">
        <v>1755</v>
      </c>
      <c r="M50" s="34" t="s">
        <v>33</v>
      </c>
      <c r="N50" s="49">
        <v>9</v>
      </c>
      <c r="O50" s="50">
        <v>3</v>
      </c>
      <c r="P50" s="51">
        <v>81</v>
      </c>
      <c r="Q50" s="52">
        <v>16.733135999999998</v>
      </c>
      <c r="R50" s="52">
        <v>-92.636848999999998</v>
      </c>
      <c r="S50" s="77" t="s">
        <v>34</v>
      </c>
      <c r="T50" s="77" t="s">
        <v>35</v>
      </c>
      <c r="U50" s="77" t="s">
        <v>35</v>
      </c>
      <c r="V50" s="77" t="s">
        <v>35</v>
      </c>
      <c r="W50" s="77" t="s">
        <v>35</v>
      </c>
      <c r="X50" s="77" t="s">
        <v>35</v>
      </c>
      <c r="Y50" s="77" t="s">
        <v>36</v>
      </c>
      <c r="Z50" s="77" t="s">
        <v>37</v>
      </c>
      <c r="AA50" s="77" t="s">
        <v>37</v>
      </c>
      <c r="AB50" s="78"/>
      <c r="AC50" s="99">
        <f t="shared" si="0"/>
        <v>1</v>
      </c>
    </row>
    <row r="51" spans="1:29" x14ac:dyDescent="0.35">
      <c r="A51" s="34" t="s">
        <v>50</v>
      </c>
      <c r="B51" s="37" t="s">
        <v>25</v>
      </c>
      <c r="C51" s="33" t="s">
        <v>26</v>
      </c>
      <c r="D51" s="33" t="s">
        <v>1775</v>
      </c>
      <c r="E51" s="34" t="s">
        <v>51</v>
      </c>
      <c r="F51" s="34" t="s">
        <v>52</v>
      </c>
      <c r="G51" s="34" t="s">
        <v>29</v>
      </c>
      <c r="H51" s="37">
        <v>1</v>
      </c>
      <c r="I51" s="34" t="s">
        <v>30</v>
      </c>
      <c r="J51" s="34" t="s">
        <v>31</v>
      </c>
      <c r="K51" s="34" t="s">
        <v>32</v>
      </c>
      <c r="L51" s="34" t="s">
        <v>1755</v>
      </c>
      <c r="M51" s="34" t="s">
        <v>33</v>
      </c>
      <c r="N51" s="49">
        <v>7</v>
      </c>
      <c r="O51" s="50">
        <v>1</v>
      </c>
      <c r="P51" s="51">
        <v>28</v>
      </c>
      <c r="Q51" s="52">
        <v>17.313151000000001</v>
      </c>
      <c r="R51" s="52">
        <v>-92.428340000000006</v>
      </c>
      <c r="S51" s="77" t="s">
        <v>34</v>
      </c>
      <c r="T51" s="77" t="s">
        <v>35</v>
      </c>
      <c r="U51" s="77" t="s">
        <v>35</v>
      </c>
      <c r="V51" s="77" t="s">
        <v>35</v>
      </c>
      <c r="W51" s="77" t="s">
        <v>35</v>
      </c>
      <c r="X51" s="77" t="s">
        <v>35</v>
      </c>
      <c r="Y51" s="77" t="s">
        <v>36</v>
      </c>
      <c r="Z51" s="77" t="s">
        <v>37</v>
      </c>
      <c r="AA51" s="77" t="s">
        <v>37</v>
      </c>
      <c r="AB51" s="78"/>
      <c r="AC51" s="99">
        <f t="shared" si="0"/>
        <v>1</v>
      </c>
    </row>
    <row r="52" spans="1:29" x14ac:dyDescent="0.35">
      <c r="A52" s="34" t="s">
        <v>125</v>
      </c>
      <c r="B52" s="37" t="s">
        <v>25</v>
      </c>
      <c r="C52" s="34" t="s">
        <v>26</v>
      </c>
      <c r="D52" s="33" t="s">
        <v>1775</v>
      </c>
      <c r="E52" s="34" t="s">
        <v>126</v>
      </c>
      <c r="F52" s="34" t="s">
        <v>127</v>
      </c>
      <c r="G52" s="34" t="s">
        <v>111</v>
      </c>
      <c r="H52" s="37">
        <v>1</v>
      </c>
      <c r="I52" s="34" t="s">
        <v>112</v>
      </c>
      <c r="J52" s="34" t="s">
        <v>31</v>
      </c>
      <c r="K52" s="34" t="s">
        <v>32</v>
      </c>
      <c r="L52" s="34" t="s">
        <v>1755</v>
      </c>
      <c r="M52" s="34" t="s">
        <v>33</v>
      </c>
      <c r="N52" s="49">
        <v>10</v>
      </c>
      <c r="O52" s="50">
        <v>2</v>
      </c>
      <c r="P52" s="51">
        <v>47</v>
      </c>
      <c r="Q52" s="52">
        <v>16.090009999999999</v>
      </c>
      <c r="R52" s="52">
        <v>-93.744799999999998</v>
      </c>
      <c r="S52" s="77" t="s">
        <v>34</v>
      </c>
      <c r="T52" s="77" t="s">
        <v>35</v>
      </c>
      <c r="U52" s="77" t="s">
        <v>35</v>
      </c>
      <c r="V52" s="77" t="s">
        <v>35</v>
      </c>
      <c r="W52" s="77" t="s">
        <v>35</v>
      </c>
      <c r="X52" s="77" t="s">
        <v>35</v>
      </c>
      <c r="Y52" s="77" t="s">
        <v>36</v>
      </c>
      <c r="Z52" s="77" t="s">
        <v>37</v>
      </c>
      <c r="AA52" s="77" t="s">
        <v>37</v>
      </c>
      <c r="AB52" s="78"/>
      <c r="AC52" s="99">
        <f t="shared" si="0"/>
        <v>1</v>
      </c>
    </row>
    <row r="53" spans="1:29" x14ac:dyDescent="0.35">
      <c r="A53" s="34" t="s">
        <v>128</v>
      </c>
      <c r="B53" s="37" t="s">
        <v>25</v>
      </c>
      <c r="C53" s="34" t="s">
        <v>26</v>
      </c>
      <c r="D53" s="33" t="s">
        <v>1775</v>
      </c>
      <c r="E53" s="34" t="s">
        <v>129</v>
      </c>
      <c r="F53" s="34" t="s">
        <v>130</v>
      </c>
      <c r="G53" s="34" t="s">
        <v>111</v>
      </c>
      <c r="H53" s="37">
        <v>1</v>
      </c>
      <c r="I53" s="34" t="s">
        <v>112</v>
      </c>
      <c r="J53" s="34" t="s">
        <v>31</v>
      </c>
      <c r="K53" s="34" t="s">
        <v>32</v>
      </c>
      <c r="L53" s="34" t="s">
        <v>1755</v>
      </c>
      <c r="M53" s="34" t="s">
        <v>33</v>
      </c>
      <c r="N53" s="49">
        <v>23</v>
      </c>
      <c r="O53" s="50">
        <v>9</v>
      </c>
      <c r="P53" s="51">
        <v>94</v>
      </c>
      <c r="Q53" s="52">
        <v>16.745825</v>
      </c>
      <c r="R53" s="52">
        <v>-93.116883999999999</v>
      </c>
      <c r="S53" s="77" t="s">
        <v>34</v>
      </c>
      <c r="T53" s="77" t="s">
        <v>35</v>
      </c>
      <c r="U53" s="77" t="s">
        <v>35</v>
      </c>
      <c r="V53" s="77" t="s">
        <v>35</v>
      </c>
      <c r="W53" s="77" t="s">
        <v>35</v>
      </c>
      <c r="X53" s="77" t="s">
        <v>35</v>
      </c>
      <c r="Y53" s="77" t="s">
        <v>36</v>
      </c>
      <c r="Z53" s="77" t="s">
        <v>37</v>
      </c>
      <c r="AA53" s="77" t="s">
        <v>37</v>
      </c>
      <c r="AB53" s="78"/>
      <c r="AC53" s="99">
        <f t="shared" si="0"/>
        <v>1</v>
      </c>
    </row>
    <row r="54" spans="1:29" x14ac:dyDescent="0.35">
      <c r="A54" s="34" t="s">
        <v>152</v>
      </c>
      <c r="B54" s="37" t="s">
        <v>25</v>
      </c>
      <c r="C54" s="34" t="s">
        <v>1771</v>
      </c>
      <c r="D54" s="34" t="s">
        <v>1771</v>
      </c>
      <c r="E54" s="34" t="s">
        <v>138</v>
      </c>
      <c r="F54" s="34" t="s">
        <v>153</v>
      </c>
      <c r="G54" s="34" t="s">
        <v>154</v>
      </c>
      <c r="H54" s="37">
        <v>1</v>
      </c>
      <c r="I54" s="34" t="s">
        <v>155</v>
      </c>
      <c r="J54" s="34" t="s">
        <v>31</v>
      </c>
      <c r="K54" s="34" t="s">
        <v>32</v>
      </c>
      <c r="L54" s="34" t="s">
        <v>1756</v>
      </c>
      <c r="M54" s="34" t="s">
        <v>33</v>
      </c>
      <c r="N54" s="49">
        <v>36</v>
      </c>
      <c r="O54" s="50">
        <v>5</v>
      </c>
      <c r="P54" s="51">
        <v>137</v>
      </c>
      <c r="Q54" s="52">
        <v>14.809310999999999</v>
      </c>
      <c r="R54" s="52">
        <v>-92.345595000000003</v>
      </c>
      <c r="S54" s="77" t="s">
        <v>34</v>
      </c>
      <c r="T54" s="77" t="s">
        <v>35</v>
      </c>
      <c r="U54" s="77" t="s">
        <v>35</v>
      </c>
      <c r="V54" s="77" t="s">
        <v>35</v>
      </c>
      <c r="W54" s="77" t="s">
        <v>35</v>
      </c>
      <c r="X54" s="77" t="s">
        <v>35</v>
      </c>
      <c r="Y54" s="77" t="s">
        <v>36</v>
      </c>
      <c r="Z54" s="77" t="s">
        <v>37</v>
      </c>
      <c r="AA54" s="77" t="s">
        <v>37</v>
      </c>
      <c r="AB54" s="78"/>
      <c r="AC54" s="99">
        <f t="shared" si="0"/>
        <v>1</v>
      </c>
    </row>
    <row r="55" spans="1:29" x14ac:dyDescent="0.35">
      <c r="A55" s="34" t="s">
        <v>156</v>
      </c>
      <c r="B55" s="37" t="s">
        <v>25</v>
      </c>
      <c r="C55" s="34" t="s">
        <v>1771</v>
      </c>
      <c r="D55" s="34" t="s">
        <v>1771</v>
      </c>
      <c r="E55" s="34" t="s">
        <v>129</v>
      </c>
      <c r="F55" s="34" t="s">
        <v>157</v>
      </c>
      <c r="G55" s="34" t="s">
        <v>154</v>
      </c>
      <c r="H55" s="37">
        <v>1</v>
      </c>
      <c r="I55" s="34" t="s">
        <v>155</v>
      </c>
      <c r="J55" s="34" t="s">
        <v>31</v>
      </c>
      <c r="K55" s="34" t="s">
        <v>32</v>
      </c>
      <c r="L55" s="34" t="s">
        <v>1756</v>
      </c>
      <c r="M55" s="34" t="s">
        <v>33</v>
      </c>
      <c r="N55" s="49">
        <v>24</v>
      </c>
      <c r="O55" s="50">
        <v>4</v>
      </c>
      <c r="P55" s="51">
        <v>106</v>
      </c>
      <c r="Q55" s="52">
        <v>16.750662999999999</v>
      </c>
      <c r="R55" s="52">
        <v>-93.078046999999998</v>
      </c>
      <c r="S55" s="77" t="s">
        <v>34</v>
      </c>
      <c r="T55" s="77" t="s">
        <v>35</v>
      </c>
      <c r="U55" s="77" t="s">
        <v>35</v>
      </c>
      <c r="V55" s="77" t="s">
        <v>35</v>
      </c>
      <c r="W55" s="77" t="s">
        <v>35</v>
      </c>
      <c r="X55" s="77" t="s">
        <v>35</v>
      </c>
      <c r="Y55" s="77" t="s">
        <v>36</v>
      </c>
      <c r="Z55" s="77" t="s">
        <v>37</v>
      </c>
      <c r="AA55" s="77" t="s">
        <v>37</v>
      </c>
      <c r="AB55" s="78"/>
      <c r="AC55" s="99">
        <f t="shared" si="0"/>
        <v>1</v>
      </c>
    </row>
    <row r="56" spans="1:29" x14ac:dyDescent="0.35">
      <c r="A56" s="34" t="s">
        <v>167</v>
      </c>
      <c r="B56" s="37" t="s">
        <v>25</v>
      </c>
      <c r="C56" s="34" t="s">
        <v>26</v>
      </c>
      <c r="D56" s="33" t="s">
        <v>1775</v>
      </c>
      <c r="E56" s="34" t="s">
        <v>129</v>
      </c>
      <c r="F56" s="34" t="s">
        <v>168</v>
      </c>
      <c r="G56" s="34" t="s">
        <v>169</v>
      </c>
      <c r="H56" s="37">
        <v>2</v>
      </c>
      <c r="I56" s="34" t="s">
        <v>170</v>
      </c>
      <c r="J56" s="34" t="s">
        <v>31</v>
      </c>
      <c r="K56" s="34" t="s">
        <v>32</v>
      </c>
      <c r="L56" s="34" t="s">
        <v>1755</v>
      </c>
      <c r="M56" s="34" t="s">
        <v>33</v>
      </c>
      <c r="N56" s="49">
        <v>7</v>
      </c>
      <c r="O56" s="50">
        <v>0</v>
      </c>
      <c r="P56" s="51">
        <v>32</v>
      </c>
      <c r="Q56" s="52">
        <v>16.682003000000002</v>
      </c>
      <c r="R56" s="52">
        <v>-93.103123999999994</v>
      </c>
      <c r="S56" s="77" t="s">
        <v>34</v>
      </c>
      <c r="T56" s="77" t="s">
        <v>35</v>
      </c>
      <c r="U56" s="77" t="s">
        <v>35</v>
      </c>
      <c r="V56" s="77" t="s">
        <v>35</v>
      </c>
      <c r="W56" s="77" t="s">
        <v>35</v>
      </c>
      <c r="X56" s="77" t="s">
        <v>35</v>
      </c>
      <c r="Y56" s="77" t="s">
        <v>36</v>
      </c>
      <c r="Z56" s="77" t="s">
        <v>37</v>
      </c>
      <c r="AA56" s="77" t="s">
        <v>37</v>
      </c>
      <c r="AB56" s="78"/>
      <c r="AC56" s="99">
        <f t="shared" si="0"/>
        <v>1</v>
      </c>
    </row>
    <row r="57" spans="1:29" x14ac:dyDescent="0.35">
      <c r="A57" s="34" t="s">
        <v>131</v>
      </c>
      <c r="B57" s="37" t="s">
        <v>25</v>
      </c>
      <c r="C57" s="34" t="s">
        <v>26</v>
      </c>
      <c r="D57" s="33" t="s">
        <v>1775</v>
      </c>
      <c r="E57" s="34" t="s">
        <v>132</v>
      </c>
      <c r="F57" s="34" t="s">
        <v>133</v>
      </c>
      <c r="G57" s="34" t="s">
        <v>111</v>
      </c>
      <c r="H57" s="37">
        <v>1</v>
      </c>
      <c r="I57" s="34" t="s">
        <v>112</v>
      </c>
      <c r="J57" s="34" t="s">
        <v>31</v>
      </c>
      <c r="K57" s="34" t="s">
        <v>32</v>
      </c>
      <c r="L57" s="34" t="s">
        <v>1755</v>
      </c>
      <c r="M57" s="34" t="s">
        <v>33</v>
      </c>
      <c r="N57" s="49">
        <v>8</v>
      </c>
      <c r="O57" s="50">
        <v>3</v>
      </c>
      <c r="P57" s="51">
        <v>55</v>
      </c>
      <c r="Q57" s="52">
        <v>17.853377999999999</v>
      </c>
      <c r="R57" s="52">
        <v>-93.157189000000002</v>
      </c>
      <c r="S57" s="77" t="s">
        <v>34</v>
      </c>
      <c r="T57" s="77" t="s">
        <v>35</v>
      </c>
      <c r="U57" s="77" t="s">
        <v>35</v>
      </c>
      <c r="V57" s="77" t="s">
        <v>35</v>
      </c>
      <c r="W57" s="77" t="s">
        <v>35</v>
      </c>
      <c r="X57" s="77" t="s">
        <v>35</v>
      </c>
      <c r="Y57" s="77" t="s">
        <v>36</v>
      </c>
      <c r="Z57" s="77" t="s">
        <v>37</v>
      </c>
      <c r="AA57" s="77" t="s">
        <v>37</v>
      </c>
      <c r="AB57" s="78"/>
      <c r="AC57" s="99">
        <f t="shared" si="0"/>
        <v>1</v>
      </c>
    </row>
    <row r="58" spans="1:29" x14ac:dyDescent="0.35">
      <c r="A58" s="34" t="s">
        <v>53</v>
      </c>
      <c r="B58" s="37" t="s">
        <v>25</v>
      </c>
      <c r="C58" s="34" t="s">
        <v>26</v>
      </c>
      <c r="D58" s="33" t="s">
        <v>1775</v>
      </c>
      <c r="E58" s="34" t="s">
        <v>54</v>
      </c>
      <c r="F58" s="34" t="s">
        <v>55</v>
      </c>
      <c r="G58" s="34" t="s">
        <v>29</v>
      </c>
      <c r="H58" s="37">
        <v>1</v>
      </c>
      <c r="I58" s="34" t="s">
        <v>30</v>
      </c>
      <c r="J58" s="34" t="s">
        <v>31</v>
      </c>
      <c r="K58" s="34" t="s">
        <v>32</v>
      </c>
      <c r="L58" s="34" t="s">
        <v>1755</v>
      </c>
      <c r="M58" s="34" t="s">
        <v>33</v>
      </c>
      <c r="N58" s="49">
        <v>10</v>
      </c>
      <c r="O58" s="50">
        <v>2</v>
      </c>
      <c r="P58" s="51">
        <v>21</v>
      </c>
      <c r="Q58" s="52">
        <v>16.807812999999999</v>
      </c>
      <c r="R58" s="52">
        <v>-93.279999000000004</v>
      </c>
      <c r="S58" s="77" t="s">
        <v>34</v>
      </c>
      <c r="T58" s="77" t="s">
        <v>35</v>
      </c>
      <c r="U58" s="77" t="s">
        <v>35</v>
      </c>
      <c r="V58" s="77" t="s">
        <v>35</v>
      </c>
      <c r="W58" s="77" t="s">
        <v>35</v>
      </c>
      <c r="X58" s="77" t="s">
        <v>35</v>
      </c>
      <c r="Y58" s="77" t="s">
        <v>36</v>
      </c>
      <c r="Z58" s="77" t="s">
        <v>37</v>
      </c>
      <c r="AA58" s="77" t="s">
        <v>37</v>
      </c>
      <c r="AB58" s="78"/>
      <c r="AC58" s="99">
        <f t="shared" si="0"/>
        <v>1</v>
      </c>
    </row>
    <row r="59" spans="1:29" x14ac:dyDescent="0.35">
      <c r="A59" s="34" t="s">
        <v>134</v>
      </c>
      <c r="B59" s="37" t="s">
        <v>25</v>
      </c>
      <c r="C59" s="33" t="s">
        <v>26</v>
      </c>
      <c r="D59" s="33" t="s">
        <v>1775</v>
      </c>
      <c r="E59" s="34" t="s">
        <v>135</v>
      </c>
      <c r="F59" s="34" t="s">
        <v>136</v>
      </c>
      <c r="G59" s="34" t="s">
        <v>111</v>
      </c>
      <c r="H59" s="37">
        <v>1</v>
      </c>
      <c r="I59" s="34" t="s">
        <v>112</v>
      </c>
      <c r="J59" s="34" t="s">
        <v>31</v>
      </c>
      <c r="K59" s="34" t="s">
        <v>32</v>
      </c>
      <c r="L59" s="34" t="s">
        <v>1755</v>
      </c>
      <c r="M59" s="34" t="s">
        <v>33</v>
      </c>
      <c r="N59" s="49">
        <v>6</v>
      </c>
      <c r="O59" s="50">
        <v>2</v>
      </c>
      <c r="P59" s="51">
        <v>63</v>
      </c>
      <c r="Q59" s="52">
        <v>17.178397</v>
      </c>
      <c r="R59" s="52">
        <v>-92.338070000000002</v>
      </c>
      <c r="S59" s="77" t="s">
        <v>34</v>
      </c>
      <c r="T59" s="77" t="s">
        <v>35</v>
      </c>
      <c r="U59" s="77" t="s">
        <v>35</v>
      </c>
      <c r="V59" s="77" t="s">
        <v>35</v>
      </c>
      <c r="W59" s="77" t="s">
        <v>35</v>
      </c>
      <c r="X59" s="77" t="s">
        <v>35</v>
      </c>
      <c r="Y59" s="77" t="s">
        <v>36</v>
      </c>
      <c r="Z59" s="77" t="s">
        <v>37</v>
      </c>
      <c r="AA59" s="77" t="s">
        <v>37</v>
      </c>
      <c r="AB59" s="78"/>
      <c r="AC59" s="99">
        <f t="shared" si="0"/>
        <v>1</v>
      </c>
    </row>
    <row r="60" spans="1:29" x14ac:dyDescent="0.35">
      <c r="A60" s="34" t="s">
        <v>137</v>
      </c>
      <c r="B60" s="37" t="s">
        <v>25</v>
      </c>
      <c r="C60" s="33" t="s">
        <v>26</v>
      </c>
      <c r="D60" s="33" t="s">
        <v>1775</v>
      </c>
      <c r="E60" s="34" t="s">
        <v>138</v>
      </c>
      <c r="F60" s="34" t="s">
        <v>139</v>
      </c>
      <c r="G60" s="34" t="s">
        <v>111</v>
      </c>
      <c r="H60" s="37">
        <v>1</v>
      </c>
      <c r="I60" s="34" t="s">
        <v>112</v>
      </c>
      <c r="J60" s="34" t="s">
        <v>31</v>
      </c>
      <c r="K60" s="34" t="s">
        <v>32</v>
      </c>
      <c r="L60" s="34" t="s">
        <v>1755</v>
      </c>
      <c r="M60" s="34" t="s">
        <v>33</v>
      </c>
      <c r="N60" s="49">
        <v>29</v>
      </c>
      <c r="O60" s="50">
        <v>6</v>
      </c>
      <c r="P60" s="51">
        <v>205</v>
      </c>
      <c r="Q60" s="52">
        <v>14.842518500000001</v>
      </c>
      <c r="R60" s="52">
        <v>-92.318376099999995</v>
      </c>
      <c r="S60" s="77" t="s">
        <v>34</v>
      </c>
      <c r="T60" s="77" t="s">
        <v>35</v>
      </c>
      <c r="U60" s="77" t="s">
        <v>35</v>
      </c>
      <c r="V60" s="77" t="s">
        <v>35</v>
      </c>
      <c r="W60" s="77" t="s">
        <v>35</v>
      </c>
      <c r="X60" s="77" t="s">
        <v>35</v>
      </c>
      <c r="Y60" s="77" t="s">
        <v>36</v>
      </c>
      <c r="Z60" s="77" t="s">
        <v>37</v>
      </c>
      <c r="AA60" s="77" t="s">
        <v>37</v>
      </c>
      <c r="AB60" s="78"/>
      <c r="AC60" s="99">
        <f t="shared" si="0"/>
        <v>1</v>
      </c>
    </row>
    <row r="61" spans="1:29" x14ac:dyDescent="0.35">
      <c r="A61" s="34" t="s">
        <v>56</v>
      </c>
      <c r="B61" s="37" t="s">
        <v>25</v>
      </c>
      <c r="C61" s="34" t="s">
        <v>26</v>
      </c>
      <c r="D61" s="33" t="s">
        <v>1775</v>
      </c>
      <c r="E61" s="34" t="s">
        <v>57</v>
      </c>
      <c r="F61" s="34" t="s">
        <v>58</v>
      </c>
      <c r="G61" s="48" t="s">
        <v>29</v>
      </c>
      <c r="H61" s="37">
        <v>1</v>
      </c>
      <c r="I61" s="34" t="s">
        <v>30</v>
      </c>
      <c r="J61" s="34" t="s">
        <v>31</v>
      </c>
      <c r="K61" s="34" t="s">
        <v>32</v>
      </c>
      <c r="L61" s="34" t="s">
        <v>1755</v>
      </c>
      <c r="M61" s="34" t="s">
        <v>33</v>
      </c>
      <c r="N61" s="49">
        <v>7</v>
      </c>
      <c r="O61" s="50">
        <v>0</v>
      </c>
      <c r="P61" s="51">
        <v>20</v>
      </c>
      <c r="Q61" s="52">
        <v>17.134391999999998</v>
      </c>
      <c r="R61" s="52">
        <v>-92.719601999999995</v>
      </c>
      <c r="S61" s="77" t="s">
        <v>34</v>
      </c>
      <c r="T61" s="77" t="s">
        <v>35</v>
      </c>
      <c r="U61" s="77" t="s">
        <v>35</v>
      </c>
      <c r="V61" s="77" t="s">
        <v>35</v>
      </c>
      <c r="W61" s="77" t="s">
        <v>35</v>
      </c>
      <c r="X61" s="77" t="s">
        <v>35</v>
      </c>
      <c r="Y61" s="77" t="s">
        <v>36</v>
      </c>
      <c r="Z61" s="77" t="s">
        <v>37</v>
      </c>
      <c r="AA61" s="77" t="s">
        <v>37</v>
      </c>
      <c r="AB61" s="78"/>
      <c r="AC61" s="99">
        <f t="shared" si="0"/>
        <v>1</v>
      </c>
    </row>
    <row r="62" spans="1:29" x14ac:dyDescent="0.35">
      <c r="A62" s="34" t="s">
        <v>59</v>
      </c>
      <c r="B62" s="37" t="s">
        <v>25</v>
      </c>
      <c r="C62" s="34" t="s">
        <v>26</v>
      </c>
      <c r="D62" s="33" t="s">
        <v>1775</v>
      </c>
      <c r="E62" s="34" t="s">
        <v>60</v>
      </c>
      <c r="F62" s="34" t="s">
        <v>61</v>
      </c>
      <c r="G62" s="48" t="s">
        <v>29</v>
      </c>
      <c r="H62" s="37">
        <v>1</v>
      </c>
      <c r="I62" s="34" t="s">
        <v>30</v>
      </c>
      <c r="J62" s="34" t="s">
        <v>31</v>
      </c>
      <c r="K62" s="34" t="s">
        <v>32</v>
      </c>
      <c r="L62" s="34" t="s">
        <v>1755</v>
      </c>
      <c r="M62" s="34" t="s">
        <v>33</v>
      </c>
      <c r="N62" s="49">
        <v>10</v>
      </c>
      <c r="O62" s="50">
        <v>2</v>
      </c>
      <c r="P62" s="51">
        <v>27</v>
      </c>
      <c r="Q62" s="52">
        <v>16.365531000000001</v>
      </c>
      <c r="R62" s="52">
        <v>-92.377345000000005</v>
      </c>
      <c r="S62" s="77" t="s">
        <v>34</v>
      </c>
      <c r="T62" s="77" t="s">
        <v>35</v>
      </c>
      <c r="U62" s="77" t="s">
        <v>35</v>
      </c>
      <c r="V62" s="77" t="s">
        <v>35</v>
      </c>
      <c r="W62" s="77" t="s">
        <v>35</v>
      </c>
      <c r="X62" s="77" t="s">
        <v>35</v>
      </c>
      <c r="Y62" s="77" t="s">
        <v>36</v>
      </c>
      <c r="Z62" s="77" t="s">
        <v>37</v>
      </c>
      <c r="AA62" s="77" t="s">
        <v>37</v>
      </c>
      <c r="AB62" s="78"/>
      <c r="AC62" s="99">
        <f t="shared" si="0"/>
        <v>1</v>
      </c>
    </row>
    <row r="63" spans="1:29" x14ac:dyDescent="0.35">
      <c r="A63" s="34" t="s">
        <v>62</v>
      </c>
      <c r="B63" s="37" t="s">
        <v>25</v>
      </c>
      <c r="C63" s="34" t="s">
        <v>26</v>
      </c>
      <c r="D63" s="33" t="s">
        <v>1775</v>
      </c>
      <c r="E63" s="34" t="s">
        <v>63</v>
      </c>
      <c r="F63" s="34" t="s">
        <v>64</v>
      </c>
      <c r="G63" s="48" t="s">
        <v>29</v>
      </c>
      <c r="H63" s="37">
        <v>1</v>
      </c>
      <c r="I63" s="34" t="s">
        <v>30</v>
      </c>
      <c r="J63" s="34" t="s">
        <v>31</v>
      </c>
      <c r="K63" s="34" t="s">
        <v>32</v>
      </c>
      <c r="L63" s="34" t="s">
        <v>1755</v>
      </c>
      <c r="M63" s="34" t="s">
        <v>33</v>
      </c>
      <c r="N63" s="49">
        <v>10</v>
      </c>
      <c r="O63" s="50">
        <v>2</v>
      </c>
      <c r="P63" s="51">
        <v>24</v>
      </c>
      <c r="Q63" s="52">
        <v>16.720224999999999</v>
      </c>
      <c r="R63" s="52">
        <v>-93.012051</v>
      </c>
      <c r="S63" s="77" t="s">
        <v>34</v>
      </c>
      <c r="T63" s="77" t="s">
        <v>35</v>
      </c>
      <c r="U63" s="77" t="s">
        <v>35</v>
      </c>
      <c r="V63" s="77" t="s">
        <v>35</v>
      </c>
      <c r="W63" s="77" t="s">
        <v>35</v>
      </c>
      <c r="X63" s="77" t="s">
        <v>35</v>
      </c>
      <c r="Y63" s="77" t="s">
        <v>36</v>
      </c>
      <c r="Z63" s="77" t="s">
        <v>37</v>
      </c>
      <c r="AA63" s="77" t="s">
        <v>37</v>
      </c>
      <c r="AB63" s="78"/>
      <c r="AC63" s="99">
        <f t="shared" si="0"/>
        <v>1</v>
      </c>
    </row>
    <row r="64" spans="1:29" x14ac:dyDescent="0.35">
      <c r="A64" s="34" t="s">
        <v>65</v>
      </c>
      <c r="B64" s="37" t="s">
        <v>25</v>
      </c>
      <c r="C64" s="34" t="s">
        <v>26</v>
      </c>
      <c r="D64" s="33" t="s">
        <v>1775</v>
      </c>
      <c r="E64" s="34" t="s">
        <v>66</v>
      </c>
      <c r="F64" s="34" t="s">
        <v>67</v>
      </c>
      <c r="G64" s="48" t="s">
        <v>29</v>
      </c>
      <c r="H64" s="37">
        <v>1</v>
      </c>
      <c r="I64" s="34" t="s">
        <v>30</v>
      </c>
      <c r="J64" s="34" t="s">
        <v>31</v>
      </c>
      <c r="K64" s="34" t="s">
        <v>32</v>
      </c>
      <c r="L64" s="34" t="s">
        <v>1755</v>
      </c>
      <c r="M64" s="34" t="s">
        <v>33</v>
      </c>
      <c r="N64" s="49">
        <v>8</v>
      </c>
      <c r="O64" s="50">
        <v>1</v>
      </c>
      <c r="P64" s="51">
        <v>17</v>
      </c>
      <c r="Q64" s="52">
        <v>17.377960000000002</v>
      </c>
      <c r="R64" s="52">
        <v>-92.811238000000003</v>
      </c>
      <c r="S64" s="77" t="s">
        <v>34</v>
      </c>
      <c r="T64" s="77" t="s">
        <v>35</v>
      </c>
      <c r="U64" s="77" t="s">
        <v>35</v>
      </c>
      <c r="V64" s="77" t="s">
        <v>35</v>
      </c>
      <c r="W64" s="77" t="s">
        <v>35</v>
      </c>
      <c r="X64" s="77" t="s">
        <v>35</v>
      </c>
      <c r="Y64" s="77" t="s">
        <v>36</v>
      </c>
      <c r="Z64" s="77" t="s">
        <v>37</v>
      </c>
      <c r="AA64" s="77" t="s">
        <v>37</v>
      </c>
      <c r="AB64" s="78"/>
      <c r="AC64" s="99">
        <f t="shared" si="0"/>
        <v>1</v>
      </c>
    </row>
    <row r="65" spans="1:29" x14ac:dyDescent="0.35">
      <c r="A65" s="34" t="s">
        <v>68</v>
      </c>
      <c r="B65" s="37" t="s">
        <v>25</v>
      </c>
      <c r="C65" s="34" t="s">
        <v>26</v>
      </c>
      <c r="D65" s="33" t="s">
        <v>1775</v>
      </c>
      <c r="E65" s="34" t="s">
        <v>69</v>
      </c>
      <c r="F65" s="34" t="s">
        <v>70</v>
      </c>
      <c r="G65" s="34" t="s">
        <v>29</v>
      </c>
      <c r="H65" s="37">
        <v>1</v>
      </c>
      <c r="I65" s="34" t="s">
        <v>30</v>
      </c>
      <c r="J65" s="34" t="s">
        <v>31</v>
      </c>
      <c r="K65" s="34" t="s">
        <v>32</v>
      </c>
      <c r="L65" s="34" t="s">
        <v>1755</v>
      </c>
      <c r="M65" s="34" t="s">
        <v>33</v>
      </c>
      <c r="N65" s="49">
        <v>6</v>
      </c>
      <c r="O65" s="50">
        <v>2</v>
      </c>
      <c r="P65" s="51">
        <v>17</v>
      </c>
      <c r="Q65" s="52">
        <v>15.453841000000001</v>
      </c>
      <c r="R65" s="52">
        <v>-92.276784000000006</v>
      </c>
      <c r="S65" s="77" t="s">
        <v>34</v>
      </c>
      <c r="T65" s="77" t="s">
        <v>35</v>
      </c>
      <c r="U65" s="77" t="s">
        <v>35</v>
      </c>
      <c r="V65" s="77" t="s">
        <v>35</v>
      </c>
      <c r="W65" s="77" t="s">
        <v>35</v>
      </c>
      <c r="X65" s="77" t="s">
        <v>35</v>
      </c>
      <c r="Y65" s="77" t="s">
        <v>36</v>
      </c>
      <c r="Z65" s="77" t="s">
        <v>37</v>
      </c>
      <c r="AA65" s="77" t="s">
        <v>37</v>
      </c>
      <c r="AB65" s="78"/>
      <c r="AC65" s="99">
        <f t="shared" si="0"/>
        <v>1</v>
      </c>
    </row>
    <row r="66" spans="1:29" x14ac:dyDescent="0.35">
      <c r="A66" s="34" t="s">
        <v>71</v>
      </c>
      <c r="B66" s="37" t="s">
        <v>25</v>
      </c>
      <c r="C66" s="33" t="s">
        <v>26</v>
      </c>
      <c r="D66" s="33" t="s">
        <v>1775</v>
      </c>
      <c r="E66" s="34" t="s">
        <v>72</v>
      </c>
      <c r="F66" s="34" t="s">
        <v>73</v>
      </c>
      <c r="G66" s="34" t="s">
        <v>29</v>
      </c>
      <c r="H66" s="37">
        <v>1</v>
      </c>
      <c r="I66" s="34" t="s">
        <v>30</v>
      </c>
      <c r="J66" s="34" t="s">
        <v>31</v>
      </c>
      <c r="K66" s="34" t="s">
        <v>32</v>
      </c>
      <c r="L66" s="34" t="s">
        <v>1755</v>
      </c>
      <c r="M66" s="34" t="s">
        <v>33</v>
      </c>
      <c r="N66" s="49">
        <v>10</v>
      </c>
      <c r="O66" s="50">
        <v>2</v>
      </c>
      <c r="P66" s="51">
        <v>31</v>
      </c>
      <c r="Q66" s="52">
        <v>16.166713000000001</v>
      </c>
      <c r="R66" s="52">
        <v>-93.079977</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row>
    <row r="67" spans="1:29" x14ac:dyDescent="0.35">
      <c r="A67" s="34" t="s">
        <v>75</v>
      </c>
      <c r="B67" s="37" t="s">
        <v>25</v>
      </c>
      <c r="C67" s="34" t="s">
        <v>26</v>
      </c>
      <c r="D67" s="33" t="s">
        <v>1775</v>
      </c>
      <c r="E67" s="34" t="s">
        <v>76</v>
      </c>
      <c r="F67" s="34" t="s">
        <v>77</v>
      </c>
      <c r="G67" s="34" t="s">
        <v>29</v>
      </c>
      <c r="H67" s="37">
        <v>1</v>
      </c>
      <c r="I67" s="34" t="s">
        <v>30</v>
      </c>
      <c r="J67" s="34" t="s">
        <v>31</v>
      </c>
      <c r="K67" s="34" t="s">
        <v>32</v>
      </c>
      <c r="L67" s="34" t="s">
        <v>1755</v>
      </c>
      <c r="M67" s="34" t="s">
        <v>33</v>
      </c>
      <c r="N67" s="49">
        <v>8</v>
      </c>
      <c r="O67" s="50">
        <v>0</v>
      </c>
      <c r="P67" s="51">
        <v>23</v>
      </c>
      <c r="Q67" s="52">
        <v>17.255877999999999</v>
      </c>
      <c r="R67" s="52">
        <v>-93.017016999999996</v>
      </c>
      <c r="S67" s="77" t="s">
        <v>34</v>
      </c>
      <c r="T67" s="77" t="s">
        <v>35</v>
      </c>
      <c r="U67" s="77" t="s">
        <v>35</v>
      </c>
      <c r="V67" s="77" t="s">
        <v>35</v>
      </c>
      <c r="W67" s="77" t="s">
        <v>35</v>
      </c>
      <c r="X67" s="77" t="s">
        <v>35</v>
      </c>
      <c r="Y67" s="77" t="s">
        <v>36</v>
      </c>
      <c r="Z67" s="77" t="s">
        <v>37</v>
      </c>
      <c r="AA67" s="77" t="s">
        <v>37</v>
      </c>
      <c r="AB67" s="78"/>
      <c r="AC67" s="99">
        <f t="shared" si="1"/>
        <v>1</v>
      </c>
    </row>
    <row r="68" spans="1:29" x14ac:dyDescent="0.35">
      <c r="A68" s="34" t="s">
        <v>78</v>
      </c>
      <c r="B68" s="37" t="s">
        <v>25</v>
      </c>
      <c r="C68" s="34" t="s">
        <v>26</v>
      </c>
      <c r="D68" s="33" t="s">
        <v>1775</v>
      </c>
      <c r="E68" s="34" t="s">
        <v>79</v>
      </c>
      <c r="F68" s="34" t="s">
        <v>80</v>
      </c>
      <c r="G68" s="34" t="s">
        <v>29</v>
      </c>
      <c r="H68" s="37">
        <v>1</v>
      </c>
      <c r="I68" s="34" t="s">
        <v>30</v>
      </c>
      <c r="J68" s="34" t="s">
        <v>31</v>
      </c>
      <c r="K68" s="34" t="s">
        <v>32</v>
      </c>
      <c r="L68" s="34" t="s">
        <v>1755</v>
      </c>
      <c r="M68" s="34" t="s">
        <v>33</v>
      </c>
      <c r="N68" s="49">
        <v>8</v>
      </c>
      <c r="O68" s="50">
        <v>2</v>
      </c>
      <c r="P68" s="51">
        <v>21</v>
      </c>
      <c r="Q68" s="52">
        <v>16.879071</v>
      </c>
      <c r="R68" s="52">
        <v>-92.714877999999999</v>
      </c>
      <c r="S68" s="77" t="s">
        <v>34</v>
      </c>
      <c r="T68" s="77" t="s">
        <v>35</v>
      </c>
      <c r="U68" s="77" t="s">
        <v>35</v>
      </c>
      <c r="V68" s="77" t="s">
        <v>35</v>
      </c>
      <c r="W68" s="77" t="s">
        <v>35</v>
      </c>
      <c r="X68" s="77" t="s">
        <v>35</v>
      </c>
      <c r="Y68" s="77" t="s">
        <v>36</v>
      </c>
      <c r="Z68" s="77" t="s">
        <v>37</v>
      </c>
      <c r="AA68" s="77" t="s">
        <v>37</v>
      </c>
      <c r="AB68" s="78"/>
      <c r="AC68" s="99">
        <f t="shared" si="1"/>
        <v>1</v>
      </c>
    </row>
    <row r="69" spans="1:29" x14ac:dyDescent="0.35">
      <c r="A69" s="34" t="s">
        <v>81</v>
      </c>
      <c r="B69" s="37" t="s">
        <v>25</v>
      </c>
      <c r="C69" s="34" t="s">
        <v>26</v>
      </c>
      <c r="D69" s="33" t="s">
        <v>1775</v>
      </c>
      <c r="E69" s="34" t="s">
        <v>82</v>
      </c>
      <c r="F69" s="34" t="s">
        <v>83</v>
      </c>
      <c r="G69" s="34" t="s">
        <v>29</v>
      </c>
      <c r="H69" s="37">
        <v>1</v>
      </c>
      <c r="I69" s="34" t="s">
        <v>30</v>
      </c>
      <c r="J69" s="34" t="s">
        <v>31</v>
      </c>
      <c r="K69" s="34" t="s">
        <v>32</v>
      </c>
      <c r="L69" s="34" t="s">
        <v>1755</v>
      </c>
      <c r="M69" s="34" t="s">
        <v>84</v>
      </c>
      <c r="N69" s="49">
        <v>9</v>
      </c>
      <c r="O69" s="50">
        <v>2</v>
      </c>
      <c r="P69" s="51">
        <v>21</v>
      </c>
      <c r="Q69" s="52">
        <v>17.023199999999999</v>
      </c>
      <c r="R69" s="52">
        <v>-91.419499999999999</v>
      </c>
      <c r="S69" s="77" t="s">
        <v>34</v>
      </c>
      <c r="T69" s="77" t="s">
        <v>35</v>
      </c>
      <c r="U69" s="77" t="s">
        <v>35</v>
      </c>
      <c r="V69" s="77" t="s">
        <v>35</v>
      </c>
      <c r="W69" s="77" t="s">
        <v>35</v>
      </c>
      <c r="X69" s="77" t="s">
        <v>35</v>
      </c>
      <c r="Y69" s="77" t="s">
        <v>36</v>
      </c>
      <c r="Z69" s="77" t="s">
        <v>37</v>
      </c>
      <c r="AA69" s="77" t="s">
        <v>37</v>
      </c>
      <c r="AB69" s="78"/>
      <c r="AC69" s="99">
        <f t="shared" si="1"/>
        <v>1</v>
      </c>
    </row>
    <row r="70" spans="1:29" x14ac:dyDescent="0.35">
      <c r="A70" s="34" t="s">
        <v>85</v>
      </c>
      <c r="B70" s="37" t="s">
        <v>25</v>
      </c>
      <c r="C70" s="34" t="s">
        <v>26</v>
      </c>
      <c r="D70" s="33" t="s">
        <v>1775</v>
      </c>
      <c r="E70" s="34" t="s">
        <v>86</v>
      </c>
      <c r="F70" s="34" t="s">
        <v>87</v>
      </c>
      <c r="G70" s="34" t="s">
        <v>29</v>
      </c>
      <c r="H70" s="37">
        <v>1</v>
      </c>
      <c r="I70" s="34" t="s">
        <v>30</v>
      </c>
      <c r="J70" s="34" t="s">
        <v>31</v>
      </c>
      <c r="K70" s="34" t="s">
        <v>32</v>
      </c>
      <c r="L70" s="34" t="s">
        <v>1755</v>
      </c>
      <c r="M70" s="34" t="s">
        <v>33</v>
      </c>
      <c r="N70" s="49">
        <v>9</v>
      </c>
      <c r="O70" s="50">
        <v>2</v>
      </c>
      <c r="P70" s="51">
        <v>22</v>
      </c>
      <c r="Q70" s="52">
        <v>15.671072199999999</v>
      </c>
      <c r="R70" s="52">
        <v>-93.211713599999996</v>
      </c>
      <c r="S70" s="77" t="s">
        <v>34</v>
      </c>
      <c r="T70" s="77" t="s">
        <v>35</v>
      </c>
      <c r="U70" s="77" t="s">
        <v>35</v>
      </c>
      <c r="V70" s="77" t="s">
        <v>35</v>
      </c>
      <c r="W70" s="77" t="s">
        <v>35</v>
      </c>
      <c r="X70" s="77" t="s">
        <v>35</v>
      </c>
      <c r="Y70" s="77" t="s">
        <v>36</v>
      </c>
      <c r="Z70" s="77" t="s">
        <v>37</v>
      </c>
      <c r="AA70" s="77" t="s">
        <v>37</v>
      </c>
      <c r="AB70" s="78"/>
      <c r="AC70" s="99">
        <f t="shared" si="1"/>
        <v>1</v>
      </c>
    </row>
    <row r="71" spans="1:29" x14ac:dyDescent="0.35">
      <c r="A71" s="34" t="s">
        <v>88</v>
      </c>
      <c r="B71" s="37" t="s">
        <v>25</v>
      </c>
      <c r="C71" s="34" t="s">
        <v>26</v>
      </c>
      <c r="D71" s="33" t="s">
        <v>1775</v>
      </c>
      <c r="E71" s="34" t="s">
        <v>89</v>
      </c>
      <c r="F71" s="34" t="s">
        <v>90</v>
      </c>
      <c r="G71" s="34" t="s">
        <v>29</v>
      </c>
      <c r="H71" s="37">
        <v>1</v>
      </c>
      <c r="I71" s="34" t="s">
        <v>30</v>
      </c>
      <c r="J71" s="34" t="s">
        <v>31</v>
      </c>
      <c r="K71" s="34" t="s">
        <v>32</v>
      </c>
      <c r="L71" s="34" t="s">
        <v>1755</v>
      </c>
      <c r="M71" s="34" t="s">
        <v>33</v>
      </c>
      <c r="N71" s="49">
        <v>9</v>
      </c>
      <c r="O71" s="50">
        <v>2</v>
      </c>
      <c r="P71" s="51">
        <v>16</v>
      </c>
      <c r="Q71" s="52">
        <v>16.554808000000001</v>
      </c>
      <c r="R71" s="52">
        <v>-92.475661000000002</v>
      </c>
      <c r="S71" s="77" t="s">
        <v>34</v>
      </c>
      <c r="T71" s="77" t="s">
        <v>35</v>
      </c>
      <c r="U71" s="77" t="s">
        <v>35</v>
      </c>
      <c r="V71" s="77" t="s">
        <v>35</v>
      </c>
      <c r="W71" s="77" t="s">
        <v>35</v>
      </c>
      <c r="X71" s="77" t="s">
        <v>35</v>
      </c>
      <c r="Y71" s="77" t="s">
        <v>36</v>
      </c>
      <c r="Z71" s="77" t="s">
        <v>37</v>
      </c>
      <c r="AA71" s="77" t="s">
        <v>37</v>
      </c>
      <c r="AB71" s="78"/>
      <c r="AC71" s="99">
        <f t="shared" si="1"/>
        <v>1</v>
      </c>
    </row>
    <row r="72" spans="1:29" x14ac:dyDescent="0.35">
      <c r="A72" s="34" t="s">
        <v>140</v>
      </c>
      <c r="B72" s="37" t="s">
        <v>25</v>
      </c>
      <c r="C72" s="34" t="s">
        <v>26</v>
      </c>
      <c r="D72" s="33" t="s">
        <v>1775</v>
      </c>
      <c r="E72" s="34" t="s">
        <v>141</v>
      </c>
      <c r="F72" s="34" t="s">
        <v>142</v>
      </c>
      <c r="G72" s="34" t="s">
        <v>111</v>
      </c>
      <c r="H72" s="37">
        <v>1</v>
      </c>
      <c r="I72" s="34" t="s">
        <v>112</v>
      </c>
      <c r="J72" s="34" t="s">
        <v>31</v>
      </c>
      <c r="K72" s="34" t="s">
        <v>32</v>
      </c>
      <c r="L72" s="34" t="s">
        <v>1755</v>
      </c>
      <c r="M72" s="34" t="s">
        <v>33</v>
      </c>
      <c r="N72" s="49">
        <v>13</v>
      </c>
      <c r="O72" s="50">
        <v>3</v>
      </c>
      <c r="P72" s="51">
        <v>116</v>
      </c>
      <c r="Q72" s="52">
        <v>16.723703</v>
      </c>
      <c r="R72" s="52">
        <v>-92.652269000000004</v>
      </c>
      <c r="S72" s="77" t="s">
        <v>34</v>
      </c>
      <c r="T72" s="77" t="s">
        <v>35</v>
      </c>
      <c r="U72" s="77" t="s">
        <v>35</v>
      </c>
      <c r="V72" s="77" t="s">
        <v>35</v>
      </c>
      <c r="W72" s="77" t="s">
        <v>35</v>
      </c>
      <c r="X72" s="77" t="s">
        <v>35</v>
      </c>
      <c r="Y72" s="77" t="s">
        <v>36</v>
      </c>
      <c r="Z72" s="77" t="s">
        <v>37</v>
      </c>
      <c r="AA72" s="77" t="s">
        <v>37</v>
      </c>
      <c r="AB72" s="78"/>
      <c r="AC72" s="99">
        <f t="shared" si="1"/>
        <v>1</v>
      </c>
    </row>
    <row r="73" spans="1:29" x14ac:dyDescent="0.35">
      <c r="A73" s="34" t="s">
        <v>162</v>
      </c>
      <c r="B73" s="37" t="s">
        <v>25</v>
      </c>
      <c r="C73" s="34" t="s">
        <v>26</v>
      </c>
      <c r="D73" s="33" t="s">
        <v>1775</v>
      </c>
      <c r="E73" s="34" t="s">
        <v>114</v>
      </c>
      <c r="F73" s="34" t="s">
        <v>163</v>
      </c>
      <c r="G73" s="34" t="s">
        <v>164</v>
      </c>
      <c r="H73" s="37">
        <v>2</v>
      </c>
      <c r="I73" s="34" t="s">
        <v>112</v>
      </c>
      <c r="J73" s="34" t="s">
        <v>31</v>
      </c>
      <c r="K73" s="34" t="s">
        <v>32</v>
      </c>
      <c r="L73" s="34" t="s">
        <v>1755</v>
      </c>
      <c r="M73" s="34" t="s">
        <v>33</v>
      </c>
      <c r="N73" s="49">
        <v>11</v>
      </c>
      <c r="O73" s="50">
        <v>5</v>
      </c>
      <c r="P73" s="51">
        <v>106</v>
      </c>
      <c r="Q73" s="52">
        <v>16.207545</v>
      </c>
      <c r="R73" s="52">
        <v>-92.106986000000006</v>
      </c>
      <c r="S73" s="77" t="s">
        <v>34</v>
      </c>
      <c r="T73" s="77" t="s">
        <v>35</v>
      </c>
      <c r="U73" s="77" t="s">
        <v>35</v>
      </c>
      <c r="V73" s="77" t="s">
        <v>35</v>
      </c>
      <c r="W73" s="77" t="s">
        <v>35</v>
      </c>
      <c r="X73" s="77" t="s">
        <v>35</v>
      </c>
      <c r="Y73" s="77" t="s">
        <v>36</v>
      </c>
      <c r="Z73" s="77" t="s">
        <v>37</v>
      </c>
      <c r="AA73" s="77" t="s">
        <v>37</v>
      </c>
      <c r="AB73" s="78"/>
      <c r="AC73" s="99">
        <f t="shared" si="1"/>
        <v>1</v>
      </c>
    </row>
    <row r="74" spans="1:29" x14ac:dyDescent="0.35">
      <c r="A74" s="34" t="s">
        <v>91</v>
      </c>
      <c r="B74" s="37" t="s">
        <v>25</v>
      </c>
      <c r="C74" s="34" t="s">
        <v>26</v>
      </c>
      <c r="D74" s="33" t="s">
        <v>1775</v>
      </c>
      <c r="E74" s="34" t="s">
        <v>92</v>
      </c>
      <c r="F74" s="34" t="s">
        <v>93</v>
      </c>
      <c r="G74" s="34" t="s">
        <v>29</v>
      </c>
      <c r="H74" s="37">
        <v>1</v>
      </c>
      <c r="I74" s="34" t="s">
        <v>30</v>
      </c>
      <c r="J74" s="34" t="s">
        <v>31</v>
      </c>
      <c r="K74" s="34" t="s">
        <v>32</v>
      </c>
      <c r="L74" s="34" t="s">
        <v>1755</v>
      </c>
      <c r="M74" s="34" t="s">
        <v>33</v>
      </c>
      <c r="N74" s="49">
        <v>8</v>
      </c>
      <c r="O74" s="50">
        <v>2</v>
      </c>
      <c r="P74" s="51">
        <v>29</v>
      </c>
      <c r="Q74" s="52">
        <v>15.667289</v>
      </c>
      <c r="R74" s="52">
        <v>-92.132599999999996</v>
      </c>
      <c r="S74" s="77" t="s">
        <v>34</v>
      </c>
      <c r="T74" s="77" t="s">
        <v>35</v>
      </c>
      <c r="U74" s="77" t="s">
        <v>35</v>
      </c>
      <c r="V74" s="77" t="s">
        <v>35</v>
      </c>
      <c r="W74" s="77" t="s">
        <v>35</v>
      </c>
      <c r="X74" s="77" t="s">
        <v>35</v>
      </c>
      <c r="Y74" s="77" t="s">
        <v>36</v>
      </c>
      <c r="Z74" s="77" t="s">
        <v>37</v>
      </c>
      <c r="AA74" s="77" t="s">
        <v>37</v>
      </c>
      <c r="AB74" s="78"/>
      <c r="AC74" s="99">
        <f t="shared" si="1"/>
        <v>1</v>
      </c>
    </row>
    <row r="75" spans="1:29" x14ac:dyDescent="0.35">
      <c r="A75" s="34" t="s">
        <v>94</v>
      </c>
      <c r="B75" s="37" t="s">
        <v>25</v>
      </c>
      <c r="C75" s="34" t="s">
        <v>26</v>
      </c>
      <c r="D75" s="33" t="s">
        <v>1775</v>
      </c>
      <c r="E75" s="34" t="s">
        <v>95</v>
      </c>
      <c r="F75" s="34" t="s">
        <v>96</v>
      </c>
      <c r="G75" s="34" t="s">
        <v>29</v>
      </c>
      <c r="H75" s="37">
        <v>1</v>
      </c>
      <c r="I75" s="34" t="s">
        <v>30</v>
      </c>
      <c r="J75" s="34" t="s">
        <v>31</v>
      </c>
      <c r="K75" s="34" t="s">
        <v>32</v>
      </c>
      <c r="L75" s="34" t="s">
        <v>1755</v>
      </c>
      <c r="M75" s="34" t="s">
        <v>33</v>
      </c>
      <c r="N75" s="49">
        <v>7</v>
      </c>
      <c r="O75" s="50">
        <v>1</v>
      </c>
      <c r="P75" s="51">
        <v>9</v>
      </c>
      <c r="Q75" s="52">
        <v>16.957888000000001</v>
      </c>
      <c r="R75" s="52">
        <v>-92.619906999999998</v>
      </c>
      <c r="S75" s="77" t="s">
        <v>34</v>
      </c>
      <c r="T75" s="77" t="s">
        <v>35</v>
      </c>
      <c r="U75" s="77" t="s">
        <v>35</v>
      </c>
      <c r="V75" s="77" t="s">
        <v>35</v>
      </c>
      <c r="W75" s="77" t="s">
        <v>35</v>
      </c>
      <c r="X75" s="77" t="s">
        <v>35</v>
      </c>
      <c r="Y75" s="77" t="s">
        <v>36</v>
      </c>
      <c r="Z75" s="77" t="s">
        <v>37</v>
      </c>
      <c r="AA75" s="77" t="s">
        <v>37</v>
      </c>
      <c r="AB75" s="78"/>
      <c r="AC75" s="99">
        <f t="shared" si="1"/>
        <v>1</v>
      </c>
    </row>
    <row r="76" spans="1:29" x14ac:dyDescent="0.35">
      <c r="A76" s="34" t="s">
        <v>143</v>
      </c>
      <c r="B76" s="37" t="s">
        <v>25</v>
      </c>
      <c r="C76" s="34" t="s">
        <v>26</v>
      </c>
      <c r="D76" s="33" t="s">
        <v>1775</v>
      </c>
      <c r="E76" s="34" t="s">
        <v>144</v>
      </c>
      <c r="F76" s="34" t="s">
        <v>145</v>
      </c>
      <c r="G76" s="34" t="s">
        <v>111</v>
      </c>
      <c r="H76" s="37">
        <v>1</v>
      </c>
      <c r="I76" s="34" t="s">
        <v>112</v>
      </c>
      <c r="J76" s="34" t="s">
        <v>31</v>
      </c>
      <c r="K76" s="34" t="s">
        <v>32</v>
      </c>
      <c r="L76" s="34" t="s">
        <v>1755</v>
      </c>
      <c r="M76" s="34" t="s">
        <v>33</v>
      </c>
      <c r="N76" s="49">
        <v>9</v>
      </c>
      <c r="O76" s="50">
        <v>6</v>
      </c>
      <c r="P76" s="51">
        <v>98</v>
      </c>
      <c r="Q76" s="52">
        <v>16.258402</v>
      </c>
      <c r="R76" s="52">
        <v>-93.265141</v>
      </c>
      <c r="S76" s="77" t="s">
        <v>34</v>
      </c>
      <c r="T76" s="77" t="s">
        <v>35</v>
      </c>
      <c r="U76" s="77" t="s">
        <v>35</v>
      </c>
      <c r="V76" s="77" t="s">
        <v>35</v>
      </c>
      <c r="W76" s="77" t="s">
        <v>35</v>
      </c>
      <c r="X76" s="77" t="s">
        <v>35</v>
      </c>
      <c r="Y76" s="77" t="s">
        <v>36</v>
      </c>
      <c r="Z76" s="77" t="s">
        <v>37</v>
      </c>
      <c r="AA76" s="77" t="s">
        <v>37</v>
      </c>
      <c r="AB76" s="78"/>
      <c r="AC76" s="99">
        <f t="shared" si="1"/>
        <v>1</v>
      </c>
    </row>
    <row r="77" spans="1:29" x14ac:dyDescent="0.35">
      <c r="A77" s="34" t="s">
        <v>97</v>
      </c>
      <c r="B77" s="37" t="s">
        <v>25</v>
      </c>
      <c r="C77" s="33" t="s">
        <v>26</v>
      </c>
      <c r="D77" s="33" t="s">
        <v>1775</v>
      </c>
      <c r="E77" s="34" t="s">
        <v>98</v>
      </c>
      <c r="F77" s="34" t="s">
        <v>99</v>
      </c>
      <c r="G77" s="48" t="s">
        <v>29</v>
      </c>
      <c r="H77" s="37">
        <v>1</v>
      </c>
      <c r="I77" s="34" t="s">
        <v>30</v>
      </c>
      <c r="J77" s="34" t="s">
        <v>31</v>
      </c>
      <c r="K77" s="34" t="s">
        <v>32</v>
      </c>
      <c r="L77" s="34" t="s">
        <v>1755</v>
      </c>
      <c r="M77" s="34" t="s">
        <v>33</v>
      </c>
      <c r="N77" s="49">
        <v>9</v>
      </c>
      <c r="O77" s="50">
        <v>2</v>
      </c>
      <c r="P77" s="51">
        <v>8</v>
      </c>
      <c r="Q77" s="52">
        <v>17.407516000000001</v>
      </c>
      <c r="R77" s="52">
        <v>-93.335205000000002</v>
      </c>
      <c r="S77" s="77" t="s">
        <v>34</v>
      </c>
      <c r="T77" s="77" t="s">
        <v>35</v>
      </c>
      <c r="U77" s="77" t="s">
        <v>35</v>
      </c>
      <c r="V77" s="77" t="s">
        <v>35</v>
      </c>
      <c r="W77" s="77" t="s">
        <v>35</v>
      </c>
      <c r="X77" s="77" t="s">
        <v>35</v>
      </c>
      <c r="Y77" s="77" t="s">
        <v>36</v>
      </c>
      <c r="Z77" s="77" t="s">
        <v>74</v>
      </c>
      <c r="AA77" s="77" t="s">
        <v>37</v>
      </c>
      <c r="AB77" s="78"/>
      <c r="AC77" s="99">
        <f t="shared" si="1"/>
        <v>0.88888888888888884</v>
      </c>
    </row>
    <row r="78" spans="1:29" x14ac:dyDescent="0.35">
      <c r="A78" s="34" t="s">
        <v>100</v>
      </c>
      <c r="B78" s="37" t="s">
        <v>25</v>
      </c>
      <c r="C78" s="33" t="s">
        <v>26</v>
      </c>
      <c r="D78" s="33" t="s">
        <v>1775</v>
      </c>
      <c r="E78" s="34" t="s">
        <v>101</v>
      </c>
      <c r="F78" s="34" t="s">
        <v>102</v>
      </c>
      <c r="G78" s="48" t="s">
        <v>29</v>
      </c>
      <c r="H78" s="37">
        <v>1</v>
      </c>
      <c r="I78" s="34" t="s">
        <v>30</v>
      </c>
      <c r="J78" s="34" t="s">
        <v>31</v>
      </c>
      <c r="K78" s="34" t="s">
        <v>32</v>
      </c>
      <c r="L78" s="34" t="s">
        <v>1755</v>
      </c>
      <c r="M78" s="34" t="s">
        <v>33</v>
      </c>
      <c r="N78" s="49">
        <v>7</v>
      </c>
      <c r="O78" s="50">
        <v>2</v>
      </c>
      <c r="P78" s="51">
        <v>8</v>
      </c>
      <c r="Q78" s="52">
        <v>16.790454</v>
      </c>
      <c r="R78" s="52">
        <v>-92.343530999999999</v>
      </c>
      <c r="S78" s="77" t="s">
        <v>34</v>
      </c>
      <c r="T78" s="77" t="s">
        <v>35</v>
      </c>
      <c r="U78" s="77" t="s">
        <v>35</v>
      </c>
      <c r="V78" s="77" t="s">
        <v>35</v>
      </c>
      <c r="W78" s="77" t="s">
        <v>35</v>
      </c>
      <c r="X78" s="77" t="s">
        <v>35</v>
      </c>
      <c r="Y78" s="77" t="s">
        <v>36</v>
      </c>
      <c r="Z78" s="77" t="s">
        <v>37</v>
      </c>
      <c r="AA78" s="77" t="s">
        <v>37</v>
      </c>
      <c r="AB78" s="78"/>
      <c r="AC78" s="99">
        <f t="shared" si="1"/>
        <v>1</v>
      </c>
    </row>
    <row r="79" spans="1:29" x14ac:dyDescent="0.35">
      <c r="A79" s="34" t="s">
        <v>103</v>
      </c>
      <c r="B79" s="37" t="s">
        <v>25</v>
      </c>
      <c r="C79" s="34" t="s">
        <v>26</v>
      </c>
      <c r="D79" s="33" t="s">
        <v>1775</v>
      </c>
      <c r="E79" s="34" t="s">
        <v>104</v>
      </c>
      <c r="F79" s="34" t="s">
        <v>105</v>
      </c>
      <c r="G79" s="48" t="s">
        <v>29</v>
      </c>
      <c r="H79" s="37">
        <v>1</v>
      </c>
      <c r="I79" s="34" t="s">
        <v>30</v>
      </c>
      <c r="J79" s="34" t="s">
        <v>31</v>
      </c>
      <c r="K79" s="34" t="s">
        <v>32</v>
      </c>
      <c r="L79" s="34" t="s">
        <v>1755</v>
      </c>
      <c r="M79" s="34" t="s">
        <v>33</v>
      </c>
      <c r="N79" s="49">
        <v>9</v>
      </c>
      <c r="O79" s="50">
        <v>2</v>
      </c>
      <c r="P79" s="51">
        <v>20</v>
      </c>
      <c r="Q79" s="52">
        <v>16.782468000000001</v>
      </c>
      <c r="R79" s="52">
        <v>-92.696190000000001</v>
      </c>
      <c r="S79" s="77" t="s">
        <v>34</v>
      </c>
      <c r="T79" s="77" t="s">
        <v>35</v>
      </c>
      <c r="U79" s="77" t="s">
        <v>35</v>
      </c>
      <c r="V79" s="77" t="s">
        <v>35</v>
      </c>
      <c r="W79" s="77" t="s">
        <v>35</v>
      </c>
      <c r="X79" s="77" t="s">
        <v>35</v>
      </c>
      <c r="Y79" s="77" t="s">
        <v>36</v>
      </c>
      <c r="Z79" s="77" t="s">
        <v>37</v>
      </c>
      <c r="AA79" s="77" t="s">
        <v>37</v>
      </c>
      <c r="AB79" s="78"/>
      <c r="AC79" s="99">
        <f t="shared" si="1"/>
        <v>1</v>
      </c>
    </row>
    <row r="80" spans="1:29" x14ac:dyDescent="0.35">
      <c r="A80" s="34" t="s">
        <v>106</v>
      </c>
      <c r="B80" s="37" t="s">
        <v>25</v>
      </c>
      <c r="C80" s="34" t="s">
        <v>26</v>
      </c>
      <c r="D80" s="33" t="s">
        <v>1775</v>
      </c>
      <c r="E80" s="34" t="s">
        <v>82</v>
      </c>
      <c r="F80" s="34" t="s">
        <v>107</v>
      </c>
      <c r="G80" s="48" t="s">
        <v>29</v>
      </c>
      <c r="H80" s="37">
        <v>1</v>
      </c>
      <c r="I80" s="34" t="s">
        <v>30</v>
      </c>
      <c r="J80" s="34" t="s">
        <v>31</v>
      </c>
      <c r="K80" s="34" t="s">
        <v>32</v>
      </c>
      <c r="L80" s="34" t="s">
        <v>1755</v>
      </c>
      <c r="M80" s="34" t="s">
        <v>33</v>
      </c>
      <c r="N80" s="49">
        <v>9</v>
      </c>
      <c r="O80" s="50">
        <v>2</v>
      </c>
      <c r="P80" s="51">
        <v>34</v>
      </c>
      <c r="Q80" s="52">
        <v>16.896882999999999</v>
      </c>
      <c r="R80" s="52">
        <v>-92.063021000000006</v>
      </c>
      <c r="S80" s="77" t="s">
        <v>34</v>
      </c>
      <c r="T80" s="77" t="s">
        <v>35</v>
      </c>
      <c r="U80" s="77" t="s">
        <v>35</v>
      </c>
      <c r="V80" s="77" t="s">
        <v>35</v>
      </c>
      <c r="W80" s="77" t="s">
        <v>35</v>
      </c>
      <c r="X80" s="77" t="s">
        <v>35</v>
      </c>
      <c r="Y80" s="77" t="s">
        <v>36</v>
      </c>
      <c r="Z80" s="77" t="s">
        <v>37</v>
      </c>
      <c r="AA80" s="77" t="s">
        <v>37</v>
      </c>
      <c r="AB80" s="78"/>
      <c r="AC80" s="99">
        <f t="shared" si="1"/>
        <v>1</v>
      </c>
    </row>
    <row r="81" spans="1:29" x14ac:dyDescent="0.35">
      <c r="A81" s="34" t="s">
        <v>146</v>
      </c>
      <c r="B81" s="37" t="s">
        <v>25</v>
      </c>
      <c r="C81" s="34" t="s">
        <v>26</v>
      </c>
      <c r="D81" s="33" t="s">
        <v>1775</v>
      </c>
      <c r="E81" s="34" t="s">
        <v>129</v>
      </c>
      <c r="F81" s="34" t="s">
        <v>147</v>
      </c>
      <c r="G81" s="34" t="s">
        <v>111</v>
      </c>
      <c r="H81" s="37">
        <v>1</v>
      </c>
      <c r="I81" s="34" t="s">
        <v>112</v>
      </c>
      <c r="J81" s="34" t="s">
        <v>31</v>
      </c>
      <c r="K81" s="34" t="s">
        <v>32</v>
      </c>
      <c r="L81" s="34" t="s">
        <v>1756</v>
      </c>
      <c r="M81" s="34" t="s">
        <v>33</v>
      </c>
      <c r="N81" s="49">
        <v>39</v>
      </c>
      <c r="O81" s="50">
        <v>6</v>
      </c>
      <c r="P81" s="51">
        <v>222</v>
      </c>
      <c r="Q81" s="52">
        <v>16.748459700000002</v>
      </c>
      <c r="R81" s="52">
        <v>-93.072799500000002</v>
      </c>
      <c r="S81" s="77" t="s">
        <v>34</v>
      </c>
      <c r="T81" s="77" t="s">
        <v>35</v>
      </c>
      <c r="U81" s="77" t="s">
        <v>35</v>
      </c>
      <c r="V81" s="77" t="s">
        <v>35</v>
      </c>
      <c r="W81" s="77" t="s">
        <v>35</v>
      </c>
      <c r="X81" s="77" t="s">
        <v>35</v>
      </c>
      <c r="Y81" s="77" t="s">
        <v>36</v>
      </c>
      <c r="Z81" s="77" t="s">
        <v>37</v>
      </c>
      <c r="AA81" s="77" t="s">
        <v>37</v>
      </c>
      <c r="AB81" s="78"/>
      <c r="AC81" s="99">
        <f t="shared" si="1"/>
        <v>1</v>
      </c>
    </row>
    <row r="82" spans="1:29" x14ac:dyDescent="0.35">
      <c r="A82" s="34" t="s">
        <v>917</v>
      </c>
      <c r="B82" s="37" t="s">
        <v>25</v>
      </c>
      <c r="C82" s="34" t="s">
        <v>1776</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row>
    <row r="83" spans="1:29" x14ac:dyDescent="0.35">
      <c r="A83" s="34" t="s">
        <v>1661</v>
      </c>
      <c r="B83" s="37" t="s">
        <v>25</v>
      </c>
      <c r="C83" s="34" t="s">
        <v>1776</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row>
    <row r="84" spans="1:29" x14ac:dyDescent="0.35">
      <c r="A84" s="34" t="s">
        <v>948</v>
      </c>
      <c r="B84" s="37" t="s">
        <v>25</v>
      </c>
      <c r="C84" s="34" t="s">
        <v>1776</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row>
    <row r="85" spans="1:29" x14ac:dyDescent="0.35">
      <c r="A85" s="34" t="s">
        <v>1631</v>
      </c>
      <c r="B85" s="37" t="s">
        <v>25</v>
      </c>
      <c r="C85" s="34" t="s">
        <v>1776</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row>
    <row r="86" spans="1:29" x14ac:dyDescent="0.35">
      <c r="A86" s="34" t="s">
        <v>1652</v>
      </c>
      <c r="B86" s="37" t="s">
        <v>25</v>
      </c>
      <c r="C86" s="34" t="s">
        <v>1776</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row>
    <row r="87" spans="1:29" x14ac:dyDescent="0.35">
      <c r="A87" s="34" t="s">
        <v>1650</v>
      </c>
      <c r="B87" s="37" t="s">
        <v>25</v>
      </c>
      <c r="C87" s="34" t="s">
        <v>1776</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row>
    <row r="88" spans="1:29" x14ac:dyDescent="0.35">
      <c r="A88" s="34" t="s">
        <v>936</v>
      </c>
      <c r="B88" s="37" t="s">
        <v>25</v>
      </c>
      <c r="C88" s="34" t="s">
        <v>1776</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row>
    <row r="89" spans="1:29" x14ac:dyDescent="0.35">
      <c r="A89" s="34" t="s">
        <v>1670</v>
      </c>
      <c r="B89" s="37" t="s">
        <v>25</v>
      </c>
      <c r="C89" s="34" t="s">
        <v>1776</v>
      </c>
      <c r="D89" s="33" t="s">
        <v>1775</v>
      </c>
      <c r="E89" s="34" t="s">
        <v>921</v>
      </c>
      <c r="F89" s="34" t="s">
        <v>1671</v>
      </c>
      <c r="G89" s="34" t="s">
        <v>111</v>
      </c>
      <c r="H89" s="37">
        <v>1</v>
      </c>
      <c r="I89" s="34" t="s">
        <v>112</v>
      </c>
      <c r="J89" s="34" t="s">
        <v>31</v>
      </c>
      <c r="K89" s="34" t="s">
        <v>32</v>
      </c>
      <c r="L89" s="34" t="s">
        <v>1755</v>
      </c>
      <c r="M89" s="34" t="s">
        <v>33</v>
      </c>
      <c r="N89" s="49">
        <v>6</v>
      </c>
      <c r="O89" s="50">
        <v>0</v>
      </c>
      <c r="P89" s="51">
        <v>15</v>
      </c>
      <c r="Q89" s="52">
        <v>19.524347599999999</v>
      </c>
      <c r="R89" s="52">
        <v>-99.140138399999998</v>
      </c>
      <c r="S89" s="77" t="s">
        <v>34</v>
      </c>
      <c r="T89" s="77" t="s">
        <v>35</v>
      </c>
      <c r="U89" s="77" t="s">
        <v>35</v>
      </c>
      <c r="V89" s="77" t="s">
        <v>35</v>
      </c>
      <c r="W89" s="77" t="s">
        <v>35</v>
      </c>
      <c r="X89" s="77" t="s">
        <v>35</v>
      </c>
      <c r="Y89" s="77" t="s">
        <v>36</v>
      </c>
      <c r="Z89" s="77" t="s">
        <v>37</v>
      </c>
      <c r="AA89" s="77" t="s">
        <v>37</v>
      </c>
      <c r="AB89" s="78"/>
      <c r="AC89" s="99">
        <f t="shared" si="1"/>
        <v>1</v>
      </c>
    </row>
    <row r="90" spans="1:29" x14ac:dyDescent="0.35">
      <c r="A90" s="34" t="s">
        <v>1635</v>
      </c>
      <c r="B90" s="37" t="s">
        <v>25</v>
      </c>
      <c r="C90" s="34" t="s">
        <v>1776</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row>
    <row r="91" spans="1:29" x14ac:dyDescent="0.35">
      <c r="A91" s="34" t="s">
        <v>946</v>
      </c>
      <c r="B91" s="37" t="s">
        <v>25</v>
      </c>
      <c r="C91" s="34" t="s">
        <v>1776</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row>
    <row r="92" spans="1:29" x14ac:dyDescent="0.35">
      <c r="A92" s="34" t="s">
        <v>1664</v>
      </c>
      <c r="B92" s="37" t="s">
        <v>25</v>
      </c>
      <c r="C92" s="34" t="s">
        <v>1776</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row>
    <row r="93" spans="1:29" x14ac:dyDescent="0.35">
      <c r="A93" s="34" t="s">
        <v>1658</v>
      </c>
      <c r="B93" s="37" t="s">
        <v>25</v>
      </c>
      <c r="C93" s="34" t="s">
        <v>1776</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row>
    <row r="94" spans="1:29" x14ac:dyDescent="0.35">
      <c r="A94" s="34" t="s">
        <v>1619</v>
      </c>
      <c r="B94" s="37" t="s">
        <v>25</v>
      </c>
      <c r="C94" s="34" t="s">
        <v>1776</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row>
    <row r="95" spans="1:29" x14ac:dyDescent="0.35">
      <c r="A95" s="34" t="s">
        <v>1668</v>
      </c>
      <c r="B95" s="37" t="s">
        <v>25</v>
      </c>
      <c r="C95" s="34" t="s">
        <v>1776</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row>
    <row r="96" spans="1:29" x14ac:dyDescent="0.35">
      <c r="A96" s="34" t="s">
        <v>951</v>
      </c>
      <c r="B96" s="37" t="s">
        <v>25</v>
      </c>
      <c r="C96" s="34" t="s">
        <v>1776</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row>
    <row r="97" spans="1:29" x14ac:dyDescent="0.35">
      <c r="A97" s="34" t="s">
        <v>1605</v>
      </c>
      <c r="B97" s="37" t="s">
        <v>25</v>
      </c>
      <c r="C97" s="34" t="s">
        <v>1776</v>
      </c>
      <c r="D97" s="33" t="s">
        <v>1775</v>
      </c>
      <c r="E97" s="34" t="s">
        <v>1606</v>
      </c>
      <c r="F97" s="38" t="s">
        <v>1607</v>
      </c>
      <c r="G97" s="34" t="s">
        <v>941</v>
      </c>
      <c r="H97" s="37">
        <v>2</v>
      </c>
      <c r="I97" s="34" t="s">
        <v>155</v>
      </c>
      <c r="J97" s="34" t="s">
        <v>31</v>
      </c>
      <c r="K97" s="34" t="s">
        <v>32</v>
      </c>
      <c r="L97" s="34" t="s">
        <v>1756</v>
      </c>
      <c r="M97" s="34" t="s">
        <v>33</v>
      </c>
      <c r="N97" s="49">
        <v>15</v>
      </c>
      <c r="O97" s="50">
        <v>2</v>
      </c>
      <c r="P97" s="51">
        <v>84</v>
      </c>
      <c r="Q97" s="52">
        <v>19.345625999999999</v>
      </c>
      <c r="R97" s="52">
        <v>-99.167851200000001</v>
      </c>
      <c r="S97" s="77" t="s">
        <v>34</v>
      </c>
      <c r="T97" s="77" t="s">
        <v>35</v>
      </c>
      <c r="U97" s="77" t="s">
        <v>35</v>
      </c>
      <c r="V97" s="77" t="s">
        <v>35</v>
      </c>
      <c r="W97" s="77" t="s">
        <v>35</v>
      </c>
      <c r="X97" s="77" t="s">
        <v>35</v>
      </c>
      <c r="Y97" s="77" t="s">
        <v>36</v>
      </c>
      <c r="Z97" s="77" t="s">
        <v>74</v>
      </c>
      <c r="AA97" s="77" t="s">
        <v>37</v>
      </c>
      <c r="AB97" s="78" t="s">
        <v>1807</v>
      </c>
      <c r="AC97" s="99">
        <f t="shared" si="1"/>
        <v>0.88888888888888884</v>
      </c>
    </row>
    <row r="98" spans="1:29" x14ac:dyDescent="0.35">
      <c r="A98" s="34" t="s">
        <v>911</v>
      </c>
      <c r="B98" s="37" t="s">
        <v>25</v>
      </c>
      <c r="C98" s="34" t="s">
        <v>1776</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1845</v>
      </c>
      <c r="AC98" s="99">
        <f t="shared" si="1"/>
        <v>0.72222222222222221</v>
      </c>
    </row>
    <row r="99" spans="1:29" x14ac:dyDescent="0.35">
      <c r="A99" s="34" t="s">
        <v>1656</v>
      </c>
      <c r="B99" s="37" t="s">
        <v>25</v>
      </c>
      <c r="C99" s="34" t="s">
        <v>1776</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row>
    <row r="100" spans="1:29" x14ac:dyDescent="0.35">
      <c r="A100" s="34" t="s">
        <v>928</v>
      </c>
      <c r="B100" s="37" t="s">
        <v>25</v>
      </c>
      <c r="C100" s="34" t="s">
        <v>1776</v>
      </c>
      <c r="D100" s="33" t="s">
        <v>1775</v>
      </c>
      <c r="E100" s="34" t="s">
        <v>929</v>
      </c>
      <c r="F100" s="38" t="s">
        <v>930</v>
      </c>
      <c r="G100" s="34" t="s">
        <v>164</v>
      </c>
      <c r="H100" s="37">
        <v>2</v>
      </c>
      <c r="I100" s="34" t="s">
        <v>155</v>
      </c>
      <c r="J100" s="34" t="s">
        <v>31</v>
      </c>
      <c r="K100" s="34" t="s">
        <v>32</v>
      </c>
      <c r="L100" s="34" t="s">
        <v>1755</v>
      </c>
      <c r="M100" s="34" t="s">
        <v>33</v>
      </c>
      <c r="N100" s="49">
        <v>21</v>
      </c>
      <c r="O100" s="50">
        <v>3</v>
      </c>
      <c r="P100" s="51">
        <v>110</v>
      </c>
      <c r="Q100" s="52">
        <v>19.254965899999998</v>
      </c>
      <c r="R100" s="52">
        <v>-99.104500000000002</v>
      </c>
      <c r="S100" s="77" t="s">
        <v>34</v>
      </c>
      <c r="T100" s="77" t="s">
        <v>35</v>
      </c>
      <c r="U100" s="77" t="s">
        <v>35</v>
      </c>
      <c r="V100" s="77" t="s">
        <v>35</v>
      </c>
      <c r="W100" s="77" t="s">
        <v>35</v>
      </c>
      <c r="X100" s="77" t="s">
        <v>35</v>
      </c>
      <c r="Y100" s="77" t="s">
        <v>36</v>
      </c>
      <c r="Z100" s="77" t="s">
        <v>74</v>
      </c>
      <c r="AA100" s="77" t="s">
        <v>37</v>
      </c>
      <c r="AB100" s="78" t="s">
        <v>1807</v>
      </c>
      <c r="AC100" s="99">
        <f t="shared" si="1"/>
        <v>0.88888888888888884</v>
      </c>
    </row>
    <row r="101" spans="1:29" x14ac:dyDescent="0.35">
      <c r="A101" s="34" t="s">
        <v>224</v>
      </c>
      <c r="B101" s="37" t="s">
        <v>25</v>
      </c>
      <c r="C101" s="34" t="s">
        <v>1776</v>
      </c>
      <c r="D101" s="33" t="s">
        <v>1775</v>
      </c>
      <c r="E101" s="34" t="s">
        <v>226</v>
      </c>
      <c r="F101" s="38" t="s">
        <v>227</v>
      </c>
      <c r="G101" s="34" t="s">
        <v>111</v>
      </c>
      <c r="H101" s="37">
        <v>1</v>
      </c>
      <c r="I101" s="34" t="s">
        <v>112</v>
      </c>
      <c r="J101" s="34" t="s">
        <v>31</v>
      </c>
      <c r="K101" s="34" t="s">
        <v>32</v>
      </c>
      <c r="L101" s="34" t="s">
        <v>1756</v>
      </c>
      <c r="M101" s="34" t="s">
        <v>33</v>
      </c>
      <c r="N101" s="49">
        <v>29</v>
      </c>
      <c r="O101" s="50">
        <v>8</v>
      </c>
      <c r="P101" s="51">
        <v>253</v>
      </c>
      <c r="Q101" s="52">
        <v>19.359813599999999</v>
      </c>
      <c r="R101" s="52">
        <v>-99.163239399999995</v>
      </c>
      <c r="S101" s="77" t="s">
        <v>34</v>
      </c>
      <c r="T101" s="77" t="s">
        <v>35</v>
      </c>
      <c r="U101" s="77" t="s">
        <v>35</v>
      </c>
      <c r="V101" s="77" t="s">
        <v>35</v>
      </c>
      <c r="W101" s="77" t="s">
        <v>35</v>
      </c>
      <c r="X101" s="77" t="s">
        <v>35</v>
      </c>
      <c r="Y101" s="77" t="s">
        <v>36</v>
      </c>
      <c r="Z101" s="77" t="s">
        <v>37</v>
      </c>
      <c r="AA101" s="77" t="s">
        <v>37</v>
      </c>
      <c r="AB101" s="78" t="s">
        <v>1807</v>
      </c>
      <c r="AC101" s="99">
        <f t="shared" si="1"/>
        <v>1</v>
      </c>
    </row>
    <row r="102" spans="1:29" x14ac:dyDescent="0.35">
      <c r="A102" s="34" t="s">
        <v>923</v>
      </c>
      <c r="B102" s="37" t="s">
        <v>25</v>
      </c>
      <c r="C102" s="34" t="s">
        <v>1776</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1846</v>
      </c>
      <c r="AC102" s="99">
        <f t="shared" si="1"/>
        <v>0.62962962962962954</v>
      </c>
    </row>
    <row r="103" spans="1:29" x14ac:dyDescent="0.35">
      <c r="A103" s="34" t="s">
        <v>934</v>
      </c>
      <c r="B103" s="37" t="s">
        <v>25</v>
      </c>
      <c r="C103" s="34" t="s">
        <v>1776</v>
      </c>
      <c r="D103" s="33" t="s">
        <v>1775</v>
      </c>
      <c r="E103" s="34" t="s">
        <v>909</v>
      </c>
      <c r="F103" s="38" t="s">
        <v>935</v>
      </c>
      <c r="G103" s="34" t="s">
        <v>111</v>
      </c>
      <c r="H103" s="37">
        <v>1</v>
      </c>
      <c r="I103" s="34" t="s">
        <v>112</v>
      </c>
      <c r="J103" s="34" t="s">
        <v>31</v>
      </c>
      <c r="K103" s="34" t="s">
        <v>32</v>
      </c>
      <c r="L103" s="34" t="s">
        <v>1755</v>
      </c>
      <c r="M103" s="34" t="s">
        <v>33</v>
      </c>
      <c r="N103" s="49">
        <v>18</v>
      </c>
      <c r="O103" s="50">
        <v>5</v>
      </c>
      <c r="P103" s="51">
        <v>109</v>
      </c>
      <c r="Q103" s="52">
        <v>19.199019400000001</v>
      </c>
      <c r="R103" s="52">
        <v>-99.141540300000003</v>
      </c>
      <c r="S103" s="77" t="s">
        <v>34</v>
      </c>
      <c r="T103" s="77" t="s">
        <v>35</v>
      </c>
      <c r="U103" s="77" t="s">
        <v>35</v>
      </c>
      <c r="V103" s="77" t="s">
        <v>35</v>
      </c>
      <c r="W103" s="77" t="s">
        <v>35</v>
      </c>
      <c r="X103" s="77" t="s">
        <v>35</v>
      </c>
      <c r="Y103" s="77" t="s">
        <v>36</v>
      </c>
      <c r="Z103" s="77" t="s">
        <v>37</v>
      </c>
      <c r="AA103" s="77" t="s">
        <v>37</v>
      </c>
      <c r="AB103" s="78" t="s">
        <v>1807</v>
      </c>
      <c r="AC103" s="99">
        <f t="shared" si="1"/>
        <v>1</v>
      </c>
    </row>
    <row r="104" spans="1:29" x14ac:dyDescent="0.35">
      <c r="A104" s="34" t="s">
        <v>914</v>
      </c>
      <c r="B104" s="37" t="s">
        <v>25</v>
      </c>
      <c r="C104" s="34" t="s">
        <v>1776</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74</v>
      </c>
      <c r="AA104" s="77" t="s">
        <v>74</v>
      </c>
      <c r="AB104" s="83" t="s">
        <v>1847</v>
      </c>
      <c r="AC104" s="99">
        <f t="shared" si="1"/>
        <v>0.72222222222222221</v>
      </c>
    </row>
    <row r="105" spans="1:29" x14ac:dyDescent="0.35">
      <c r="A105" s="34" t="s">
        <v>908</v>
      </c>
      <c r="B105" s="37" t="s">
        <v>25</v>
      </c>
      <c r="C105" s="34" t="s">
        <v>1776</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35</v>
      </c>
      <c r="Y105" s="77" t="s">
        <v>36</v>
      </c>
      <c r="Z105" s="77" t="s">
        <v>74</v>
      </c>
      <c r="AA105" s="77" t="s">
        <v>74</v>
      </c>
      <c r="AB105" s="78" t="s">
        <v>1807</v>
      </c>
      <c r="AC105" s="99">
        <f t="shared" si="1"/>
        <v>0.72222222222222221</v>
      </c>
    </row>
    <row r="106" spans="1:29" x14ac:dyDescent="0.35">
      <c r="A106" s="38" t="s">
        <v>1666</v>
      </c>
      <c r="B106" s="61" t="s">
        <v>25</v>
      </c>
      <c r="C106" s="38" t="s">
        <v>1776</v>
      </c>
      <c r="D106" s="33" t="s">
        <v>1775</v>
      </c>
      <c r="E106" s="38" t="s">
        <v>1662</v>
      </c>
      <c r="F106" s="38" t="s">
        <v>1667</v>
      </c>
      <c r="G106" s="38" t="s">
        <v>941</v>
      </c>
      <c r="H106" s="61">
        <v>2</v>
      </c>
      <c r="I106" s="38" t="s">
        <v>155</v>
      </c>
      <c r="J106" s="38" t="s">
        <v>31</v>
      </c>
      <c r="K106" s="38" t="s">
        <v>32</v>
      </c>
      <c r="L106" s="38" t="s">
        <v>1756</v>
      </c>
      <c r="M106" s="38" t="s">
        <v>33</v>
      </c>
      <c r="N106" s="61">
        <v>13</v>
      </c>
      <c r="O106" s="61">
        <v>1</v>
      </c>
      <c r="P106" s="61">
        <v>27</v>
      </c>
      <c r="Q106" s="79">
        <v>19.484406799999999</v>
      </c>
      <c r="R106" s="79">
        <v>-99.185474999999997</v>
      </c>
      <c r="S106" s="80" t="s">
        <v>34</v>
      </c>
      <c r="T106" s="77" t="s">
        <v>35</v>
      </c>
      <c r="U106" s="77" t="s">
        <v>35</v>
      </c>
      <c r="V106" s="77" t="s">
        <v>35</v>
      </c>
      <c r="W106" s="77" t="s">
        <v>35</v>
      </c>
      <c r="X106" s="77" t="s">
        <v>35</v>
      </c>
      <c r="Y106" s="80" t="s">
        <v>36</v>
      </c>
      <c r="Z106" s="77" t="s">
        <v>74</v>
      </c>
      <c r="AA106" s="77" t="s">
        <v>37</v>
      </c>
      <c r="AB106" s="81" t="s">
        <v>1807</v>
      </c>
      <c r="AC106" s="99">
        <f t="shared" si="1"/>
        <v>0.88888888888888884</v>
      </c>
    </row>
    <row r="107" spans="1:29" x14ac:dyDescent="0.35">
      <c r="A107" s="38" t="s">
        <v>1625</v>
      </c>
      <c r="B107" s="61" t="s">
        <v>25</v>
      </c>
      <c r="C107" s="38" t="s">
        <v>1776</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35</v>
      </c>
      <c r="Y107" s="80" t="s">
        <v>36</v>
      </c>
      <c r="Z107" s="77" t="s">
        <v>74</v>
      </c>
      <c r="AA107" s="77" t="s">
        <v>74</v>
      </c>
      <c r="AB107" s="81" t="s">
        <v>1807</v>
      </c>
      <c r="AC107" s="99">
        <f t="shared" si="1"/>
        <v>0.72222222222222221</v>
      </c>
    </row>
    <row r="108" spans="1:29" x14ac:dyDescent="0.35">
      <c r="A108" s="34" t="s">
        <v>920</v>
      </c>
      <c r="B108" s="37" t="s">
        <v>25</v>
      </c>
      <c r="C108" s="34" t="s">
        <v>1776</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35</v>
      </c>
      <c r="X108" s="77" t="s">
        <v>35</v>
      </c>
      <c r="Y108" s="77" t="s">
        <v>36</v>
      </c>
      <c r="Z108" s="77" t="s">
        <v>74</v>
      </c>
      <c r="AA108" s="77" t="s">
        <v>74</v>
      </c>
      <c r="AB108" s="78" t="s">
        <v>1807</v>
      </c>
      <c r="AC108" s="99">
        <f t="shared" si="1"/>
        <v>0.72222222222222221</v>
      </c>
    </row>
    <row r="109" spans="1:29" x14ac:dyDescent="0.35">
      <c r="A109" s="38" t="s">
        <v>938</v>
      </c>
      <c r="B109" s="61" t="s">
        <v>25</v>
      </c>
      <c r="C109" s="38" t="s">
        <v>1776</v>
      </c>
      <c r="D109" s="33" t="s">
        <v>1775</v>
      </c>
      <c r="E109" s="38" t="s">
        <v>939</v>
      </c>
      <c r="F109" s="38" t="s">
        <v>940</v>
      </c>
      <c r="G109" s="38" t="s">
        <v>941</v>
      </c>
      <c r="H109" s="61">
        <v>2</v>
      </c>
      <c r="I109" s="38" t="s">
        <v>155</v>
      </c>
      <c r="J109" s="38" t="s">
        <v>31</v>
      </c>
      <c r="K109" s="38" t="s">
        <v>32</v>
      </c>
      <c r="L109" s="38" t="s">
        <v>1756</v>
      </c>
      <c r="M109" s="38" t="s">
        <v>33</v>
      </c>
      <c r="N109" s="61">
        <v>22</v>
      </c>
      <c r="O109" s="61">
        <v>2</v>
      </c>
      <c r="P109" s="61">
        <v>105</v>
      </c>
      <c r="Q109" s="79">
        <v>19.459708500000001</v>
      </c>
      <c r="R109" s="79">
        <v>-99.141313400000001</v>
      </c>
      <c r="S109" s="80" t="s">
        <v>34</v>
      </c>
      <c r="T109" s="77" t="s">
        <v>35</v>
      </c>
      <c r="U109" s="77" t="s">
        <v>35</v>
      </c>
      <c r="V109" s="77" t="s">
        <v>35</v>
      </c>
      <c r="W109" s="77" t="s">
        <v>35</v>
      </c>
      <c r="X109" s="77" t="s">
        <v>35</v>
      </c>
      <c r="Y109" s="80" t="s">
        <v>36</v>
      </c>
      <c r="Z109" s="77" t="s">
        <v>74</v>
      </c>
      <c r="AA109" s="77" t="s">
        <v>37</v>
      </c>
      <c r="AB109" s="81" t="s">
        <v>1807</v>
      </c>
      <c r="AC109" s="99">
        <f t="shared" si="1"/>
        <v>0.88888888888888884</v>
      </c>
    </row>
    <row r="110" spans="1:29" x14ac:dyDescent="0.35">
      <c r="A110" s="38" t="s">
        <v>944</v>
      </c>
      <c r="B110" s="61" t="s">
        <v>25</v>
      </c>
      <c r="C110" s="38" t="s">
        <v>1776</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35</v>
      </c>
      <c r="Y110" s="80" t="s">
        <v>36</v>
      </c>
      <c r="Z110" s="77" t="s">
        <v>74</v>
      </c>
      <c r="AA110" s="77" t="s">
        <v>74</v>
      </c>
      <c r="AB110" s="81" t="s">
        <v>1807</v>
      </c>
      <c r="AC110" s="99">
        <f t="shared" si="1"/>
        <v>0.72222222222222221</v>
      </c>
    </row>
    <row r="111" spans="1:29" x14ac:dyDescent="0.35">
      <c r="A111" s="38" t="s">
        <v>1615</v>
      </c>
      <c r="B111" s="61" t="s">
        <v>25</v>
      </c>
      <c r="C111" s="38" t="s">
        <v>1776</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35</v>
      </c>
      <c r="Y111" s="80" t="s">
        <v>36</v>
      </c>
      <c r="Z111" s="77" t="s">
        <v>74</v>
      </c>
      <c r="AA111" s="77" t="s">
        <v>74</v>
      </c>
      <c r="AB111" s="81" t="s">
        <v>1807</v>
      </c>
      <c r="AC111" s="99">
        <f t="shared" si="1"/>
        <v>0.72222222222222221</v>
      </c>
    </row>
    <row r="112" spans="1:29" x14ac:dyDescent="0.35">
      <c r="A112" s="38" t="s">
        <v>925</v>
      </c>
      <c r="B112" s="61" t="s">
        <v>25</v>
      </c>
      <c r="C112" s="38" t="s">
        <v>1776</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35</v>
      </c>
      <c r="X112" s="77" t="s">
        <v>35</v>
      </c>
      <c r="Y112" s="80" t="s">
        <v>36</v>
      </c>
      <c r="Z112" s="77" t="s">
        <v>74</v>
      </c>
      <c r="AA112" s="77" t="s">
        <v>74</v>
      </c>
      <c r="AB112" s="81" t="s">
        <v>1807</v>
      </c>
      <c r="AC112" s="99">
        <f t="shared" si="1"/>
        <v>0.72222222222222221</v>
      </c>
    </row>
    <row r="113" spans="1:29" x14ac:dyDescent="0.35">
      <c r="A113" s="34" t="s">
        <v>942</v>
      </c>
      <c r="B113" s="37" t="s">
        <v>25</v>
      </c>
      <c r="C113" s="34" t="s">
        <v>1776</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74</v>
      </c>
      <c r="AB113" s="78" t="s">
        <v>1807</v>
      </c>
      <c r="AC113" s="99">
        <f t="shared" si="1"/>
        <v>0.77777777777777779</v>
      </c>
    </row>
    <row r="114" spans="1:29" x14ac:dyDescent="0.35">
      <c r="A114" s="38" t="s">
        <v>906</v>
      </c>
      <c r="B114" s="61" t="s">
        <v>25</v>
      </c>
      <c r="C114" s="38" t="s">
        <v>1776</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35</v>
      </c>
      <c r="X114" s="77" t="s">
        <v>35</v>
      </c>
      <c r="Y114" s="80" t="s">
        <v>36</v>
      </c>
      <c r="Z114" s="77" t="s">
        <v>74</v>
      </c>
      <c r="AA114" s="77" t="s">
        <v>74</v>
      </c>
      <c r="AB114" s="81" t="s">
        <v>1807</v>
      </c>
      <c r="AC114" s="99">
        <f t="shared" si="1"/>
        <v>0.72222222222222221</v>
      </c>
    </row>
    <row r="115" spans="1:29" x14ac:dyDescent="0.35">
      <c r="A115" s="34" t="s">
        <v>1672</v>
      </c>
      <c r="B115" s="37" t="s">
        <v>25</v>
      </c>
      <c r="C115" s="34" t="s">
        <v>1776</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row>
    <row r="116" spans="1:29" x14ac:dyDescent="0.35">
      <c r="A116" s="34" t="s">
        <v>969</v>
      </c>
      <c r="B116" s="37" t="s">
        <v>25</v>
      </c>
      <c r="C116" s="34" t="s">
        <v>229</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row>
    <row r="117" spans="1:29" x14ac:dyDescent="0.35">
      <c r="A117" s="34" t="s">
        <v>228</v>
      </c>
      <c r="B117" s="37" t="s">
        <v>25</v>
      </c>
      <c r="C117" s="34" t="s">
        <v>229</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row>
    <row r="118" spans="1:29" x14ac:dyDescent="0.35">
      <c r="A118" s="34" t="s">
        <v>232</v>
      </c>
      <c r="B118" s="37" t="s">
        <v>25</v>
      </c>
      <c r="C118" s="34" t="s">
        <v>229</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row>
    <row r="119" spans="1:29" x14ac:dyDescent="0.35">
      <c r="A119" s="34" t="s">
        <v>972</v>
      </c>
      <c r="B119" s="37" t="s">
        <v>25</v>
      </c>
      <c r="C119" s="34" t="s">
        <v>229</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row>
    <row r="120" spans="1:29" x14ac:dyDescent="0.35">
      <c r="A120" s="34" t="s">
        <v>235</v>
      </c>
      <c r="B120" s="37" t="s">
        <v>25</v>
      </c>
      <c r="C120" s="34" t="s">
        <v>229</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row>
    <row r="121" spans="1:29" x14ac:dyDescent="0.35">
      <c r="A121" s="34" t="s">
        <v>238</v>
      </c>
      <c r="B121" s="37" t="s">
        <v>25</v>
      </c>
      <c r="C121" s="34" t="s">
        <v>229</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row>
    <row r="122" spans="1:29" x14ac:dyDescent="0.35">
      <c r="A122" s="34" t="s">
        <v>241</v>
      </c>
      <c r="B122" s="37" t="s">
        <v>25</v>
      </c>
      <c r="C122" s="34" t="s">
        <v>229</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row>
    <row r="123" spans="1:29" x14ac:dyDescent="0.35">
      <c r="A123" s="34" t="s">
        <v>244</v>
      </c>
      <c r="B123" s="37" t="s">
        <v>25</v>
      </c>
      <c r="C123" s="34" t="s">
        <v>229</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row>
    <row r="124" spans="1:29" x14ac:dyDescent="0.35">
      <c r="A124" s="34" t="s">
        <v>975</v>
      </c>
      <c r="B124" s="37" t="s">
        <v>25</v>
      </c>
      <c r="C124" s="34" t="s">
        <v>229</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row>
    <row r="125" spans="1:29" x14ac:dyDescent="0.35">
      <c r="A125" s="34" t="s">
        <v>978</v>
      </c>
      <c r="B125" s="37" t="s">
        <v>25</v>
      </c>
      <c r="C125" s="34" t="s">
        <v>229</v>
      </c>
      <c r="D125" s="34" t="s">
        <v>1775</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row>
    <row r="126" spans="1:29" x14ac:dyDescent="0.35">
      <c r="A126" s="34" t="s">
        <v>981</v>
      </c>
      <c r="B126" s="37" t="s">
        <v>25</v>
      </c>
      <c r="C126" s="34" t="s">
        <v>229</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row>
    <row r="127" spans="1:29" x14ac:dyDescent="0.35">
      <c r="A127" s="34" t="s">
        <v>247</v>
      </c>
      <c r="B127" s="37" t="s">
        <v>25</v>
      </c>
      <c r="C127" s="34" t="s">
        <v>229</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row>
    <row r="128" spans="1:29" x14ac:dyDescent="0.35">
      <c r="A128" s="34" t="s">
        <v>250</v>
      </c>
      <c r="B128" s="37" t="s">
        <v>25</v>
      </c>
      <c r="C128" s="34" t="s">
        <v>229</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row>
    <row r="129" spans="1:29" x14ac:dyDescent="0.35">
      <c r="A129" s="34" t="s">
        <v>984</v>
      </c>
      <c r="B129" s="37" t="s">
        <v>25</v>
      </c>
      <c r="C129" s="34" t="s">
        <v>229</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row>
    <row r="130" spans="1:29" x14ac:dyDescent="0.35">
      <c r="A130" s="34" t="s">
        <v>253</v>
      </c>
      <c r="B130" s="37" t="s">
        <v>25</v>
      </c>
      <c r="C130" s="34" t="s">
        <v>229</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row>
    <row r="131" spans="1:29" x14ac:dyDescent="0.35">
      <c r="A131" s="34" t="s">
        <v>256</v>
      </c>
      <c r="B131" s="37" t="s">
        <v>25</v>
      </c>
      <c r="C131" s="34" t="s">
        <v>229</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row>
    <row r="132" spans="1:29" x14ac:dyDescent="0.35">
      <c r="A132" s="34" t="s">
        <v>259</v>
      </c>
      <c r="B132" s="37" t="s">
        <v>25</v>
      </c>
      <c r="C132" s="34" t="s">
        <v>229</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row>
    <row r="133" spans="1:29" x14ac:dyDescent="0.35">
      <c r="A133" s="34" t="s">
        <v>262</v>
      </c>
      <c r="B133" s="37" t="s">
        <v>25</v>
      </c>
      <c r="C133" s="34" t="s">
        <v>229</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row>
    <row r="134" spans="1:29" x14ac:dyDescent="0.35">
      <c r="A134" s="34" t="s">
        <v>265</v>
      </c>
      <c r="B134" s="37" t="s">
        <v>25</v>
      </c>
      <c r="C134" s="34" t="s">
        <v>229</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row>
    <row r="135" spans="1:29" x14ac:dyDescent="0.35">
      <c r="A135" s="34" t="s">
        <v>268</v>
      </c>
      <c r="B135" s="37" t="s">
        <v>25</v>
      </c>
      <c r="C135" s="34" t="s">
        <v>229</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row>
    <row r="136" spans="1:29" x14ac:dyDescent="0.35">
      <c r="A136" s="34" t="s">
        <v>271</v>
      </c>
      <c r="B136" s="37" t="s">
        <v>25</v>
      </c>
      <c r="C136" s="34" t="s">
        <v>229</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row>
    <row r="137" spans="1:29" x14ac:dyDescent="0.35">
      <c r="A137" s="34" t="s">
        <v>274</v>
      </c>
      <c r="B137" s="37" t="s">
        <v>25</v>
      </c>
      <c r="C137" s="34" t="s">
        <v>229</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row>
    <row r="138" spans="1:29" x14ac:dyDescent="0.35">
      <c r="A138" s="34" t="s">
        <v>277</v>
      </c>
      <c r="B138" s="37" t="s">
        <v>25</v>
      </c>
      <c r="C138" s="34" t="s">
        <v>229</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row>
    <row r="139" spans="1:29" x14ac:dyDescent="0.35">
      <c r="A139" s="34" t="s">
        <v>1561</v>
      </c>
      <c r="B139" s="37" t="s">
        <v>25</v>
      </c>
      <c r="C139" s="34" t="s">
        <v>229</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row>
    <row r="140" spans="1:29" x14ac:dyDescent="0.35">
      <c r="A140" s="34" t="s">
        <v>1558</v>
      </c>
      <c r="B140" s="37" t="s">
        <v>25</v>
      </c>
      <c r="C140" s="34" t="s">
        <v>229</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row>
    <row r="141" spans="1:29" x14ac:dyDescent="0.35">
      <c r="A141" s="34" t="s">
        <v>987</v>
      </c>
      <c r="B141" s="37" t="s">
        <v>25</v>
      </c>
      <c r="C141" s="34" t="s">
        <v>229</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row>
    <row r="142" spans="1:29" x14ac:dyDescent="0.35">
      <c r="A142" s="34" t="s">
        <v>989</v>
      </c>
      <c r="B142" s="37" t="s">
        <v>25</v>
      </c>
      <c r="C142" s="34" t="s">
        <v>229</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row>
    <row r="143" spans="1:29" x14ac:dyDescent="0.35">
      <c r="A143" s="34" t="s">
        <v>280</v>
      </c>
      <c r="B143" s="37" t="s">
        <v>25</v>
      </c>
      <c r="C143" s="34" t="s">
        <v>229</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row>
    <row r="144" spans="1:29" x14ac:dyDescent="0.35">
      <c r="A144" s="34" t="s">
        <v>991</v>
      </c>
      <c r="B144" s="37" t="s">
        <v>25</v>
      </c>
      <c r="C144" s="34" t="s">
        <v>229</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row>
    <row r="145" spans="1:29" x14ac:dyDescent="0.35">
      <c r="A145" s="34" t="s">
        <v>283</v>
      </c>
      <c r="B145" s="37" t="s">
        <v>25</v>
      </c>
      <c r="C145" s="34" t="s">
        <v>229</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row>
    <row r="146" spans="1:29" x14ac:dyDescent="0.35">
      <c r="A146" s="34" t="s">
        <v>994</v>
      </c>
      <c r="B146" s="37" t="s">
        <v>25</v>
      </c>
      <c r="C146" s="34" t="s">
        <v>229</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row>
    <row r="147" spans="1:29" x14ac:dyDescent="0.35">
      <c r="A147" s="34" t="s">
        <v>286</v>
      </c>
      <c r="B147" s="37" t="s">
        <v>25</v>
      </c>
      <c r="C147" s="34" t="s">
        <v>229</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row>
    <row r="148" spans="1:29" x14ac:dyDescent="0.35">
      <c r="A148" s="34" t="s">
        <v>997</v>
      </c>
      <c r="B148" s="37" t="s">
        <v>25</v>
      </c>
      <c r="C148" s="34" t="s">
        <v>229</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row>
    <row r="149" spans="1:29" x14ac:dyDescent="0.35">
      <c r="A149" s="34" t="s">
        <v>289</v>
      </c>
      <c r="B149" s="37" t="s">
        <v>25</v>
      </c>
      <c r="C149" s="34" t="s">
        <v>229</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row>
    <row r="150" spans="1:29" x14ac:dyDescent="0.35">
      <c r="A150" s="34" t="s">
        <v>292</v>
      </c>
      <c r="B150" s="37" t="s">
        <v>25</v>
      </c>
      <c r="C150" s="34" t="s">
        <v>229</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row>
    <row r="151" spans="1:29" x14ac:dyDescent="0.35">
      <c r="A151" s="34" t="s">
        <v>295</v>
      </c>
      <c r="B151" s="37" t="s">
        <v>25</v>
      </c>
      <c r="C151" s="34" t="s">
        <v>229</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row>
    <row r="152" spans="1:29" x14ac:dyDescent="0.35">
      <c r="A152" s="34" t="s">
        <v>999</v>
      </c>
      <c r="B152" s="37" t="s">
        <v>25</v>
      </c>
      <c r="C152" s="34" t="s">
        <v>229</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row>
    <row r="153" spans="1:29" x14ac:dyDescent="0.35">
      <c r="A153" s="34" t="s">
        <v>298</v>
      </c>
      <c r="B153" s="37" t="s">
        <v>25</v>
      </c>
      <c r="C153" s="34" t="s">
        <v>229</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row>
    <row r="154" spans="1:29" x14ac:dyDescent="0.35">
      <c r="A154" s="34" t="s">
        <v>301</v>
      </c>
      <c r="B154" s="37" t="s">
        <v>25</v>
      </c>
      <c r="C154" s="34" t="s">
        <v>229</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row>
    <row r="155" spans="1:29" x14ac:dyDescent="0.35">
      <c r="A155" s="34" t="s">
        <v>1002</v>
      </c>
      <c r="B155" s="37" t="s">
        <v>25</v>
      </c>
      <c r="C155" s="34" t="s">
        <v>229</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row>
    <row r="156" spans="1:29" x14ac:dyDescent="0.35">
      <c r="A156" s="34" t="s">
        <v>1005</v>
      </c>
      <c r="B156" s="37" t="s">
        <v>25</v>
      </c>
      <c r="C156" s="34" t="s">
        <v>229</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row>
    <row r="157" spans="1:29" x14ac:dyDescent="0.35">
      <c r="A157" s="34" t="s">
        <v>1715</v>
      </c>
      <c r="B157" s="37" t="s">
        <v>25</v>
      </c>
      <c r="C157" s="34" t="s">
        <v>1771</v>
      </c>
      <c r="D157" s="34" t="s">
        <v>1771</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row>
    <row r="158" spans="1:29" x14ac:dyDescent="0.35">
      <c r="A158" s="34" t="s">
        <v>1759</v>
      </c>
      <c r="B158" s="37" t="s">
        <v>25</v>
      </c>
      <c r="C158" s="34" t="s">
        <v>1716</v>
      </c>
      <c r="D158" s="34" t="s">
        <v>1775</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row>
    <row r="159" spans="1:29" x14ac:dyDescent="0.35">
      <c r="A159" s="34" t="s">
        <v>317</v>
      </c>
      <c r="B159" s="37" t="s">
        <v>25</v>
      </c>
      <c r="C159" s="34" t="s">
        <v>305</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1843</v>
      </c>
      <c r="AC159" s="99">
        <f t="shared" si="2"/>
        <v>0.77777777777777779</v>
      </c>
    </row>
    <row r="160" spans="1:29" x14ac:dyDescent="0.35">
      <c r="A160" s="34" t="s">
        <v>323</v>
      </c>
      <c r="B160" s="37" t="s">
        <v>25</v>
      </c>
      <c r="C160" s="34" t="s">
        <v>305</v>
      </c>
      <c r="D160" s="34" t="s">
        <v>1775</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74</v>
      </c>
      <c r="AA160" s="77" t="s">
        <v>74</v>
      </c>
      <c r="AB160" s="78" t="s">
        <v>1844</v>
      </c>
      <c r="AC160" s="99">
        <f t="shared" si="2"/>
        <v>0.77777777777777779</v>
      </c>
    </row>
    <row r="161" spans="1:29" x14ac:dyDescent="0.35">
      <c r="A161" s="34" t="s">
        <v>1597</v>
      </c>
      <c r="B161" s="37" t="s">
        <v>25</v>
      </c>
      <c r="C161" s="34" t="s">
        <v>305</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74</v>
      </c>
      <c r="AA161" s="77" t="s">
        <v>74</v>
      </c>
      <c r="AB161" s="78" t="s">
        <v>1844</v>
      </c>
      <c r="AC161" s="99">
        <f t="shared" si="2"/>
        <v>0.77777777777777779</v>
      </c>
    </row>
    <row r="162" spans="1:29" x14ac:dyDescent="0.35">
      <c r="A162" s="34" t="s">
        <v>1683</v>
      </c>
      <c r="B162" s="37" t="s">
        <v>25</v>
      </c>
      <c r="C162" s="34" t="s">
        <v>305</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1844</v>
      </c>
      <c r="AC162" s="99">
        <f t="shared" si="2"/>
        <v>0.77777777777777779</v>
      </c>
    </row>
    <row r="163" spans="1:29" x14ac:dyDescent="0.35">
      <c r="A163" s="34" t="s">
        <v>1024</v>
      </c>
      <c r="B163" s="37" t="s">
        <v>25</v>
      </c>
      <c r="C163" s="34" t="s">
        <v>305</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1837</v>
      </c>
      <c r="AC163" s="99">
        <f t="shared" si="2"/>
        <v>0.77777777777777779</v>
      </c>
    </row>
    <row r="164" spans="1:29" x14ac:dyDescent="0.35">
      <c r="A164" s="34" t="s">
        <v>1013</v>
      </c>
      <c r="B164" s="37" t="s">
        <v>25</v>
      </c>
      <c r="C164" s="34" t="s">
        <v>305</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row>
    <row r="165" spans="1:29" x14ac:dyDescent="0.35">
      <c r="A165" s="34" t="s">
        <v>1030</v>
      </c>
      <c r="B165" s="37" t="s">
        <v>25</v>
      </c>
      <c r="C165" s="34" t="s">
        <v>305</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row>
    <row r="166" spans="1:29" x14ac:dyDescent="0.35">
      <c r="A166" s="34" t="s">
        <v>304</v>
      </c>
      <c r="B166" s="37" t="s">
        <v>25</v>
      </c>
      <c r="C166" s="34" t="s">
        <v>305</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row>
    <row r="167" spans="1:29" x14ac:dyDescent="0.35">
      <c r="A167" s="34" t="s">
        <v>320</v>
      </c>
      <c r="B167" s="37" t="s">
        <v>25</v>
      </c>
      <c r="C167" s="34" t="s">
        <v>305</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row>
    <row r="168" spans="1:29" x14ac:dyDescent="0.35">
      <c r="A168" s="34" t="s">
        <v>1027</v>
      </c>
      <c r="B168" s="37" t="s">
        <v>25</v>
      </c>
      <c r="C168" s="34" t="s">
        <v>305</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row>
    <row r="169" spans="1:29" x14ac:dyDescent="0.35">
      <c r="A169" s="34" t="s">
        <v>1022</v>
      </c>
      <c r="B169" s="37" t="s">
        <v>25</v>
      </c>
      <c r="C169" s="34" t="s">
        <v>305</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row>
    <row r="170" spans="1:29" x14ac:dyDescent="0.35">
      <c r="A170" s="34" t="s">
        <v>1019</v>
      </c>
      <c r="B170" s="37" t="s">
        <v>25</v>
      </c>
      <c r="C170" s="34" t="s">
        <v>305</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row>
    <row r="171" spans="1:29" x14ac:dyDescent="0.35">
      <c r="A171" s="34" t="s">
        <v>314</v>
      </c>
      <c r="B171" s="37" t="s">
        <v>25</v>
      </c>
      <c r="C171" s="34" t="s">
        <v>305</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row>
    <row r="172" spans="1:29" x14ac:dyDescent="0.35">
      <c r="A172" s="34" t="s">
        <v>1008</v>
      </c>
      <c r="B172" s="37" t="s">
        <v>25</v>
      </c>
      <c r="C172" s="34" t="s">
        <v>305</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row>
    <row r="173" spans="1:29" x14ac:dyDescent="0.35">
      <c r="A173" s="34" t="s">
        <v>308</v>
      </c>
      <c r="B173" s="37" t="s">
        <v>25</v>
      </c>
      <c r="C173" s="34" t="s">
        <v>305</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row>
    <row r="174" spans="1:29" x14ac:dyDescent="0.35">
      <c r="A174" s="34" t="s">
        <v>1016</v>
      </c>
      <c r="B174" s="37" t="s">
        <v>25</v>
      </c>
      <c r="C174" s="34" t="s">
        <v>305</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row>
    <row r="175" spans="1:29" x14ac:dyDescent="0.35">
      <c r="A175" s="34" t="s">
        <v>1011</v>
      </c>
      <c r="B175" s="37" t="s">
        <v>25</v>
      </c>
      <c r="C175" s="34" t="s">
        <v>305</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row>
    <row r="176" spans="1:29" x14ac:dyDescent="0.35">
      <c r="A176" s="34" t="s">
        <v>311</v>
      </c>
      <c r="B176" s="37" t="s">
        <v>25</v>
      </c>
      <c r="C176" s="34" t="s">
        <v>305</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row>
    <row r="177" spans="1:29" x14ac:dyDescent="0.35">
      <c r="A177" s="34" t="s">
        <v>1033</v>
      </c>
      <c r="B177" s="37" t="s">
        <v>25</v>
      </c>
      <c r="C177" s="34" t="s">
        <v>1777</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1825</v>
      </c>
      <c r="AC177" s="99">
        <f t="shared" si="2"/>
        <v>0.66666666666666663</v>
      </c>
    </row>
    <row r="178" spans="1:29" x14ac:dyDescent="0.35">
      <c r="A178" s="34" t="s">
        <v>1686</v>
      </c>
      <c r="B178" s="37" t="s">
        <v>25</v>
      </c>
      <c r="C178" s="34" t="s">
        <v>1777</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1835</v>
      </c>
      <c r="AC178" s="99">
        <f t="shared" si="2"/>
        <v>0.61111111111111116</v>
      </c>
    </row>
    <row r="179" spans="1:29" x14ac:dyDescent="0.35">
      <c r="A179" s="34" t="s">
        <v>1688</v>
      </c>
      <c r="B179" s="37" t="s">
        <v>25</v>
      </c>
      <c r="C179" s="34" t="s">
        <v>1777</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1835</v>
      </c>
      <c r="AC179" s="99">
        <f t="shared" si="2"/>
        <v>0.61111111111111116</v>
      </c>
    </row>
    <row r="180" spans="1:29" x14ac:dyDescent="0.35">
      <c r="A180" s="34" t="s">
        <v>326</v>
      </c>
      <c r="B180" s="37" t="s">
        <v>25</v>
      </c>
      <c r="C180" s="34" t="s">
        <v>1777</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row>
    <row r="181" spans="1:29" x14ac:dyDescent="0.35">
      <c r="A181" s="34" t="s">
        <v>1036</v>
      </c>
      <c r="B181" s="37" t="s">
        <v>25</v>
      </c>
      <c r="C181" s="34" t="s">
        <v>1777</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1826</v>
      </c>
      <c r="AC181" s="99">
        <f t="shared" si="2"/>
        <v>0.1111111111111111</v>
      </c>
    </row>
    <row r="182" spans="1:29" x14ac:dyDescent="0.35">
      <c r="A182" s="34" t="s">
        <v>330</v>
      </c>
      <c r="B182" s="37" t="s">
        <v>25</v>
      </c>
      <c r="C182" s="34" t="s">
        <v>1777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row>
    <row r="183" spans="1:29" x14ac:dyDescent="0.35">
      <c r="A183" s="34" t="s">
        <v>1039</v>
      </c>
      <c r="B183" s="37" t="s">
        <v>25</v>
      </c>
      <c r="C183" s="34" t="s">
        <v>1777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1827</v>
      </c>
      <c r="AC183" s="99">
        <f t="shared" si="2"/>
        <v>0.1111111111111111</v>
      </c>
    </row>
    <row r="184" spans="1:29" x14ac:dyDescent="0.35">
      <c r="A184" s="34" t="s">
        <v>1042</v>
      </c>
      <c r="B184" s="37" t="s">
        <v>25</v>
      </c>
      <c r="C184" s="34" t="s">
        <v>1777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1828</v>
      </c>
      <c r="AC184" s="99">
        <f t="shared" si="2"/>
        <v>0.77777777777777779</v>
      </c>
    </row>
    <row r="185" spans="1:29" x14ac:dyDescent="0.35">
      <c r="A185" s="34" t="s">
        <v>1045</v>
      </c>
      <c r="B185" s="37" t="s">
        <v>25</v>
      </c>
      <c r="C185" s="34" t="s">
        <v>1777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1829</v>
      </c>
      <c r="AC185" s="99">
        <f t="shared" si="2"/>
        <v>0.48148148148148145</v>
      </c>
    </row>
    <row r="186" spans="1:29" x14ac:dyDescent="0.35">
      <c r="A186" s="34" t="s">
        <v>1048</v>
      </c>
      <c r="B186" s="37" t="s">
        <v>25</v>
      </c>
      <c r="C186" s="34" t="s">
        <v>1777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1835</v>
      </c>
      <c r="AC186" s="99">
        <f t="shared" si="2"/>
        <v>0.77777777777777779</v>
      </c>
    </row>
    <row r="187" spans="1:29" x14ac:dyDescent="0.35">
      <c r="A187" s="34" t="s">
        <v>333</v>
      </c>
      <c r="B187" s="37" t="s">
        <v>25</v>
      </c>
      <c r="C187" s="34" t="s">
        <v>1777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row>
    <row r="188" spans="1:29" x14ac:dyDescent="0.35">
      <c r="A188" s="34" t="s">
        <v>336</v>
      </c>
      <c r="B188" s="37" t="s">
        <v>25</v>
      </c>
      <c r="C188" s="34" t="s">
        <v>1777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row>
    <row r="189" spans="1:29" x14ac:dyDescent="0.35">
      <c r="A189" s="34" t="s">
        <v>1051</v>
      </c>
      <c r="B189" s="37" t="s">
        <v>25</v>
      </c>
      <c r="C189" s="34" t="s">
        <v>1777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84" t="s">
        <v>1850</v>
      </c>
      <c r="AC189" s="99">
        <f t="shared" si="2"/>
        <v>0.61111111111111116</v>
      </c>
    </row>
    <row r="190" spans="1:29" x14ac:dyDescent="0.35">
      <c r="A190" s="34" t="s">
        <v>1690</v>
      </c>
      <c r="B190" s="37" t="s">
        <v>25</v>
      </c>
      <c r="C190" s="34" t="s">
        <v>1777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1835</v>
      </c>
      <c r="AC190" s="99">
        <f t="shared" si="2"/>
        <v>0.61111111111111116</v>
      </c>
    </row>
    <row r="191" spans="1:29" x14ac:dyDescent="0.35">
      <c r="A191" s="34" t="s">
        <v>1053</v>
      </c>
      <c r="B191" s="37" t="s">
        <v>25</v>
      </c>
      <c r="C191" s="34" t="s">
        <v>1777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row>
    <row r="192" spans="1:29" x14ac:dyDescent="0.35">
      <c r="A192" s="34" t="s">
        <v>339</v>
      </c>
      <c r="B192" s="37" t="s">
        <v>25</v>
      </c>
      <c r="C192" s="34" t="s">
        <v>1777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row>
    <row r="193" spans="1:29" x14ac:dyDescent="0.35">
      <c r="A193" s="34" t="s">
        <v>1056</v>
      </c>
      <c r="B193" s="37" t="s">
        <v>25</v>
      </c>
      <c r="C193" s="34" t="s">
        <v>1777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row>
    <row r="194" spans="1:29" x14ac:dyDescent="0.35">
      <c r="A194" s="34" t="s">
        <v>1059</v>
      </c>
      <c r="B194" s="37" t="s">
        <v>25</v>
      </c>
      <c r="C194" s="34" t="s">
        <v>1777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1835</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row>
    <row r="195" spans="1:29" x14ac:dyDescent="0.35">
      <c r="A195" s="34" t="s">
        <v>342</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row>
    <row r="196" spans="1:29" x14ac:dyDescent="0.35">
      <c r="A196" s="34" t="s">
        <v>345</v>
      </c>
      <c r="B196" s="37" t="s">
        <v>25</v>
      </c>
      <c r="C196" s="34" t="s">
        <v>1777</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row>
    <row r="197" spans="1:29" x14ac:dyDescent="0.35">
      <c r="A197" s="34" t="s">
        <v>1062</v>
      </c>
      <c r="B197" s="37" t="s">
        <v>25</v>
      </c>
      <c r="C197" s="34" t="s">
        <v>1777</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row>
    <row r="198" spans="1:29" x14ac:dyDescent="0.35">
      <c r="A198" s="34" t="s">
        <v>348</v>
      </c>
      <c r="B198" s="37" t="s">
        <v>25</v>
      </c>
      <c r="C198" s="34" t="s">
        <v>1777</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row>
    <row r="199" spans="1:29" x14ac:dyDescent="0.35">
      <c r="A199" s="34" t="s">
        <v>1065</v>
      </c>
      <c r="B199" s="37" t="s">
        <v>25</v>
      </c>
      <c r="C199" s="34" t="s">
        <v>1777</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row>
    <row r="200" spans="1:29" x14ac:dyDescent="0.35">
      <c r="A200" s="34" t="s">
        <v>1068</v>
      </c>
      <c r="B200" s="37" t="s">
        <v>25</v>
      </c>
      <c r="C200" s="34" t="s">
        <v>1777</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row>
    <row r="201" spans="1:29" x14ac:dyDescent="0.35">
      <c r="A201" s="34" t="s">
        <v>351</v>
      </c>
      <c r="B201" s="37" t="s">
        <v>25</v>
      </c>
      <c r="C201" s="34" t="s">
        <v>1777</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row>
    <row r="202" spans="1:29" x14ac:dyDescent="0.35">
      <c r="A202" s="34" t="s">
        <v>354</v>
      </c>
      <c r="B202" s="37" t="s">
        <v>25</v>
      </c>
      <c r="C202" s="34" t="s">
        <v>1777</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84" t="s">
        <v>1850</v>
      </c>
      <c r="AC202" s="99">
        <f t="shared" si="3"/>
        <v>0.61111111111111116</v>
      </c>
    </row>
    <row r="203" spans="1:29" x14ac:dyDescent="0.35">
      <c r="A203" s="34" t="s">
        <v>357</v>
      </c>
      <c r="B203" s="37" t="s">
        <v>25</v>
      </c>
      <c r="C203" s="34" t="s">
        <v>1777</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row>
    <row r="204" spans="1:29" x14ac:dyDescent="0.35">
      <c r="A204" s="34" t="s">
        <v>360</v>
      </c>
      <c r="B204" s="37" t="s">
        <v>25</v>
      </c>
      <c r="C204" s="34" t="s">
        <v>1777</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row>
    <row r="205" spans="1:29" x14ac:dyDescent="0.35">
      <c r="A205" s="34" t="s">
        <v>1071</v>
      </c>
      <c r="B205" s="37" t="s">
        <v>25</v>
      </c>
      <c r="C205" s="34" t="s">
        <v>1777</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row>
    <row r="206" spans="1:29" x14ac:dyDescent="0.35">
      <c r="A206" s="34" t="s">
        <v>1638</v>
      </c>
      <c r="B206" s="37" t="s">
        <v>25</v>
      </c>
      <c r="C206" s="34" t="s">
        <v>1777</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row>
    <row r="207" spans="1:29" x14ac:dyDescent="0.35">
      <c r="A207" s="34" t="s">
        <v>1074</v>
      </c>
      <c r="B207" s="37" t="s">
        <v>25</v>
      </c>
      <c r="C207" s="34" t="s">
        <v>1777</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row>
    <row r="208" spans="1:29" x14ac:dyDescent="0.35">
      <c r="A208" s="34" t="s">
        <v>363</v>
      </c>
      <c r="B208" s="37" t="s">
        <v>25</v>
      </c>
      <c r="C208" s="34" t="s">
        <v>1777</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row>
    <row r="209" spans="1:29" x14ac:dyDescent="0.35">
      <c r="A209" s="34" t="s">
        <v>366</v>
      </c>
      <c r="B209" s="37" t="s">
        <v>25</v>
      </c>
      <c r="C209" s="34" t="s">
        <v>1777</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row>
    <row r="210" spans="1:29" x14ac:dyDescent="0.35">
      <c r="A210" s="34" t="s">
        <v>369</v>
      </c>
      <c r="B210" s="37" t="s">
        <v>25</v>
      </c>
      <c r="C210" s="34" t="s">
        <v>1777</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row>
    <row r="211" spans="1:29" x14ac:dyDescent="0.35">
      <c r="A211" s="34" t="s">
        <v>1077</v>
      </c>
      <c r="B211" s="37" t="s">
        <v>25</v>
      </c>
      <c r="C211" s="34" t="s">
        <v>1777</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84" t="s">
        <v>1850</v>
      </c>
      <c r="AC211" s="99">
        <f t="shared" si="3"/>
        <v>0.61111111111111116</v>
      </c>
    </row>
    <row r="212" spans="1:29" x14ac:dyDescent="0.35">
      <c r="A212" s="34" t="s">
        <v>372</v>
      </c>
      <c r="B212" s="37" t="s">
        <v>25</v>
      </c>
      <c r="C212" s="34" t="s">
        <v>1777</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row>
    <row r="213" spans="1:29" x14ac:dyDescent="0.35">
      <c r="A213" s="34" t="s">
        <v>375</v>
      </c>
      <c r="B213" s="37" t="s">
        <v>25</v>
      </c>
      <c r="C213" s="34" t="s">
        <v>1777</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1822</v>
      </c>
      <c r="AC213" s="99">
        <f t="shared" si="3"/>
        <v>0.66666666666666663</v>
      </c>
    </row>
    <row r="214" spans="1:29" x14ac:dyDescent="0.35">
      <c r="A214" s="34" t="s">
        <v>1080</v>
      </c>
      <c r="B214" s="37" t="s">
        <v>25</v>
      </c>
      <c r="C214" s="34" t="s">
        <v>1777</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row>
    <row r="215" spans="1:29" x14ac:dyDescent="0.35">
      <c r="A215" s="34" t="s">
        <v>378</v>
      </c>
      <c r="B215" s="37" t="s">
        <v>25</v>
      </c>
      <c r="C215" s="34" t="s">
        <v>1777</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row>
    <row r="216" spans="1:29" x14ac:dyDescent="0.35">
      <c r="A216" s="34" t="s">
        <v>1083</v>
      </c>
      <c r="B216" s="37" t="s">
        <v>25</v>
      </c>
      <c r="C216" s="34" t="s">
        <v>1777</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row>
    <row r="217" spans="1:29" x14ac:dyDescent="0.35">
      <c r="A217" s="34" t="s">
        <v>1086</v>
      </c>
      <c r="B217" s="37" t="s">
        <v>25</v>
      </c>
      <c r="C217" s="34" t="s">
        <v>1777</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row>
    <row r="218" spans="1:29" x14ac:dyDescent="0.35">
      <c r="A218" s="34" t="s">
        <v>381</v>
      </c>
      <c r="B218" s="37" t="s">
        <v>25</v>
      </c>
      <c r="C218" s="34" t="s">
        <v>1777</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row>
    <row r="219" spans="1:29" x14ac:dyDescent="0.35">
      <c r="A219" s="34" t="s">
        <v>1088</v>
      </c>
      <c r="B219" s="37" t="s">
        <v>25</v>
      </c>
      <c r="C219" s="34" t="s">
        <v>1777</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row>
    <row r="220" spans="1:29" x14ac:dyDescent="0.35">
      <c r="A220" s="34" t="s">
        <v>384</v>
      </c>
      <c r="B220" s="37" t="s">
        <v>25</v>
      </c>
      <c r="C220" s="34" t="s">
        <v>1777</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row>
    <row r="221" spans="1:29" x14ac:dyDescent="0.35">
      <c r="A221" s="34" t="s">
        <v>1091</v>
      </c>
      <c r="B221" s="37" t="s">
        <v>25</v>
      </c>
      <c r="C221" s="34" t="s">
        <v>1777</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1835</v>
      </c>
      <c r="AC221" s="99">
        <f t="shared" si="3"/>
        <v>0.77777777777777779</v>
      </c>
    </row>
    <row r="222" spans="1:29" x14ac:dyDescent="0.35">
      <c r="A222" s="34" t="s">
        <v>1093</v>
      </c>
      <c r="B222" s="37" t="s">
        <v>25</v>
      </c>
      <c r="C222" s="34" t="s">
        <v>1777</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1835</v>
      </c>
      <c r="AC222" s="99">
        <f t="shared" si="3"/>
        <v>0.77777777777777779</v>
      </c>
    </row>
    <row r="223" spans="1:29" x14ac:dyDescent="0.35">
      <c r="A223" s="34" t="s">
        <v>1095</v>
      </c>
      <c r="B223" s="37" t="s">
        <v>25</v>
      </c>
      <c r="C223" s="34" t="s">
        <v>1777</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row>
    <row r="224" spans="1:29" x14ac:dyDescent="0.35">
      <c r="A224" s="34" t="s">
        <v>387</v>
      </c>
      <c r="B224" s="37" t="s">
        <v>25</v>
      </c>
      <c r="C224" s="34" t="s">
        <v>1777</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row>
    <row r="225" spans="1:29" x14ac:dyDescent="0.35">
      <c r="A225" s="34" t="s">
        <v>1098</v>
      </c>
      <c r="B225" s="37" t="s">
        <v>25</v>
      </c>
      <c r="C225" s="34" t="s">
        <v>1777</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1830</v>
      </c>
      <c r="AC225" s="99">
        <f t="shared" si="3"/>
        <v>0.77777777777777779</v>
      </c>
    </row>
    <row r="226" spans="1:29" x14ac:dyDescent="0.35">
      <c r="A226" s="34" t="s">
        <v>1590</v>
      </c>
      <c r="B226" s="37" t="s">
        <v>25</v>
      </c>
      <c r="C226" s="34" t="s">
        <v>1777</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1851</v>
      </c>
      <c r="AC226" s="99">
        <f t="shared" si="3"/>
        <v>0.77777777777777779</v>
      </c>
    </row>
    <row r="227" spans="1:29" x14ac:dyDescent="0.35">
      <c r="A227" s="34" t="s">
        <v>390</v>
      </c>
      <c r="B227" s="37" t="s">
        <v>25</v>
      </c>
      <c r="C227" s="34" t="s">
        <v>1777</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row>
    <row r="228" spans="1:29" x14ac:dyDescent="0.35">
      <c r="A228" s="34" t="s">
        <v>1100</v>
      </c>
      <c r="B228" s="37" t="s">
        <v>25</v>
      </c>
      <c r="C228" s="34" t="s">
        <v>1777</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row>
    <row r="229" spans="1:29" x14ac:dyDescent="0.35">
      <c r="A229" s="34" t="s">
        <v>393</v>
      </c>
      <c r="B229" s="37" t="s">
        <v>25</v>
      </c>
      <c r="C229" s="34" t="s">
        <v>1777</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1823</v>
      </c>
      <c r="AC229" s="99">
        <f t="shared" si="3"/>
        <v>0.66666666666666663</v>
      </c>
    </row>
    <row r="230" spans="1:29" x14ac:dyDescent="0.35">
      <c r="A230" s="34" t="s">
        <v>1103</v>
      </c>
      <c r="B230" s="37" t="s">
        <v>25</v>
      </c>
      <c r="C230" s="34" t="s">
        <v>1777</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row>
    <row r="231" spans="1:29" x14ac:dyDescent="0.35">
      <c r="A231" s="34" t="s">
        <v>396</v>
      </c>
      <c r="B231" s="37" t="s">
        <v>25</v>
      </c>
      <c r="C231" s="34" t="s">
        <v>1777</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1824</v>
      </c>
      <c r="AC231" s="99">
        <f t="shared" si="3"/>
        <v>0.1111111111111111</v>
      </c>
    </row>
    <row r="232" spans="1:29" x14ac:dyDescent="0.35">
      <c r="A232" s="34" t="s">
        <v>399</v>
      </c>
      <c r="B232" s="37" t="s">
        <v>25</v>
      </c>
      <c r="C232" s="34" t="s">
        <v>1777</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1850</v>
      </c>
      <c r="AC232" s="99">
        <f t="shared" si="3"/>
        <v>0.61111111111111116</v>
      </c>
    </row>
    <row r="233" spans="1:29" x14ac:dyDescent="0.35">
      <c r="A233" s="34" t="s">
        <v>402</v>
      </c>
      <c r="B233" s="37" t="s">
        <v>25</v>
      </c>
      <c r="C233" s="34" t="s">
        <v>1777</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row>
    <row r="234" spans="1:29" x14ac:dyDescent="0.35">
      <c r="A234" s="34" t="s">
        <v>405</v>
      </c>
      <c r="B234" s="37" t="s">
        <v>25</v>
      </c>
      <c r="C234" s="34" t="s">
        <v>1777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row>
    <row r="235" spans="1:29" x14ac:dyDescent="0.35">
      <c r="A235" s="34" t="s">
        <v>1105</v>
      </c>
      <c r="B235" s="37" t="s">
        <v>25</v>
      </c>
      <c r="C235" s="34" t="s">
        <v>1777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1831</v>
      </c>
      <c r="AC235" s="99">
        <f t="shared" si="3"/>
        <v>0.72222222222222221</v>
      </c>
    </row>
    <row r="236" spans="1:29" x14ac:dyDescent="0.35">
      <c r="A236" s="34" t="s">
        <v>1600</v>
      </c>
      <c r="B236" s="37" t="s">
        <v>25</v>
      </c>
      <c r="C236" s="34" t="s">
        <v>1777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1851</v>
      </c>
      <c r="AC236" s="99">
        <f t="shared" si="3"/>
        <v>0.77777777777777779</v>
      </c>
    </row>
    <row r="237" spans="1:29" x14ac:dyDescent="0.35">
      <c r="A237" s="34" t="s">
        <v>1108</v>
      </c>
      <c r="B237" s="37" t="s">
        <v>25</v>
      </c>
      <c r="C237" s="34" t="s">
        <v>1777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row>
    <row r="238" spans="1:29" x14ac:dyDescent="0.35">
      <c r="A238" s="34" t="s">
        <v>1622</v>
      </c>
      <c r="B238" s="37" t="s">
        <v>25</v>
      </c>
      <c r="C238" s="34" t="s">
        <v>1777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row>
    <row r="239" spans="1:29" x14ac:dyDescent="0.35">
      <c r="A239" s="34" t="s">
        <v>408</v>
      </c>
      <c r="B239" s="37" t="s">
        <v>25</v>
      </c>
      <c r="C239" s="34" t="s">
        <v>1777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row>
    <row r="240" spans="1:29" x14ac:dyDescent="0.35">
      <c r="A240" s="34" t="s">
        <v>411</v>
      </c>
      <c r="B240" s="37" t="s">
        <v>1833</v>
      </c>
      <c r="C240" s="34" t="s">
        <v>1777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row>
    <row r="241" spans="1:29" x14ac:dyDescent="0.35">
      <c r="A241" s="34" t="s">
        <v>1627</v>
      </c>
      <c r="B241" s="37" t="s">
        <v>25</v>
      </c>
      <c r="C241" s="34" t="s">
        <v>1777</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1850</v>
      </c>
      <c r="AC241" s="99">
        <f t="shared" si="3"/>
        <v>0.61111111111111116</v>
      </c>
    </row>
    <row r="242" spans="1:29" x14ac:dyDescent="0.35">
      <c r="A242" s="34" t="s">
        <v>414</v>
      </c>
      <c r="B242" s="37" t="s">
        <v>25</v>
      </c>
      <c r="C242" s="34" t="s">
        <v>1777</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row>
    <row r="243" spans="1:29" x14ac:dyDescent="0.35">
      <c r="A243" s="34" t="s">
        <v>1633</v>
      </c>
      <c r="B243" s="37" t="s">
        <v>25</v>
      </c>
      <c r="C243" s="34" t="s">
        <v>1777</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1835</v>
      </c>
      <c r="AC243" s="99">
        <f t="shared" si="3"/>
        <v>0.61111111111111116</v>
      </c>
    </row>
    <row r="244" spans="1:29" x14ac:dyDescent="0.35">
      <c r="A244" s="34" t="s">
        <v>1617</v>
      </c>
      <c r="B244" s="37" t="s">
        <v>25</v>
      </c>
      <c r="C244" s="34" t="s">
        <v>1777</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row>
    <row r="245" spans="1:29" x14ac:dyDescent="0.35">
      <c r="A245" s="34" t="s">
        <v>1111</v>
      </c>
      <c r="B245" s="37" t="s">
        <v>25</v>
      </c>
      <c r="C245" s="34" t="s">
        <v>1777</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84" t="s">
        <v>1850</v>
      </c>
      <c r="AC245" s="99">
        <f t="shared" si="3"/>
        <v>0.61111111111111116</v>
      </c>
    </row>
    <row r="246" spans="1:29" x14ac:dyDescent="0.35">
      <c r="A246" s="34" t="s">
        <v>1548</v>
      </c>
      <c r="B246" s="37" t="s">
        <v>25</v>
      </c>
      <c r="C246" s="34" t="s">
        <v>1771</v>
      </c>
      <c r="D246" s="34" t="s">
        <v>1771</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row>
    <row r="247" spans="1:29" x14ac:dyDescent="0.35">
      <c r="A247" s="34" t="s">
        <v>1117</v>
      </c>
      <c r="B247" s="37" t="s">
        <v>25</v>
      </c>
      <c r="C247" s="34" t="s">
        <v>1777</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1832</v>
      </c>
      <c r="AC247" s="99">
        <f t="shared" si="3"/>
        <v>0.77777777777777779</v>
      </c>
    </row>
    <row r="248" spans="1:29" x14ac:dyDescent="0.35">
      <c r="A248" s="34" t="s">
        <v>417</v>
      </c>
      <c r="B248" s="37" t="s">
        <v>25</v>
      </c>
      <c r="C248" s="34" t="s">
        <v>1778</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row>
    <row r="249" spans="1:29" x14ac:dyDescent="0.35">
      <c r="A249" s="34" t="s">
        <v>421</v>
      </c>
      <c r="B249" s="37" t="s">
        <v>25</v>
      </c>
      <c r="C249" s="34" t="s">
        <v>1778</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row>
    <row r="250" spans="1:29" x14ac:dyDescent="0.35">
      <c r="A250" s="34" t="s">
        <v>1120</v>
      </c>
      <c r="B250" s="37" t="s">
        <v>25</v>
      </c>
      <c r="C250" s="34" t="s">
        <v>1778</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row>
    <row r="251" spans="1:29" x14ac:dyDescent="0.35">
      <c r="A251" s="34" t="s">
        <v>1123</v>
      </c>
      <c r="B251" s="37" t="s">
        <v>25</v>
      </c>
      <c r="C251" s="34" t="s">
        <v>1778</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row>
    <row r="252" spans="1:29" x14ac:dyDescent="0.35">
      <c r="A252" s="34" t="s">
        <v>1563</v>
      </c>
      <c r="B252" s="37" t="s">
        <v>25</v>
      </c>
      <c r="C252" s="34" t="s">
        <v>1778</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row>
    <row r="253" spans="1:29" x14ac:dyDescent="0.35">
      <c r="A253" s="34" t="s">
        <v>1125</v>
      </c>
      <c r="B253" s="37" t="s">
        <v>25</v>
      </c>
      <c r="C253" s="34" t="s">
        <v>1778</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row>
    <row r="254" spans="1:29" ht="26" x14ac:dyDescent="0.35">
      <c r="A254" s="34" t="s">
        <v>1692</v>
      </c>
      <c r="B254" s="37" t="s">
        <v>25</v>
      </c>
      <c r="C254" s="34" t="s">
        <v>1778</v>
      </c>
      <c r="D254" s="33" t="s">
        <v>1775</v>
      </c>
      <c r="E254" s="34" t="s">
        <v>1126</v>
      </c>
      <c r="F254" s="109"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row>
    <row r="255" spans="1:29" x14ac:dyDescent="0.35">
      <c r="A255" s="34" t="s">
        <v>424</v>
      </c>
      <c r="B255" s="37" t="s">
        <v>25</v>
      </c>
      <c r="C255" s="34" t="s">
        <v>1778</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row>
    <row r="256" spans="1:29" x14ac:dyDescent="0.35">
      <c r="A256" s="34" t="s">
        <v>1128</v>
      </c>
      <c r="B256" s="37" t="s">
        <v>25</v>
      </c>
      <c r="C256" s="34" t="s">
        <v>1778</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row>
    <row r="257" spans="1:29" x14ac:dyDescent="0.35">
      <c r="A257" s="34" t="s">
        <v>1131</v>
      </c>
      <c r="B257" s="37" t="s">
        <v>25</v>
      </c>
      <c r="C257" s="34" t="s">
        <v>1778</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row>
    <row r="258" spans="1:29" x14ac:dyDescent="0.35">
      <c r="A258" s="34" t="s">
        <v>1134</v>
      </c>
      <c r="B258" s="37" t="s">
        <v>25</v>
      </c>
      <c r="C258" s="34" t="s">
        <v>1778</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row>
    <row r="259" spans="1:29" x14ac:dyDescent="0.35">
      <c r="A259" s="34" t="s">
        <v>1137</v>
      </c>
      <c r="B259" s="37" t="s">
        <v>25</v>
      </c>
      <c r="C259" s="34" t="s">
        <v>1778</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row>
    <row r="260" spans="1:29" x14ac:dyDescent="0.35">
      <c r="A260" s="34" t="s">
        <v>1140</v>
      </c>
      <c r="B260" s="37" t="s">
        <v>25</v>
      </c>
      <c r="C260" s="34" t="s">
        <v>1778</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row>
    <row r="261" spans="1:29" x14ac:dyDescent="0.35">
      <c r="A261" s="34" t="s">
        <v>1143</v>
      </c>
      <c r="B261" s="37" t="s">
        <v>25</v>
      </c>
      <c r="C261" s="34" t="s">
        <v>1778</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row>
    <row r="262" spans="1:29" x14ac:dyDescent="0.35">
      <c r="A262" s="34" t="s">
        <v>1146</v>
      </c>
      <c r="B262" s="37" t="s">
        <v>25</v>
      </c>
      <c r="C262" s="34" t="s">
        <v>1778</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row>
    <row r="263" spans="1:29" x14ac:dyDescent="0.35">
      <c r="A263" s="34" t="s">
        <v>1149</v>
      </c>
      <c r="B263" s="37" t="s">
        <v>25</v>
      </c>
      <c r="C263" s="34" t="s">
        <v>1778</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row>
    <row r="264" spans="1:29" x14ac:dyDescent="0.35">
      <c r="A264" s="34" t="s">
        <v>1581</v>
      </c>
      <c r="B264" s="37" t="s">
        <v>25</v>
      </c>
      <c r="C264" s="34" t="s">
        <v>1778</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row>
    <row r="265" spans="1:29" x14ac:dyDescent="0.35">
      <c r="A265" s="34" t="s">
        <v>1151</v>
      </c>
      <c r="B265" s="37" t="s">
        <v>25</v>
      </c>
      <c r="C265" s="34" t="s">
        <v>1778</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row>
    <row r="266" spans="1:29" x14ac:dyDescent="0.35">
      <c r="A266" s="34" t="s">
        <v>1154</v>
      </c>
      <c r="B266" s="37" t="s">
        <v>25</v>
      </c>
      <c r="C266" s="34" t="s">
        <v>1778</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row>
    <row r="267" spans="1:29" x14ac:dyDescent="0.35">
      <c r="A267" s="34" t="s">
        <v>1157</v>
      </c>
      <c r="B267" s="37" t="s">
        <v>25</v>
      </c>
      <c r="C267" s="34" t="s">
        <v>1778</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row>
    <row r="268" spans="1:29" x14ac:dyDescent="0.35">
      <c r="A268" s="34" t="s">
        <v>427</v>
      </c>
      <c r="B268" s="37" t="s">
        <v>25</v>
      </c>
      <c r="C268" s="34" t="s">
        <v>1778</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row>
    <row r="269" spans="1:29" x14ac:dyDescent="0.35">
      <c r="A269" s="34" t="s">
        <v>430</v>
      </c>
      <c r="B269" s="37" t="s">
        <v>25</v>
      </c>
      <c r="C269" s="34" t="s">
        <v>1778</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row>
    <row r="270" spans="1:29" x14ac:dyDescent="0.35">
      <c r="A270" s="34" t="s">
        <v>1159</v>
      </c>
      <c r="B270" s="37" t="s">
        <v>25</v>
      </c>
      <c r="C270" s="34" t="s">
        <v>1778</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row>
    <row r="271" spans="1:29" x14ac:dyDescent="0.35">
      <c r="A271" s="34" t="s">
        <v>1162</v>
      </c>
      <c r="B271" s="37" t="s">
        <v>25</v>
      </c>
      <c r="C271" s="34" t="s">
        <v>1778</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row>
    <row r="272" spans="1:29" x14ac:dyDescent="0.35">
      <c r="A272" s="34" t="s">
        <v>433</v>
      </c>
      <c r="B272" s="37" t="s">
        <v>25</v>
      </c>
      <c r="C272" s="34" t="s">
        <v>1778</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row>
    <row r="273" spans="1:29" x14ac:dyDescent="0.35">
      <c r="A273" s="34" t="s">
        <v>1165</v>
      </c>
      <c r="B273" s="37" t="s">
        <v>25</v>
      </c>
      <c r="C273" s="34" t="s">
        <v>1778</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row>
    <row r="274" spans="1:29" x14ac:dyDescent="0.35">
      <c r="A274" s="34" t="s">
        <v>436</v>
      </c>
      <c r="B274" s="37" t="s">
        <v>25</v>
      </c>
      <c r="C274" s="34" t="s">
        <v>1778</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row>
    <row r="275" spans="1:29" x14ac:dyDescent="0.35">
      <c r="A275" s="34" t="s">
        <v>1168</v>
      </c>
      <c r="B275" s="37" t="s">
        <v>25</v>
      </c>
      <c r="C275" s="34" t="s">
        <v>440</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t="s">
        <v>175</v>
      </c>
      <c r="U275" s="77" t="s">
        <v>35</v>
      </c>
      <c r="V275" s="77" t="s">
        <v>35</v>
      </c>
      <c r="W275" s="77" t="s">
        <v>175</v>
      </c>
      <c r="X275" s="77" t="s">
        <v>175</v>
      </c>
      <c r="Y275" s="87"/>
      <c r="Z275" s="77" t="s">
        <v>74</v>
      </c>
      <c r="AA275" s="77" t="s">
        <v>74</v>
      </c>
      <c r="AB275" s="78"/>
      <c r="AC275" s="99">
        <f t="shared" si="4"/>
        <v>0.5</v>
      </c>
    </row>
    <row r="276" spans="1:29" x14ac:dyDescent="0.35">
      <c r="A276" s="34" t="s">
        <v>1171</v>
      </c>
      <c r="B276" s="37" t="s">
        <v>25</v>
      </c>
      <c r="C276" s="34" t="s">
        <v>440</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t="s">
        <v>175</v>
      </c>
      <c r="U276" s="77" t="s">
        <v>35</v>
      </c>
      <c r="V276" s="77" t="s">
        <v>35</v>
      </c>
      <c r="W276" s="77" t="s">
        <v>175</v>
      </c>
      <c r="X276" s="77" t="s">
        <v>175</v>
      </c>
      <c r="Y276" s="87"/>
      <c r="Z276" s="77" t="s">
        <v>74</v>
      </c>
      <c r="AA276" s="77" t="s">
        <v>74</v>
      </c>
      <c r="AB276" s="78"/>
      <c r="AC276" s="99">
        <f t="shared" si="4"/>
        <v>0.5</v>
      </c>
    </row>
    <row r="277" spans="1:29" x14ac:dyDescent="0.35">
      <c r="A277" s="34" t="s">
        <v>1174</v>
      </c>
      <c r="B277" s="37" t="s">
        <v>25</v>
      </c>
      <c r="C277" s="34" t="s">
        <v>440</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t="s">
        <v>175</v>
      </c>
      <c r="U277" s="77" t="s">
        <v>35</v>
      </c>
      <c r="V277" s="77" t="s">
        <v>35</v>
      </c>
      <c r="W277" s="77" t="s">
        <v>175</v>
      </c>
      <c r="X277" s="77" t="s">
        <v>175</v>
      </c>
      <c r="Y277" s="77"/>
      <c r="Z277" s="77" t="s">
        <v>74</v>
      </c>
      <c r="AA277" s="77" t="s">
        <v>74</v>
      </c>
      <c r="AB277" s="78"/>
      <c r="AC277" s="99">
        <f t="shared" si="4"/>
        <v>0.5</v>
      </c>
    </row>
    <row r="278" spans="1:29" x14ac:dyDescent="0.35">
      <c r="A278" s="34" t="s">
        <v>1177</v>
      </c>
      <c r="B278" s="37" t="s">
        <v>25</v>
      </c>
      <c r="C278" s="34" t="s">
        <v>440</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t="s">
        <v>175</v>
      </c>
      <c r="U278" s="77" t="s">
        <v>35</v>
      </c>
      <c r="V278" s="77" t="s">
        <v>35</v>
      </c>
      <c r="W278" s="77" t="s">
        <v>175</v>
      </c>
      <c r="X278" s="77" t="s">
        <v>175</v>
      </c>
      <c r="Y278" s="77"/>
      <c r="Z278" s="77" t="s">
        <v>74</v>
      </c>
      <c r="AA278" s="77" t="s">
        <v>74</v>
      </c>
      <c r="AB278" s="78"/>
      <c r="AC278" s="99">
        <f t="shared" si="4"/>
        <v>0.5</v>
      </c>
    </row>
    <row r="279" spans="1:29" x14ac:dyDescent="0.35">
      <c r="A279" s="34" t="s">
        <v>439</v>
      </c>
      <c r="B279" s="37" t="s">
        <v>25</v>
      </c>
      <c r="C279" s="34" t="s">
        <v>440</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t="s">
        <v>175</v>
      </c>
      <c r="U279" s="77" t="s">
        <v>35</v>
      </c>
      <c r="V279" s="77" t="s">
        <v>35</v>
      </c>
      <c r="W279" s="77" t="s">
        <v>175</v>
      </c>
      <c r="X279" s="77" t="s">
        <v>175</v>
      </c>
      <c r="Y279" s="77"/>
      <c r="Z279" s="77" t="s">
        <v>74</v>
      </c>
      <c r="AA279" s="77" t="s">
        <v>74</v>
      </c>
      <c r="AB279" s="78"/>
      <c r="AC279" s="99">
        <f t="shared" si="4"/>
        <v>0.5</v>
      </c>
    </row>
    <row r="280" spans="1:29" x14ac:dyDescent="0.35">
      <c r="A280" s="34" t="s">
        <v>1565</v>
      </c>
      <c r="B280" s="37" t="s">
        <v>25</v>
      </c>
      <c r="C280" s="34" t="s">
        <v>440</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t="s">
        <v>175</v>
      </c>
      <c r="U280" s="77" t="s">
        <v>35</v>
      </c>
      <c r="V280" s="77" t="s">
        <v>35</v>
      </c>
      <c r="W280" s="77" t="s">
        <v>175</v>
      </c>
      <c r="X280" s="77" t="s">
        <v>175</v>
      </c>
      <c r="Y280" s="77"/>
      <c r="Z280" s="77" t="s">
        <v>74</v>
      </c>
      <c r="AA280" s="77" t="s">
        <v>74</v>
      </c>
      <c r="AB280" s="78"/>
      <c r="AC280" s="99">
        <f t="shared" si="4"/>
        <v>0.5</v>
      </c>
    </row>
    <row r="281" spans="1:29" x14ac:dyDescent="0.35">
      <c r="A281" s="34" t="s">
        <v>1180</v>
      </c>
      <c r="B281" s="37" t="s">
        <v>25</v>
      </c>
      <c r="C281" s="34" t="s">
        <v>440</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t="s">
        <v>175</v>
      </c>
      <c r="U281" s="77" t="s">
        <v>35</v>
      </c>
      <c r="V281" s="77" t="s">
        <v>35</v>
      </c>
      <c r="W281" s="77" t="s">
        <v>35</v>
      </c>
      <c r="X281" s="77" t="s">
        <v>35</v>
      </c>
      <c r="Y281" s="77"/>
      <c r="Z281" s="77" t="s">
        <v>74</v>
      </c>
      <c r="AA281" s="77" t="s">
        <v>74</v>
      </c>
      <c r="AB281" s="78"/>
      <c r="AC281" s="99">
        <f t="shared" si="4"/>
        <v>0.61111111111111116</v>
      </c>
    </row>
    <row r="282" spans="1:29" x14ac:dyDescent="0.35">
      <c r="A282" s="34" t="s">
        <v>443</v>
      </c>
      <c r="B282" s="37" t="s">
        <v>25</v>
      </c>
      <c r="C282" s="34" t="s">
        <v>440</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t="s">
        <v>175</v>
      </c>
      <c r="U282" s="77" t="s">
        <v>35</v>
      </c>
      <c r="V282" s="77" t="s">
        <v>35</v>
      </c>
      <c r="W282" s="77" t="s">
        <v>175</v>
      </c>
      <c r="X282" s="77" t="s">
        <v>175</v>
      </c>
      <c r="Y282" s="77"/>
      <c r="Z282" s="77" t="s">
        <v>74</v>
      </c>
      <c r="AA282" s="77" t="s">
        <v>74</v>
      </c>
      <c r="AB282" s="78"/>
      <c r="AC282" s="99">
        <f t="shared" si="4"/>
        <v>0.5</v>
      </c>
    </row>
    <row r="283" spans="1:29" x14ac:dyDescent="0.35">
      <c r="A283" s="34" t="s">
        <v>446</v>
      </c>
      <c r="B283" s="37" t="s">
        <v>25</v>
      </c>
      <c r="C283" s="34" t="s">
        <v>440</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t="s">
        <v>175</v>
      </c>
      <c r="U283" s="77" t="s">
        <v>35</v>
      </c>
      <c r="V283" s="77" t="s">
        <v>35</v>
      </c>
      <c r="W283" s="77" t="s">
        <v>175</v>
      </c>
      <c r="X283" s="77" t="s">
        <v>175</v>
      </c>
      <c r="Y283" s="77"/>
      <c r="Z283" s="77" t="s">
        <v>74</v>
      </c>
      <c r="AA283" s="77" t="s">
        <v>74</v>
      </c>
      <c r="AB283" s="78"/>
      <c r="AC283" s="99">
        <f t="shared" si="4"/>
        <v>0.5</v>
      </c>
    </row>
    <row r="284" spans="1:29" x14ac:dyDescent="0.35">
      <c r="A284" s="34" t="s">
        <v>1646</v>
      </c>
      <c r="B284" s="37" t="s">
        <v>25</v>
      </c>
      <c r="C284" s="34" t="s">
        <v>440</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t="s">
        <v>175</v>
      </c>
      <c r="U284" s="77" t="s">
        <v>35</v>
      </c>
      <c r="V284" s="77" t="s">
        <v>35</v>
      </c>
      <c r="W284" s="77" t="s">
        <v>175</v>
      </c>
      <c r="X284" s="77" t="s">
        <v>175</v>
      </c>
      <c r="Y284" s="77"/>
      <c r="Z284" s="77" t="s">
        <v>74</v>
      </c>
      <c r="AA284" s="77" t="s">
        <v>74</v>
      </c>
      <c r="AB284" s="78"/>
      <c r="AC284" s="99">
        <f t="shared" si="4"/>
        <v>0.5</v>
      </c>
    </row>
    <row r="285" spans="1:29" x14ac:dyDescent="0.35">
      <c r="A285" s="34" t="s">
        <v>1183</v>
      </c>
      <c r="B285" s="37" t="s">
        <v>25</v>
      </c>
      <c r="C285" s="34" t="s">
        <v>440</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t="s">
        <v>175</v>
      </c>
      <c r="U285" s="77" t="s">
        <v>35</v>
      </c>
      <c r="V285" s="77" t="s">
        <v>35</v>
      </c>
      <c r="W285" s="77" t="s">
        <v>35</v>
      </c>
      <c r="X285" s="77" t="s">
        <v>35</v>
      </c>
      <c r="Y285" s="77"/>
      <c r="Z285" s="77" t="s">
        <v>74</v>
      </c>
      <c r="AA285" s="77" t="s">
        <v>74</v>
      </c>
      <c r="AB285" s="78"/>
      <c r="AC285" s="99">
        <f t="shared" si="4"/>
        <v>0.61111111111111116</v>
      </c>
    </row>
    <row r="286" spans="1:29" x14ac:dyDescent="0.35">
      <c r="A286" s="34" t="s">
        <v>1758</v>
      </c>
      <c r="B286" s="37" t="s">
        <v>25</v>
      </c>
      <c r="C286" s="34" t="s">
        <v>440</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row>
    <row r="287" spans="1:29" x14ac:dyDescent="0.35">
      <c r="A287" s="34" t="s">
        <v>1567</v>
      </c>
      <c r="B287" s="37" t="s">
        <v>25</v>
      </c>
      <c r="C287" s="34" t="s">
        <v>450</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row>
    <row r="288" spans="1:29" x14ac:dyDescent="0.35">
      <c r="A288" s="34" t="s">
        <v>449</v>
      </c>
      <c r="B288" s="37" t="s">
        <v>25</v>
      </c>
      <c r="C288" s="34" t="s">
        <v>450</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t="s">
        <v>175</v>
      </c>
      <c r="Y288" s="77"/>
      <c r="Z288" s="77"/>
      <c r="AA288" s="77"/>
      <c r="AB288" s="78"/>
      <c r="AC288" s="99">
        <f t="shared" si="4"/>
        <v>0.31481481481481477</v>
      </c>
    </row>
    <row r="289" spans="1:29" x14ac:dyDescent="0.35">
      <c r="A289" s="34" t="s">
        <v>453</v>
      </c>
      <c r="B289" s="37" t="s">
        <v>25</v>
      </c>
      <c r="C289" s="34" t="s">
        <v>450</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row>
    <row r="290" spans="1:29" x14ac:dyDescent="0.35">
      <c r="A290" s="34" t="s">
        <v>456</v>
      </c>
      <c r="B290" s="37" t="s">
        <v>25</v>
      </c>
      <c r="C290" s="34" t="s">
        <v>450</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row>
    <row r="291" spans="1:29" x14ac:dyDescent="0.35">
      <c r="A291" s="34" t="s">
        <v>1186</v>
      </c>
      <c r="B291" s="37" t="s">
        <v>25</v>
      </c>
      <c r="C291" s="34" t="s">
        <v>450</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row>
    <row r="292" spans="1:29" x14ac:dyDescent="0.35">
      <c r="A292" s="34" t="s">
        <v>1189</v>
      </c>
      <c r="B292" s="37" t="s">
        <v>25</v>
      </c>
      <c r="C292" s="34" t="s">
        <v>450</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row>
    <row r="293" spans="1:29" x14ac:dyDescent="0.35">
      <c r="A293" s="34" t="s">
        <v>1192</v>
      </c>
      <c r="B293" s="37" t="s">
        <v>25</v>
      </c>
      <c r="C293" s="34" t="s">
        <v>450</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row>
    <row r="294" spans="1:29" x14ac:dyDescent="0.35">
      <c r="A294" s="34" t="s">
        <v>1194</v>
      </c>
      <c r="B294" s="37" t="s">
        <v>25</v>
      </c>
      <c r="C294" s="34" t="s">
        <v>450</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row>
    <row r="295" spans="1:29" x14ac:dyDescent="0.35">
      <c r="A295" s="35" t="s">
        <v>1730</v>
      </c>
      <c r="B295" s="41" t="s">
        <v>25</v>
      </c>
      <c r="C295" s="35" t="s">
        <v>450</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row>
    <row r="296" spans="1:29" x14ac:dyDescent="0.35">
      <c r="A296" s="36" t="s">
        <v>1817</v>
      </c>
      <c r="B296" s="36" t="s">
        <v>25</v>
      </c>
      <c r="C296" s="36" t="s">
        <v>450</v>
      </c>
      <c r="D296" s="33" t="s">
        <v>1775</v>
      </c>
      <c r="E296" s="36" t="s">
        <v>1190</v>
      </c>
      <c r="F296" s="36" t="s">
        <v>1821</v>
      </c>
      <c r="G296" s="36" t="s">
        <v>1819</v>
      </c>
      <c r="H296" s="36">
        <v>3</v>
      </c>
      <c r="I296" s="36" t="s">
        <v>181</v>
      </c>
      <c r="J296" s="36" t="s">
        <v>1821</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row>
    <row r="297" spans="1:29" x14ac:dyDescent="0.35">
      <c r="A297" s="34" t="s">
        <v>459</v>
      </c>
      <c r="B297" s="37" t="s">
        <v>25</v>
      </c>
      <c r="C297" s="34" t="s">
        <v>450</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row>
    <row r="298" spans="1:29" x14ac:dyDescent="0.35">
      <c r="A298" s="34" t="s">
        <v>462</v>
      </c>
      <c r="B298" s="37" t="s">
        <v>25</v>
      </c>
      <c r="C298" s="34" t="s">
        <v>450</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row>
    <row r="299" spans="1:29" x14ac:dyDescent="0.35">
      <c r="A299" s="36" t="s">
        <v>1816</v>
      </c>
      <c r="B299" s="36" t="s">
        <v>25</v>
      </c>
      <c r="C299" s="36" t="s">
        <v>450</v>
      </c>
      <c r="D299" s="33" t="s">
        <v>1775</v>
      </c>
      <c r="E299" s="36" t="s">
        <v>1190</v>
      </c>
      <c r="F299" s="36" t="s">
        <v>1818</v>
      </c>
      <c r="G299" s="36" t="s">
        <v>1819</v>
      </c>
      <c r="H299" s="36">
        <v>3</v>
      </c>
      <c r="I299" s="36" t="s">
        <v>181</v>
      </c>
      <c r="J299" s="36" t="s">
        <v>1820</v>
      </c>
      <c r="K299" s="36" t="s">
        <v>32</v>
      </c>
      <c r="L299" s="36" t="s">
        <v>1755</v>
      </c>
      <c r="M299" s="36" t="s">
        <v>33</v>
      </c>
      <c r="N299" s="95">
        <v>3</v>
      </c>
      <c r="O299" s="95">
        <v>0</v>
      </c>
      <c r="P299" s="95">
        <v>0</v>
      </c>
      <c r="Q299" s="36">
        <v>21.47908</v>
      </c>
      <c r="R299" s="36">
        <v>-104.846994</v>
      </c>
      <c r="S299" s="77" t="s">
        <v>34</v>
      </c>
      <c r="T299" s="77"/>
      <c r="U299" s="77" t="s">
        <v>35</v>
      </c>
      <c r="V299" s="77" t="s">
        <v>213</v>
      </c>
      <c r="W299" s="77" t="s">
        <v>1842</v>
      </c>
      <c r="X299" s="77"/>
      <c r="Y299" s="77"/>
      <c r="Z299" s="77" t="s">
        <v>1842</v>
      </c>
      <c r="AA299" s="77"/>
      <c r="AB299" s="78"/>
      <c r="AC299" s="99">
        <f t="shared" si="4"/>
        <v>0.51851851851851849</v>
      </c>
    </row>
    <row r="300" spans="1:29" x14ac:dyDescent="0.35">
      <c r="A300" s="34" t="s">
        <v>465</v>
      </c>
      <c r="B300" s="37" t="s">
        <v>25</v>
      </c>
      <c r="C300" s="34" t="s">
        <v>450</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row>
    <row r="301" spans="1:29" x14ac:dyDescent="0.35">
      <c r="A301" s="34" t="s">
        <v>468</v>
      </c>
      <c r="B301" s="37" t="s">
        <v>25</v>
      </c>
      <c r="C301" s="34" t="s">
        <v>450</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row>
    <row r="302" spans="1:29" x14ac:dyDescent="0.35">
      <c r="A302" s="34" t="s">
        <v>471</v>
      </c>
      <c r="B302" s="37" t="s">
        <v>25</v>
      </c>
      <c r="C302" s="34" t="s">
        <v>450</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row>
    <row r="303" spans="1:29" x14ac:dyDescent="0.35">
      <c r="A303" s="34" t="s">
        <v>473</v>
      </c>
      <c r="B303" s="37" t="s">
        <v>25</v>
      </c>
      <c r="C303" s="34" t="s">
        <v>450</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row>
    <row r="304" spans="1:29" x14ac:dyDescent="0.35">
      <c r="A304" s="34" t="s">
        <v>476</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row>
    <row r="305" spans="1:29" x14ac:dyDescent="0.35">
      <c r="A305" s="34" t="s">
        <v>480</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row>
    <row r="306" spans="1:29" x14ac:dyDescent="0.35">
      <c r="A306" s="34" t="s">
        <v>483</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row>
    <row r="307" spans="1:29" x14ac:dyDescent="0.35">
      <c r="A307" s="34" t="s">
        <v>1197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row>
    <row r="308" spans="1:29" ht="29" x14ac:dyDescent="0.35">
      <c r="A308" s="35" t="s">
        <v>1724</v>
      </c>
      <c r="B308" s="41" t="s">
        <v>25</v>
      </c>
      <c r="C308" s="35" t="s">
        <v>477</v>
      </c>
      <c r="D308" s="33" t="s">
        <v>1775</v>
      </c>
      <c r="E308" s="35" t="s">
        <v>1201</v>
      </c>
      <c r="F308" s="94" t="s">
        <v>1834</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row>
    <row r="309" spans="1:29" x14ac:dyDescent="0.35">
      <c r="A309" s="34" t="s">
        <v>1200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row>
    <row r="310" spans="1:29" x14ac:dyDescent="0.35">
      <c r="A310" s="38" t="s">
        <v>1642</v>
      </c>
      <c r="B310" s="61" t="s">
        <v>25</v>
      </c>
      <c r="C310" s="38"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row>
    <row r="311" spans="1:29" x14ac:dyDescent="0.35">
      <c r="A311" s="34" t="s">
        <v>1694</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row>
    <row r="312" spans="1:29" x14ac:dyDescent="0.35">
      <c r="A312" s="34" t="s">
        <v>1203</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row>
    <row r="313" spans="1:29" x14ac:dyDescent="0.35">
      <c r="A313" s="34" t="s">
        <v>1206</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row>
    <row r="314" spans="1:29" x14ac:dyDescent="0.35">
      <c r="A314" s="34" t="s">
        <v>1209</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row>
    <row r="315" spans="1:29" x14ac:dyDescent="0.35">
      <c r="A315" s="34" t="s">
        <v>1212</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row>
    <row r="316" spans="1:29" x14ac:dyDescent="0.35">
      <c r="A316" s="34" t="s">
        <v>486</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row>
    <row r="317" spans="1:29" x14ac:dyDescent="0.35">
      <c r="A317" s="34" t="s">
        <v>489</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row>
    <row r="318" spans="1:29" x14ac:dyDescent="0.35">
      <c r="A318" s="34" t="s">
        <v>1215</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row>
    <row r="319" spans="1:29" x14ac:dyDescent="0.35">
      <c r="A319" s="38" t="s">
        <v>1550</v>
      </c>
      <c r="B319" s="61" t="s">
        <v>25</v>
      </c>
      <c r="C319" s="38" t="s">
        <v>1771</v>
      </c>
      <c r="D319" s="34" t="s">
        <v>1771</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1835</v>
      </c>
      <c r="AC319" s="99">
        <f t="shared" si="4"/>
        <v>0.77777777777777779</v>
      </c>
    </row>
    <row r="320" spans="1:29" x14ac:dyDescent="0.35">
      <c r="A320" s="34" t="s">
        <v>1218</v>
      </c>
      <c r="B320" s="37" t="s">
        <v>25</v>
      </c>
      <c r="C320" s="34" t="s">
        <v>477</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row>
    <row r="321" spans="1:29" x14ac:dyDescent="0.35">
      <c r="A321" s="34" t="s">
        <v>1221</v>
      </c>
      <c r="B321" s="37" t="s">
        <v>25</v>
      </c>
      <c r="C321" s="34" t="s">
        <v>477</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row>
    <row r="322" spans="1:29" x14ac:dyDescent="0.35">
      <c r="A322" s="34" t="s">
        <v>1223</v>
      </c>
      <c r="B322" s="37" t="s">
        <v>25</v>
      </c>
      <c r="C322" s="34" t="s">
        <v>477</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row>
    <row r="323" spans="1:29" x14ac:dyDescent="0.35">
      <c r="A323" s="34" t="s">
        <v>1226</v>
      </c>
      <c r="B323" s="37" t="s">
        <v>25</v>
      </c>
      <c r="C323" s="34" t="s">
        <v>477</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row>
    <row r="324" spans="1:29" x14ac:dyDescent="0.35">
      <c r="A324" s="34" t="s">
        <v>492</v>
      </c>
      <c r="B324" s="37" t="s">
        <v>25</v>
      </c>
      <c r="C324" s="34" t="s">
        <v>477</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row>
    <row r="325" spans="1:29" x14ac:dyDescent="0.35">
      <c r="A325" s="34" t="s">
        <v>495</v>
      </c>
      <c r="B325" s="37" t="s">
        <v>25</v>
      </c>
      <c r="C325" s="34" t="s">
        <v>477</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row>
    <row r="326" spans="1:29" x14ac:dyDescent="0.35">
      <c r="A326" s="34" t="s">
        <v>498</v>
      </c>
      <c r="B326" s="37" t="s">
        <v>25</v>
      </c>
      <c r="C326" s="34" t="s">
        <v>477</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row>
    <row r="327" spans="1:29" x14ac:dyDescent="0.35">
      <c r="A327" s="34" t="s">
        <v>501</v>
      </c>
      <c r="B327" s="37" t="s">
        <v>25</v>
      </c>
      <c r="C327" s="34" t="s">
        <v>477</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row>
    <row r="328" spans="1:29" x14ac:dyDescent="0.35">
      <c r="A328" s="34" t="s">
        <v>1229</v>
      </c>
      <c r="B328" s="37" t="s">
        <v>25</v>
      </c>
      <c r="C328" s="34" t="s">
        <v>477</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row>
    <row r="329" spans="1:29" x14ac:dyDescent="0.35">
      <c r="A329" s="34" t="s">
        <v>504</v>
      </c>
      <c r="B329" s="37" t="s">
        <v>25</v>
      </c>
      <c r="C329" s="34" t="s">
        <v>477</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row>
    <row r="330" spans="1:29" x14ac:dyDescent="0.35">
      <c r="A330" s="34" t="s">
        <v>507</v>
      </c>
      <c r="B330" s="37" t="s">
        <v>25</v>
      </c>
      <c r="C330" s="34" t="s">
        <v>477</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row>
    <row r="331" spans="1:29" x14ac:dyDescent="0.35">
      <c r="A331" s="34" t="s">
        <v>1232</v>
      </c>
      <c r="B331" s="37" t="s">
        <v>25</v>
      </c>
      <c r="C331" s="34" t="s">
        <v>477</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row>
    <row r="332" spans="1:29" x14ac:dyDescent="0.35">
      <c r="A332" s="34" t="s">
        <v>510</v>
      </c>
      <c r="B332" s="37" t="s">
        <v>25</v>
      </c>
      <c r="C332" s="34" t="s">
        <v>477</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row>
    <row r="333" spans="1:29" x14ac:dyDescent="0.35">
      <c r="A333" s="34" t="s">
        <v>513</v>
      </c>
      <c r="B333" s="37" t="s">
        <v>25</v>
      </c>
      <c r="C333" s="34" t="s">
        <v>477</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row>
    <row r="334" spans="1:29" x14ac:dyDescent="0.35">
      <c r="A334" s="34" t="s">
        <v>1553</v>
      </c>
      <c r="B334" s="37" t="s">
        <v>25</v>
      </c>
      <c r="C334" s="34" t="s">
        <v>477</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row>
    <row r="335" spans="1:29" x14ac:dyDescent="0.35">
      <c r="A335" s="34" t="s">
        <v>516</v>
      </c>
      <c r="B335" s="37" t="s">
        <v>25</v>
      </c>
      <c r="C335" s="34" t="s">
        <v>477</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row>
    <row r="336" spans="1:29" x14ac:dyDescent="0.35">
      <c r="A336" s="34" t="s">
        <v>519</v>
      </c>
      <c r="B336" s="37" t="s">
        <v>25</v>
      </c>
      <c r="C336" s="34" t="s">
        <v>477</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row>
    <row r="337" spans="1:29" x14ac:dyDescent="0.35">
      <c r="A337" s="34" t="s">
        <v>522</v>
      </c>
      <c r="B337" s="37" t="s">
        <v>25</v>
      </c>
      <c r="C337" s="34" t="s">
        <v>477</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row>
    <row r="338" spans="1:29" x14ac:dyDescent="0.35">
      <c r="A338" s="34" t="s">
        <v>525</v>
      </c>
      <c r="B338" s="37" t="s">
        <v>25</v>
      </c>
      <c r="C338" s="34" t="s">
        <v>477</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row>
    <row r="339" spans="1:29" x14ac:dyDescent="0.35">
      <c r="A339" s="34" t="s">
        <v>528</v>
      </c>
      <c r="B339" s="37" t="s">
        <v>25</v>
      </c>
      <c r="C339" s="34" t="s">
        <v>477</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row>
    <row r="340" spans="1:29" x14ac:dyDescent="0.35">
      <c r="A340" s="34" t="s">
        <v>1577</v>
      </c>
      <c r="B340" s="37" t="s">
        <v>25</v>
      </c>
      <c r="C340" s="34" t="s">
        <v>477</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1835</v>
      </c>
      <c r="AC340" s="99">
        <f t="shared" si="5"/>
        <v>0.18518518518518517</v>
      </c>
    </row>
    <row r="341" spans="1:29" x14ac:dyDescent="0.35">
      <c r="A341" s="34" t="s">
        <v>531</v>
      </c>
      <c r="B341" s="37" t="s">
        <v>25</v>
      </c>
      <c r="C341" s="34" t="s">
        <v>477</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row>
    <row r="342" spans="1:29" x14ac:dyDescent="0.35">
      <c r="A342" s="38" t="s">
        <v>1235</v>
      </c>
      <c r="B342" s="61" t="s">
        <v>25</v>
      </c>
      <c r="C342" s="38" t="s">
        <v>477</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1835</v>
      </c>
      <c r="AC342" s="99">
        <f t="shared" si="5"/>
        <v>0.77777777777777779</v>
      </c>
    </row>
    <row r="343" spans="1:29" x14ac:dyDescent="0.35">
      <c r="A343" s="34" t="s">
        <v>534</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row>
    <row r="344" spans="1:29" x14ac:dyDescent="0.35">
      <c r="A344" s="34" t="s">
        <v>538</v>
      </c>
      <c r="B344" s="37" t="s">
        <v>25</v>
      </c>
      <c r="C344" s="34"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row>
    <row r="345" spans="1:29" x14ac:dyDescent="0.35">
      <c r="A345" s="34" t="s">
        <v>541</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176</v>
      </c>
      <c r="V345" s="77" t="s">
        <v>176</v>
      </c>
      <c r="W345" s="77"/>
      <c r="X345" s="77"/>
      <c r="Y345" s="77"/>
      <c r="Z345" s="77"/>
      <c r="AA345" s="77"/>
      <c r="AB345" s="78"/>
      <c r="AC345" s="99">
        <f t="shared" si="5"/>
        <v>0.18518518518518517</v>
      </c>
    </row>
    <row r="346" spans="1:29" x14ac:dyDescent="0.35">
      <c r="A346" s="34" t="s">
        <v>544</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row>
    <row r="347" spans="1:29" x14ac:dyDescent="0.35">
      <c r="A347" s="34" t="s">
        <v>1238</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row>
    <row r="348" spans="1:29" x14ac:dyDescent="0.35">
      <c r="A348" s="34" t="s">
        <v>547</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row>
    <row r="349" spans="1:29" x14ac:dyDescent="0.35">
      <c r="A349" s="34" t="s">
        <v>550</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row>
    <row r="350" spans="1:29" x14ac:dyDescent="0.35">
      <c r="A350" s="34" t="s">
        <v>1241</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row>
    <row r="351" spans="1:29" x14ac:dyDescent="0.35">
      <c r="A351" s="34" t="s">
        <v>553</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row>
    <row r="352" spans="1:29" x14ac:dyDescent="0.35">
      <c r="A352" s="34" t="s">
        <v>1244</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row>
    <row r="353" spans="1:29" x14ac:dyDescent="0.35">
      <c r="A353" s="34" t="s">
        <v>1696</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row>
    <row r="354" spans="1:29" x14ac:dyDescent="0.35">
      <c r="A354" s="34" t="s">
        <v>556</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176</v>
      </c>
      <c r="V354" s="77" t="s">
        <v>176</v>
      </c>
      <c r="W354" s="77"/>
      <c r="X354" s="77"/>
      <c r="Y354" s="77"/>
      <c r="Z354" s="77"/>
      <c r="AA354" s="77"/>
      <c r="AB354" s="78"/>
      <c r="AC354" s="99">
        <f t="shared" si="5"/>
        <v>0.18518518518518517</v>
      </c>
    </row>
    <row r="355" spans="1:29" x14ac:dyDescent="0.35">
      <c r="A355" s="34" t="s">
        <v>559</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176</v>
      </c>
      <c r="V355" s="77" t="s">
        <v>176</v>
      </c>
      <c r="W355" s="77"/>
      <c r="X355" s="77"/>
      <c r="Y355" s="77"/>
      <c r="Z355" s="77"/>
      <c r="AA355" s="77"/>
      <c r="AB355" s="78"/>
      <c r="AC355" s="99">
        <f t="shared" si="5"/>
        <v>0.18518518518518517</v>
      </c>
    </row>
    <row r="356" spans="1:29" x14ac:dyDescent="0.35">
      <c r="A356" s="34" t="s">
        <v>1246</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row>
    <row r="357" spans="1:29" x14ac:dyDescent="0.35">
      <c r="A357" s="34" t="s">
        <v>562</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176</v>
      </c>
      <c r="V357" s="77" t="s">
        <v>176</v>
      </c>
      <c r="W357" s="77"/>
      <c r="X357" s="77"/>
      <c r="Y357" s="77"/>
      <c r="Z357" s="77"/>
      <c r="AA357" s="77"/>
      <c r="AB357" s="85"/>
      <c r="AC357" s="99">
        <f t="shared" si="5"/>
        <v>0.18518518518518517</v>
      </c>
    </row>
    <row r="358" spans="1:29" x14ac:dyDescent="0.35">
      <c r="A358" s="34" t="s">
        <v>565</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row>
    <row r="359" spans="1:29" x14ac:dyDescent="0.35">
      <c r="A359" s="34" t="s">
        <v>568</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row>
    <row r="360" spans="1:29" x14ac:dyDescent="0.35">
      <c r="A360" s="34" t="s">
        <v>571</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row>
    <row r="361" spans="1:29" x14ac:dyDescent="0.35">
      <c r="A361" s="34" t="s">
        <v>574</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row>
    <row r="362" spans="1:29" x14ac:dyDescent="0.35">
      <c r="A362" s="34" t="s">
        <v>577</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176</v>
      </c>
      <c r="V362" s="77" t="s">
        <v>176</v>
      </c>
      <c r="W362" s="77"/>
      <c r="X362" s="77"/>
      <c r="Y362" s="77"/>
      <c r="Z362" s="77"/>
      <c r="AA362" s="77"/>
      <c r="AB362" s="78"/>
      <c r="AC362" s="99">
        <f t="shared" si="5"/>
        <v>0.18518518518518517</v>
      </c>
    </row>
    <row r="363" spans="1:29" x14ac:dyDescent="0.35">
      <c r="A363" s="34" t="s">
        <v>580</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176</v>
      </c>
      <c r="V363" s="77" t="s">
        <v>176</v>
      </c>
      <c r="W363" s="77"/>
      <c r="X363" s="77"/>
      <c r="Y363" s="77"/>
      <c r="Z363" s="77"/>
      <c r="AA363" s="77"/>
      <c r="AB363" s="78"/>
      <c r="AC363" s="99">
        <f t="shared" si="5"/>
        <v>0.18518518518518517</v>
      </c>
    </row>
    <row r="364" spans="1:29" x14ac:dyDescent="0.35">
      <c r="A364" s="34" t="s">
        <v>583</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row>
    <row r="365" spans="1:29" x14ac:dyDescent="0.35">
      <c r="A365" s="34" t="s">
        <v>1568</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row>
    <row r="366" spans="1:29" x14ac:dyDescent="0.35">
      <c r="A366" s="34" t="s">
        <v>586</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row>
    <row r="367" spans="1:29" x14ac:dyDescent="0.35">
      <c r="A367" s="34" t="s">
        <v>589</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row>
    <row r="368" spans="1:29" x14ac:dyDescent="0.35">
      <c r="A368" s="35" t="s">
        <v>1726</v>
      </c>
      <c r="B368" s="41" t="s">
        <v>25</v>
      </c>
      <c r="C368" s="35"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row>
    <row r="369" spans="1:29" x14ac:dyDescent="0.35">
      <c r="A369" s="34" t="s">
        <v>592</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row>
    <row r="370" spans="1:29" x14ac:dyDescent="0.35">
      <c r="A370" s="34" t="s">
        <v>1573</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row>
    <row r="371" spans="1:29" x14ac:dyDescent="0.35">
      <c r="A371" s="34" t="s">
        <v>595</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row>
    <row r="372" spans="1:29" x14ac:dyDescent="0.35">
      <c r="A372" s="34" t="s">
        <v>1249</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176</v>
      </c>
      <c r="V372" s="77" t="s">
        <v>176</v>
      </c>
      <c r="W372" s="77"/>
      <c r="X372" s="77"/>
      <c r="Y372" s="77"/>
      <c r="Z372" s="77"/>
      <c r="AA372" s="77"/>
      <c r="AB372" s="78"/>
      <c r="AC372" s="99">
        <f t="shared" si="5"/>
        <v>0.18518518518518517</v>
      </c>
    </row>
    <row r="373" spans="1:29" x14ac:dyDescent="0.35">
      <c r="A373" s="34" t="s">
        <v>1252</v>
      </c>
      <c r="B373" s="37" t="s">
        <v>25</v>
      </c>
      <c r="C373" s="34" t="s">
        <v>535</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row>
    <row r="374" spans="1:29" x14ac:dyDescent="0.35">
      <c r="A374" s="34" t="s">
        <v>598</v>
      </c>
      <c r="B374" s="37" t="s">
        <v>25</v>
      </c>
      <c r="C374" s="34" t="s">
        <v>535</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row>
    <row r="375" spans="1:29" x14ac:dyDescent="0.35">
      <c r="A375" s="34" t="s">
        <v>1255</v>
      </c>
      <c r="B375" s="37" t="s">
        <v>25</v>
      </c>
      <c r="C375" s="34" t="s">
        <v>535</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row>
    <row r="376" spans="1:29" x14ac:dyDescent="0.35">
      <c r="A376" s="34" t="s">
        <v>1258</v>
      </c>
      <c r="B376" s="37" t="s">
        <v>25</v>
      </c>
      <c r="C376" s="34" t="s">
        <v>535</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row>
    <row r="377" spans="1:29" x14ac:dyDescent="0.35">
      <c r="A377" s="34" t="s">
        <v>1644</v>
      </c>
      <c r="B377" s="37" t="s">
        <v>25</v>
      </c>
      <c r="C377" s="34" t="s">
        <v>535</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176</v>
      </c>
      <c r="V377" s="77" t="s">
        <v>176</v>
      </c>
      <c r="W377" s="77"/>
      <c r="X377" s="77"/>
      <c r="Y377" s="77"/>
      <c r="Z377" s="77"/>
      <c r="AA377" s="77"/>
      <c r="AB377" s="78"/>
      <c r="AC377" s="99">
        <f t="shared" si="5"/>
        <v>0.18518518518518517</v>
      </c>
    </row>
    <row r="378" spans="1:29" x14ac:dyDescent="0.35">
      <c r="A378" s="34" t="s">
        <v>601</v>
      </c>
      <c r="B378" s="37" t="s">
        <v>25</v>
      </c>
      <c r="C378" s="34" t="s">
        <v>535</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row>
    <row r="379" spans="1:29" x14ac:dyDescent="0.35">
      <c r="A379" s="34" t="s">
        <v>1261</v>
      </c>
      <c r="B379" s="37" t="s">
        <v>25</v>
      </c>
      <c r="C379" s="34" t="s">
        <v>535</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row>
    <row r="380" spans="1:29" x14ac:dyDescent="0.35">
      <c r="A380" s="34" t="s">
        <v>604</v>
      </c>
      <c r="B380" s="37" t="s">
        <v>25</v>
      </c>
      <c r="C380" s="34" t="s">
        <v>535</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row>
    <row r="381" spans="1:29" x14ac:dyDescent="0.35">
      <c r="A381" s="34" t="s">
        <v>606</v>
      </c>
      <c r="B381" s="37" t="s">
        <v>25</v>
      </c>
      <c r="C381" s="34" t="s">
        <v>535</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row>
    <row r="382" spans="1:29" x14ac:dyDescent="0.35">
      <c r="A382" s="34" t="s">
        <v>1264</v>
      </c>
      <c r="B382" s="37" t="s">
        <v>25</v>
      </c>
      <c r="C382" s="34" t="s">
        <v>535</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row>
    <row r="383" spans="1:29" x14ac:dyDescent="0.35">
      <c r="A383" s="34" t="s">
        <v>1267</v>
      </c>
      <c r="B383" s="37" t="s">
        <v>25</v>
      </c>
      <c r="C383" s="34" t="s">
        <v>535</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row>
    <row r="384" spans="1:29" x14ac:dyDescent="0.35">
      <c r="A384" s="34" t="s">
        <v>609</v>
      </c>
      <c r="B384" s="37" t="s">
        <v>25</v>
      </c>
      <c r="C384" s="34" t="s">
        <v>535</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row>
    <row r="385" spans="1:29" x14ac:dyDescent="0.35">
      <c r="A385" s="34" t="s">
        <v>1269</v>
      </c>
      <c r="B385" s="37" t="s">
        <v>25</v>
      </c>
      <c r="C385" s="34" t="s">
        <v>535</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176</v>
      </c>
      <c r="V385" s="77" t="s">
        <v>176</v>
      </c>
      <c r="W385" s="77"/>
      <c r="X385" s="77"/>
      <c r="Y385" s="77"/>
      <c r="Z385" s="77"/>
      <c r="AA385" s="77"/>
      <c r="AB385" s="78"/>
      <c r="AC385" s="99">
        <f t="shared" si="5"/>
        <v>0.18518518518518517</v>
      </c>
    </row>
    <row r="386" spans="1:29" x14ac:dyDescent="0.35">
      <c r="A386" s="34" t="s">
        <v>612</v>
      </c>
      <c r="B386" s="37" t="s">
        <v>25</v>
      </c>
      <c r="C386" s="34" t="s">
        <v>535</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176</v>
      </c>
      <c r="V386" s="77" t="s">
        <v>176</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row>
    <row r="387" spans="1:29" x14ac:dyDescent="0.35">
      <c r="A387" s="34" t="s">
        <v>1271</v>
      </c>
      <c r="B387" s="37" t="s">
        <v>25</v>
      </c>
      <c r="C387" s="34" t="s">
        <v>535</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row>
    <row r="388" spans="1:29" x14ac:dyDescent="0.35">
      <c r="A388" s="34" t="s">
        <v>1274</v>
      </c>
      <c r="B388" s="37" t="s">
        <v>25</v>
      </c>
      <c r="C388" s="34" t="s">
        <v>535</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row>
    <row r="389" spans="1:29" x14ac:dyDescent="0.35">
      <c r="A389" s="34" t="s">
        <v>1277</v>
      </c>
      <c r="B389" s="37" t="s">
        <v>25</v>
      </c>
      <c r="C389" s="34" t="s">
        <v>535</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row>
    <row r="390" spans="1:29" x14ac:dyDescent="0.35">
      <c r="A390" s="34" t="s">
        <v>1280</v>
      </c>
      <c r="B390" s="37" t="s">
        <v>25</v>
      </c>
      <c r="C390" s="34" t="s">
        <v>535</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row>
    <row r="391" spans="1:29" x14ac:dyDescent="0.35">
      <c r="A391" s="34" t="s">
        <v>615</v>
      </c>
      <c r="B391" s="37" t="s">
        <v>25</v>
      </c>
      <c r="C391" s="34" t="s">
        <v>535</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row>
    <row r="392" spans="1:29" x14ac:dyDescent="0.35">
      <c r="A392" s="34" t="s">
        <v>1283</v>
      </c>
      <c r="B392" s="37" t="s">
        <v>25</v>
      </c>
      <c r="C392" s="34" t="s">
        <v>535</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row>
    <row r="393" spans="1:29" x14ac:dyDescent="0.35">
      <c r="A393" s="34" t="s">
        <v>618</v>
      </c>
      <c r="B393" s="37" t="s">
        <v>25</v>
      </c>
      <c r="C393" s="34" t="s">
        <v>535</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row>
    <row r="394" spans="1:29" x14ac:dyDescent="0.35">
      <c r="A394" s="34" t="s">
        <v>1286</v>
      </c>
      <c r="B394" s="37" t="s">
        <v>25</v>
      </c>
      <c r="C394" s="34" t="s">
        <v>535</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row>
    <row r="395" spans="1:29" x14ac:dyDescent="0.35">
      <c r="A395" s="34" t="s">
        <v>621</v>
      </c>
      <c r="B395" s="37" t="s">
        <v>25</v>
      </c>
      <c r="C395" s="34" t="s">
        <v>535</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row>
    <row r="396" spans="1:29" x14ac:dyDescent="0.35">
      <c r="A396" s="34" t="s">
        <v>624</v>
      </c>
      <c r="B396" s="37" t="s">
        <v>25</v>
      </c>
      <c r="C396" s="34" t="s">
        <v>535</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row>
    <row r="397" spans="1:29" x14ac:dyDescent="0.35">
      <c r="A397" s="34" t="s">
        <v>1289</v>
      </c>
      <c r="B397" s="37" t="s">
        <v>25</v>
      </c>
      <c r="C397" s="34" t="s">
        <v>628</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row>
    <row r="398" spans="1:29" x14ac:dyDescent="0.35">
      <c r="A398" s="34" t="s">
        <v>1292</v>
      </c>
      <c r="B398" s="37" t="s">
        <v>25</v>
      </c>
      <c r="C398" s="34" t="s">
        <v>628</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row>
    <row r="399" spans="1:29" x14ac:dyDescent="0.35">
      <c r="A399" s="34" t="s">
        <v>1629</v>
      </c>
      <c r="B399" s="37" t="s">
        <v>25</v>
      </c>
      <c r="C399" s="34" t="s">
        <v>628</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row>
    <row r="400" spans="1:29" x14ac:dyDescent="0.35">
      <c r="A400" s="34" t="s">
        <v>1295</v>
      </c>
      <c r="B400" s="37" t="s">
        <v>25</v>
      </c>
      <c r="C400" s="34" t="s">
        <v>628</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row>
    <row r="401" spans="1:29" x14ac:dyDescent="0.35">
      <c r="A401" s="34" t="s">
        <v>627</v>
      </c>
      <c r="B401" s="37" t="s">
        <v>25</v>
      </c>
      <c r="C401" s="34" t="s">
        <v>628</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row>
    <row r="402" spans="1:29" x14ac:dyDescent="0.35">
      <c r="A402" s="34" t="s">
        <v>631</v>
      </c>
      <c r="B402" s="37" t="s">
        <v>25</v>
      </c>
      <c r="C402" s="34" t="s">
        <v>628</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row>
    <row r="403" spans="1:29" x14ac:dyDescent="0.35">
      <c r="A403" s="34" t="s">
        <v>634</v>
      </c>
      <c r="B403" s="37" t="s">
        <v>25</v>
      </c>
      <c r="C403" s="34" t="s">
        <v>628</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row>
    <row r="404" spans="1:29" x14ac:dyDescent="0.35">
      <c r="A404" s="34" t="s">
        <v>637</v>
      </c>
      <c r="B404" s="37" t="s">
        <v>25</v>
      </c>
      <c r="C404" s="34" t="s">
        <v>628</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row>
    <row r="405" spans="1:29" x14ac:dyDescent="0.35">
      <c r="A405" s="34" t="s">
        <v>1297</v>
      </c>
      <c r="B405" s="37" t="s">
        <v>25</v>
      </c>
      <c r="C405" s="34" t="s">
        <v>628</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row>
    <row r="406" spans="1:29" x14ac:dyDescent="0.35">
      <c r="A406" s="34" t="s">
        <v>640</v>
      </c>
      <c r="B406" s="37" t="s">
        <v>25</v>
      </c>
      <c r="C406" s="34" t="s">
        <v>628</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row>
    <row r="407" spans="1:29" x14ac:dyDescent="0.35">
      <c r="A407" s="34" t="s">
        <v>643</v>
      </c>
      <c r="B407" s="37" t="s">
        <v>25</v>
      </c>
      <c r="C407" s="34" t="s">
        <v>628</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row>
    <row r="408" spans="1:29" x14ac:dyDescent="0.35">
      <c r="A408" s="34" t="s">
        <v>1299</v>
      </c>
      <c r="B408" s="37" t="s">
        <v>25</v>
      </c>
      <c r="C408" s="34" t="s">
        <v>628</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row>
    <row r="409" spans="1:29" x14ac:dyDescent="0.35">
      <c r="A409" s="34" t="s">
        <v>1302</v>
      </c>
      <c r="B409" s="37" t="s">
        <v>25</v>
      </c>
      <c r="C409" s="34" t="s">
        <v>628</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row>
    <row r="410" spans="1:29" x14ac:dyDescent="0.35">
      <c r="A410" s="34" t="s">
        <v>1318</v>
      </c>
      <c r="B410" s="37" t="s">
        <v>25</v>
      </c>
      <c r="C410" s="34" t="s">
        <v>672</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row>
    <row r="411" spans="1:29" x14ac:dyDescent="0.35">
      <c r="A411" s="34" t="s">
        <v>1320</v>
      </c>
      <c r="B411" s="37" t="s">
        <v>25</v>
      </c>
      <c r="C411" s="34" t="s">
        <v>672</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row>
    <row r="412" spans="1:29" x14ac:dyDescent="0.35">
      <c r="A412" s="34" t="s">
        <v>671</v>
      </c>
      <c r="B412" s="37" t="s">
        <v>25</v>
      </c>
      <c r="C412" s="34" t="s">
        <v>672</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row>
    <row r="413" spans="1:29" x14ac:dyDescent="0.35">
      <c r="A413" s="34" t="s">
        <v>675</v>
      </c>
      <c r="B413" s="37" t="s">
        <v>25</v>
      </c>
      <c r="C413" s="34" t="s">
        <v>672</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row>
    <row r="414" spans="1:29" x14ac:dyDescent="0.35">
      <c r="A414" s="34" t="s">
        <v>678</v>
      </c>
      <c r="B414" s="37" t="s">
        <v>25</v>
      </c>
      <c r="C414" s="34" t="s">
        <v>672</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row>
    <row r="415" spans="1:29" x14ac:dyDescent="0.35">
      <c r="A415" s="34" t="s">
        <v>681</v>
      </c>
      <c r="B415" s="37" t="s">
        <v>25</v>
      </c>
      <c r="C415" s="34" t="s">
        <v>672</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row>
    <row r="416" spans="1:29" x14ac:dyDescent="0.35">
      <c r="A416" s="34" t="s">
        <v>1700</v>
      </c>
      <c r="B416" s="37" t="s">
        <v>25</v>
      </c>
      <c r="C416" s="34" t="s">
        <v>672</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row>
    <row r="417" spans="1:29" x14ac:dyDescent="0.35">
      <c r="A417" s="34" t="s">
        <v>684</v>
      </c>
      <c r="B417" s="37" t="s">
        <v>25</v>
      </c>
      <c r="C417" s="34" t="s">
        <v>672</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row>
    <row r="418" spans="1:29" x14ac:dyDescent="0.35">
      <c r="A418" s="34" t="s">
        <v>1322</v>
      </c>
      <c r="B418" s="37" t="s">
        <v>25</v>
      </c>
      <c r="C418" s="34" t="s">
        <v>672</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row>
    <row r="419" spans="1:29" x14ac:dyDescent="0.35">
      <c r="A419" s="34" t="s">
        <v>687</v>
      </c>
      <c r="B419" s="37" t="s">
        <v>25</v>
      </c>
      <c r="C419" s="34" t="s">
        <v>672</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row>
    <row r="420" spans="1:29" x14ac:dyDescent="0.35">
      <c r="A420" s="34" t="s">
        <v>690</v>
      </c>
      <c r="B420" s="37" t="s">
        <v>25</v>
      </c>
      <c r="C420" s="34" t="s">
        <v>672</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row>
    <row r="421" spans="1:29" x14ac:dyDescent="0.35">
      <c r="A421" s="34" t="s">
        <v>693</v>
      </c>
      <c r="B421" s="37" t="s">
        <v>25</v>
      </c>
      <c r="C421" s="34" t="s">
        <v>672</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row>
    <row r="422" spans="1:29" x14ac:dyDescent="0.35">
      <c r="A422" s="34" t="s">
        <v>695</v>
      </c>
      <c r="B422" s="37" t="s">
        <v>25</v>
      </c>
      <c r="C422" s="34" t="s">
        <v>672</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row>
    <row r="423" spans="1:29" x14ac:dyDescent="0.35">
      <c r="A423" s="34" t="s">
        <v>1654</v>
      </c>
      <c r="B423" s="37" t="s">
        <v>25</v>
      </c>
      <c r="C423" s="34" t="s">
        <v>672</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row>
    <row r="424" spans="1:29" x14ac:dyDescent="0.35">
      <c r="A424" s="34" t="s">
        <v>698</v>
      </c>
      <c r="B424" s="37" t="s">
        <v>25</v>
      </c>
      <c r="C424" s="34" t="s">
        <v>672</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row>
    <row r="425" spans="1:29" x14ac:dyDescent="0.35">
      <c r="A425" s="34" t="s">
        <v>1325</v>
      </c>
      <c r="B425" s="37" t="s">
        <v>25</v>
      </c>
      <c r="C425" s="34" t="s">
        <v>672</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row>
    <row r="426" spans="1:29" x14ac:dyDescent="0.35">
      <c r="A426" s="34" t="s">
        <v>701</v>
      </c>
      <c r="B426" s="37" t="s">
        <v>25</v>
      </c>
      <c r="C426" s="34" t="s">
        <v>672</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row>
    <row r="427" spans="1:29" x14ac:dyDescent="0.35">
      <c r="A427" s="34" t="s">
        <v>704</v>
      </c>
      <c r="B427" s="37" t="s">
        <v>25</v>
      </c>
      <c r="C427" s="34" t="s">
        <v>672</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row>
    <row r="428" spans="1:29" x14ac:dyDescent="0.35">
      <c r="A428" s="34" t="s">
        <v>1328</v>
      </c>
      <c r="B428" s="37" t="s">
        <v>25</v>
      </c>
      <c r="C428" s="34" t="s">
        <v>672</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row>
    <row r="429" spans="1:29" x14ac:dyDescent="0.35">
      <c r="A429" s="34" t="s">
        <v>1569</v>
      </c>
      <c r="B429" s="37" t="s">
        <v>25</v>
      </c>
      <c r="C429" s="34" t="s">
        <v>672</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row>
    <row r="430" spans="1:29" x14ac:dyDescent="0.35">
      <c r="A430" s="35" t="s">
        <v>1732</v>
      </c>
      <c r="B430" s="41" t="s">
        <v>25</v>
      </c>
      <c r="C430" s="35" t="s">
        <v>672</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row>
    <row r="431" spans="1:29" x14ac:dyDescent="0.35">
      <c r="A431" s="34" t="s">
        <v>1331</v>
      </c>
      <c r="B431" s="37" t="s">
        <v>25</v>
      </c>
      <c r="C431" s="34" t="s">
        <v>672</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row>
    <row r="432" spans="1:29" x14ac:dyDescent="0.35">
      <c r="A432" s="34" t="s">
        <v>1334</v>
      </c>
      <c r="B432" s="37" t="s">
        <v>25</v>
      </c>
      <c r="C432" s="34" t="s">
        <v>672</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row>
    <row r="433" spans="1:29" x14ac:dyDescent="0.35">
      <c r="A433" s="34" t="s">
        <v>646</v>
      </c>
      <c r="B433" s="37" t="s">
        <v>25</v>
      </c>
      <c r="C433" s="34" t="s">
        <v>1779</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row>
    <row r="434" spans="1:29" x14ac:dyDescent="0.35">
      <c r="A434" s="34" t="s">
        <v>650</v>
      </c>
      <c r="B434" s="37" t="s">
        <v>25</v>
      </c>
      <c r="C434" s="34" t="s">
        <v>1779</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row>
    <row r="435" spans="1:29" x14ac:dyDescent="0.35">
      <c r="A435" s="34" t="s">
        <v>1304</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row>
    <row r="436" spans="1:29" x14ac:dyDescent="0.35">
      <c r="A436" s="34" t="s">
        <v>1307</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row>
    <row r="437" spans="1:29" x14ac:dyDescent="0.35">
      <c r="A437" s="34" t="s">
        <v>653</v>
      </c>
      <c r="B437" s="37" t="s">
        <v>25</v>
      </c>
      <c r="C437" s="34" t="s">
        <v>1779</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row>
    <row r="438" spans="1:29" x14ac:dyDescent="0.35">
      <c r="A438" s="34" t="s">
        <v>1698</v>
      </c>
      <c r="B438" s="37" t="s">
        <v>25</v>
      </c>
      <c r="C438" s="34" t="s">
        <v>1779</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row>
    <row r="439" spans="1:29" x14ac:dyDescent="0.35">
      <c r="A439" s="34" t="s">
        <v>656</v>
      </c>
      <c r="B439" s="37" t="s">
        <v>25</v>
      </c>
      <c r="C439" s="34" t="s">
        <v>1779</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row>
    <row r="440" spans="1:29" x14ac:dyDescent="0.35">
      <c r="A440" s="34" t="s">
        <v>659</v>
      </c>
      <c r="B440" s="37" t="s">
        <v>25</v>
      </c>
      <c r="C440" s="34" t="s">
        <v>1779</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row>
    <row r="441" spans="1:29" x14ac:dyDescent="0.35">
      <c r="A441" s="34" t="s">
        <v>662</v>
      </c>
      <c r="B441" s="37" t="s">
        <v>25</v>
      </c>
      <c r="C441" s="34" t="s">
        <v>1779</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row>
    <row r="442" spans="1:29" x14ac:dyDescent="0.35">
      <c r="A442" s="34" t="s">
        <v>1310</v>
      </c>
      <c r="B442" s="37" t="s">
        <v>25</v>
      </c>
      <c r="C442" s="34" t="s">
        <v>1779</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row>
    <row r="443" spans="1:29" x14ac:dyDescent="0.35">
      <c r="A443" s="34" t="s">
        <v>1313</v>
      </c>
      <c r="B443" s="37" t="s">
        <v>25</v>
      </c>
      <c r="C443" s="34" t="s">
        <v>1779</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row>
    <row r="444" spans="1:29" x14ac:dyDescent="0.35">
      <c r="A444" s="34" t="s">
        <v>665</v>
      </c>
      <c r="B444" s="37" t="s">
        <v>25</v>
      </c>
      <c r="C444" s="34" t="s">
        <v>1779</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row>
    <row r="445" spans="1:29" x14ac:dyDescent="0.35">
      <c r="A445" s="34" t="s">
        <v>668</v>
      </c>
      <c r="B445" s="37" t="s">
        <v>25</v>
      </c>
      <c r="C445" s="34" t="s">
        <v>1779</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row>
    <row r="446" spans="1:29" x14ac:dyDescent="0.35">
      <c r="A446" s="34" t="s">
        <v>1575</v>
      </c>
      <c r="B446" s="37" t="s">
        <v>25</v>
      </c>
      <c r="C446" s="34" t="s">
        <v>1779</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row>
    <row r="447" spans="1:29" x14ac:dyDescent="0.35">
      <c r="A447" s="34" t="s">
        <v>1315</v>
      </c>
      <c r="B447" s="37" t="s">
        <v>25</v>
      </c>
      <c r="C447" s="34" t="s">
        <v>1779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row>
    <row r="448" spans="1:29" x14ac:dyDescent="0.35">
      <c r="A448" s="34" t="s">
        <v>953</v>
      </c>
      <c r="B448" s="37" t="s">
        <v>25</v>
      </c>
      <c r="C448" s="34" t="s">
        <v>954</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row>
    <row r="449" spans="1:29" x14ac:dyDescent="0.35">
      <c r="A449" s="34" t="s">
        <v>957</v>
      </c>
      <c r="B449" s="37" t="s">
        <v>25</v>
      </c>
      <c r="C449" s="34" t="s">
        <v>954</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row>
    <row r="450" spans="1:29" x14ac:dyDescent="0.35">
      <c r="A450" s="34" t="s">
        <v>966</v>
      </c>
      <c r="B450" s="37" t="s">
        <v>25</v>
      </c>
      <c r="C450" s="34" t="s">
        <v>954</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row>
    <row r="451" spans="1:29" x14ac:dyDescent="0.35">
      <c r="A451" s="34" t="s">
        <v>1358</v>
      </c>
      <c r="B451" s="37" t="s">
        <v>25</v>
      </c>
      <c r="C451" s="34" t="s">
        <v>954</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row>
    <row r="452" spans="1:29" x14ac:dyDescent="0.35">
      <c r="A452" s="35" t="s">
        <v>1734</v>
      </c>
      <c r="B452" s="41" t="s">
        <v>25</v>
      </c>
      <c r="C452" s="35" t="s">
        <v>954</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row>
    <row r="453" spans="1:29" x14ac:dyDescent="0.35">
      <c r="A453" s="34" t="s">
        <v>1595</v>
      </c>
      <c r="B453" s="37" t="s">
        <v>25</v>
      </c>
      <c r="C453" s="34" t="s">
        <v>954</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row>
    <row r="454" spans="1:29" x14ac:dyDescent="0.35">
      <c r="A454" s="34" t="s">
        <v>1701</v>
      </c>
      <c r="B454" s="37" t="s">
        <v>25</v>
      </c>
      <c r="C454" s="34" t="s">
        <v>954</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row>
    <row r="455" spans="1:29" x14ac:dyDescent="0.35">
      <c r="A455" s="34" t="s">
        <v>1703</v>
      </c>
      <c r="B455" s="37" t="s">
        <v>25</v>
      </c>
      <c r="C455" s="34" t="s">
        <v>954</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row>
    <row r="456" spans="1:29" x14ac:dyDescent="0.35">
      <c r="A456" s="34" t="s">
        <v>960</v>
      </c>
      <c r="B456" s="37" t="s">
        <v>25</v>
      </c>
      <c r="C456" s="34" t="s">
        <v>954</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row>
    <row r="457" spans="1:29" x14ac:dyDescent="0.35">
      <c r="A457" s="34" t="s">
        <v>1337</v>
      </c>
      <c r="B457" s="37" t="s">
        <v>25</v>
      </c>
      <c r="C457" s="34" t="s">
        <v>954</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row>
    <row r="458" spans="1:29" x14ac:dyDescent="0.35">
      <c r="A458" s="34" t="s">
        <v>1340</v>
      </c>
      <c r="B458" s="37" t="s">
        <v>25</v>
      </c>
      <c r="C458" s="34" t="s">
        <v>954</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row>
    <row r="459" spans="1:29" x14ac:dyDescent="0.35">
      <c r="A459" s="34" t="s">
        <v>1362</v>
      </c>
      <c r="B459" s="37" t="s">
        <v>25</v>
      </c>
      <c r="C459" s="34" t="s">
        <v>954</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row>
    <row r="460" spans="1:29" x14ac:dyDescent="0.35">
      <c r="A460" s="34" t="s">
        <v>963</v>
      </c>
      <c r="B460" s="37" t="s">
        <v>25</v>
      </c>
      <c r="C460" s="34" t="s">
        <v>954</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row>
    <row r="461" spans="1:29" x14ac:dyDescent="0.35">
      <c r="A461" s="34" t="s">
        <v>1587</v>
      </c>
      <c r="B461" s="37" t="s">
        <v>25</v>
      </c>
      <c r="C461" s="34" t="s">
        <v>954</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row>
    <row r="462" spans="1:29" x14ac:dyDescent="0.35">
      <c r="A462" s="34" t="s">
        <v>1343</v>
      </c>
      <c r="B462" s="37" t="s">
        <v>25</v>
      </c>
      <c r="C462" s="34" t="s">
        <v>954</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row>
    <row r="463" spans="1:29" x14ac:dyDescent="0.35">
      <c r="A463" s="34" t="s">
        <v>1352</v>
      </c>
      <c r="B463" s="37" t="s">
        <v>25</v>
      </c>
      <c r="C463" s="34" t="s">
        <v>954</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row>
    <row r="464" spans="1:29" x14ac:dyDescent="0.35">
      <c r="A464" s="34" t="s">
        <v>1360</v>
      </c>
      <c r="B464" s="37" t="s">
        <v>25</v>
      </c>
      <c r="C464" s="34" t="s">
        <v>954</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row>
    <row r="465" spans="1:29" x14ac:dyDescent="0.35">
      <c r="A465" s="34" t="s">
        <v>1355</v>
      </c>
      <c r="B465" s="37" t="s">
        <v>25</v>
      </c>
      <c r="C465" s="34" t="s">
        <v>954</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row>
    <row r="466" spans="1:29" x14ac:dyDescent="0.35">
      <c r="A466" s="34" t="s">
        <v>1602</v>
      </c>
      <c r="B466" s="37" t="s">
        <v>25</v>
      </c>
      <c r="C466" s="34" t="s">
        <v>954</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row>
    <row r="467" spans="1:29" x14ac:dyDescent="0.35">
      <c r="A467" s="34" t="s">
        <v>1346</v>
      </c>
      <c r="B467" s="37" t="s">
        <v>25</v>
      </c>
      <c r="C467" s="34" t="s">
        <v>954</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row>
    <row r="468" spans="1:29" x14ac:dyDescent="0.35">
      <c r="A468" s="34" t="s">
        <v>1349</v>
      </c>
      <c r="B468" s="37" t="s">
        <v>25</v>
      </c>
      <c r="C468" s="34" t="s">
        <v>954</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row>
    <row r="469" spans="1:29" x14ac:dyDescent="0.35">
      <c r="A469" s="34" t="s">
        <v>1365</v>
      </c>
      <c r="B469" s="37" t="s">
        <v>25</v>
      </c>
      <c r="C469" s="34" t="s">
        <v>724</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row>
    <row r="470" spans="1:29" x14ac:dyDescent="0.35">
      <c r="A470" s="34" t="s">
        <v>1368</v>
      </c>
      <c r="B470" s="37" t="s">
        <v>25</v>
      </c>
      <c r="C470" s="34" t="s">
        <v>724</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row>
    <row r="471" spans="1:29" x14ac:dyDescent="0.35">
      <c r="A471" s="34" t="s">
        <v>1674</v>
      </c>
      <c r="B471" s="37" t="s">
        <v>25</v>
      </c>
      <c r="C471" s="34" t="s">
        <v>724</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row>
    <row r="472" spans="1:29" x14ac:dyDescent="0.35">
      <c r="A472" s="34" t="s">
        <v>1371</v>
      </c>
      <c r="B472" s="37" t="s">
        <v>25</v>
      </c>
      <c r="C472" s="34" t="s">
        <v>724</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row>
    <row r="473" spans="1:29" x14ac:dyDescent="0.35">
      <c r="A473" s="34" t="s">
        <v>1374</v>
      </c>
      <c r="B473" s="37" t="s">
        <v>25</v>
      </c>
      <c r="C473" s="34" t="s">
        <v>724</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row>
    <row r="474" spans="1:29" x14ac:dyDescent="0.35">
      <c r="A474" s="34" t="s">
        <v>1640</v>
      </c>
      <c r="B474" s="37" t="s">
        <v>25</v>
      </c>
      <c r="C474" s="34" t="s">
        <v>724</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row>
    <row r="475" spans="1:29" x14ac:dyDescent="0.35">
      <c r="A475" s="34" t="s">
        <v>1705</v>
      </c>
      <c r="B475" s="37" t="s">
        <v>25</v>
      </c>
      <c r="C475" s="34" t="s">
        <v>724</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row>
    <row r="476" spans="1:29" x14ac:dyDescent="0.35">
      <c r="A476" s="34" t="s">
        <v>1376</v>
      </c>
      <c r="B476" s="37" t="s">
        <v>25</v>
      </c>
      <c r="C476" s="34" t="s">
        <v>724</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row>
    <row r="477" spans="1:29" x14ac:dyDescent="0.35">
      <c r="A477" s="34" t="s">
        <v>1379</v>
      </c>
      <c r="B477" s="37" t="s">
        <v>25</v>
      </c>
      <c r="C477" s="34" t="s">
        <v>724</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row>
    <row r="478" spans="1:29" x14ac:dyDescent="0.35">
      <c r="A478" s="34" t="s">
        <v>1382</v>
      </c>
      <c r="B478" s="37" t="s">
        <v>25</v>
      </c>
      <c r="C478" s="34" t="s">
        <v>724</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row>
    <row r="479" spans="1:29" x14ac:dyDescent="0.35">
      <c r="A479" s="34" t="s">
        <v>723</v>
      </c>
      <c r="B479" s="37" t="s">
        <v>25</v>
      </c>
      <c r="C479" s="34" t="s">
        <v>724</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row>
    <row r="480" spans="1:29" x14ac:dyDescent="0.35">
      <c r="A480" s="34" t="s">
        <v>727</v>
      </c>
      <c r="B480" s="37" t="s">
        <v>25</v>
      </c>
      <c r="C480" s="34" t="s">
        <v>724</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row>
    <row r="481" spans="1:29" x14ac:dyDescent="0.35">
      <c r="A481" s="34" t="s">
        <v>1384</v>
      </c>
      <c r="B481" s="37" t="s">
        <v>25</v>
      </c>
      <c r="C481" s="34" t="s">
        <v>724</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row>
    <row r="482" spans="1:29" x14ac:dyDescent="0.35">
      <c r="A482" s="34" t="s">
        <v>1387</v>
      </c>
      <c r="B482" s="37" t="s">
        <v>25</v>
      </c>
      <c r="C482" s="34" t="s">
        <v>724</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row>
    <row r="483" spans="1:29" x14ac:dyDescent="0.35">
      <c r="A483" s="34" t="s">
        <v>730</v>
      </c>
      <c r="B483" s="37" t="s">
        <v>25</v>
      </c>
      <c r="C483" s="34" t="s">
        <v>724</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row>
    <row r="484" spans="1:29" x14ac:dyDescent="0.35">
      <c r="A484" s="34" t="s">
        <v>1389</v>
      </c>
      <c r="B484" s="37" t="s">
        <v>25</v>
      </c>
      <c r="C484" s="34" t="s">
        <v>724</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row>
    <row r="485" spans="1:29" x14ac:dyDescent="0.35">
      <c r="A485" s="34" t="s">
        <v>733</v>
      </c>
      <c r="B485" s="37" t="s">
        <v>25</v>
      </c>
      <c r="C485" s="34" t="s">
        <v>724</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row>
    <row r="486" spans="1:29" x14ac:dyDescent="0.35">
      <c r="A486" s="34" t="s">
        <v>1392</v>
      </c>
      <c r="B486" s="37" t="s">
        <v>25</v>
      </c>
      <c r="C486" s="34" t="s">
        <v>724</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row>
    <row r="487" spans="1:29" x14ac:dyDescent="0.35">
      <c r="A487" s="34" t="s">
        <v>1395</v>
      </c>
      <c r="B487" s="37" t="s">
        <v>25</v>
      </c>
      <c r="C487" s="34" t="s">
        <v>724</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row>
    <row r="488" spans="1:29" x14ac:dyDescent="0.35">
      <c r="A488" s="34" t="s">
        <v>736</v>
      </c>
      <c r="B488" s="37" t="s">
        <v>25</v>
      </c>
      <c r="C488" s="34" t="s">
        <v>724</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row>
    <row r="489" spans="1:29" x14ac:dyDescent="0.35">
      <c r="A489" s="34" t="s">
        <v>1398</v>
      </c>
      <c r="B489" s="37" t="s">
        <v>25</v>
      </c>
      <c r="C489" s="34" t="s">
        <v>724</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row>
    <row r="490" spans="1:29" x14ac:dyDescent="0.35">
      <c r="A490" s="34" t="s">
        <v>739</v>
      </c>
      <c r="B490" s="37" t="s">
        <v>25</v>
      </c>
      <c r="C490" s="34" t="s">
        <v>724</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row>
    <row r="491" spans="1:29" x14ac:dyDescent="0.35">
      <c r="A491" s="34" t="s">
        <v>742</v>
      </c>
      <c r="B491" s="37" t="s">
        <v>25</v>
      </c>
      <c r="C491" s="34" t="s">
        <v>724</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row>
    <row r="492" spans="1:29" x14ac:dyDescent="0.35">
      <c r="A492" s="35" t="s">
        <v>1740</v>
      </c>
      <c r="B492" s="41" t="s">
        <v>25</v>
      </c>
      <c r="C492" s="35" t="s">
        <v>755</v>
      </c>
      <c r="D492" s="33" t="s">
        <v>1775</v>
      </c>
      <c r="E492" s="35" t="s">
        <v>1441</v>
      </c>
      <c r="F492" s="35" t="s">
        <v>1741</v>
      </c>
      <c r="G492" s="35" t="s">
        <v>180</v>
      </c>
      <c r="H492" s="41">
        <v>3</v>
      </c>
      <c r="I492" s="35" t="s">
        <v>181</v>
      </c>
      <c r="J492" s="35" t="s">
        <v>182</v>
      </c>
      <c r="K492" s="35" t="s">
        <v>32</v>
      </c>
      <c r="L492" s="35" t="s">
        <v>1755</v>
      </c>
      <c r="M492" s="35" t="s">
        <v>33</v>
      </c>
      <c r="N492" s="41">
        <v>2</v>
      </c>
      <c r="O492" s="41">
        <v>0</v>
      </c>
      <c r="P492" s="41">
        <v>0</v>
      </c>
      <c r="Q492" s="42">
        <v>19.368091499999998</v>
      </c>
      <c r="R492" s="42">
        <v>-98.210456899999997</v>
      </c>
      <c r="S492" s="77" t="s">
        <v>34</v>
      </c>
      <c r="T492" s="77" t="s">
        <v>175</v>
      </c>
      <c r="U492" s="77" t="s">
        <v>35</v>
      </c>
      <c r="V492" s="77" t="s">
        <v>35</v>
      </c>
      <c r="W492" s="77" t="s">
        <v>1842</v>
      </c>
      <c r="X492" s="77" t="s">
        <v>35</v>
      </c>
      <c r="Y492" s="77" t="s">
        <v>1815</v>
      </c>
      <c r="Z492" s="77" t="s">
        <v>1842</v>
      </c>
      <c r="AA492" s="77"/>
      <c r="AB492" s="78" t="s">
        <v>1841</v>
      </c>
      <c r="AC492" s="99">
        <f t="shared" si="7"/>
        <v>0.77777777777777779</v>
      </c>
    </row>
    <row r="493" spans="1:29" x14ac:dyDescent="0.35">
      <c r="A493" s="34" t="s">
        <v>754</v>
      </c>
      <c r="B493" s="37" t="s">
        <v>25</v>
      </c>
      <c r="C493" s="34" t="s">
        <v>755</v>
      </c>
      <c r="D493" s="33" t="s">
        <v>1775</v>
      </c>
      <c r="E493" s="34" t="s">
        <v>756</v>
      </c>
      <c r="F493" s="34" t="s">
        <v>757</v>
      </c>
      <c r="G493" s="34" t="s">
        <v>29</v>
      </c>
      <c r="H493" s="37">
        <v>1</v>
      </c>
      <c r="I493" s="34" t="s">
        <v>30</v>
      </c>
      <c r="J493" s="34" t="s">
        <v>31</v>
      </c>
      <c r="K493" s="34" t="s">
        <v>32</v>
      </c>
      <c r="L493" s="34" t="s">
        <v>1755</v>
      </c>
      <c r="M493" s="34" t="s">
        <v>33</v>
      </c>
      <c r="N493" s="49">
        <v>13</v>
      </c>
      <c r="O493" s="50">
        <v>2</v>
      </c>
      <c r="P493" s="51">
        <v>18</v>
      </c>
      <c r="Q493" s="52">
        <v>19.3265101</v>
      </c>
      <c r="R493" s="52">
        <v>-97.647458900000004</v>
      </c>
      <c r="S493" s="77" t="s">
        <v>34</v>
      </c>
      <c r="T493" s="77" t="s">
        <v>175</v>
      </c>
      <c r="U493" s="77" t="s">
        <v>35</v>
      </c>
      <c r="V493" s="77" t="s">
        <v>35</v>
      </c>
      <c r="W493" s="77" t="s">
        <v>35</v>
      </c>
      <c r="X493" s="77" t="s">
        <v>35</v>
      </c>
      <c r="Y493" s="77" t="s">
        <v>1815</v>
      </c>
      <c r="Z493" s="77"/>
      <c r="AA493" s="77"/>
      <c r="AB493" s="78"/>
      <c r="AC493" s="99">
        <f t="shared" si="7"/>
        <v>0.66666666666666663</v>
      </c>
    </row>
    <row r="494" spans="1:29" x14ac:dyDescent="0.35">
      <c r="A494" s="34" t="s">
        <v>758</v>
      </c>
      <c r="B494" s="37" t="s">
        <v>25</v>
      </c>
      <c r="C494" s="34" t="s">
        <v>755</v>
      </c>
      <c r="D494" s="33" t="s">
        <v>1775</v>
      </c>
      <c r="E494" s="34" t="s">
        <v>759</v>
      </c>
      <c r="F494" s="34" t="s">
        <v>760</v>
      </c>
      <c r="G494" s="34" t="s">
        <v>29</v>
      </c>
      <c r="H494" s="37">
        <v>1</v>
      </c>
      <c r="I494" s="34" t="s">
        <v>30</v>
      </c>
      <c r="J494" s="34" t="s">
        <v>31</v>
      </c>
      <c r="K494" s="34" t="s">
        <v>32</v>
      </c>
      <c r="L494" s="34" t="s">
        <v>1755</v>
      </c>
      <c r="M494" s="34" t="s">
        <v>33</v>
      </c>
      <c r="N494" s="49">
        <v>12</v>
      </c>
      <c r="O494" s="50">
        <v>2</v>
      </c>
      <c r="P494" s="51">
        <v>21</v>
      </c>
      <c r="Q494" s="52">
        <v>19.333702800000001</v>
      </c>
      <c r="R494" s="52">
        <v>-98.1694806</v>
      </c>
      <c r="S494" s="77" t="s">
        <v>34</v>
      </c>
      <c r="T494" s="77" t="s">
        <v>175</v>
      </c>
      <c r="U494" s="77" t="s">
        <v>35</v>
      </c>
      <c r="V494" s="77" t="s">
        <v>35</v>
      </c>
      <c r="W494" s="77" t="s">
        <v>35</v>
      </c>
      <c r="X494" s="77" t="s">
        <v>35</v>
      </c>
      <c r="Y494" s="77" t="s">
        <v>1815</v>
      </c>
      <c r="Z494" s="77"/>
      <c r="AA494" s="77"/>
      <c r="AB494" s="78"/>
      <c r="AC494" s="99">
        <f t="shared" si="7"/>
        <v>0.66666666666666663</v>
      </c>
    </row>
    <row r="495" spans="1:29" x14ac:dyDescent="0.35">
      <c r="A495" s="38" t="s">
        <v>1434</v>
      </c>
      <c r="B495" s="61" t="s">
        <v>25</v>
      </c>
      <c r="C495" s="38" t="s">
        <v>755</v>
      </c>
      <c r="D495" s="33" t="s">
        <v>1775</v>
      </c>
      <c r="E495" s="38" t="s">
        <v>1435</v>
      </c>
      <c r="F495" s="38" t="s">
        <v>1436</v>
      </c>
      <c r="G495" s="65" t="s">
        <v>111</v>
      </c>
      <c r="H495" s="51">
        <v>1</v>
      </c>
      <c r="I495" s="65" t="s">
        <v>112</v>
      </c>
      <c r="J495" s="65" t="s">
        <v>31</v>
      </c>
      <c r="K495" s="65" t="s">
        <v>32</v>
      </c>
      <c r="L495" s="65" t="s">
        <v>1755</v>
      </c>
      <c r="M495" s="65" t="s">
        <v>33</v>
      </c>
      <c r="N495" s="51">
        <v>21</v>
      </c>
      <c r="O495" s="51">
        <v>6</v>
      </c>
      <c r="P495" s="51">
        <v>107</v>
      </c>
      <c r="Q495" s="86">
        <v>19.408774999999999</v>
      </c>
      <c r="R495" s="86">
        <v>-98.117972199999997</v>
      </c>
      <c r="S495" s="80" t="s">
        <v>34</v>
      </c>
      <c r="T495" s="80" t="s">
        <v>175</v>
      </c>
      <c r="U495" s="77" t="s">
        <v>35</v>
      </c>
      <c r="V495" s="77" t="s">
        <v>35</v>
      </c>
      <c r="W495" s="77" t="s">
        <v>35</v>
      </c>
      <c r="X495" s="77" t="s">
        <v>35</v>
      </c>
      <c r="Y495" s="80" t="s">
        <v>1815</v>
      </c>
      <c r="Z495" s="77"/>
      <c r="AA495" s="77"/>
      <c r="AB495" s="81"/>
      <c r="AC495" s="99">
        <f t="shared" si="7"/>
        <v>0.66666666666666663</v>
      </c>
    </row>
    <row r="496" spans="1:29" x14ac:dyDescent="0.35">
      <c r="A496" s="34" t="s">
        <v>761</v>
      </c>
      <c r="B496" s="37" t="s">
        <v>25</v>
      </c>
      <c r="C496" s="34" t="s">
        <v>755</v>
      </c>
      <c r="D496" s="33" t="s">
        <v>1775</v>
      </c>
      <c r="E496" s="34" t="s">
        <v>762</v>
      </c>
      <c r="F496" s="34" t="s">
        <v>763</v>
      </c>
      <c r="G496" s="34" t="s">
        <v>29</v>
      </c>
      <c r="H496" s="37">
        <v>1</v>
      </c>
      <c r="I496" s="34" t="s">
        <v>30</v>
      </c>
      <c r="J496" s="34" t="s">
        <v>31</v>
      </c>
      <c r="K496" s="34" t="s">
        <v>32</v>
      </c>
      <c r="L496" s="34" t="s">
        <v>1755</v>
      </c>
      <c r="M496" s="34" t="s">
        <v>33</v>
      </c>
      <c r="N496" s="49">
        <v>14</v>
      </c>
      <c r="O496" s="50">
        <v>2</v>
      </c>
      <c r="P496" s="51">
        <v>28</v>
      </c>
      <c r="Q496" s="52">
        <v>19.202955599999999</v>
      </c>
      <c r="R496" s="52">
        <v>-98.249111099999993</v>
      </c>
      <c r="S496" s="77" t="s">
        <v>34</v>
      </c>
      <c r="T496" s="77" t="s">
        <v>175</v>
      </c>
      <c r="U496" s="77" t="s">
        <v>35</v>
      </c>
      <c r="V496" s="77" t="s">
        <v>35</v>
      </c>
      <c r="W496" s="77" t="s">
        <v>35</v>
      </c>
      <c r="X496" s="77" t="s">
        <v>35</v>
      </c>
      <c r="Y496" s="77" t="s">
        <v>1815</v>
      </c>
      <c r="Z496" s="77"/>
      <c r="AA496" s="77"/>
      <c r="AB496" s="78"/>
      <c r="AC496" s="99">
        <f t="shared" si="7"/>
        <v>0.66666666666666663</v>
      </c>
    </row>
    <row r="497" spans="1:29" x14ac:dyDescent="0.35">
      <c r="A497" s="34" t="s">
        <v>1437</v>
      </c>
      <c r="B497" s="37" t="s">
        <v>25</v>
      </c>
      <c r="C497" s="34" t="s">
        <v>755</v>
      </c>
      <c r="D497" s="33" t="s">
        <v>1775</v>
      </c>
      <c r="E497" s="34" t="s">
        <v>1438</v>
      </c>
      <c r="F497" s="34" t="s">
        <v>1439</v>
      </c>
      <c r="G497" s="34" t="s">
        <v>111</v>
      </c>
      <c r="H497" s="37">
        <v>1</v>
      </c>
      <c r="I497" s="34" t="s">
        <v>112</v>
      </c>
      <c r="J497" s="34" t="s">
        <v>31</v>
      </c>
      <c r="K497" s="34" t="s">
        <v>32</v>
      </c>
      <c r="L497" s="34" t="s">
        <v>1755</v>
      </c>
      <c r="M497" s="34" t="s">
        <v>33</v>
      </c>
      <c r="N497" s="49">
        <v>13</v>
      </c>
      <c r="O497" s="50">
        <v>3</v>
      </c>
      <c r="P497" s="51">
        <v>61</v>
      </c>
      <c r="Q497" s="52">
        <v>19.126875500000001</v>
      </c>
      <c r="R497" s="52">
        <v>-98.200689600000004</v>
      </c>
      <c r="S497" s="77" t="s">
        <v>34</v>
      </c>
      <c r="T497" s="77" t="s">
        <v>175</v>
      </c>
      <c r="U497" s="77" t="s">
        <v>35</v>
      </c>
      <c r="V497" s="77" t="s">
        <v>35</v>
      </c>
      <c r="W497" s="77" t="s">
        <v>35</v>
      </c>
      <c r="X497" s="77" t="s">
        <v>35</v>
      </c>
      <c r="Y497" s="77" t="s">
        <v>1815</v>
      </c>
      <c r="Z497" s="77"/>
      <c r="AA497" s="77"/>
      <c r="AB497" s="78"/>
      <c r="AC497" s="99">
        <f t="shared" si="7"/>
        <v>0.66666666666666663</v>
      </c>
    </row>
    <row r="498" spans="1:29" x14ac:dyDescent="0.35">
      <c r="A498" s="34" t="s">
        <v>764</v>
      </c>
      <c r="B498" s="37" t="s">
        <v>25</v>
      </c>
      <c r="C498" s="34" t="s">
        <v>755</v>
      </c>
      <c r="D498" s="33" t="s">
        <v>1775</v>
      </c>
      <c r="E498" s="34" t="s">
        <v>765</v>
      </c>
      <c r="F498" s="34" t="s">
        <v>766</v>
      </c>
      <c r="G498" s="34" t="s">
        <v>29</v>
      </c>
      <c r="H498" s="37">
        <v>1</v>
      </c>
      <c r="I498" s="34" t="s">
        <v>30</v>
      </c>
      <c r="J498" s="34" t="s">
        <v>31</v>
      </c>
      <c r="K498" s="34" t="s">
        <v>32</v>
      </c>
      <c r="L498" s="34" t="s">
        <v>1755</v>
      </c>
      <c r="M498" s="34" t="s">
        <v>33</v>
      </c>
      <c r="N498" s="49">
        <v>14</v>
      </c>
      <c r="O498" s="50">
        <v>2</v>
      </c>
      <c r="P498" s="51">
        <v>27</v>
      </c>
      <c r="Q498" s="52">
        <v>19.6195083</v>
      </c>
      <c r="R498" s="52">
        <v>-98.127930599999999</v>
      </c>
      <c r="S498" s="77" t="s">
        <v>34</v>
      </c>
      <c r="T498" s="77" t="s">
        <v>175</v>
      </c>
      <c r="U498" s="77" t="s">
        <v>35</v>
      </c>
      <c r="V498" s="77" t="s">
        <v>35</v>
      </c>
      <c r="W498" s="77" t="s">
        <v>35</v>
      </c>
      <c r="X498" s="77" t="s">
        <v>35</v>
      </c>
      <c r="Y498" s="77" t="s">
        <v>1815</v>
      </c>
      <c r="Z498" s="77"/>
      <c r="AA498" s="77"/>
      <c r="AB498" s="78"/>
      <c r="AC498" s="99">
        <f t="shared" si="7"/>
        <v>0.66666666666666663</v>
      </c>
    </row>
    <row r="499" spans="1:29" x14ac:dyDescent="0.35">
      <c r="A499" s="38" t="s">
        <v>1440</v>
      </c>
      <c r="B499" s="61" t="s">
        <v>25</v>
      </c>
      <c r="C499" s="38" t="s">
        <v>755</v>
      </c>
      <c r="D499" s="33" t="s">
        <v>1775</v>
      </c>
      <c r="E499" s="38" t="s">
        <v>1441</v>
      </c>
      <c r="F499" s="38" t="s">
        <v>1442</v>
      </c>
      <c r="G499" s="65" t="s">
        <v>111</v>
      </c>
      <c r="H499" s="51">
        <v>1</v>
      </c>
      <c r="I499" s="65" t="s">
        <v>112</v>
      </c>
      <c r="J499" s="65" t="s">
        <v>31</v>
      </c>
      <c r="K499" s="65" t="s">
        <v>32</v>
      </c>
      <c r="L499" s="65" t="s">
        <v>1756</v>
      </c>
      <c r="M499" s="65" t="s">
        <v>33</v>
      </c>
      <c r="N499" s="51">
        <v>37</v>
      </c>
      <c r="O499" s="51">
        <v>7</v>
      </c>
      <c r="P499" s="51">
        <v>140</v>
      </c>
      <c r="Q499" s="86">
        <v>19.3698807</v>
      </c>
      <c r="R499" s="86">
        <v>-98.216435399999995</v>
      </c>
      <c r="S499" s="80" t="s">
        <v>34</v>
      </c>
      <c r="T499" s="80" t="s">
        <v>175</v>
      </c>
      <c r="U499" s="77" t="s">
        <v>35</v>
      </c>
      <c r="V499" s="77" t="s">
        <v>35</v>
      </c>
      <c r="W499" s="77" t="s">
        <v>35</v>
      </c>
      <c r="X499" s="77" t="s">
        <v>35</v>
      </c>
      <c r="Y499" s="80" t="s">
        <v>1815</v>
      </c>
      <c r="Z499" s="77"/>
      <c r="AA499" s="77"/>
      <c r="AB499" s="81"/>
      <c r="AC499" s="99">
        <f t="shared" si="7"/>
        <v>0.66666666666666663</v>
      </c>
    </row>
    <row r="500" spans="1:29" x14ac:dyDescent="0.35">
      <c r="A500" s="34" t="s">
        <v>1585</v>
      </c>
      <c r="B500" s="37" t="s">
        <v>25</v>
      </c>
      <c r="C500" s="34" t="s">
        <v>755</v>
      </c>
      <c r="D500" s="33" t="s">
        <v>1775</v>
      </c>
      <c r="E500" s="34" t="s">
        <v>1441</v>
      </c>
      <c r="F500" s="34" t="s">
        <v>1586</v>
      </c>
      <c r="G500" s="34" t="s">
        <v>164</v>
      </c>
      <c r="H500" s="37">
        <v>2</v>
      </c>
      <c r="I500" s="34" t="s">
        <v>155</v>
      </c>
      <c r="J500" s="34" t="s">
        <v>31</v>
      </c>
      <c r="K500" s="34" t="s">
        <v>32</v>
      </c>
      <c r="L500" s="34" t="s">
        <v>1756</v>
      </c>
      <c r="M500" s="34" t="s">
        <v>33</v>
      </c>
      <c r="N500" s="49">
        <v>14</v>
      </c>
      <c r="O500" s="50">
        <v>3</v>
      </c>
      <c r="P500" s="51">
        <v>77</v>
      </c>
      <c r="Q500" s="52">
        <v>19.3683333</v>
      </c>
      <c r="R500" s="52">
        <v>-98.211333300000007</v>
      </c>
      <c r="S500" s="77" t="s">
        <v>34</v>
      </c>
      <c r="T500" s="77" t="s">
        <v>175</v>
      </c>
      <c r="U500" s="77" t="s">
        <v>35</v>
      </c>
      <c r="V500" s="77" t="s">
        <v>35</v>
      </c>
      <c r="W500" s="77" t="s">
        <v>35</v>
      </c>
      <c r="X500" s="77" t="s">
        <v>35</v>
      </c>
      <c r="Y500" s="77" t="s">
        <v>1815</v>
      </c>
      <c r="Z500" s="77"/>
      <c r="AA500" s="77"/>
      <c r="AB500" s="78"/>
      <c r="AC500" s="99">
        <f t="shared" si="7"/>
        <v>0.66666666666666663</v>
      </c>
    </row>
    <row r="501" spans="1:29" x14ac:dyDescent="0.35">
      <c r="A501" s="34" t="s">
        <v>1443</v>
      </c>
      <c r="B501" s="37" t="s">
        <v>25</v>
      </c>
      <c r="C501" s="34" t="s">
        <v>755</v>
      </c>
      <c r="D501" s="33" t="s">
        <v>1775</v>
      </c>
      <c r="E501" s="34" t="s">
        <v>1444</v>
      </c>
      <c r="F501" s="34" t="s">
        <v>1445</v>
      </c>
      <c r="G501" s="34" t="s">
        <v>111</v>
      </c>
      <c r="H501" s="37">
        <v>1</v>
      </c>
      <c r="I501" s="34" t="s">
        <v>112</v>
      </c>
      <c r="J501" s="34" t="s">
        <v>31</v>
      </c>
      <c r="K501" s="34" t="s">
        <v>32</v>
      </c>
      <c r="L501" s="34" t="s">
        <v>1755</v>
      </c>
      <c r="M501" s="34" t="s">
        <v>33</v>
      </c>
      <c r="N501" s="49">
        <v>15</v>
      </c>
      <c r="O501" s="50">
        <v>3</v>
      </c>
      <c r="P501" s="51">
        <v>67</v>
      </c>
      <c r="Q501" s="52">
        <v>19.582561800000001</v>
      </c>
      <c r="R501" s="52">
        <v>-98.536741599999999</v>
      </c>
      <c r="S501" s="77" t="s">
        <v>34</v>
      </c>
      <c r="T501" s="77" t="s">
        <v>175</v>
      </c>
      <c r="U501" s="77" t="s">
        <v>35</v>
      </c>
      <c r="V501" s="77" t="s">
        <v>35</v>
      </c>
      <c r="W501" s="77" t="s">
        <v>35</v>
      </c>
      <c r="X501" s="77" t="s">
        <v>35</v>
      </c>
      <c r="Y501" s="77" t="s">
        <v>1815</v>
      </c>
      <c r="Z501" s="77"/>
      <c r="AA501" s="77"/>
      <c r="AB501" s="78"/>
      <c r="AC501" s="99">
        <f t="shared" si="7"/>
        <v>0.66666666666666663</v>
      </c>
    </row>
    <row r="502" spans="1:29" x14ac:dyDescent="0.35">
      <c r="A502" s="34" t="s">
        <v>1570</v>
      </c>
      <c r="B502" s="37" t="s">
        <v>25</v>
      </c>
      <c r="C502" s="34" t="s">
        <v>755</v>
      </c>
      <c r="D502" s="33" t="s">
        <v>1775</v>
      </c>
      <c r="E502" s="34" t="s">
        <v>1441</v>
      </c>
      <c r="F502" s="34" t="s">
        <v>1564</v>
      </c>
      <c r="G502" s="34" t="s">
        <v>164</v>
      </c>
      <c r="H502" s="37">
        <v>2</v>
      </c>
      <c r="I502" s="34" t="s">
        <v>155</v>
      </c>
      <c r="J502" s="34" t="s">
        <v>31</v>
      </c>
      <c r="K502" s="34" t="s">
        <v>32</v>
      </c>
      <c r="L502" s="34" t="s">
        <v>1755</v>
      </c>
      <c r="M502" s="34" t="s">
        <v>33</v>
      </c>
      <c r="N502" s="49">
        <v>10</v>
      </c>
      <c r="O502" s="50">
        <v>3</v>
      </c>
      <c r="P502" s="51">
        <v>65</v>
      </c>
      <c r="Q502" s="52">
        <v>19.368702800000001</v>
      </c>
      <c r="R502" s="52">
        <v>-98.212519900000004</v>
      </c>
      <c r="S502" s="77" t="s">
        <v>34</v>
      </c>
      <c r="T502" s="77" t="s">
        <v>175</v>
      </c>
      <c r="U502" s="77" t="s">
        <v>35</v>
      </c>
      <c r="V502" s="77" t="s">
        <v>35</v>
      </c>
      <c r="W502" s="77" t="s">
        <v>35</v>
      </c>
      <c r="X502" s="77" t="s">
        <v>35</v>
      </c>
      <c r="Y502" s="77" t="s">
        <v>1815</v>
      </c>
      <c r="Z502" s="77"/>
      <c r="AA502" s="77"/>
      <c r="AB502" s="78"/>
      <c r="AC502" s="99">
        <f t="shared" si="7"/>
        <v>0.66666666666666663</v>
      </c>
    </row>
    <row r="503" spans="1:29" x14ac:dyDescent="0.35">
      <c r="A503" s="34" t="s">
        <v>1446</v>
      </c>
      <c r="B503" s="37" t="s">
        <v>25</v>
      </c>
      <c r="C503" s="34" t="s">
        <v>755</v>
      </c>
      <c r="D503" s="33" t="s">
        <v>1775</v>
      </c>
      <c r="E503" s="34" t="s">
        <v>1447</v>
      </c>
      <c r="F503" s="34" t="s">
        <v>1448</v>
      </c>
      <c r="G503" s="34" t="s">
        <v>111</v>
      </c>
      <c r="H503" s="37">
        <v>1</v>
      </c>
      <c r="I503" s="34" t="s">
        <v>112</v>
      </c>
      <c r="J503" s="34" t="s">
        <v>31</v>
      </c>
      <c r="K503" s="34" t="s">
        <v>32</v>
      </c>
      <c r="L503" s="34" t="s">
        <v>1755</v>
      </c>
      <c r="M503" s="34" t="s">
        <v>33</v>
      </c>
      <c r="N503" s="49">
        <v>8</v>
      </c>
      <c r="O503" s="50">
        <v>2</v>
      </c>
      <c r="P503" s="51">
        <v>50</v>
      </c>
      <c r="Q503" s="52">
        <v>19.224226600000001</v>
      </c>
      <c r="R503" s="52">
        <v>-98.317484800000003</v>
      </c>
      <c r="S503" s="77" t="s">
        <v>34</v>
      </c>
      <c r="T503" s="77" t="s">
        <v>175</v>
      </c>
      <c r="U503" s="77" t="s">
        <v>35</v>
      </c>
      <c r="V503" s="77" t="s">
        <v>35</v>
      </c>
      <c r="W503" s="77" t="s">
        <v>35</v>
      </c>
      <c r="X503" s="77" t="s">
        <v>35</v>
      </c>
      <c r="Y503" s="77" t="s">
        <v>1815</v>
      </c>
      <c r="Z503" s="77"/>
      <c r="AA503" s="77"/>
      <c r="AB503" s="78"/>
      <c r="AC503" s="99">
        <f t="shared" si="7"/>
        <v>0.66666666666666663</v>
      </c>
    </row>
    <row r="504" spans="1:29" x14ac:dyDescent="0.35">
      <c r="A504" s="34" t="s">
        <v>1449</v>
      </c>
      <c r="B504" s="37" t="s">
        <v>25</v>
      </c>
      <c r="C504" s="34" t="s">
        <v>755</v>
      </c>
      <c r="D504" s="33" t="s">
        <v>1775</v>
      </c>
      <c r="E504" s="34" t="s">
        <v>1450</v>
      </c>
      <c r="F504" s="34" t="s">
        <v>1451</v>
      </c>
      <c r="G504" s="34" t="s">
        <v>111</v>
      </c>
      <c r="H504" s="37">
        <v>1</v>
      </c>
      <c r="I504" s="34" t="s">
        <v>112</v>
      </c>
      <c r="J504" s="34" t="s">
        <v>31</v>
      </c>
      <c r="K504" s="34" t="s">
        <v>32</v>
      </c>
      <c r="L504" s="34" t="s">
        <v>1755</v>
      </c>
      <c r="M504" s="34" t="s">
        <v>33</v>
      </c>
      <c r="N504" s="49">
        <v>14</v>
      </c>
      <c r="O504" s="50">
        <v>3</v>
      </c>
      <c r="P504" s="51">
        <v>81</v>
      </c>
      <c r="Q504" s="52">
        <v>19.3063</v>
      </c>
      <c r="R504" s="52">
        <v>-97.940791700000005</v>
      </c>
      <c r="S504" s="77" t="s">
        <v>34</v>
      </c>
      <c r="T504" s="77" t="s">
        <v>175</v>
      </c>
      <c r="U504" s="77" t="s">
        <v>35</v>
      </c>
      <c r="V504" s="77" t="s">
        <v>35</v>
      </c>
      <c r="W504" s="77" t="s">
        <v>35</v>
      </c>
      <c r="X504" s="77" t="s">
        <v>35</v>
      </c>
      <c r="Y504" s="77" t="s">
        <v>1815</v>
      </c>
      <c r="Z504" s="77"/>
      <c r="AA504" s="77"/>
      <c r="AB504" s="78"/>
      <c r="AC504" s="99">
        <f t="shared" si="7"/>
        <v>0.66666666666666663</v>
      </c>
    </row>
    <row r="505" spans="1:29" x14ac:dyDescent="0.35">
      <c r="A505" s="34" t="s">
        <v>745</v>
      </c>
      <c r="B505" s="37" t="s">
        <v>25</v>
      </c>
      <c r="C505" s="34" t="s">
        <v>159</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row>
    <row r="506" spans="1:29" x14ac:dyDescent="0.35">
      <c r="A506" s="34" t="s">
        <v>748</v>
      </c>
      <c r="B506" s="37" t="s">
        <v>25</v>
      </c>
      <c r="C506" s="34" t="s">
        <v>159</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row>
    <row r="507" spans="1:29" x14ac:dyDescent="0.35">
      <c r="A507" s="34" t="s">
        <v>1401</v>
      </c>
      <c r="B507" s="37" t="s">
        <v>25</v>
      </c>
      <c r="C507" s="34" t="s">
        <v>159</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row>
    <row r="508" spans="1:29" x14ac:dyDescent="0.35">
      <c r="A508" s="34" t="s">
        <v>1404</v>
      </c>
      <c r="B508" s="37" t="s">
        <v>25</v>
      </c>
      <c r="C508" s="34" t="s">
        <v>159</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row>
    <row r="509" spans="1:29" x14ac:dyDescent="0.35">
      <c r="A509" s="34" t="s">
        <v>1407</v>
      </c>
      <c r="B509" s="37" t="s">
        <v>25</v>
      </c>
      <c r="C509" s="34" t="s">
        <v>159</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row>
    <row r="510" spans="1:29" x14ac:dyDescent="0.35">
      <c r="A510" s="34" t="s">
        <v>1409</v>
      </c>
      <c r="B510" s="37" t="s">
        <v>25</v>
      </c>
      <c r="C510" s="34" t="s">
        <v>159</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row>
    <row r="511" spans="1:29" x14ac:dyDescent="0.35">
      <c r="A511" s="34" t="s">
        <v>1412</v>
      </c>
      <c r="B511" s="37" t="s">
        <v>25</v>
      </c>
      <c r="C511" s="34" t="s">
        <v>159</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row>
    <row r="512" spans="1:29" x14ac:dyDescent="0.35">
      <c r="A512" s="35" t="s">
        <v>1736</v>
      </c>
      <c r="B512" s="41" t="s">
        <v>25</v>
      </c>
      <c r="C512" s="35" t="s">
        <v>159</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row>
    <row r="513" spans="1:29" x14ac:dyDescent="0.35">
      <c r="A513" s="34" t="s">
        <v>1583</v>
      </c>
      <c r="B513" s="37" t="s">
        <v>25</v>
      </c>
      <c r="C513" s="34" t="s">
        <v>159</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row>
    <row r="514" spans="1:29" x14ac:dyDescent="0.35">
      <c r="A514" s="34" t="s">
        <v>1415</v>
      </c>
      <c r="B514" s="37" t="s">
        <v>25</v>
      </c>
      <c r="C514" s="34" t="s">
        <v>159</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row>
    <row r="515" spans="1:29" x14ac:dyDescent="0.35">
      <c r="A515" s="34" t="s">
        <v>1417</v>
      </c>
      <c r="B515" s="37" t="s">
        <v>25</v>
      </c>
      <c r="C515" s="34" t="s">
        <v>159</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row>
    <row r="516" spans="1:29" x14ac:dyDescent="0.35">
      <c r="A516" s="34" t="s">
        <v>1419</v>
      </c>
      <c r="B516" s="37" t="s">
        <v>25</v>
      </c>
      <c r="C516" s="34" t="s">
        <v>159</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row>
    <row r="517" spans="1:29" x14ac:dyDescent="0.35">
      <c r="A517" s="34" t="s">
        <v>1422</v>
      </c>
      <c r="B517" s="37" t="s">
        <v>25</v>
      </c>
      <c r="C517" s="34" t="s">
        <v>159</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row>
    <row r="518" spans="1:29" x14ac:dyDescent="0.35">
      <c r="A518" s="34" t="s">
        <v>1707</v>
      </c>
      <c r="B518" s="37" t="s">
        <v>25</v>
      </c>
      <c r="C518" s="34" t="s">
        <v>159</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row>
    <row r="519" spans="1:29" x14ac:dyDescent="0.35">
      <c r="A519" s="34" t="s">
        <v>1425</v>
      </c>
      <c r="B519" s="37" t="s">
        <v>25</v>
      </c>
      <c r="C519" s="34" t="s">
        <v>159</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row>
    <row r="520" spans="1:29" x14ac:dyDescent="0.35">
      <c r="A520" s="34" t="s">
        <v>1579</v>
      </c>
      <c r="B520" s="37" t="s">
        <v>25</v>
      </c>
      <c r="C520" s="34" t="s">
        <v>159</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row>
    <row r="521" spans="1:29" x14ac:dyDescent="0.35">
      <c r="A521" s="34" t="s">
        <v>158</v>
      </c>
      <c r="B521" s="37" t="s">
        <v>25</v>
      </c>
      <c r="C521" s="34" t="s">
        <v>1771</v>
      </c>
      <c r="D521" s="34" t="s">
        <v>1771</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row>
    <row r="522" spans="1:29" x14ac:dyDescent="0.35">
      <c r="A522" s="34" t="s">
        <v>1428</v>
      </c>
      <c r="B522" s="37" t="s">
        <v>25</v>
      </c>
      <c r="C522" s="34" t="s">
        <v>159</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row>
    <row r="523" spans="1:29" x14ac:dyDescent="0.35">
      <c r="A523" s="34" t="s">
        <v>1431</v>
      </c>
      <c r="B523" s="37" t="s">
        <v>25</v>
      </c>
      <c r="C523" s="34" t="s">
        <v>159</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row>
    <row r="524" spans="1:29" x14ac:dyDescent="0.35">
      <c r="A524" s="34" t="s">
        <v>751</v>
      </c>
      <c r="B524" s="37" t="s">
        <v>25</v>
      </c>
      <c r="C524" s="34" t="s">
        <v>159</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row>
    <row r="525" spans="1:29" ht="29" x14ac:dyDescent="0.35">
      <c r="A525" s="35" t="s">
        <v>1738</v>
      </c>
      <c r="B525" s="41" t="s">
        <v>25</v>
      </c>
      <c r="C525" s="35" t="s">
        <v>159</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row>
    <row r="526" spans="1:29" x14ac:dyDescent="0.35">
      <c r="A526" s="35" t="s">
        <v>1744</v>
      </c>
      <c r="B526" s="41" t="s">
        <v>25</v>
      </c>
      <c r="C526" s="35" t="s">
        <v>159</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1842</v>
      </c>
      <c r="X526" s="77"/>
      <c r="Y526" s="77"/>
      <c r="Z526" s="77" t="s">
        <v>1842</v>
      </c>
      <c r="AA526" s="77"/>
      <c r="AB526" s="78"/>
      <c r="AC526" s="99">
        <f t="shared" si="8"/>
        <v>0.48148148148148157</v>
      </c>
    </row>
    <row r="527" spans="1:29" x14ac:dyDescent="0.35">
      <c r="A527" s="34" t="s">
        <v>1452</v>
      </c>
      <c r="B527" s="37" t="s">
        <v>25</v>
      </c>
      <c r="C527" s="34" t="s">
        <v>1510</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row>
    <row r="528" spans="1:29" x14ac:dyDescent="0.35">
      <c r="A528" s="34" t="s">
        <v>767</v>
      </c>
      <c r="B528" s="37" t="s">
        <v>25</v>
      </c>
      <c r="C528" s="34" t="s">
        <v>1510</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row>
    <row r="529" spans="1:29" x14ac:dyDescent="0.35">
      <c r="A529" s="34" t="s">
        <v>770</v>
      </c>
      <c r="B529" s="37" t="s">
        <v>25</v>
      </c>
      <c r="C529" s="34" t="s">
        <v>1510</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row>
    <row r="530" spans="1:29" x14ac:dyDescent="0.35">
      <c r="A530" s="34" t="s">
        <v>773</v>
      </c>
      <c r="B530" s="37" t="s">
        <v>25</v>
      </c>
      <c r="C530" s="34" t="s">
        <v>1510</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row>
    <row r="531" spans="1:29" x14ac:dyDescent="0.35">
      <c r="A531" s="34" t="s">
        <v>1455</v>
      </c>
      <c r="B531" s="37" t="s">
        <v>25</v>
      </c>
      <c r="C531" s="34" t="s">
        <v>1510</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row>
    <row r="532" spans="1:29" x14ac:dyDescent="0.35">
      <c r="A532" s="34" t="s">
        <v>1458</v>
      </c>
      <c r="B532" s="37" t="s">
        <v>25</v>
      </c>
      <c r="C532" s="34" t="s">
        <v>1510</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row>
    <row r="533" spans="1:29" x14ac:dyDescent="0.35">
      <c r="A533" s="34" t="s">
        <v>1461</v>
      </c>
      <c r="B533" s="37" t="s">
        <v>25</v>
      </c>
      <c r="C533" s="34" t="s">
        <v>1510</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row>
    <row r="534" spans="1:29" x14ac:dyDescent="0.35">
      <c r="A534" s="34" t="s">
        <v>776</v>
      </c>
      <c r="B534" s="37" t="s">
        <v>25</v>
      </c>
      <c r="C534" s="34" t="s">
        <v>1510</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row>
    <row r="535" spans="1:29" x14ac:dyDescent="0.35">
      <c r="A535" s="34" t="s">
        <v>1464</v>
      </c>
      <c r="B535" s="37" t="s">
        <v>25</v>
      </c>
      <c r="C535" s="34" t="s">
        <v>1510</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row>
    <row r="536" spans="1:29" x14ac:dyDescent="0.35">
      <c r="A536" s="34" t="s">
        <v>779</v>
      </c>
      <c r="B536" s="37" t="s">
        <v>25</v>
      </c>
      <c r="C536" s="34" t="s">
        <v>1510</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row>
    <row r="537" spans="1:29" x14ac:dyDescent="0.35">
      <c r="A537" s="34" t="s">
        <v>782</v>
      </c>
      <c r="B537" s="37" t="s">
        <v>25</v>
      </c>
      <c r="C537" s="34" t="s">
        <v>1510</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row>
    <row r="538" spans="1:29" x14ac:dyDescent="0.35">
      <c r="A538" s="34" t="s">
        <v>1467</v>
      </c>
      <c r="B538" s="37" t="s">
        <v>25</v>
      </c>
      <c r="C538" s="34" t="s">
        <v>1510</v>
      </c>
      <c r="D538" s="34" t="s">
        <v>1775</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row>
    <row r="539" spans="1:29" x14ac:dyDescent="0.35">
      <c r="A539" s="34" t="s">
        <v>1470</v>
      </c>
      <c r="B539" s="37" t="s">
        <v>25</v>
      </c>
      <c r="C539" s="34" t="s">
        <v>1510</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row>
    <row r="540" spans="1:29" x14ac:dyDescent="0.35">
      <c r="A540" s="34" t="s">
        <v>1472</v>
      </c>
      <c r="B540" s="37" t="s">
        <v>25</v>
      </c>
      <c r="C540" s="34" t="s">
        <v>1510</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row>
    <row r="541" spans="1:29" x14ac:dyDescent="0.35">
      <c r="A541" s="34" t="s">
        <v>1709</v>
      </c>
      <c r="B541" s="37" t="s">
        <v>25</v>
      </c>
      <c r="C541" s="34" t="s">
        <v>1510</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row>
    <row r="542" spans="1:29" x14ac:dyDescent="0.35">
      <c r="A542" s="34" t="s">
        <v>785</v>
      </c>
      <c r="B542" s="37" t="s">
        <v>25</v>
      </c>
      <c r="C542" s="34" t="s">
        <v>1510</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row>
    <row r="543" spans="1:29" x14ac:dyDescent="0.35">
      <c r="A543" s="34" t="s">
        <v>1474</v>
      </c>
      <c r="B543" s="37" t="s">
        <v>25</v>
      </c>
      <c r="C543" s="34" t="s">
        <v>1510</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row>
    <row r="544" spans="1:29" x14ac:dyDescent="0.35">
      <c r="A544" s="34" t="s">
        <v>1477</v>
      </c>
      <c r="B544" s="37" t="s">
        <v>25</v>
      </c>
      <c r="C544" s="34" t="s">
        <v>1510</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row>
    <row r="545" spans="1:29" x14ac:dyDescent="0.35">
      <c r="A545" s="34" t="s">
        <v>1480</v>
      </c>
      <c r="B545" s="37" t="s">
        <v>25</v>
      </c>
      <c r="C545" s="34" t="s">
        <v>1510</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row>
    <row r="546" spans="1:29" x14ac:dyDescent="0.35">
      <c r="A546" s="34" t="s">
        <v>788</v>
      </c>
      <c r="B546" s="37" t="s">
        <v>25</v>
      </c>
      <c r="C546" s="34" t="s">
        <v>1510</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row>
    <row r="547" spans="1:29" x14ac:dyDescent="0.35">
      <c r="A547" s="34" t="s">
        <v>1483</v>
      </c>
      <c r="B547" s="37" t="s">
        <v>25</v>
      </c>
      <c r="C547" s="34" t="s">
        <v>1510</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row>
    <row r="548" spans="1:29" x14ac:dyDescent="0.35">
      <c r="A548" s="34" t="s">
        <v>1486</v>
      </c>
      <c r="B548" s="37" t="s">
        <v>25</v>
      </c>
      <c r="C548" s="34" t="s">
        <v>1510</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row>
    <row r="549" spans="1:29" x14ac:dyDescent="0.35">
      <c r="A549" s="34" t="s">
        <v>791</v>
      </c>
      <c r="B549" s="37" t="s">
        <v>25</v>
      </c>
      <c r="C549" s="34" t="s">
        <v>1510</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row>
    <row r="550" spans="1:29" x14ac:dyDescent="0.35">
      <c r="A550" s="34" t="s">
        <v>1489</v>
      </c>
      <c r="B550" s="37" t="s">
        <v>25</v>
      </c>
      <c r="C550" s="34" t="s">
        <v>1510</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row>
    <row r="551" spans="1:29" x14ac:dyDescent="0.35">
      <c r="A551" s="34" t="s">
        <v>1492</v>
      </c>
      <c r="B551" s="37" t="s">
        <v>25</v>
      </c>
      <c r="C551" s="34" t="s">
        <v>1510</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row>
    <row r="552" spans="1:29" x14ac:dyDescent="0.35">
      <c r="A552" s="34" t="s">
        <v>1495</v>
      </c>
      <c r="B552" s="37" t="s">
        <v>25</v>
      </c>
      <c r="C552" s="34" t="s">
        <v>1510</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row>
    <row r="553" spans="1:29" x14ac:dyDescent="0.35">
      <c r="A553" s="34" t="s">
        <v>1498</v>
      </c>
      <c r="B553" s="37" t="s">
        <v>25</v>
      </c>
      <c r="C553" s="34" t="s">
        <v>1510</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row>
    <row r="554" spans="1:29" x14ac:dyDescent="0.35">
      <c r="A554" s="34" t="s">
        <v>1501</v>
      </c>
      <c r="B554" s="37" t="s">
        <v>25</v>
      </c>
      <c r="C554" s="34" t="s">
        <v>1510</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row>
    <row r="555" spans="1:29" x14ac:dyDescent="0.35">
      <c r="A555" s="34" t="s">
        <v>794</v>
      </c>
      <c r="B555" s="37" t="s">
        <v>25</v>
      </c>
      <c r="C555" s="34" t="s">
        <v>1510</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row>
    <row r="556" spans="1:29" x14ac:dyDescent="0.35">
      <c r="A556" s="34" t="s">
        <v>797</v>
      </c>
      <c r="B556" s="37" t="s">
        <v>25</v>
      </c>
      <c r="C556" s="34" t="s">
        <v>1510</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row>
    <row r="557" spans="1:29" x14ac:dyDescent="0.35">
      <c r="A557" s="34" t="s">
        <v>1504</v>
      </c>
      <c r="B557" s="37" t="s">
        <v>25</v>
      </c>
      <c r="C557" s="34" t="s">
        <v>1510</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row>
    <row r="558" spans="1:29" x14ac:dyDescent="0.35">
      <c r="A558" s="34" t="s">
        <v>800</v>
      </c>
      <c r="B558" s="37" t="s">
        <v>25</v>
      </c>
      <c r="C558" s="34" t="s">
        <v>1510</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row>
    <row r="559" spans="1:29" x14ac:dyDescent="0.35">
      <c r="A559" s="34" t="s">
        <v>803</v>
      </c>
      <c r="B559" s="37" t="s">
        <v>25</v>
      </c>
      <c r="C559" s="34" t="s">
        <v>1510</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row>
    <row r="560" spans="1:29" x14ac:dyDescent="0.35">
      <c r="A560" s="34" t="s">
        <v>1507</v>
      </c>
      <c r="B560" s="37" t="s">
        <v>25</v>
      </c>
      <c r="C560" s="34" t="s">
        <v>1510</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row>
    <row r="561" spans="1:29" x14ac:dyDescent="0.35">
      <c r="A561" s="34" t="s">
        <v>1509</v>
      </c>
      <c r="B561" s="37" t="s">
        <v>25</v>
      </c>
      <c r="C561" s="34" t="s">
        <v>1510</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row>
    <row r="562" spans="1:29" x14ac:dyDescent="0.35">
      <c r="A562" s="34" t="s">
        <v>806</v>
      </c>
      <c r="B562" s="37" t="s">
        <v>25</v>
      </c>
      <c r="C562" s="34" t="s">
        <v>1510</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row>
    <row r="563" spans="1:29" x14ac:dyDescent="0.35">
      <c r="A563" s="34" t="s">
        <v>1512</v>
      </c>
      <c r="B563" s="37" t="s">
        <v>25</v>
      </c>
      <c r="C563" s="34" t="s">
        <v>1510</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row>
    <row r="564" spans="1:29" x14ac:dyDescent="0.35">
      <c r="A564" s="34" t="s">
        <v>809</v>
      </c>
      <c r="B564" s="37" t="s">
        <v>25</v>
      </c>
      <c r="C564" s="34" t="s">
        <v>1510</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row>
    <row r="565" spans="1:29" x14ac:dyDescent="0.35">
      <c r="A565" s="34" t="s">
        <v>812</v>
      </c>
      <c r="B565" s="37" t="s">
        <v>25</v>
      </c>
      <c r="C565" s="34" t="s">
        <v>1510</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row>
    <row r="566" spans="1:29" x14ac:dyDescent="0.35">
      <c r="A566" s="34" t="s">
        <v>815</v>
      </c>
      <c r="B566" s="37" t="s">
        <v>25</v>
      </c>
      <c r="C566" s="34" t="s">
        <v>1510</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row>
    <row r="567" spans="1:29" x14ac:dyDescent="0.35">
      <c r="A567" s="34" t="s">
        <v>818</v>
      </c>
      <c r="B567" s="37" t="s">
        <v>25</v>
      </c>
      <c r="C567" s="34" t="s">
        <v>1510</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row>
    <row r="568" spans="1:29" x14ac:dyDescent="0.35">
      <c r="A568" s="34" t="s">
        <v>821</v>
      </c>
      <c r="B568" s="37" t="s">
        <v>25</v>
      </c>
      <c r="C568" s="34" t="s">
        <v>1510</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row>
    <row r="569" spans="1:29" x14ac:dyDescent="0.35">
      <c r="A569" s="34" t="s">
        <v>1515</v>
      </c>
      <c r="B569" s="37" t="s">
        <v>25</v>
      </c>
      <c r="C569" s="34" t="s">
        <v>1510</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row>
    <row r="570" spans="1:29" x14ac:dyDescent="0.35">
      <c r="A570" s="34" t="s">
        <v>824</v>
      </c>
      <c r="B570" s="37" t="s">
        <v>25</v>
      </c>
      <c r="C570" s="34" t="s">
        <v>1510</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row>
    <row r="571" spans="1:29" x14ac:dyDescent="0.35">
      <c r="A571" s="34" t="s">
        <v>1517</v>
      </c>
      <c r="B571" s="37" t="s">
        <v>25</v>
      </c>
      <c r="C571" s="34" t="s">
        <v>1510</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row>
    <row r="572" spans="1:29" x14ac:dyDescent="0.35">
      <c r="A572" s="34" t="s">
        <v>1520</v>
      </c>
      <c r="B572" s="37" t="s">
        <v>25</v>
      </c>
      <c r="C572" s="34" t="s">
        <v>1510</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row>
    <row r="573" spans="1:29" x14ac:dyDescent="0.35">
      <c r="A573" s="34" t="s">
        <v>1523</v>
      </c>
      <c r="B573" s="37" t="s">
        <v>25</v>
      </c>
      <c r="C573" s="34" t="s">
        <v>1510</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row>
    <row r="574" spans="1:29" x14ac:dyDescent="0.35">
      <c r="A574" s="34" t="s">
        <v>1526</v>
      </c>
      <c r="B574" s="37" t="s">
        <v>25</v>
      </c>
      <c r="C574" s="34" t="s">
        <v>1510</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row>
    <row r="575" spans="1:29" x14ac:dyDescent="0.35">
      <c r="A575" s="34" t="s">
        <v>1529</v>
      </c>
      <c r="B575" s="37" t="s">
        <v>25</v>
      </c>
      <c r="C575" s="34" t="s">
        <v>1510</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row>
    <row r="576" spans="1:29" x14ac:dyDescent="0.35">
      <c r="A576" s="34" t="s">
        <v>827</v>
      </c>
      <c r="B576" s="37" t="s">
        <v>25</v>
      </c>
      <c r="C576" s="34" t="s">
        <v>1510</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row>
    <row r="577" spans="1:29" x14ac:dyDescent="0.35">
      <c r="A577" s="34" t="s">
        <v>830</v>
      </c>
      <c r="B577" s="37" t="s">
        <v>25</v>
      </c>
      <c r="C577" s="34" t="s">
        <v>1510</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row>
    <row r="578" spans="1:29" x14ac:dyDescent="0.35">
      <c r="A578" s="34" t="s">
        <v>833</v>
      </c>
      <c r="B578" s="37" t="s">
        <v>25</v>
      </c>
      <c r="C578" s="34" t="s">
        <v>1510</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row>
    <row r="579" spans="1:29" x14ac:dyDescent="0.35">
      <c r="A579" s="34" t="s">
        <v>1532</v>
      </c>
      <c r="B579" s="37" t="s">
        <v>25</v>
      </c>
      <c r="C579" s="34" t="s">
        <v>1510</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row>
    <row r="580" spans="1:29" x14ac:dyDescent="0.35">
      <c r="A580" s="34" t="s">
        <v>1535</v>
      </c>
      <c r="B580" s="37" t="s">
        <v>25</v>
      </c>
      <c r="C580" s="34" t="s">
        <v>1510</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row>
    <row r="581" spans="1:29" x14ac:dyDescent="0.35">
      <c r="A581" s="34" t="s">
        <v>1610</v>
      </c>
      <c r="B581" s="37" t="s">
        <v>25</v>
      </c>
      <c r="C581" s="34" t="s">
        <v>1510</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row>
    <row r="582" spans="1:29" x14ac:dyDescent="0.35">
      <c r="A582" s="40" t="s">
        <v>1680</v>
      </c>
      <c r="B582" s="37" t="s">
        <v>25</v>
      </c>
      <c r="C582" s="34" t="s">
        <v>1510</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row>
    <row r="583" spans="1:29" x14ac:dyDescent="0.35">
      <c r="A583" s="40" t="s">
        <v>221</v>
      </c>
      <c r="B583" s="37" t="s">
        <v>25</v>
      </c>
      <c r="C583" s="34" t="s">
        <v>1510</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row>
    <row r="584" spans="1:29" x14ac:dyDescent="0.35">
      <c r="A584" s="40" t="s">
        <v>217</v>
      </c>
      <c r="B584" s="37" t="s">
        <v>25</v>
      </c>
      <c r="C584" s="34" t="s">
        <v>1510</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row>
    <row r="585" spans="1:29" x14ac:dyDescent="0.35">
      <c r="A585" s="38" t="s">
        <v>1748</v>
      </c>
      <c r="B585" s="61" t="s">
        <v>25</v>
      </c>
      <c r="C585" s="38" t="s">
        <v>1771</v>
      </c>
      <c r="D585" s="34" t="s">
        <v>1771</v>
      </c>
      <c r="E585" s="38" t="s">
        <v>1609</v>
      </c>
      <c r="F585" s="106"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row>
    <row r="586" spans="1:29" x14ac:dyDescent="0.35">
      <c r="A586" s="34" t="s">
        <v>148</v>
      </c>
      <c r="B586" s="37" t="s">
        <v>25</v>
      </c>
      <c r="C586" s="34" t="s">
        <v>1774</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row>
    <row r="587" spans="1:29" x14ac:dyDescent="0.35">
      <c r="A587" s="34" t="s">
        <v>1757</v>
      </c>
      <c r="B587" s="37" t="s">
        <v>25</v>
      </c>
      <c r="C587" s="34" t="s">
        <v>1774</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row>
    <row r="588" spans="1:29" x14ac:dyDescent="0.35">
      <c r="A588" s="39" t="s">
        <v>1711</v>
      </c>
      <c r="B588" s="37" t="s">
        <v>210</v>
      </c>
      <c r="C588" s="34" t="s">
        <v>1774</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row>
    <row r="589" spans="1:29" x14ac:dyDescent="0.35">
      <c r="A589" s="39" t="s">
        <v>1114</v>
      </c>
      <c r="B589" s="37" t="s">
        <v>210</v>
      </c>
      <c r="C589" s="34" t="s">
        <v>1774</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row>
    <row r="590" spans="1:29" x14ac:dyDescent="0.35">
      <c r="A590" s="39" t="s">
        <v>1608</v>
      </c>
      <c r="B590" s="37" t="s">
        <v>210</v>
      </c>
      <c r="C590" s="34" t="s">
        <v>1774</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row>
    <row r="591" spans="1:29" x14ac:dyDescent="0.35">
      <c r="A591" s="88" t="s">
        <v>1746</v>
      </c>
      <c r="B591" s="36" t="s">
        <v>210</v>
      </c>
      <c r="C591" s="36" t="s">
        <v>1774</v>
      </c>
      <c r="D591" s="33" t="s">
        <v>1775</v>
      </c>
      <c r="E591" s="36" t="s">
        <v>1609</v>
      </c>
      <c r="F591" s="107"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row>
    <row r="592" spans="1:29" x14ac:dyDescent="0.35">
      <c r="A592" s="39" t="s">
        <v>931</v>
      </c>
      <c r="B592" s="37" t="s">
        <v>210</v>
      </c>
      <c r="C592" s="34" t="s">
        <v>1774</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row>
    <row r="593" spans="1:31" x14ac:dyDescent="0.35">
      <c r="A593" s="39" t="s">
        <v>209</v>
      </c>
      <c r="B593" s="37" t="s">
        <v>210</v>
      </c>
      <c r="C593" s="34" t="s">
        <v>1774</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row>
    <row r="594" spans="1:31" x14ac:dyDescent="0.35">
      <c r="A594" s="39" t="s">
        <v>214</v>
      </c>
      <c r="B594" s="37" t="s">
        <v>210</v>
      </c>
      <c r="C594" s="34" t="s">
        <v>1774</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row>
    <row r="595" spans="1:31" x14ac:dyDescent="0.35">
      <c r="A595" s="34" t="s">
        <v>1538</v>
      </c>
      <c r="B595" s="37" t="s">
        <v>25</v>
      </c>
      <c r="C595" s="34" t="s">
        <v>837</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35</v>
      </c>
      <c r="X595" s="77" t="s">
        <v>175</v>
      </c>
      <c r="Y595" s="77"/>
      <c r="Z595" s="77"/>
      <c r="AA595" s="77"/>
      <c r="AB595" s="78"/>
      <c r="AC595" s="99">
        <f t="shared" si="9"/>
        <v>0.61111111111111116</v>
      </c>
    </row>
    <row r="596" spans="1:31" x14ac:dyDescent="0.35">
      <c r="A596" s="34" t="s">
        <v>836</v>
      </c>
      <c r="B596" s="37" t="s">
        <v>25</v>
      </c>
      <c r="C596" s="34" t="s">
        <v>837</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35</v>
      </c>
      <c r="X596" s="77" t="s">
        <v>175</v>
      </c>
      <c r="Y596" s="77"/>
      <c r="Z596" s="77"/>
      <c r="AA596" s="77"/>
      <c r="AB596" s="78"/>
      <c r="AC596" s="99">
        <f t="shared" si="9"/>
        <v>0.61111111111111116</v>
      </c>
    </row>
    <row r="597" spans="1:31" x14ac:dyDescent="0.35">
      <c r="A597" s="34" t="s">
        <v>1541</v>
      </c>
      <c r="B597" s="37" t="s">
        <v>25</v>
      </c>
      <c r="C597" s="34" t="s">
        <v>837</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175</v>
      </c>
      <c r="Y597" s="77"/>
      <c r="Z597" s="77"/>
      <c r="AA597" s="77"/>
      <c r="AB597" s="78"/>
      <c r="AC597" s="99">
        <f t="shared" si="9"/>
        <v>0.61111111111111116</v>
      </c>
    </row>
    <row r="598" spans="1:31" x14ac:dyDescent="0.35">
      <c r="A598" s="34" t="s">
        <v>840</v>
      </c>
      <c r="B598" s="37" t="s">
        <v>25</v>
      </c>
      <c r="C598" s="34" t="s">
        <v>837</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35</v>
      </c>
      <c r="X598" s="77" t="s">
        <v>175</v>
      </c>
      <c r="Y598" s="77"/>
      <c r="Z598" s="77"/>
      <c r="AA598" s="77"/>
      <c r="AB598" s="78"/>
      <c r="AC598" s="99">
        <f t="shared" si="9"/>
        <v>0.61111111111111116</v>
      </c>
    </row>
    <row r="599" spans="1:31" x14ac:dyDescent="0.35">
      <c r="A599" s="34" t="s">
        <v>843</v>
      </c>
      <c r="B599" s="37" t="s">
        <v>25</v>
      </c>
      <c r="C599" s="34" t="s">
        <v>837</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row>
    <row r="600" spans="1:31" x14ac:dyDescent="0.35">
      <c r="A600" s="34" t="s">
        <v>846</v>
      </c>
      <c r="B600" s="37" t="s">
        <v>25</v>
      </c>
      <c r="C600" s="34" t="s">
        <v>837</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row>
    <row r="601" spans="1:31" x14ac:dyDescent="0.35">
      <c r="A601" s="34" t="s">
        <v>849</v>
      </c>
      <c r="B601" s="37" t="s">
        <v>25</v>
      </c>
      <c r="C601" s="34" t="s">
        <v>837</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29"/>
      <c r="AE601" s="29"/>
    </row>
    <row r="602" spans="1:31" x14ac:dyDescent="0.35">
      <c r="A602" s="34" t="s">
        <v>852</v>
      </c>
      <c r="B602" s="37" t="s">
        <v>25</v>
      </c>
      <c r="C602" s="34" t="s">
        <v>837</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row>
    <row r="603" spans="1:31" x14ac:dyDescent="0.35">
      <c r="A603" s="34" t="s">
        <v>854</v>
      </c>
      <c r="B603" s="37" t="s">
        <v>25</v>
      </c>
      <c r="C603" s="34" t="s">
        <v>837</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35</v>
      </c>
      <c r="V603" s="77" t="s">
        <v>35</v>
      </c>
      <c r="W603" s="77" t="s">
        <v>35</v>
      </c>
      <c r="X603" s="77" t="s">
        <v>175</v>
      </c>
      <c r="Y603" s="77"/>
      <c r="Z603" s="77"/>
      <c r="AA603" s="77"/>
      <c r="AB603" s="78"/>
      <c r="AC603" s="99">
        <f t="shared" si="9"/>
        <v>0.61111111111111116</v>
      </c>
    </row>
    <row r="604" spans="1:31" x14ac:dyDescent="0.35">
      <c r="A604" s="34" t="s">
        <v>857</v>
      </c>
      <c r="B604" s="37" t="s">
        <v>25</v>
      </c>
      <c r="C604" s="34" t="s">
        <v>837</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row>
    <row r="605" spans="1:31" x14ac:dyDescent="0.35">
      <c r="A605" s="34" t="s">
        <v>860</v>
      </c>
      <c r="B605" s="37" t="s">
        <v>25</v>
      </c>
      <c r="C605" s="34" t="s">
        <v>837</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175</v>
      </c>
      <c r="Y605" s="77"/>
      <c r="Z605" s="77"/>
      <c r="AA605" s="77"/>
      <c r="AB605" s="78"/>
      <c r="AC605" s="99">
        <f t="shared" si="9"/>
        <v>0.61111111111111116</v>
      </c>
    </row>
    <row r="606" spans="1:31" x14ac:dyDescent="0.35">
      <c r="A606" s="34" t="s">
        <v>863</v>
      </c>
      <c r="B606" s="37" t="s">
        <v>25</v>
      </c>
      <c r="C606" s="34" t="s">
        <v>837</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175</v>
      </c>
      <c r="Y606" s="77"/>
      <c r="Z606" s="77"/>
      <c r="AA606" s="77"/>
      <c r="AB606" s="78"/>
      <c r="AC606" s="99">
        <f t="shared" si="9"/>
        <v>0.61111111111111116</v>
      </c>
    </row>
    <row r="607" spans="1:31" x14ac:dyDescent="0.35">
      <c r="A607" s="34" t="s">
        <v>866</v>
      </c>
      <c r="B607" s="37" t="s">
        <v>25</v>
      </c>
      <c r="C607" s="34" t="s">
        <v>837</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row>
    <row r="608" spans="1:31" x14ac:dyDescent="0.35">
      <c r="A608" s="34" t="s">
        <v>1571</v>
      </c>
      <c r="B608" s="37" t="s">
        <v>25</v>
      </c>
      <c r="C608" s="34" t="s">
        <v>837</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35</v>
      </c>
      <c r="V608" s="77" t="s">
        <v>35</v>
      </c>
      <c r="W608" s="77" t="s">
        <v>175</v>
      </c>
      <c r="X608" s="77" t="s">
        <v>175</v>
      </c>
      <c r="Y608" s="87"/>
      <c r="Z608" s="77"/>
      <c r="AA608" s="77"/>
      <c r="AB608" s="78"/>
      <c r="AC608" s="99">
        <f t="shared" si="9"/>
        <v>0.55555555555555558</v>
      </c>
    </row>
    <row r="609" spans="1:32" x14ac:dyDescent="0.35">
      <c r="A609" s="34" t="s">
        <v>1713</v>
      </c>
      <c r="B609" s="37" t="s">
        <v>25</v>
      </c>
      <c r="C609" s="34" t="s">
        <v>837</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35</v>
      </c>
      <c r="X609" s="77" t="s">
        <v>175</v>
      </c>
      <c r="Y609" s="77"/>
      <c r="Z609" s="77"/>
      <c r="AA609" s="77"/>
      <c r="AB609" s="78"/>
      <c r="AC609" s="99">
        <f t="shared" si="9"/>
        <v>0.61111111111111116</v>
      </c>
    </row>
    <row r="610" spans="1:32" x14ac:dyDescent="0.35">
      <c r="A610" s="104" t="s">
        <v>1742</v>
      </c>
      <c r="B610" s="105" t="s">
        <v>25</v>
      </c>
      <c r="C610" s="104" t="s">
        <v>837</v>
      </c>
      <c r="D610" s="33" t="s">
        <v>1775</v>
      </c>
      <c r="E610" s="104" t="s">
        <v>1572</v>
      </c>
      <c r="F610" s="104" t="s">
        <v>1743</v>
      </c>
      <c r="G610" s="104" t="s">
        <v>180</v>
      </c>
      <c r="H610" s="105">
        <v>3</v>
      </c>
      <c r="I610" s="104" t="s">
        <v>181</v>
      </c>
      <c r="J610" s="104" t="s">
        <v>182</v>
      </c>
      <c r="K610" s="104" t="s">
        <v>32</v>
      </c>
      <c r="L610" s="104" t="s">
        <v>1755</v>
      </c>
      <c r="M610" s="104" t="s">
        <v>33</v>
      </c>
      <c r="N610" s="105">
        <v>5</v>
      </c>
      <c r="O610" s="105">
        <v>0</v>
      </c>
      <c r="P610" s="105">
        <v>2</v>
      </c>
      <c r="Q610" s="108">
        <v>22.752110999999999</v>
      </c>
      <c r="R610" s="108">
        <v>-102.502348</v>
      </c>
      <c r="S610" s="77" t="s">
        <v>34</v>
      </c>
      <c r="T610" s="77" t="s">
        <v>35</v>
      </c>
      <c r="U610" s="77" t="s">
        <v>35</v>
      </c>
      <c r="V610" s="77" t="s">
        <v>35</v>
      </c>
      <c r="W610" s="77" t="s">
        <v>175</v>
      </c>
      <c r="X610" s="77" t="s">
        <v>175</v>
      </c>
      <c r="Y610" s="77"/>
      <c r="Z610" s="77"/>
      <c r="AA610" s="77"/>
      <c r="AB610" s="78"/>
      <c r="AC610" s="99">
        <f t="shared" si="9"/>
        <v>0.55555555555555558</v>
      </c>
    </row>
    <row r="611" spans="1:32" x14ac:dyDescent="0.35">
      <c r="A611" s="34" t="s">
        <v>1544</v>
      </c>
      <c r="B611" s="37" t="s">
        <v>25</v>
      </c>
      <c r="C611" s="34" t="s">
        <v>837</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row>
    <row r="612" spans="1:32" x14ac:dyDescent="0.35">
      <c r="A612" s="34" t="s">
        <v>1546</v>
      </c>
      <c r="B612" s="37" t="s">
        <v>25</v>
      </c>
      <c r="C612" s="34" t="s">
        <v>837</v>
      </c>
      <c r="D612" s="33" t="s">
        <v>1775</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35</v>
      </c>
      <c r="V612" s="77" t="s">
        <v>35</v>
      </c>
      <c r="W612" s="77" t="s">
        <v>175</v>
      </c>
      <c r="X612" s="77" t="s">
        <v>175</v>
      </c>
      <c r="Y612" s="77"/>
      <c r="Z612" s="77"/>
      <c r="AA612" s="77"/>
      <c r="AB612" s="78"/>
      <c r="AC612" s="99">
        <f t="shared" si="9"/>
        <v>0.55555555555555558</v>
      </c>
      <c r="AF612" s="29"/>
    </row>
    <row r="613" spans="1:32" x14ac:dyDescent="0.35">
      <c r="AC613" s="103">
        <f>SUM(AC2:AC612)</f>
        <v>229.18518518518596</v>
      </c>
      <c r="AD613">
        <f>AC613/612*100</f>
        <v>37.448559670782018</v>
      </c>
    </row>
    <row r="618" spans="1:32" x14ac:dyDescent="0.35">
      <c r="AE618" s="29"/>
    </row>
  </sheetData>
  <conditionalFormatting sqref="S1">
    <cfRule type="containsText" dxfId="886" priority="854" operator="containsText" text="ENVIADO A TICS">
      <formula>NOT(ISERROR(SEARCH("ENVIADO A TICS",S1)))</formula>
    </cfRule>
    <cfRule type="containsText" dxfId="885" priority="855" operator="containsText" text="ENTREGADO/REVISIÓN">
      <formula>NOT(ISERROR(SEARCH("ENTREGADO/REVISIÓN",S1)))</formula>
    </cfRule>
    <cfRule type="containsText" dxfId="884" priority="856" operator="containsText" text="ENVIADO A LA CE/UM">
      <formula>NOT(ISERROR(SEARCH("ENVIADO A LA CE/UM",S1)))</formula>
    </cfRule>
  </conditionalFormatting>
  <conditionalFormatting sqref="T1">
    <cfRule type="containsText" dxfId="883" priority="853" operator="containsText" text="EN PROCESO">
      <formula>NOT(ISERROR(SEARCH("EN PROCESO",T1)))</formula>
    </cfRule>
  </conditionalFormatting>
  <conditionalFormatting sqref="W1:X1">
    <cfRule type="containsText" dxfId="861" priority="437" operator="containsText" text="EN PROCESO">
      <formula>NOT(ISERROR(SEARCH("EN PROCESO",W1)))</formula>
    </cfRule>
  </conditionalFormatting>
  <conditionalFormatting sqref="T1:X1">
    <cfRule type="containsText" dxfId="765" priority="860" operator="containsText" text="CONCLUIDO">
      <formula>NOT(ISERROR(SEARCH("CONCLUIDO",T1)))</formula>
    </cfRule>
  </conditionalFormatting>
  <conditionalFormatting sqref="U1">
    <cfRule type="containsText" dxfId="764" priority="862" operator="containsText" text="ENVIADO A LA CE/UM">
      <formula>NOT(ISERROR(SEARCH("ENVIADO A LA CE/UM",U1)))</formula>
    </cfRule>
  </conditionalFormatting>
  <conditionalFormatting sqref="U1:V1">
    <cfRule type="containsText" dxfId="761" priority="861" operator="containsText" text="EN REVISIÓN CENTRAL">
      <formula>NOT(ISERROR(SEARCH("EN REVISIÓN CENTRAL",U1)))</formula>
    </cfRule>
  </conditionalFormatting>
  <conditionalFormatting sqref="Z1:AA1">
    <cfRule type="containsText" dxfId="510" priority="847" operator="containsText" text="SI">
      <formula>NOT(ISERROR(SEARCH("SI",Z1)))</formula>
    </cfRule>
  </conditionalFormatting>
  <conditionalFormatting sqref="W1:X1">
    <cfRule type="containsText" dxfId="509" priority="438" operator="containsText" text="ENVIADO">
      <formula>NOT(ISERROR(SEARCH("ENVIADO",W1)))</formula>
    </cfRule>
  </conditionalFormatting>
  <conditionalFormatting sqref="Y1">
    <cfRule type="containsText" dxfId="463" priority="849" operator="containsText" text="CONCLUIDAS">
      <formula>NOT(ISERROR(SEARCH("CONCLUIDAS",Y1)))</formula>
    </cfRule>
    <cfRule type="containsText" dxfId="462" priority="850" operator="containsText" text="PROGRAMADAS">
      <formula>NOT(ISERROR(SEARCH("PROGRAMADAS",Y1)))</formula>
    </cfRule>
  </conditionalFormatting>
  <conditionalFormatting sqref="Z1:AA1">
    <cfRule type="containsText" dxfId="459" priority="848" operator="containsText" text="NO">
      <formula>NOT(ISERROR(SEARCH("NO",Z1)))</formula>
    </cfRule>
  </conditionalFormatting>
  <conditionalFormatting sqref="AC1">
    <cfRule type="dataBar" priority="5935">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430" priority="433"/>
    <cfRule type="duplicateValues" dxfId="431" priority="434"/>
  </conditionalFormatting>
  <conditionalFormatting sqref="A597:A608">
    <cfRule type="duplicateValues" dxfId="429" priority="432"/>
  </conditionalFormatting>
  <conditionalFormatting sqref="A2:A610">
    <cfRule type="duplicateValues" dxfId="428" priority="431"/>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{0C82E655-D788-4B9A-B5D1-F700D356ABED}</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{007D4A39-1EB4-4DDF-801B-51A3A20B6B12}</x14:id>
        </ext>
      </extLst>
    </cfRule>
  </conditionalFormatting>
  <dataValidations count="12">
    <dataValidation type="list" allowBlank="1" showInputMessage="1" showErrorMessage="1" sqref="T610 V286:V287" xr:uid="{C669CAC4-5014-4E0F-A64E-3ADF6A4E7683}">
      <formula1>"ENVIADO A LA CE/UM,EN REVISIÓN CENTRAL,CONCLUIDO"</formula1>
    </dataValidation>
    <dataValidation type="list" allowBlank="1" showInputMessage="1" showErrorMessage="1" sqref="R610 T611:T612 T64:T88 T96:T97 T99 T103 T609 T293:T294 T296 T298:T302 T304 T306 T308 T315:T328 T338:T384 T386:T445 T456:T516 T522:T532 T534:T540 T542:T543 T546 T548:T565 T582:T589 T592:T595 T597:T603 T605:T607 T107:T108 T113:T117 T567:T580 T122:T291" xr:uid="{FF5C9BB5-CF8D-4CB1-B04C-9D7EF1F1AABA}">
      <formula1>"EN PROCESO,CONCLUIDO"</formula1>
    </dataValidation>
    <dataValidation type="list" allowBlank="1" showInputMessage="1" showErrorMessage="1" sqref="Q610 S2:S612" xr:uid="{B397AF5F-5F27-46B5-9409-F30BE6198E6E}">
      <formula1>"ENVIADO A LA CE/UM,ENTREGADO/REVISIÓN,ENVIADO A TICS"</formula1>
    </dataValidation>
    <dataValidation type="list" allowBlank="1" showInputMessage="1" showErrorMessage="1" sqref="Y611:Y612 Y2:Y609" xr:uid="{4CA6A4B1-E94C-4678-AFC9-F6702F0DD80C}">
      <formula1>"PROGRAMADAS,CONCLUIDAS"</formula1>
    </dataValidation>
    <dataValidation type="list" allowBlank="1" showInputMessage="1" showErrorMessage="1" sqref="Y610" xr:uid="{54FE20DF-9DEA-4610-886D-D208DFA7D498}">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2 U610 V98 V100:V107 V2:V96 V288:V300 U582:U589 U433:U445 U156:U222 U548:U563 V521:V545 V109:V114 U343 V302:V343 U352:V357 U397:V409 V156:V285" xr:uid="{0CC2E1D9-6D93-4A21-9981-1A8C92408F4A}">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61A50554-EAE9-4714-8D51-AF744ECC1604}">
      <formula1>"ENVIADO A LA CE/UM,EN REVISIÓN CENTRAL,CONCLUIDO, NO APLICA"</formula1>
    </dataValidation>
    <dataValidation type="list" allowBlank="1" showInputMessage="1" showErrorMessage="1" sqref="AA2:AA612" xr:uid="{8315888C-EFB5-4C5E-BE1A-9E2D28B8EA92}">
      <formula1>"SI,NO,NO APLICA"</formula1>
    </dataValidation>
    <dataValidation type="list" allowBlank="1" showInputMessage="1" showErrorMessage="1" sqref="W49:W518 W520:W612" xr:uid="{4DDFB08D-EEE4-4C3F-A210-553132F2CB32}">
      <formula1>"EN PROCESO,CONCLUIDO,NO APLICA"</formula1>
    </dataValidation>
    <dataValidation type="list" allowBlank="1" showInputMessage="1" showErrorMessage="1" sqref="W2:W48" xr:uid="{367DA27D-2E20-41B5-BBCB-B0FD9A29FBD1}">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T63 T118:T121 X520:X612 T596 X2:X518" xr:uid="{DF06D375-6BEC-4D14-9A15-A26BCBCE5971}">
      <formula1>"EN PROCESO,CONCLUIDO, NO APLICA"</formula1>
    </dataValidation>
    <dataValidation type="list" allowBlank="1" showInputMessage="1" showErrorMessage="1" sqref="Z2:Z612" xr:uid="{4F73B16C-4769-4124-B4FC-41EFAF9A6CE0}">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0C82E655-D788-4B9A-B5D1-F700D356ABED}">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007D4A39-1EB4-4DDF-801B-51A3A20B6B12}">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5" x14ac:dyDescent="0.35"/>
  <cols>
    <col min="1" max="1" width="3.08984375" bestFit="1" customWidth="1"/>
    <col min="2" max="2" width="16.08984375" customWidth="1"/>
    <col min="3" max="3" width="15.1796875" customWidth="1"/>
    <col min="4" max="4" width="20.08984375" customWidth="1"/>
    <col min="5" max="5" width="15.90625" bestFit="1" customWidth="1"/>
    <col min="6" max="6" width="14.81640625" bestFit="1" customWidth="1"/>
    <col min="7" max="7" width="17.36328125" customWidth="1"/>
  </cols>
  <sheetData>
    <row r="1" spans="1:8" ht="26" x14ac:dyDescent="0.35">
      <c r="A1" s="43" t="s">
        <v>1809</v>
      </c>
      <c r="B1" s="43" t="s">
        <v>2</v>
      </c>
      <c r="C1" s="45" t="s">
        <v>1801</v>
      </c>
      <c r="D1" s="44" t="s">
        <v>1802</v>
      </c>
      <c r="E1" s="46" t="s">
        <v>1803</v>
      </c>
      <c r="F1" s="44" t="s">
        <v>1804</v>
      </c>
      <c r="G1" s="44" t="s">
        <v>1805</v>
      </c>
      <c r="H1" s="47" t="s">
        <v>1806</v>
      </c>
    </row>
    <row r="2" spans="1:8" ht="15" x14ac:dyDescent="0.4">
      <c r="A2" s="58">
        <v>1</v>
      </c>
      <c r="B2" t="s">
        <v>1796</v>
      </c>
      <c r="C2">
        <v>395</v>
      </c>
      <c r="D2" s="68">
        <v>75</v>
      </c>
      <c r="E2">
        <v>58</v>
      </c>
      <c r="F2" s="68">
        <v>0</v>
      </c>
      <c r="G2">
        <v>49</v>
      </c>
      <c r="H2" s="68">
        <v>10</v>
      </c>
    </row>
    <row r="3" spans="1:8" ht="15" x14ac:dyDescent="0.4">
      <c r="A3" s="58">
        <v>2</v>
      </c>
      <c r="B3" t="s">
        <v>1780</v>
      </c>
      <c r="C3">
        <v>722</v>
      </c>
      <c r="D3" s="69">
        <v>722</v>
      </c>
      <c r="E3">
        <v>94</v>
      </c>
      <c r="F3" s="69">
        <v>0</v>
      </c>
      <c r="G3">
        <v>245</v>
      </c>
      <c r="H3" s="69">
        <v>245</v>
      </c>
    </row>
    <row r="4" spans="1:8" ht="15" x14ac:dyDescent="0.4">
      <c r="A4" s="58">
        <v>3</v>
      </c>
      <c r="B4" t="s">
        <v>1797</v>
      </c>
      <c r="C4">
        <v>114</v>
      </c>
      <c r="D4" s="69">
        <v>114</v>
      </c>
      <c r="E4">
        <v>104</v>
      </c>
      <c r="F4" s="69">
        <v>104</v>
      </c>
      <c r="G4">
        <v>158</v>
      </c>
      <c r="H4" s="69">
        <v>158</v>
      </c>
    </row>
    <row r="5" spans="1:8" ht="15" x14ac:dyDescent="0.4">
      <c r="A5" s="58">
        <v>4</v>
      </c>
      <c r="B5" t="s">
        <v>1781</v>
      </c>
      <c r="C5">
        <v>0</v>
      </c>
      <c r="D5" s="70">
        <v>0</v>
      </c>
      <c r="E5">
        <v>36</v>
      </c>
      <c r="F5" s="70">
        <v>0</v>
      </c>
      <c r="G5">
        <v>60</v>
      </c>
      <c r="H5" s="70">
        <v>0</v>
      </c>
    </row>
    <row r="6" spans="1:8" ht="15" x14ac:dyDescent="0.4">
      <c r="A6" s="59">
        <v>5</v>
      </c>
      <c r="B6" s="57" t="s">
        <v>1810</v>
      </c>
      <c r="C6" s="60">
        <v>1438</v>
      </c>
      <c r="D6" s="72">
        <v>500</v>
      </c>
      <c r="E6" s="57">
        <v>216</v>
      </c>
      <c r="F6" s="71">
        <v>0</v>
      </c>
      <c r="G6" s="57">
        <v>221</v>
      </c>
      <c r="H6" s="71">
        <v>0</v>
      </c>
    </row>
    <row r="7" spans="1:8" ht="15" x14ac:dyDescent="0.4">
      <c r="A7" s="59">
        <v>6</v>
      </c>
      <c r="B7" s="57" t="s">
        <v>1811</v>
      </c>
      <c r="C7" s="60">
        <v>1249</v>
      </c>
      <c r="D7" s="72">
        <v>349</v>
      </c>
      <c r="E7" s="57">
        <v>188</v>
      </c>
      <c r="F7" s="71">
        <v>0</v>
      </c>
      <c r="G7" s="57">
        <v>158</v>
      </c>
      <c r="H7" s="71">
        <v>12</v>
      </c>
    </row>
    <row r="8" spans="1:8" ht="15" x14ac:dyDescent="0.4">
      <c r="A8" s="58">
        <v>7</v>
      </c>
      <c r="B8" t="s">
        <v>1782</v>
      </c>
      <c r="C8">
        <v>510</v>
      </c>
      <c r="D8" s="70">
        <v>0</v>
      </c>
      <c r="E8">
        <v>82</v>
      </c>
      <c r="F8" s="70">
        <v>0</v>
      </c>
      <c r="G8">
        <v>0</v>
      </c>
      <c r="H8" s="70">
        <v>0</v>
      </c>
    </row>
    <row r="9" spans="1:8" ht="15" x14ac:dyDescent="0.4">
      <c r="A9" s="58">
        <v>8</v>
      </c>
      <c r="B9" t="s">
        <v>1783</v>
      </c>
      <c r="C9">
        <v>347</v>
      </c>
      <c r="D9" s="70">
        <v>0</v>
      </c>
      <c r="E9">
        <v>35</v>
      </c>
      <c r="F9" s="70">
        <v>0</v>
      </c>
      <c r="G9">
        <v>0</v>
      </c>
      <c r="H9" s="70">
        <v>0</v>
      </c>
    </row>
    <row r="10" spans="1:8" ht="15" x14ac:dyDescent="0.4">
      <c r="A10" s="58">
        <v>9</v>
      </c>
      <c r="B10" t="s">
        <v>1784</v>
      </c>
      <c r="C10">
        <v>175</v>
      </c>
      <c r="D10" s="70">
        <v>0</v>
      </c>
      <c r="E10">
        <v>64</v>
      </c>
      <c r="F10" s="70">
        <v>0</v>
      </c>
      <c r="G10">
        <v>18</v>
      </c>
      <c r="H10" s="70">
        <v>0</v>
      </c>
    </row>
    <row r="11" spans="1:8" ht="15" x14ac:dyDescent="0.4">
      <c r="A11" s="58">
        <v>10</v>
      </c>
      <c r="B11" t="s">
        <v>1794</v>
      </c>
      <c r="C11">
        <v>486</v>
      </c>
      <c r="D11" s="73">
        <v>486</v>
      </c>
      <c r="E11">
        <v>77</v>
      </c>
      <c r="F11" s="70">
        <v>0</v>
      </c>
      <c r="G11">
        <v>0</v>
      </c>
      <c r="H11" s="70">
        <v>0</v>
      </c>
    </row>
    <row r="12" spans="1:8" ht="15" x14ac:dyDescent="0.4">
      <c r="A12" s="58">
        <v>11</v>
      </c>
      <c r="B12" t="s">
        <v>1795</v>
      </c>
      <c r="C12">
        <v>332</v>
      </c>
      <c r="D12" s="70">
        <v>0</v>
      </c>
      <c r="E12">
        <v>42</v>
      </c>
      <c r="F12" s="70">
        <v>0</v>
      </c>
      <c r="G12">
        <v>20</v>
      </c>
      <c r="H12" s="69">
        <v>20</v>
      </c>
    </row>
    <row r="13" spans="1:8" ht="15" x14ac:dyDescent="0.4">
      <c r="A13" s="58">
        <v>12</v>
      </c>
      <c r="B13" t="s">
        <v>1800</v>
      </c>
      <c r="C13">
        <v>468</v>
      </c>
      <c r="D13" s="70">
        <v>0</v>
      </c>
      <c r="E13">
        <v>82</v>
      </c>
      <c r="F13" s="70">
        <v>0</v>
      </c>
      <c r="G13">
        <v>113</v>
      </c>
      <c r="H13" s="70">
        <v>0</v>
      </c>
    </row>
    <row r="14" spans="1:8" ht="15" x14ac:dyDescent="0.4">
      <c r="A14" s="58">
        <v>13</v>
      </c>
      <c r="B14" t="s">
        <v>1799</v>
      </c>
      <c r="C14">
        <v>138</v>
      </c>
      <c r="D14" s="70">
        <v>0</v>
      </c>
      <c r="E14">
        <v>30</v>
      </c>
      <c r="F14" s="70">
        <v>0</v>
      </c>
      <c r="G14">
        <v>114</v>
      </c>
      <c r="H14" s="69">
        <v>103</v>
      </c>
    </row>
    <row r="15" spans="1:8" ht="15" x14ac:dyDescent="0.4">
      <c r="A15" s="58">
        <v>14</v>
      </c>
      <c r="B15" t="s">
        <v>1785</v>
      </c>
      <c r="C15">
        <v>507</v>
      </c>
      <c r="D15" s="70">
        <v>0</v>
      </c>
      <c r="E15">
        <v>61</v>
      </c>
      <c r="F15" s="70">
        <v>0</v>
      </c>
      <c r="G15">
        <v>36</v>
      </c>
      <c r="H15" s="70">
        <v>0</v>
      </c>
    </row>
    <row r="16" spans="1:8" ht="15" x14ac:dyDescent="0.4">
      <c r="A16" s="58">
        <v>15</v>
      </c>
      <c r="B16" t="s">
        <v>1786</v>
      </c>
      <c r="C16">
        <v>742</v>
      </c>
      <c r="D16" s="70">
        <v>0</v>
      </c>
      <c r="E16">
        <v>89</v>
      </c>
      <c r="F16" s="70">
        <v>0</v>
      </c>
      <c r="G16">
        <v>197</v>
      </c>
      <c r="H16" s="70">
        <v>0</v>
      </c>
    </row>
    <row r="17" spans="1:8" ht="15" x14ac:dyDescent="0.4">
      <c r="A17" s="58">
        <v>16</v>
      </c>
      <c r="B17" t="s">
        <v>1788</v>
      </c>
      <c r="C17">
        <v>185</v>
      </c>
      <c r="D17" s="70">
        <v>0</v>
      </c>
      <c r="E17">
        <v>154</v>
      </c>
      <c r="F17" s="70">
        <v>0</v>
      </c>
      <c r="G17">
        <v>244</v>
      </c>
      <c r="H17" s="70">
        <v>0</v>
      </c>
    </row>
    <row r="18" spans="1:8" ht="15" x14ac:dyDescent="0.4">
      <c r="A18" s="58">
        <v>17</v>
      </c>
      <c r="B18" t="s">
        <v>1798</v>
      </c>
      <c r="C18">
        <v>1165</v>
      </c>
      <c r="D18" s="70">
        <v>30</v>
      </c>
      <c r="E18">
        <v>162</v>
      </c>
      <c r="F18" s="70">
        <v>0</v>
      </c>
      <c r="G18">
        <v>0</v>
      </c>
      <c r="H18" s="70">
        <v>0</v>
      </c>
    </row>
    <row r="19" spans="1:8" ht="15" x14ac:dyDescent="0.4">
      <c r="A19" s="58">
        <v>18</v>
      </c>
      <c r="B19" t="s">
        <v>1793</v>
      </c>
      <c r="C19">
        <v>1106</v>
      </c>
      <c r="D19" s="70">
        <v>0</v>
      </c>
      <c r="E19">
        <v>154</v>
      </c>
      <c r="F19" s="70">
        <v>0</v>
      </c>
      <c r="G19">
        <v>0</v>
      </c>
      <c r="H19" s="70">
        <v>0</v>
      </c>
    </row>
    <row r="20" spans="1:8" ht="15" x14ac:dyDescent="0.4">
      <c r="A20" s="58">
        <v>19</v>
      </c>
      <c r="B20" t="s">
        <v>1787</v>
      </c>
      <c r="C20">
        <v>396</v>
      </c>
      <c r="D20" s="70">
        <v>0</v>
      </c>
      <c r="E20">
        <v>144</v>
      </c>
      <c r="F20" s="70">
        <v>0</v>
      </c>
      <c r="G20">
        <v>48</v>
      </c>
      <c r="H20" s="70">
        <v>0</v>
      </c>
    </row>
    <row r="21" spans="1:8" ht="15" x14ac:dyDescent="0.4">
      <c r="A21" s="58">
        <v>20</v>
      </c>
      <c r="B21" t="s">
        <v>1790</v>
      </c>
      <c r="C21">
        <v>847</v>
      </c>
      <c r="D21" s="70">
        <v>0</v>
      </c>
      <c r="E21">
        <v>226</v>
      </c>
      <c r="F21" s="70">
        <v>0</v>
      </c>
      <c r="G21">
        <v>343</v>
      </c>
      <c r="H21" s="70">
        <v>0</v>
      </c>
    </row>
    <row r="22" spans="1:8" ht="15" x14ac:dyDescent="0.4">
      <c r="A22" s="58">
        <v>21</v>
      </c>
      <c r="B22" t="s">
        <v>1789</v>
      </c>
      <c r="C22">
        <v>1351</v>
      </c>
      <c r="D22" s="70">
        <v>0</v>
      </c>
      <c r="E22">
        <v>189</v>
      </c>
      <c r="F22" s="70">
        <v>0</v>
      </c>
      <c r="G22">
        <v>336</v>
      </c>
      <c r="H22" s="70">
        <v>0</v>
      </c>
    </row>
    <row r="23" spans="1:8" ht="15" x14ac:dyDescent="0.4">
      <c r="A23" s="58">
        <v>22</v>
      </c>
      <c r="B23" t="s">
        <v>1791</v>
      </c>
      <c r="C23">
        <v>2446</v>
      </c>
      <c r="D23" s="70">
        <v>0</v>
      </c>
      <c r="E23">
        <v>317</v>
      </c>
      <c r="F23" s="70">
        <v>0</v>
      </c>
      <c r="G23">
        <v>521</v>
      </c>
      <c r="H23" s="70">
        <v>0</v>
      </c>
    </row>
    <row r="24" spans="1:8" ht="15" x14ac:dyDescent="0.4">
      <c r="A24" s="58">
        <v>23</v>
      </c>
      <c r="B24" t="s">
        <v>1792</v>
      </c>
      <c r="C24">
        <v>2393</v>
      </c>
      <c r="D24" s="70">
        <v>0</v>
      </c>
      <c r="E24">
        <v>341</v>
      </c>
      <c r="F24" s="70">
        <v>0</v>
      </c>
      <c r="G24">
        <v>577</v>
      </c>
      <c r="H24" s="70">
        <v>0</v>
      </c>
    </row>
    <row r="25" spans="1:8" ht="15" x14ac:dyDescent="0.4">
      <c r="A25" s="59">
        <v>24</v>
      </c>
      <c r="B25" s="57" t="s">
        <v>1812</v>
      </c>
      <c r="C25" s="57">
        <v>674</v>
      </c>
      <c r="D25" s="71">
        <v>0</v>
      </c>
      <c r="E25" s="57">
        <v>82</v>
      </c>
      <c r="F25" s="71">
        <v>0</v>
      </c>
      <c r="G25" s="57">
        <v>82</v>
      </c>
      <c r="H25" s="71">
        <v>0</v>
      </c>
    </row>
    <row r="26" spans="1:8" ht="15" x14ac:dyDescent="0.4">
      <c r="A26" s="59">
        <v>25</v>
      </c>
      <c r="B26" s="57" t="s">
        <v>1813</v>
      </c>
      <c r="C26" s="57">
        <v>1873</v>
      </c>
      <c r="D26" s="71">
        <v>0</v>
      </c>
      <c r="E26" s="57">
        <v>269</v>
      </c>
      <c r="F26" s="71">
        <v>0</v>
      </c>
      <c r="G26" s="57">
        <v>441</v>
      </c>
      <c r="H26" s="71">
        <v>0</v>
      </c>
    </row>
    <row r="27" spans="1:8" ht="15" x14ac:dyDescent="0.4">
      <c r="A27" s="58">
        <v>26</v>
      </c>
      <c r="B27" t="s">
        <v>1814</v>
      </c>
      <c r="C27">
        <v>0</v>
      </c>
      <c r="D27" s="74">
        <v>0</v>
      </c>
      <c r="E27">
        <v>0</v>
      </c>
      <c r="F27" s="74">
        <v>0</v>
      </c>
      <c r="G27">
        <v>0</v>
      </c>
      <c r="H27" s="74">
        <v>0</v>
      </c>
    </row>
    <row r="28" spans="1:8" ht="15" x14ac:dyDescent="0.4">
      <c r="A28" s="58">
        <v>27</v>
      </c>
      <c r="B28" t="s">
        <v>1836</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5" x14ac:dyDescent="0.35"/>
  <sheetData>
    <row r="1" spans="1:28" ht="39" x14ac:dyDescent="0.35">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5">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5">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5">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5">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5">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5">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5">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5">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5">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5">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5">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5">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5">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5">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5">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5">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5">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5">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5">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5">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5">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5">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5">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5">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5">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5">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5">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5">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5">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5">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5">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5">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5">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5">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5">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5">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5">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5">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5">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5">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5">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5">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5">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5">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5">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5">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5">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5">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5">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5">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5">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5">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5">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5">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5">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5">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5">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5">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5">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5">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5">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5">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5">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5">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5">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5">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5">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5">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5">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5">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5">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5">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5">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5">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5">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5">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5">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5">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5">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5">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5">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5">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5">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5">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5">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5">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5">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5">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5">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5">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5">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5">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5">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5">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5">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5">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5">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5">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5">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5">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5">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5">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5">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5">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5">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5">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5">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5">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5">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5">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5">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5">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5">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5">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5">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5">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5">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5">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5">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5">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5">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5">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5">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5">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5">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5">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5">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5">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5">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5">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5">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5">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5">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5">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5">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5">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5">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5">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5">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5">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5">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5">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5">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5">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5">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5">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5">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5">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5">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5">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5">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5">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5">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5">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5">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5">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5">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5">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5">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5">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5">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5">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5">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5">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5">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5">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5">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5">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5">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5">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5">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5">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5">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5">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5">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5">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5">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5">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5">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5">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5">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5">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5">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5">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5">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5">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5">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5">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5">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5">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5">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5">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5">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5">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5">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5">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5">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5">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5">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5">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5">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5">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5">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5">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5">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5">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5">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5">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5">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5">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5">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5">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5">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5">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5">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5">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5">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5">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5">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5">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5">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5">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5">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5">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5">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5">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5">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5">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5">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5">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5">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5">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5">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5">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5">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5">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5">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5">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5">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5">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5">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5">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5">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5">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5">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5">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5">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5">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5">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5">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5">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5">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5">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5">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5">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5">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5">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5">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5">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5">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5">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5">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5">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5">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5">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5">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5">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5">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5">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5">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5">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5">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5">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5">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5">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5">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5">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5">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5">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5">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5">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5">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5">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5">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5">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5">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5">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5">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5">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5">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5">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5">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5">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5">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5">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5">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5">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5">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5">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5">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5">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5">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5">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5">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5">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5">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5">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5">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5">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5">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5">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5">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5">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5">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5">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5">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5">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5">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5">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5">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5">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5">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5">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5">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5">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5">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5">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5">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5">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5">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5">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5">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5">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5">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5">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5">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5">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5">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5">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5">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5">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5">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5">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5">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5">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5">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5">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5">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5">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5">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5">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5">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5">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5">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5">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5">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5">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5">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5">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5">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5">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5">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5">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5">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5">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5">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5">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5">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5">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5">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5">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5">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5">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5">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5">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5">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5">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5">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5">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5">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5">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5">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5">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5">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5">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5">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5">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5">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5">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5">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5">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5">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5">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5">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5">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5">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5">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5">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5">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5">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5">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5">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5">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5">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5">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5">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5">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5">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5">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5">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5">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5">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5">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5">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5">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5">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5">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5">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5">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5">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5">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5">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5">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5">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5">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5">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5">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5">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5">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5">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5">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5">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5">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5">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5">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5">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5">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5">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5">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5">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5">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5">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5">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5">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5">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5">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5">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5">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5">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5">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5">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5">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5">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5">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5">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5">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5">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5">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5">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5">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5">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5">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5">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5">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5">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5">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5">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5">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5">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5">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5">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5">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5">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5">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5">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5">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5">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5">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5">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5">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5">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5">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5">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5">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5">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5">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5">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5">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5">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5">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5">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5">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5">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5">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5">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5">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5">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5">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5">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5">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5">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5">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5">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5">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5">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5">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5">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5">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5">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5">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5">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5">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5">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5">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5">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5">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5">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5">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5">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5">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5">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5">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5">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5">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5">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5">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5">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5">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5">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5">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5">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5">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5">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5">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5">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5">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5">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5">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5">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5">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5">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5">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5">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5">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5">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5">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5">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5">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5">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5">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5">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5">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5">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5">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5">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5">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5">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5">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5">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5">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5">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5">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5">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5">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5">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5">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5">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5">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5">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5">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5">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5">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5">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5">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5">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5">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5">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5">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5">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5">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5">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5">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5">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5">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5">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5">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5">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5">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5">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5">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5">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5">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5">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5">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5">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65" x14ac:dyDescent="0.35">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5">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5">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5">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5">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5">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5">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5">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5">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5">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5">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5">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5">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5">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5">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58" priority="27"/>
  </conditionalFormatting>
  <conditionalFormatting sqref="Q611">
    <cfRule type="containsText" dxfId="457" priority="10" operator="containsText" text="ENVIADO A TICS">
      <formula>NOT(ISERROR(SEARCH("ENVIADO A TICS",Q611)))</formula>
    </cfRule>
    <cfRule type="containsText" dxfId="456" priority="11" operator="containsText" text="ENTREGADO/REVISIÓN">
      <formula>NOT(ISERROR(SEARCH("ENTREGADO/REVISIÓN",Q611)))</formula>
    </cfRule>
    <cfRule type="containsText" dxfId="455" priority="12" operator="containsText" text="ENVIADO A LA CE/UM">
      <formula>NOT(ISERROR(SEARCH("ENVIADO A LA CE/UM",Q611)))</formula>
    </cfRule>
  </conditionalFormatting>
  <conditionalFormatting sqref="R611">
    <cfRule type="containsText" dxfId="454" priority="9" operator="containsText" text="EN PROCESO">
      <formula>NOT(ISERROR(SEARCH("EN PROCESO",R611)))</formula>
    </cfRule>
  </conditionalFormatting>
  <conditionalFormatting sqref="R611:U611 T1:W610">
    <cfRule type="containsText" dxfId="453" priority="18" operator="containsText" text="CONCLUIDO">
      <formula>NOT(ISERROR(SEARCH("CONCLUIDO",R1)))</formula>
    </cfRule>
  </conditionalFormatting>
  <conditionalFormatting sqref="S1:S610">
    <cfRule type="containsText" dxfId="452" priority="24" operator="containsText" text="ENVIADO A TICS">
      <formula>NOT(ISERROR(SEARCH("ENVIADO A TICS",S1)))</formula>
    </cfRule>
    <cfRule type="containsText" dxfId="451" priority="25" operator="containsText" text="ENTREGADO/REVISIÓN">
      <formula>NOT(ISERROR(SEARCH("ENTREGADO/REVISIÓN",S1)))</formula>
    </cfRule>
    <cfRule type="containsText" dxfId="450" priority="26" operator="containsText" text="ENVIADO A LA CE/UM">
      <formula>NOT(ISERROR(SEARCH("ENVIADO A LA CE/UM",S1)))</formula>
    </cfRule>
  </conditionalFormatting>
  <conditionalFormatting sqref="S611:T611">
    <cfRule type="containsText" dxfId="449" priority="7" operator="containsText" text="EN REVISIÓN CENTRAL">
      <formula>NOT(ISERROR(SEARCH("EN REVISIÓN CENTRAL",S611)))</formula>
    </cfRule>
    <cfRule type="containsText" dxfId="448" priority="8" operator="containsText" text="ENVIADO A LA CE/UM">
      <formula>NOT(ISERROR(SEARCH("ENVIADO A LA CE/UM",S611)))</formula>
    </cfRule>
  </conditionalFormatting>
  <conditionalFormatting sqref="T1:T610">
    <cfRule type="containsText" dxfId="447" priority="23" operator="containsText" text="EN PROCESO">
      <formula>NOT(ISERROR(SEARCH("EN PROCESO",T1)))</formula>
    </cfRule>
  </conditionalFormatting>
  <conditionalFormatting sqref="U1">
    <cfRule type="containsText" dxfId="446" priority="28" operator="containsText" text="ENVIADO A LA CE/UM">
      <formula>NOT(ISERROR(SEARCH("ENVIADO A LA CE/UM",U1)))</formula>
    </cfRule>
  </conditionalFormatting>
  <conditionalFormatting sqref="U611">
    <cfRule type="containsText" dxfId="445" priority="5" operator="containsText" text="EN PROCESO">
      <formula>NOT(ISERROR(SEARCH("EN PROCESO",U611)))</formula>
    </cfRule>
    <cfRule type="containsText" dxfId="444" priority="6" operator="containsText" text="ENVIADO">
      <formula>NOT(ISERROR(SEARCH("ENVIADO",U611)))</formula>
    </cfRule>
  </conditionalFormatting>
  <conditionalFormatting sqref="U1:V610">
    <cfRule type="containsText" dxfId="443" priority="21" operator="containsText" text="EN REVISIÓN CENTRAL">
      <formula>NOT(ISERROR(SEARCH("EN REVISIÓN CENTRAL",U1)))</formula>
    </cfRule>
  </conditionalFormatting>
  <conditionalFormatting sqref="U2:V610">
    <cfRule type="containsText" dxfId="442" priority="22" operator="containsText" text="ENVIADO A LA CE/UM">
      <formula>NOT(ISERROR(SEARCH("ENVIADO A LA CE/UM",U2)))</formula>
    </cfRule>
  </conditionalFormatting>
  <conditionalFormatting sqref="V611">
    <cfRule type="containsText" dxfId="441" priority="3" operator="containsText" text="CONCLUIDAS">
      <formula>NOT(ISERROR(SEARCH("CONCLUIDAS",V611)))</formula>
    </cfRule>
    <cfRule type="containsText" dxfId="440" priority="4" operator="containsText" text="PROGRAMADAS">
      <formula>NOT(ISERROR(SEARCH("PROGRAMADAS",V611)))</formula>
    </cfRule>
  </conditionalFormatting>
  <conditionalFormatting sqref="W1:W610">
    <cfRule type="containsText" dxfId="439" priority="19" operator="containsText" text="EN PROCESO">
      <formula>NOT(ISERROR(SEARCH("EN PROCESO",W1)))</formula>
    </cfRule>
    <cfRule type="containsText" dxfId="438" priority="20" operator="containsText" text="ENVIADO">
      <formula>NOT(ISERROR(SEARCH("ENVIADO",W1)))</formula>
    </cfRule>
  </conditionalFormatting>
  <conditionalFormatting sqref="W611:Z611">
    <cfRule type="containsText" dxfId="437" priority="1" operator="containsText" text="SI">
      <formula>NOT(ISERROR(SEARCH("SI",W611)))</formula>
    </cfRule>
    <cfRule type="containsText" dxfId="436" priority="2" operator="containsText" text="NO">
      <formula>NOT(ISERROR(SEARCH("NO",W611)))</formula>
    </cfRule>
  </conditionalFormatting>
  <conditionalFormatting sqref="X1:X610">
    <cfRule type="containsText" dxfId="435" priority="16" operator="containsText" text="CONCLUIDAS">
      <formula>NOT(ISERROR(SEARCH("CONCLUIDAS",X1)))</formula>
    </cfRule>
    <cfRule type="containsText" dxfId="434" priority="17" operator="containsText" text="PROGRAMADAS">
      <formula>NOT(ISERROR(SEARCH("PROGRAMADAS",X1)))</formula>
    </cfRule>
  </conditionalFormatting>
  <conditionalFormatting sqref="Y1:Z610">
    <cfRule type="containsText" dxfId="433" priority="14" operator="containsText" text="SI">
      <formula>NOT(ISERROR(SEARCH("SI",Y1)))</formula>
    </cfRule>
    <cfRule type="containsText" dxfId="432"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lAbEl JD</cp:lastModifiedBy>
  <dcterms:created xsi:type="dcterms:W3CDTF">2026-05-20T00:02:53Z</dcterms:created>
  <dcterms:modified xsi:type="dcterms:W3CDTF">2026-07-21T17:50:26Z</dcterms:modified>
</cp:coreProperties>
</file>