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0CDB8E54-E2B6-42F7-9C0A-B0110936C427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Unidades!$A$1:$AG$614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F2" i="1"/>
  <c r="AC3" i="1"/>
  <c r="AF3" i="1"/>
  <c r="AC4" i="1"/>
  <c r="AF4" i="1"/>
  <c r="AC5" i="1"/>
  <c r="AF5" i="1"/>
  <c r="AC6" i="1"/>
  <c r="AF6" i="1"/>
  <c r="AC7" i="1"/>
  <c r="AF7" i="1"/>
  <c r="AC8" i="1"/>
  <c r="AF8" i="1"/>
  <c r="AC9" i="1"/>
  <c r="AF9" i="1"/>
  <c r="AC10" i="1"/>
  <c r="AF10" i="1"/>
  <c r="AC11" i="1"/>
  <c r="AF11" i="1"/>
  <c r="AC12" i="1"/>
  <c r="AF12" i="1"/>
  <c r="AC13" i="1"/>
  <c r="AF13" i="1"/>
  <c r="AC14" i="1"/>
  <c r="AF14" i="1"/>
  <c r="AC15" i="1"/>
  <c r="AF15" i="1"/>
  <c r="AC16" i="1"/>
  <c r="AF16" i="1"/>
  <c r="AC17" i="1"/>
  <c r="AF17" i="1"/>
  <c r="AC18" i="1"/>
  <c r="AF18" i="1"/>
  <c r="AC19" i="1"/>
  <c r="AF19" i="1"/>
  <c r="AC20" i="1"/>
  <c r="AF20" i="1"/>
  <c r="AC21" i="1"/>
  <c r="AF21" i="1"/>
  <c r="AC22" i="1"/>
  <c r="AF22" i="1"/>
  <c r="AC23" i="1"/>
  <c r="AF23" i="1"/>
  <c r="AC24" i="1"/>
  <c r="AF24" i="1"/>
  <c r="AC25" i="1"/>
  <c r="AF25" i="1"/>
  <c r="AC26" i="1"/>
  <c r="AF26" i="1"/>
  <c r="AC27" i="1"/>
  <c r="AF27" i="1"/>
  <c r="AC28" i="1"/>
  <c r="AF28" i="1"/>
  <c r="AC29" i="1"/>
  <c r="AF29" i="1"/>
  <c r="AC30" i="1"/>
  <c r="AF30" i="1"/>
  <c r="AC31" i="1"/>
  <c r="AF31" i="1"/>
  <c r="AC32" i="1"/>
  <c r="AF32" i="1"/>
  <c r="AC33" i="1"/>
  <c r="AF33" i="1"/>
  <c r="AC34" i="1"/>
  <c r="AF34" i="1"/>
  <c r="AC35" i="1"/>
  <c r="AF35" i="1"/>
  <c r="AC36" i="1"/>
  <c r="AF36" i="1"/>
  <c r="AC37" i="1"/>
  <c r="AF37" i="1"/>
  <c r="AC38" i="1"/>
  <c r="AF38" i="1"/>
  <c r="AC39" i="1"/>
  <c r="AF39" i="1"/>
  <c r="AC40" i="1"/>
  <c r="AF40" i="1"/>
  <c r="AC41" i="1"/>
  <c r="AF41" i="1"/>
  <c r="AC42" i="1"/>
  <c r="AF42" i="1"/>
  <c r="AC43" i="1"/>
  <c r="AF43" i="1"/>
  <c r="AC44" i="1"/>
  <c r="AF44" i="1"/>
  <c r="AC45" i="1"/>
  <c r="AF45" i="1"/>
  <c r="AC46" i="1"/>
  <c r="AF46" i="1"/>
  <c r="AC47" i="1"/>
  <c r="AF47" i="1"/>
  <c r="AC48" i="1"/>
  <c r="AF48" i="1"/>
  <c r="AC49" i="1"/>
  <c r="AF49" i="1"/>
  <c r="AC50" i="1"/>
  <c r="AF50" i="1"/>
  <c r="AC51" i="1"/>
  <c r="AF51" i="1"/>
  <c r="AC52" i="1"/>
  <c r="AF52" i="1"/>
  <c r="AC53" i="1"/>
  <c r="AF53" i="1"/>
  <c r="AC54" i="1"/>
  <c r="AF54" i="1"/>
  <c r="AC55" i="1"/>
  <c r="AF55" i="1"/>
  <c r="AC56" i="1"/>
  <c r="AF56" i="1"/>
  <c r="AC57" i="1"/>
  <c r="AF57" i="1"/>
  <c r="AC58" i="1"/>
  <c r="AF58" i="1"/>
  <c r="AC59" i="1"/>
  <c r="AF59" i="1"/>
  <c r="AC60" i="1"/>
  <c r="AF60" i="1"/>
  <c r="AC61" i="1"/>
  <c r="AF61" i="1"/>
  <c r="AC62" i="1"/>
  <c r="AF62" i="1"/>
  <c r="AC63" i="1"/>
  <c r="AF63" i="1"/>
  <c r="AC64" i="1"/>
  <c r="AF64" i="1"/>
  <c r="AC65" i="1"/>
  <c r="AF65" i="1"/>
  <c r="AC66" i="1"/>
  <c r="AF66" i="1"/>
  <c r="AC67" i="1"/>
  <c r="AF67" i="1"/>
  <c r="AC68" i="1"/>
  <c r="AF68" i="1"/>
  <c r="AC69" i="1"/>
  <c r="AF69" i="1"/>
  <c r="AC70" i="1"/>
  <c r="AF70" i="1"/>
  <c r="AC71" i="1"/>
  <c r="AF71" i="1"/>
  <c r="AC72" i="1"/>
  <c r="AF72" i="1"/>
  <c r="AC73" i="1"/>
  <c r="AF73" i="1"/>
  <c r="AC74" i="1"/>
  <c r="AF74" i="1"/>
  <c r="AC75" i="1"/>
  <c r="AF75" i="1"/>
  <c r="AC76" i="1"/>
  <c r="AF76" i="1"/>
  <c r="AC77" i="1"/>
  <c r="AF77" i="1"/>
  <c r="AC78" i="1"/>
  <c r="AF78" i="1"/>
  <c r="AC79" i="1"/>
  <c r="AF79" i="1"/>
  <c r="AC80" i="1"/>
  <c r="AF80" i="1"/>
  <c r="AC81" i="1"/>
  <c r="AF81" i="1"/>
  <c r="AC82" i="1"/>
  <c r="AF82" i="1"/>
  <c r="AC83" i="1"/>
  <c r="AF83" i="1"/>
  <c r="AC84" i="1"/>
  <c r="AF84" i="1"/>
  <c r="AC85" i="1"/>
  <c r="AF85" i="1"/>
  <c r="AC86" i="1"/>
  <c r="AF86" i="1"/>
  <c r="AC87" i="1"/>
  <c r="AF87" i="1"/>
  <c r="AC88" i="1"/>
  <c r="AF88" i="1"/>
  <c r="AC89" i="1"/>
  <c r="AF89" i="1"/>
  <c r="AC90" i="1"/>
  <c r="AF90" i="1"/>
  <c r="AC91" i="1"/>
  <c r="AF91" i="1"/>
  <c r="AC92" i="1"/>
  <c r="AF92" i="1"/>
  <c r="AC93" i="1"/>
  <c r="AF93" i="1"/>
  <c r="AC94" i="1"/>
  <c r="AF94" i="1"/>
  <c r="AC95" i="1"/>
  <c r="AF95" i="1"/>
  <c r="AC96" i="1"/>
  <c r="AF96" i="1"/>
  <c r="AC97" i="1"/>
  <c r="AF97" i="1"/>
  <c r="AC98" i="1"/>
  <c r="AF98" i="1"/>
  <c r="AC99" i="1"/>
  <c r="AF99" i="1"/>
  <c r="AC100" i="1"/>
  <c r="AF100" i="1"/>
  <c r="AC101" i="1"/>
  <c r="AF101" i="1"/>
  <c r="AC102" i="1"/>
  <c r="AF102" i="1"/>
  <c r="AC103" i="1"/>
  <c r="AF103" i="1"/>
  <c r="AC104" i="1"/>
  <c r="AF104" i="1"/>
  <c r="AC105" i="1"/>
  <c r="AF105" i="1"/>
  <c r="AC106" i="1"/>
  <c r="AF106" i="1"/>
  <c r="AC107" i="1"/>
  <c r="AF107" i="1"/>
  <c r="AC108" i="1"/>
  <c r="AF108" i="1"/>
  <c r="AC109" i="1"/>
  <c r="AF109" i="1"/>
  <c r="AC110" i="1"/>
  <c r="AF110" i="1"/>
  <c r="AC111" i="1"/>
  <c r="AF111" i="1"/>
  <c r="AC112" i="1"/>
  <c r="AF112" i="1"/>
  <c r="AC113" i="1"/>
  <c r="AF113" i="1"/>
  <c r="AC114" i="1"/>
  <c r="AF114" i="1"/>
  <c r="AC115" i="1"/>
  <c r="AF115" i="1"/>
  <c r="AC116" i="1"/>
  <c r="AF116" i="1"/>
  <c r="AC117" i="1"/>
  <c r="AF117" i="1"/>
  <c r="AC118" i="1"/>
  <c r="AF118" i="1"/>
  <c r="AC119" i="1"/>
  <c r="AF119" i="1"/>
  <c r="AC120" i="1"/>
  <c r="AF120" i="1"/>
  <c r="AC121" i="1"/>
  <c r="AF121" i="1"/>
  <c r="AC122" i="1"/>
  <c r="AF122" i="1"/>
  <c r="AC123" i="1"/>
  <c r="AF123" i="1"/>
  <c r="AC124" i="1"/>
  <c r="AF124" i="1"/>
  <c r="AC125" i="1"/>
  <c r="AF125" i="1"/>
  <c r="AC126" i="1"/>
  <c r="AF126" i="1"/>
  <c r="AC127" i="1"/>
  <c r="AF127" i="1"/>
  <c r="AC128" i="1"/>
  <c r="AF128" i="1"/>
  <c r="AC129" i="1"/>
  <c r="AF129" i="1"/>
  <c r="AC130" i="1"/>
  <c r="AF130" i="1"/>
  <c r="AC131" i="1"/>
  <c r="AF131" i="1"/>
  <c r="AC132" i="1"/>
  <c r="AF132" i="1"/>
  <c r="AC133" i="1"/>
  <c r="AF133" i="1"/>
  <c r="AC134" i="1"/>
  <c r="AF134" i="1"/>
  <c r="AC135" i="1"/>
  <c r="AF135" i="1"/>
  <c r="AC136" i="1"/>
  <c r="AF136" i="1"/>
  <c r="AC137" i="1"/>
  <c r="AF137" i="1"/>
  <c r="AC138" i="1"/>
  <c r="AF138" i="1"/>
  <c r="AC139" i="1"/>
  <c r="AF139" i="1"/>
  <c r="AC140" i="1"/>
  <c r="AF140" i="1"/>
  <c r="AC141" i="1"/>
  <c r="AF141" i="1"/>
  <c r="AC142" i="1"/>
  <c r="AF142" i="1"/>
  <c r="AC143" i="1"/>
  <c r="AF143" i="1"/>
  <c r="AC144" i="1"/>
  <c r="AF144" i="1"/>
  <c r="AC145" i="1"/>
  <c r="AF145" i="1"/>
  <c r="AC146" i="1"/>
  <c r="AF146" i="1"/>
  <c r="AC147" i="1"/>
  <c r="AF147" i="1"/>
  <c r="AC148" i="1"/>
  <c r="AF148" i="1"/>
  <c r="AC149" i="1"/>
  <c r="AF149" i="1"/>
  <c r="AC150" i="1"/>
  <c r="AF150" i="1"/>
  <c r="AC151" i="1"/>
  <c r="AF151" i="1"/>
  <c r="AC152" i="1"/>
  <c r="AF152" i="1"/>
  <c r="AC153" i="1"/>
  <c r="AF153" i="1"/>
  <c r="AC154" i="1"/>
  <c r="AF154" i="1"/>
  <c r="AC155" i="1"/>
  <c r="AF155" i="1"/>
  <c r="AC156" i="1"/>
  <c r="AF156" i="1"/>
  <c r="AC157" i="1"/>
  <c r="AF157" i="1"/>
  <c r="AC158" i="1"/>
  <c r="AF158" i="1"/>
  <c r="AC159" i="1"/>
  <c r="AF159" i="1"/>
  <c r="AC160" i="1"/>
  <c r="AF160" i="1"/>
  <c r="AC161" i="1"/>
  <c r="AF161" i="1"/>
  <c r="AC162" i="1"/>
  <c r="AF162" i="1"/>
  <c r="AC163" i="1"/>
  <c r="AF163" i="1"/>
  <c r="AC164" i="1"/>
  <c r="AF164" i="1"/>
  <c r="AC165" i="1"/>
  <c r="AF165" i="1"/>
  <c r="AC166" i="1"/>
  <c r="AF166" i="1"/>
  <c r="AC167" i="1"/>
  <c r="AF167" i="1"/>
  <c r="AC168" i="1"/>
  <c r="AF168" i="1"/>
  <c r="AC169" i="1"/>
  <c r="AF169" i="1"/>
  <c r="AC170" i="1"/>
  <c r="AF170" i="1"/>
  <c r="AC171" i="1"/>
  <c r="AF171" i="1"/>
  <c r="AC172" i="1"/>
  <c r="AF172" i="1"/>
  <c r="AC173" i="1"/>
  <c r="AF173" i="1"/>
  <c r="AC174" i="1"/>
  <c r="AF174" i="1"/>
  <c r="AC175" i="1"/>
  <c r="AF175" i="1"/>
  <c r="AC176" i="1"/>
  <c r="AF176" i="1"/>
  <c r="AC177" i="1"/>
  <c r="AF177" i="1"/>
  <c r="AC178" i="1"/>
  <c r="AF178" i="1"/>
  <c r="AC179" i="1"/>
  <c r="AF179" i="1"/>
  <c r="AC180" i="1"/>
  <c r="AF180" i="1"/>
  <c r="AC181" i="1"/>
  <c r="AF181" i="1"/>
  <c r="AC182" i="1"/>
  <c r="AF182" i="1"/>
  <c r="AC183" i="1"/>
  <c r="AF183" i="1"/>
  <c r="AC184" i="1"/>
  <c r="AF184" i="1"/>
  <c r="AC185" i="1"/>
  <c r="AF185" i="1"/>
  <c r="AC186" i="1"/>
  <c r="AF186" i="1"/>
  <c r="AC187" i="1"/>
  <c r="AF187" i="1"/>
  <c r="AC188" i="1"/>
  <c r="AF188" i="1"/>
  <c r="AC189" i="1"/>
  <c r="AF189" i="1"/>
  <c r="AC190" i="1"/>
  <c r="AF190" i="1"/>
  <c r="AC191" i="1"/>
  <c r="AF191" i="1"/>
  <c r="AC192" i="1"/>
  <c r="AF192" i="1"/>
  <c r="AC193" i="1"/>
  <c r="AF193" i="1"/>
  <c r="AC194" i="1"/>
  <c r="AF194" i="1"/>
  <c r="AC195" i="1"/>
  <c r="AF195" i="1"/>
  <c r="AC196" i="1"/>
  <c r="AF196" i="1"/>
  <c r="AC197" i="1"/>
  <c r="AF197" i="1"/>
  <c r="AC198" i="1"/>
  <c r="AF198" i="1"/>
  <c r="AC199" i="1"/>
  <c r="AF199" i="1"/>
  <c r="AC200" i="1"/>
  <c r="AF200" i="1"/>
  <c r="AC201" i="1"/>
  <c r="AF201" i="1"/>
  <c r="AC202" i="1"/>
  <c r="AF202" i="1"/>
  <c r="AC203" i="1"/>
  <c r="AF203" i="1"/>
  <c r="AC204" i="1"/>
  <c r="AF204" i="1"/>
  <c r="AC205" i="1"/>
  <c r="AF205" i="1"/>
  <c r="AC206" i="1"/>
  <c r="AF206" i="1"/>
  <c r="AC207" i="1"/>
  <c r="AF207" i="1"/>
  <c r="AC208" i="1"/>
  <c r="AF208" i="1"/>
  <c r="AC209" i="1"/>
  <c r="AF209" i="1"/>
  <c r="AC210" i="1"/>
  <c r="AF210" i="1"/>
  <c r="AC211" i="1"/>
  <c r="AF211" i="1"/>
  <c r="AC212" i="1"/>
  <c r="AF212" i="1"/>
  <c r="AC213" i="1"/>
  <c r="AF213" i="1"/>
  <c r="AC214" i="1"/>
  <c r="AF214" i="1"/>
  <c r="AC215" i="1"/>
  <c r="AF215" i="1"/>
  <c r="AC216" i="1"/>
  <c r="AF216" i="1"/>
  <c r="AC217" i="1"/>
  <c r="AF217" i="1"/>
  <c r="AC218" i="1"/>
  <c r="AF218" i="1"/>
  <c r="AC219" i="1"/>
  <c r="AF219" i="1"/>
  <c r="AC220" i="1"/>
  <c r="AF220" i="1"/>
  <c r="AC221" i="1"/>
  <c r="AF221" i="1"/>
  <c r="AC222" i="1"/>
  <c r="AF222" i="1"/>
  <c r="AC223" i="1"/>
  <c r="AF223" i="1"/>
  <c r="AF224" i="1"/>
  <c r="AC225" i="1"/>
  <c r="AF225" i="1"/>
  <c r="AC226" i="1"/>
  <c r="AF226" i="1"/>
  <c r="AC227" i="1"/>
  <c r="AF227" i="1"/>
  <c r="AC228" i="1"/>
  <c r="AF228" i="1"/>
  <c r="AC229" i="1"/>
  <c r="AF229" i="1"/>
  <c r="AC230" i="1"/>
  <c r="AF230" i="1"/>
  <c r="AC231" i="1"/>
  <c r="AF231" i="1"/>
  <c r="AC232" i="1"/>
  <c r="AF232" i="1"/>
  <c r="AC233" i="1"/>
  <c r="AF233" i="1"/>
  <c r="AC234" i="1"/>
  <c r="AF234" i="1"/>
  <c r="AC235" i="1"/>
  <c r="AF235" i="1"/>
  <c r="AC236" i="1"/>
  <c r="AF236" i="1"/>
  <c r="AC237" i="1"/>
  <c r="AF237" i="1"/>
  <c r="AC238" i="1"/>
  <c r="AF238" i="1"/>
  <c r="AC239" i="1"/>
  <c r="AF239" i="1"/>
  <c r="AC240" i="1"/>
  <c r="AF240" i="1"/>
  <c r="AC241" i="1"/>
  <c r="AF241" i="1"/>
  <c r="AC242" i="1"/>
  <c r="AF242" i="1"/>
  <c r="AC243" i="1"/>
  <c r="AF243" i="1"/>
  <c r="AC244" i="1"/>
  <c r="AF244" i="1"/>
  <c r="AC245" i="1"/>
  <c r="AF245" i="1"/>
  <c r="AC246" i="1"/>
  <c r="AF246" i="1"/>
  <c r="AC247" i="1"/>
  <c r="AF247" i="1"/>
  <c r="AC248" i="1"/>
  <c r="AF248" i="1"/>
  <c r="AC249" i="1"/>
  <c r="AF249" i="1"/>
  <c r="AC250" i="1"/>
  <c r="AF250" i="1"/>
  <c r="AC251" i="1"/>
  <c r="AF251" i="1"/>
  <c r="AC252" i="1"/>
  <c r="AF252" i="1"/>
  <c r="AC253" i="1"/>
  <c r="AF253" i="1"/>
  <c r="AC254" i="1"/>
  <c r="AF254" i="1"/>
  <c r="AC255" i="1"/>
  <c r="AF255" i="1"/>
  <c r="AC256" i="1"/>
  <c r="AF256" i="1"/>
  <c r="AC257" i="1"/>
  <c r="AF257" i="1"/>
  <c r="AC258" i="1"/>
  <c r="AF258" i="1"/>
  <c r="AC259" i="1"/>
  <c r="AF259" i="1"/>
  <c r="AC260" i="1"/>
  <c r="AF260" i="1"/>
  <c r="AC261" i="1"/>
  <c r="AF261" i="1"/>
  <c r="AC262" i="1"/>
  <c r="AF262" i="1"/>
  <c r="AC263" i="1"/>
  <c r="AF263" i="1"/>
  <c r="AC264" i="1"/>
  <c r="AF264" i="1"/>
  <c r="AC265" i="1"/>
  <c r="AF265" i="1"/>
  <c r="AC266" i="1"/>
  <c r="AF266" i="1"/>
  <c r="AC267" i="1"/>
  <c r="AF267" i="1"/>
  <c r="AC268" i="1"/>
  <c r="AF268" i="1"/>
  <c r="AC269" i="1"/>
  <c r="AF269" i="1"/>
  <c r="AC270" i="1"/>
  <c r="AF270" i="1"/>
  <c r="AC271" i="1"/>
  <c r="AF271" i="1"/>
  <c r="AC272" i="1"/>
  <c r="AF272" i="1"/>
  <c r="AC273" i="1"/>
  <c r="AF273" i="1"/>
  <c r="AC274" i="1"/>
  <c r="AF274" i="1"/>
  <c r="AC275" i="1"/>
  <c r="AF275" i="1"/>
  <c r="AC276" i="1"/>
  <c r="AF276" i="1"/>
  <c r="AC277" i="1"/>
  <c r="AF277" i="1"/>
  <c r="AC278" i="1"/>
  <c r="AF278" i="1"/>
  <c r="AC279" i="1"/>
  <c r="AF279" i="1"/>
  <c r="AC280" i="1"/>
  <c r="AF280" i="1"/>
  <c r="AC281" i="1"/>
  <c r="AF281" i="1"/>
  <c r="AC282" i="1"/>
  <c r="AF282" i="1"/>
  <c r="AC283" i="1"/>
  <c r="AF283" i="1"/>
  <c r="AC284" i="1"/>
  <c r="AF284" i="1"/>
  <c r="AC285" i="1"/>
  <c r="AF285" i="1"/>
  <c r="AC286" i="1"/>
  <c r="AF286" i="1"/>
  <c r="AC287" i="1"/>
  <c r="AF287" i="1"/>
  <c r="AC288" i="1"/>
  <c r="AF288" i="1"/>
  <c r="AC289" i="1"/>
  <c r="AF289" i="1"/>
  <c r="AC290" i="1"/>
  <c r="AF290" i="1"/>
  <c r="AC291" i="1"/>
  <c r="AF291" i="1"/>
  <c r="AC292" i="1"/>
  <c r="AF292" i="1"/>
  <c r="AC293" i="1"/>
  <c r="AF293" i="1"/>
  <c r="AC294" i="1"/>
  <c r="AF294" i="1"/>
  <c r="AC295" i="1"/>
  <c r="AF295" i="1"/>
  <c r="AC296" i="1"/>
  <c r="AF296" i="1"/>
  <c r="AC297" i="1"/>
  <c r="AF297" i="1"/>
  <c r="AC298" i="1"/>
  <c r="AF298" i="1"/>
  <c r="AC299" i="1"/>
  <c r="AF299" i="1"/>
  <c r="AC300" i="1"/>
  <c r="AF300" i="1"/>
  <c r="AC301" i="1"/>
  <c r="AF301" i="1"/>
  <c r="AC302" i="1"/>
  <c r="AF302" i="1"/>
  <c r="AC303" i="1"/>
  <c r="AF303" i="1"/>
  <c r="AC304" i="1"/>
  <c r="AF304" i="1"/>
  <c r="AC305" i="1"/>
  <c r="AF305" i="1"/>
  <c r="AC306" i="1"/>
  <c r="AF306" i="1"/>
  <c r="AC307" i="1"/>
  <c r="AF307" i="1"/>
  <c r="AC308" i="1"/>
  <c r="AF308" i="1"/>
  <c r="AC309" i="1"/>
  <c r="AF309" i="1"/>
  <c r="AC310" i="1"/>
  <c r="AF310" i="1"/>
  <c r="AC311" i="1"/>
  <c r="AF311" i="1"/>
  <c r="AC312" i="1"/>
  <c r="AF312" i="1"/>
  <c r="AC313" i="1"/>
  <c r="AF313" i="1"/>
  <c r="AC314" i="1"/>
  <c r="AF314" i="1"/>
  <c r="AC315" i="1"/>
  <c r="AF315" i="1"/>
  <c r="AC316" i="1"/>
  <c r="AF316" i="1"/>
  <c r="AC317" i="1"/>
  <c r="AF317" i="1"/>
  <c r="AC318" i="1"/>
  <c r="AF318" i="1"/>
  <c r="AC319" i="1"/>
  <c r="AF319" i="1"/>
  <c r="AC320" i="1"/>
  <c r="AF320" i="1"/>
  <c r="AC321" i="1"/>
  <c r="AF321" i="1"/>
  <c r="AC322" i="1"/>
  <c r="AF322" i="1"/>
  <c r="AC323" i="1"/>
  <c r="AF323" i="1"/>
  <c r="AC324" i="1"/>
  <c r="AF324" i="1"/>
  <c r="AC325" i="1"/>
  <c r="AF325" i="1"/>
  <c r="AC326" i="1"/>
  <c r="AF326" i="1"/>
  <c r="AC327" i="1"/>
  <c r="AF327" i="1"/>
  <c r="AC328" i="1"/>
  <c r="AF328" i="1"/>
  <c r="AC329" i="1"/>
  <c r="AF329" i="1"/>
  <c r="AC330" i="1"/>
  <c r="AF330" i="1"/>
  <c r="AC331" i="1"/>
  <c r="AF331" i="1"/>
  <c r="AC332" i="1"/>
  <c r="AF332" i="1"/>
  <c r="AC333" i="1"/>
  <c r="AF333" i="1"/>
  <c r="AC334" i="1"/>
  <c r="AF334" i="1"/>
  <c r="AC335" i="1"/>
  <c r="AF335" i="1"/>
  <c r="AC336" i="1"/>
  <c r="AF336" i="1"/>
  <c r="AC337" i="1"/>
  <c r="AF337" i="1"/>
  <c r="AC338" i="1"/>
  <c r="AF338" i="1"/>
  <c r="AC339" i="1"/>
  <c r="AF339" i="1"/>
  <c r="AC340" i="1"/>
  <c r="AF340" i="1"/>
  <c r="AC341" i="1"/>
  <c r="AF341" i="1"/>
  <c r="AC342" i="1"/>
  <c r="AF342" i="1"/>
  <c r="AC343" i="1"/>
  <c r="AF343" i="1"/>
  <c r="AC344" i="1"/>
  <c r="AF344" i="1"/>
  <c r="AC345" i="1"/>
  <c r="AF345" i="1"/>
  <c r="AC346" i="1"/>
  <c r="AF346" i="1"/>
  <c r="AC347" i="1"/>
  <c r="AF347" i="1"/>
  <c r="AC348" i="1"/>
  <c r="AF348" i="1"/>
  <c r="AC349" i="1"/>
  <c r="AF349" i="1"/>
  <c r="AC350" i="1"/>
  <c r="AF350" i="1"/>
  <c r="AC351" i="1"/>
  <c r="AF351" i="1"/>
  <c r="AC352" i="1"/>
  <c r="AF352" i="1"/>
  <c r="AC353" i="1"/>
  <c r="AF353" i="1"/>
  <c r="AC354" i="1"/>
  <c r="AF354" i="1"/>
  <c r="AC355" i="1"/>
  <c r="AF355" i="1"/>
  <c r="AC356" i="1"/>
  <c r="AF356" i="1"/>
  <c r="AC357" i="1"/>
  <c r="AF357" i="1"/>
  <c r="AC358" i="1"/>
  <c r="AF358" i="1"/>
  <c r="AC359" i="1"/>
  <c r="AF359" i="1"/>
  <c r="AC360" i="1"/>
  <c r="AF360" i="1"/>
  <c r="AC361" i="1"/>
  <c r="AF361" i="1"/>
  <c r="AC362" i="1"/>
  <c r="AF362" i="1"/>
  <c r="AC363" i="1"/>
  <c r="AF363" i="1"/>
  <c r="AC364" i="1"/>
  <c r="AF364" i="1"/>
  <c r="AC365" i="1"/>
  <c r="AF365" i="1"/>
  <c r="AC366" i="1"/>
  <c r="AF366" i="1"/>
  <c r="AC367" i="1"/>
  <c r="AF367" i="1"/>
  <c r="AC368" i="1"/>
  <c r="AF368" i="1"/>
  <c r="AC369" i="1"/>
  <c r="AF369" i="1"/>
  <c r="AC370" i="1"/>
  <c r="AF370" i="1"/>
  <c r="AC371" i="1"/>
  <c r="AF371" i="1"/>
  <c r="AC372" i="1"/>
  <c r="AF372" i="1"/>
  <c r="AC373" i="1"/>
  <c r="AF373" i="1"/>
  <c r="AC374" i="1"/>
  <c r="AF374" i="1"/>
  <c r="AC375" i="1"/>
  <c r="AF375" i="1"/>
  <c r="AC376" i="1"/>
  <c r="AF376" i="1"/>
  <c r="AC377" i="1"/>
  <c r="AF377" i="1"/>
  <c r="AC378" i="1"/>
  <c r="AF378" i="1"/>
  <c r="AC379" i="1"/>
  <c r="AF379" i="1"/>
  <c r="AC380" i="1"/>
  <c r="AF380" i="1"/>
  <c r="AC381" i="1"/>
  <c r="AF381" i="1"/>
  <c r="AC382" i="1"/>
  <c r="AF382" i="1"/>
  <c r="AC383" i="1"/>
  <c r="AF383" i="1"/>
  <c r="AC384" i="1"/>
  <c r="AF384" i="1"/>
  <c r="AC385" i="1"/>
  <c r="AF385" i="1"/>
  <c r="AC386" i="1"/>
  <c r="AF386" i="1"/>
  <c r="AC387" i="1"/>
  <c r="AF387" i="1"/>
  <c r="AC388" i="1"/>
  <c r="AF388" i="1"/>
  <c r="AC389" i="1"/>
  <c r="AF389" i="1"/>
  <c r="AC390" i="1"/>
  <c r="AF390" i="1"/>
  <c r="AC391" i="1"/>
  <c r="AF391" i="1"/>
  <c r="AC392" i="1"/>
  <c r="AF392" i="1"/>
  <c r="AC393" i="1"/>
  <c r="AF393" i="1"/>
  <c r="AC394" i="1"/>
  <c r="AF394" i="1"/>
  <c r="AC395" i="1"/>
  <c r="AF395" i="1"/>
  <c r="AC396" i="1"/>
  <c r="AF396" i="1"/>
  <c r="AC397" i="1"/>
  <c r="AF397" i="1"/>
  <c r="AC398" i="1"/>
  <c r="AF398" i="1"/>
  <c r="AC399" i="1"/>
  <c r="AF399" i="1"/>
  <c r="AC400" i="1"/>
  <c r="AF400" i="1"/>
  <c r="AC401" i="1"/>
  <c r="AF401" i="1"/>
  <c r="AC402" i="1"/>
  <c r="AF402" i="1"/>
  <c r="AC403" i="1"/>
  <c r="AF403" i="1"/>
  <c r="AC404" i="1"/>
  <c r="AF404" i="1"/>
  <c r="AC405" i="1"/>
  <c r="AF405" i="1"/>
  <c r="AC406" i="1"/>
  <c r="AF406" i="1"/>
  <c r="AC407" i="1"/>
  <c r="AF407" i="1"/>
  <c r="AC408" i="1"/>
  <c r="AF408" i="1"/>
  <c r="AC409" i="1"/>
  <c r="AF409" i="1"/>
  <c r="AC410" i="1"/>
  <c r="AF410" i="1"/>
  <c r="AC411" i="1"/>
  <c r="AF411" i="1"/>
  <c r="AC412" i="1"/>
  <c r="AF412" i="1"/>
  <c r="AC413" i="1"/>
  <c r="AF413" i="1"/>
  <c r="AC414" i="1"/>
  <c r="AF414" i="1"/>
  <c r="AC415" i="1"/>
  <c r="AF415" i="1"/>
  <c r="AC416" i="1"/>
  <c r="AF416" i="1"/>
  <c r="AC417" i="1"/>
  <c r="AF417" i="1"/>
  <c r="AC418" i="1"/>
  <c r="AF418" i="1"/>
  <c r="AC419" i="1"/>
  <c r="AF419" i="1"/>
  <c r="AC420" i="1"/>
  <c r="AF420" i="1"/>
  <c r="AC421" i="1"/>
  <c r="AF421" i="1"/>
  <c r="AC422" i="1"/>
  <c r="AF422" i="1"/>
  <c r="AC423" i="1"/>
  <c r="AF423" i="1"/>
  <c r="AC424" i="1"/>
  <c r="AF424" i="1"/>
  <c r="AC425" i="1"/>
  <c r="AF425" i="1"/>
  <c r="AC426" i="1"/>
  <c r="AF426" i="1"/>
  <c r="AC427" i="1"/>
  <c r="AF427" i="1"/>
  <c r="AC428" i="1"/>
  <c r="AF428" i="1"/>
  <c r="AC429" i="1"/>
  <c r="AF429" i="1"/>
  <c r="AC430" i="1"/>
  <c r="AF430" i="1"/>
  <c r="AC431" i="1"/>
  <c r="AF431" i="1"/>
  <c r="AC432" i="1"/>
  <c r="AF432" i="1"/>
  <c r="AC433" i="1"/>
  <c r="AF433" i="1"/>
  <c r="AC434" i="1"/>
  <c r="AF434" i="1"/>
  <c r="AC435" i="1"/>
  <c r="AF435" i="1"/>
  <c r="AC436" i="1"/>
  <c r="AF436" i="1"/>
  <c r="AC437" i="1"/>
  <c r="AF437" i="1"/>
  <c r="AC438" i="1"/>
  <c r="AF438" i="1"/>
  <c r="AC439" i="1"/>
  <c r="AF439" i="1"/>
  <c r="AC440" i="1"/>
  <c r="AF440" i="1"/>
  <c r="AC441" i="1"/>
  <c r="AF441" i="1"/>
  <c r="AC442" i="1"/>
  <c r="AF442" i="1"/>
  <c r="AC443" i="1"/>
  <c r="AF443" i="1"/>
  <c r="AC444" i="1"/>
  <c r="AF444" i="1"/>
  <c r="AC445" i="1"/>
  <c r="AF445" i="1"/>
  <c r="AC446" i="1"/>
  <c r="AF446" i="1"/>
  <c r="AC447" i="1"/>
  <c r="AF447" i="1"/>
  <c r="AC448" i="1"/>
  <c r="AF448" i="1"/>
  <c r="AC449" i="1"/>
  <c r="AF449" i="1"/>
  <c r="AC450" i="1"/>
  <c r="AF450" i="1"/>
  <c r="AC451" i="1"/>
  <c r="AF451" i="1"/>
  <c r="AC452" i="1"/>
  <c r="AF452" i="1"/>
  <c r="AC453" i="1"/>
  <c r="AF453" i="1"/>
  <c r="AC454" i="1"/>
  <c r="AF454" i="1"/>
  <c r="AC455" i="1"/>
  <c r="AF455" i="1"/>
  <c r="AC456" i="1"/>
  <c r="AF456" i="1"/>
  <c r="AC457" i="1"/>
  <c r="AF457" i="1"/>
  <c r="AC458" i="1"/>
  <c r="AF458" i="1"/>
  <c r="AC459" i="1"/>
  <c r="AF459" i="1"/>
  <c r="AC460" i="1"/>
  <c r="AF460" i="1"/>
  <c r="AC461" i="1"/>
  <c r="AF461" i="1"/>
  <c r="AC462" i="1"/>
  <c r="AF462" i="1"/>
  <c r="AC463" i="1"/>
  <c r="AF463" i="1"/>
  <c r="AC464" i="1"/>
  <c r="AF464" i="1"/>
  <c r="AC465" i="1"/>
  <c r="AF465" i="1"/>
  <c r="AC466" i="1"/>
  <c r="AF466" i="1"/>
  <c r="AC467" i="1"/>
  <c r="AF467" i="1"/>
  <c r="AC468" i="1"/>
  <c r="AF468" i="1"/>
  <c r="AC469" i="1"/>
  <c r="AF469" i="1"/>
  <c r="AC470" i="1"/>
  <c r="AF470" i="1"/>
  <c r="AC471" i="1"/>
  <c r="AF471" i="1"/>
  <c r="AC472" i="1"/>
  <c r="AF472" i="1"/>
  <c r="AC473" i="1"/>
  <c r="AF473" i="1"/>
  <c r="AC474" i="1"/>
  <c r="AF474" i="1"/>
  <c r="AC475" i="1"/>
  <c r="AF475" i="1"/>
  <c r="AC476" i="1"/>
  <c r="AF476" i="1"/>
  <c r="AC477" i="1"/>
  <c r="AF477" i="1"/>
  <c r="AC478" i="1"/>
  <c r="AF478" i="1"/>
  <c r="AC479" i="1"/>
  <c r="AF479" i="1"/>
  <c r="AC480" i="1"/>
  <c r="AF480" i="1"/>
  <c r="AC481" i="1"/>
  <c r="AF481" i="1"/>
  <c r="AC482" i="1"/>
  <c r="AF482" i="1"/>
  <c r="AC483" i="1"/>
  <c r="AF483" i="1"/>
  <c r="AC484" i="1"/>
  <c r="AF484" i="1"/>
  <c r="AC485" i="1"/>
  <c r="AF485" i="1"/>
  <c r="AC486" i="1"/>
  <c r="AF486" i="1"/>
  <c r="AC487" i="1"/>
  <c r="AF487" i="1"/>
  <c r="AC488" i="1"/>
  <c r="AF488" i="1"/>
  <c r="AC489" i="1"/>
  <c r="AF489" i="1"/>
  <c r="AC490" i="1"/>
  <c r="AF490" i="1"/>
  <c r="AC491" i="1"/>
  <c r="AF491" i="1"/>
  <c r="AC492" i="1"/>
  <c r="AF492" i="1"/>
  <c r="AC493" i="1"/>
  <c r="AF493" i="1"/>
  <c r="AC494" i="1"/>
  <c r="AF494" i="1"/>
  <c r="AC495" i="1"/>
  <c r="AF495" i="1"/>
  <c r="AC496" i="1"/>
  <c r="AF496" i="1"/>
  <c r="AC497" i="1"/>
  <c r="AF497" i="1"/>
  <c r="AC498" i="1"/>
  <c r="AF498" i="1"/>
  <c r="AC499" i="1"/>
  <c r="AF499" i="1"/>
  <c r="AC500" i="1"/>
  <c r="AF500" i="1"/>
  <c r="AC501" i="1"/>
  <c r="AF501" i="1"/>
  <c r="AC502" i="1"/>
  <c r="AF502" i="1"/>
  <c r="AC503" i="1"/>
  <c r="AF503" i="1"/>
  <c r="AC504" i="1"/>
  <c r="AF504" i="1"/>
  <c r="AC505" i="1"/>
  <c r="AF505" i="1"/>
  <c r="AC506" i="1"/>
  <c r="AF506" i="1"/>
  <c r="AC507" i="1"/>
  <c r="AF507" i="1"/>
  <c r="AC508" i="1"/>
  <c r="AF508" i="1"/>
  <c r="AC509" i="1"/>
  <c r="AF509" i="1"/>
  <c r="AC510" i="1"/>
  <c r="AF510" i="1"/>
  <c r="AC511" i="1"/>
  <c r="AF511" i="1"/>
  <c r="AC512" i="1"/>
  <c r="AF512" i="1"/>
  <c r="AC513" i="1"/>
  <c r="AF513" i="1"/>
  <c r="AC514" i="1"/>
  <c r="AF514" i="1"/>
  <c r="AC515" i="1"/>
  <c r="AF515" i="1"/>
  <c r="AC516" i="1"/>
  <c r="AF516" i="1"/>
  <c r="AC517" i="1"/>
  <c r="AF517" i="1"/>
  <c r="AC518" i="1"/>
  <c r="AF518" i="1"/>
  <c r="AC519" i="1"/>
  <c r="AF519" i="1"/>
  <c r="AC520" i="1"/>
  <c r="AF520" i="1"/>
  <c r="AC521" i="1"/>
  <c r="AF521" i="1"/>
  <c r="AC522" i="1"/>
  <c r="AF522" i="1"/>
  <c r="AC523" i="1"/>
  <c r="AF523" i="1"/>
  <c r="AC524" i="1"/>
  <c r="AF524" i="1"/>
  <c r="AC525" i="1"/>
  <c r="AF525" i="1"/>
  <c r="AC526" i="1"/>
  <c r="AF526" i="1"/>
  <c r="AC527" i="1"/>
  <c r="AF527" i="1"/>
  <c r="AC528" i="1"/>
  <c r="AF528" i="1"/>
  <c r="AC529" i="1"/>
  <c r="AF529" i="1"/>
  <c r="AC530" i="1"/>
  <c r="AF530" i="1"/>
  <c r="AC531" i="1"/>
  <c r="AF531" i="1"/>
  <c r="AC532" i="1"/>
  <c r="AF532" i="1"/>
  <c r="AC533" i="1"/>
  <c r="AF533" i="1"/>
  <c r="AC534" i="1"/>
  <c r="AF534" i="1"/>
  <c r="AC535" i="1"/>
  <c r="AF535" i="1"/>
  <c r="AC536" i="1"/>
  <c r="AF536" i="1"/>
  <c r="AC537" i="1"/>
  <c r="AF537" i="1"/>
  <c r="AC538" i="1"/>
  <c r="AF538" i="1"/>
  <c r="AC539" i="1"/>
  <c r="AF539" i="1"/>
  <c r="AC540" i="1"/>
  <c r="AF540" i="1"/>
  <c r="AC541" i="1"/>
  <c r="AF541" i="1"/>
  <c r="AC542" i="1"/>
  <c r="AF542" i="1"/>
  <c r="AC543" i="1"/>
  <c r="AF543" i="1"/>
  <c r="AC544" i="1"/>
  <c r="AF544" i="1"/>
  <c r="AC545" i="1"/>
  <c r="AF545" i="1"/>
  <c r="AC546" i="1"/>
  <c r="AF546" i="1"/>
  <c r="AC547" i="1"/>
  <c r="AF547" i="1"/>
  <c r="AC548" i="1"/>
  <c r="AF548" i="1"/>
  <c r="AC549" i="1"/>
  <c r="AF549" i="1"/>
  <c r="AC550" i="1"/>
  <c r="AF550" i="1"/>
  <c r="AC551" i="1"/>
  <c r="AF551" i="1"/>
  <c r="AC552" i="1"/>
  <c r="AF552" i="1"/>
  <c r="AC553" i="1"/>
  <c r="AF553" i="1"/>
  <c r="AC554" i="1"/>
  <c r="AF554" i="1"/>
  <c r="AC555" i="1"/>
  <c r="AF555" i="1"/>
  <c r="AC556" i="1"/>
  <c r="AF556" i="1"/>
  <c r="AC557" i="1"/>
  <c r="AF557" i="1"/>
  <c r="AC558" i="1"/>
  <c r="AF558" i="1"/>
  <c r="AC559" i="1"/>
  <c r="AF559" i="1"/>
  <c r="AC560" i="1"/>
  <c r="AF560" i="1"/>
  <c r="AC561" i="1"/>
  <c r="AF561" i="1"/>
  <c r="AC562" i="1"/>
  <c r="AF562" i="1"/>
  <c r="AC563" i="1"/>
  <c r="AF563" i="1"/>
  <c r="AC564" i="1"/>
  <c r="AF564" i="1"/>
  <c r="AC565" i="1"/>
  <c r="AF565" i="1"/>
  <c r="AC566" i="1"/>
  <c r="AF566" i="1"/>
  <c r="AC567" i="1"/>
  <c r="AF567" i="1"/>
  <c r="AC568" i="1"/>
  <c r="AF568" i="1"/>
  <c r="AC569" i="1"/>
  <c r="AF569" i="1"/>
  <c r="AC570" i="1"/>
  <c r="AF570" i="1"/>
  <c r="AC571" i="1"/>
  <c r="AF571" i="1"/>
  <c r="AC572" i="1"/>
  <c r="AF572" i="1"/>
  <c r="AC573" i="1"/>
  <c r="AF573" i="1"/>
  <c r="AC574" i="1"/>
  <c r="AF574" i="1"/>
  <c r="AC575" i="1"/>
  <c r="AF575" i="1"/>
  <c r="AC576" i="1"/>
  <c r="AF576" i="1"/>
  <c r="AC577" i="1"/>
  <c r="AF577" i="1"/>
  <c r="AC578" i="1"/>
  <c r="AF578" i="1"/>
  <c r="AC579" i="1"/>
  <c r="AF579" i="1"/>
  <c r="AC580" i="1"/>
  <c r="AF580" i="1"/>
  <c r="AC581" i="1"/>
  <c r="AF581" i="1"/>
  <c r="AC582" i="1"/>
  <c r="AF582" i="1"/>
  <c r="AC583" i="1"/>
  <c r="AF583" i="1"/>
  <c r="AC584" i="1"/>
  <c r="AF584" i="1"/>
  <c r="AC585" i="1"/>
  <c r="AF585" i="1"/>
  <c r="AC586" i="1"/>
  <c r="AF586" i="1"/>
  <c r="AC587" i="1"/>
  <c r="AF587" i="1"/>
  <c r="AC588" i="1"/>
  <c r="AF588" i="1"/>
  <c r="AC589" i="1"/>
  <c r="AF589" i="1"/>
  <c r="AC590" i="1"/>
  <c r="AF590" i="1"/>
  <c r="AC591" i="1"/>
  <c r="AF591" i="1"/>
  <c r="AC592" i="1"/>
  <c r="AF592" i="1"/>
  <c r="AC593" i="1"/>
  <c r="AF593" i="1"/>
  <c r="AC594" i="1"/>
  <c r="AF594" i="1"/>
  <c r="AC595" i="1"/>
  <c r="AF595" i="1"/>
  <c r="AC596" i="1"/>
  <c r="AF596" i="1"/>
  <c r="AC597" i="1"/>
  <c r="AF597" i="1"/>
  <c r="AC598" i="1"/>
  <c r="AF598" i="1"/>
  <c r="AC599" i="1"/>
  <c r="AF599" i="1"/>
  <c r="AC600" i="1"/>
  <c r="AF600" i="1"/>
  <c r="AC601" i="1"/>
  <c r="AF601" i="1"/>
  <c r="AC602" i="1"/>
  <c r="AF602" i="1"/>
  <c r="AC603" i="1"/>
  <c r="AF603" i="1"/>
  <c r="AC604" i="1"/>
  <c r="AF604" i="1"/>
  <c r="AC605" i="1"/>
  <c r="AF605" i="1"/>
  <c r="AC606" i="1"/>
  <c r="AF606" i="1"/>
  <c r="AC607" i="1"/>
  <c r="AF607" i="1"/>
  <c r="AC608" i="1"/>
  <c r="AF608" i="1"/>
  <c r="AC609" i="1"/>
  <c r="AF609" i="1"/>
  <c r="AC610" i="1"/>
  <c r="AF610" i="1"/>
  <c r="AC611" i="1"/>
  <c r="AF611" i="1"/>
  <c r="AC612" i="1"/>
  <c r="AF612" i="1"/>
  <c r="AC613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tc={C6CCEFF4-7CDF-4C0B-93B5-5302071EB09C}</author>
  </authors>
  <commentList>
    <comment ref="Q194" authorId="0" shapeId="0" xr:uid="{C6CCEFF4-7CDF-4C0B-93B5-5302071EB09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<sst xmlns="http://schemas.openxmlformats.org/spreadsheetml/2006/main" count="20162" uniqueCount="1872">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</sst>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  <font>
      <sz val="9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  <fill>
      <patternFill patternType="solid">
        <fgColor rgb="FFFF7C8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4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  <xf numFmtId="0" fontId="14" fillId="25" borderId="1" xfId="0" applyFont="1" applyFill="1" applyBorder="1" applyAlignment="1">
      <alignment horizontal="center"/>
    </xf>
    <xf numFmtId="0" fontId="26" fillId="9" borderId="1" xfId="0" applyFont="1" applyFill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8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C6CCEFF4-7CDF-4C0B-93B5-5302071EB09C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033EA8F3-D3FD-4599-9BB1-665C900C5049}" parentId="{C6CCEFF4-7CDF-4C0B-93B5-5302071EB09C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G562" activePane="bottomRight" state="frozen"/>
      <selection pane="topRight" activeCell="B1" sqref="B1"/>
      <selection pane="bottomLeft" activeCell="A2" sqref="A2"/>
      <selection pane="bottomRight" activeCell="Y614" sqref="Y61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7" t="s">
        <v>1625</v>
      </c>
      <c r="B2" s="128" t="s">
        <v>25</v>
      </c>
      <c r="C2" s="128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37</v>
      </c>
      <c r="AA3" s="66" t="s">
        <v>37</v>
      </c>
      <c r="AB3" s="70" t="s">
        <v>1795</v>
      </c>
      <c r="AC3" s="87">
        <f t="shared" si="0"/>
        <v>0.94444444444444442</v>
      </c>
      <c r="AD3" s="91">
        <v>8</v>
      </c>
      <c r="AE3" s="103" t="s">
        <v>1830</v>
      </c>
      <c r="AF3">
        <f t="shared" ref="AF3:AF66" si="2">IF(OR(AND(Z3="SI",AA3="NO"),AND(Z3="NO",AA3="SI")),1,0)</f>
        <v>0</v>
      </c>
      <c r="AG3">
        <f t="shared" si="1"/>
        <v>1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37</v>
      </c>
      <c r="AA6" s="66" t="s">
        <v>37</v>
      </c>
      <c r="AB6" s="67"/>
      <c r="AC6" s="87">
        <f t="shared" si="0"/>
        <v>1</v>
      </c>
      <c r="AD6" s="91">
        <v>2</v>
      </c>
      <c r="AE6" s="103" t="s">
        <v>1837</v>
      </c>
      <c r="AF6">
        <f t="shared" si="2"/>
        <v>0</v>
      </c>
      <c r="AG6">
        <f t="shared" si="1"/>
        <v>1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 t="shared" si="2"/>
        <v>0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35</v>
      </c>
      <c r="V13" s="66" t="s">
        <v>35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0.55555555555555558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37</v>
      </c>
      <c r="AA21" s="66" t="s">
        <v>37</v>
      </c>
      <c r="AB21" s="67"/>
      <c r="AC21" s="87">
        <f t="shared" si="0"/>
        <v>0.94444444444444442</v>
      </c>
      <c r="AD21" s="91">
        <v>9</v>
      </c>
      <c r="AE21" s="105" t="s">
        <v>1842</v>
      </c>
      <c r="AF21">
        <f t="shared" si="2"/>
        <v>0</v>
      </c>
      <c r="AG21">
        <f t="shared" si="1"/>
        <v>1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37</v>
      </c>
      <c r="AA22" s="66" t="s">
        <v>37</v>
      </c>
      <c r="AB22" s="67"/>
      <c r="AC22" s="87">
        <f t="shared" si="0"/>
        <v>1</v>
      </c>
      <c r="AD22" s="91">
        <v>9</v>
      </c>
      <c r="AE22" s="105" t="s">
        <v>1842</v>
      </c>
      <c r="AF22">
        <f t="shared" si="2"/>
        <v>0</v>
      </c>
      <c r="AG22">
        <f t="shared" si="1"/>
        <v>1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 t="shared" si="2"/>
        <v>1</v>
      </c>
      <c r="AG23">
        <f t="shared" si="1"/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 t="shared" si="2"/>
        <v>1</v>
      </c>
      <c r="AG44">
        <f t="shared" si="1"/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 t="s">
        <v>36</v>
      </c>
      <c r="Z80" s="66" t="s">
        <v>37</v>
      </c>
      <c r="AA80" s="66" t="s">
        <v>37</v>
      </c>
      <c r="AB80" s="73" t="s">
        <v>1864</v>
      </c>
      <c r="AC80" s="87">
        <f t="shared" si="3"/>
        <v>1</v>
      </c>
      <c r="AD80" s="91">
        <v>2</v>
      </c>
      <c r="AE80" s="103" t="s">
        <v>1829</v>
      </c>
      <c r="AF80">
        <f t="shared" si="5"/>
        <v>0</v>
      </c>
      <c r="AG80">
        <f t="shared" si="4"/>
        <v>1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37</v>
      </c>
      <c r="AA81" s="66" t="s">
        <v>37</v>
      </c>
      <c r="AB81" s="73" t="s">
        <v>1864</v>
      </c>
      <c r="AC81" s="87">
        <f t="shared" si="3"/>
        <v>1</v>
      </c>
      <c r="AD81" s="91">
        <v>2</v>
      </c>
      <c r="AE81" s="103" t="s">
        <v>1829</v>
      </c>
      <c r="AF81">
        <f t="shared" si="5"/>
        <v>0</v>
      </c>
      <c r="AG81">
        <f t="shared" si="4"/>
        <v>1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3"/>
        <v>1</v>
      </c>
      <c r="AD127" s="91">
        <v>8</v>
      </c>
      <c r="AE127" s="103" t="s">
        <v>1830</v>
      </c>
      <c r="AF127">
        <f t="shared" si="5"/>
        <v>0</v>
      </c>
      <c r="AG127">
        <f t="shared" si="4"/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3"/>
        <v>0.88888888888888884</v>
      </c>
      <c r="AD129" s="91">
        <v>8</v>
      </c>
      <c r="AE129" s="103" t="s">
        <v>1830</v>
      </c>
      <c r="AF129">
        <f t="shared" si="5"/>
        <v>1</v>
      </c>
      <c r="AG129">
        <f t="shared" si="4"/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37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0.94444444444444442</v>
      </c>
      <c r="AD130" s="91">
        <v>7</v>
      </c>
      <c r="AE130" s="103" t="s">
        <v>1830</v>
      </c>
      <c r="AF130">
        <f t="shared" si="5"/>
        <v>0</v>
      </c>
      <c r="AG130">
        <f t="shared" ref="AG130:AG193" si="7">IF(AND(OR(Z130="SI",Z130="NO APLICA"),OR(AA130="SI",AA130="NO APLICA")),1,0)</f>
        <v>1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1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37</v>
      </c>
      <c r="AA135" s="66" t="s">
        <v>37</v>
      </c>
      <c r="AB135" s="67" t="s">
        <v>1795</v>
      </c>
      <c r="AC135" s="87">
        <f t="shared" si="6"/>
        <v>0.94444444444444442</v>
      </c>
      <c r="AD135" s="91">
        <v>8</v>
      </c>
      <c r="AE135" s="103" t="s">
        <v>1830</v>
      </c>
      <c r="AF135">
        <f t="shared" si="8"/>
        <v>0</v>
      </c>
      <c r="AG135">
        <f t="shared" si="7"/>
        <v>1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0.94444444444444442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6"/>
        <v>1</v>
      </c>
      <c r="AD174" s="91">
        <v>1</v>
      </c>
      <c r="AE174" s="64" t="s">
        <v>1828</v>
      </c>
      <c r="AF174">
        <f t="shared" si="8"/>
        <v>0</v>
      </c>
      <c r="AG174">
        <f t="shared" si="7"/>
        <v>1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0.77777777777777779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0.77777777777777779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0.77777777777777779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0.77777777777777779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35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0.77777777777777779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35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0.77777777777777779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35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0.77777777777777779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35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0.77777777777777779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 t="s">
        <v>74</v>
      </c>
      <c r="AA183" s="66" t="s">
        <v>74</v>
      </c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 t="s">
        <v>74</v>
      </c>
      <c r="AA185" s="66" t="s">
        <v>74</v>
      </c>
      <c r="AB185" s="67"/>
      <c r="AC185" s="87">
        <f t="shared" si="6"/>
        <v>0.77777777777777779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 t="s">
        <v>74</v>
      </c>
      <c r="AA187" s="66" t="s">
        <v>74</v>
      </c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 t="s">
        <v>74</v>
      </c>
      <c r="AA188" s="66" t="s">
        <v>74</v>
      </c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 t="s">
        <v>74</v>
      </c>
      <c r="AA189" s="66" t="s">
        <v>74</v>
      </c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213</v>
      </c>
      <c r="V190" s="66" t="s">
        <v>213</v>
      </c>
      <c r="W190" s="66"/>
      <c r="X190" s="66"/>
      <c r="Y190" s="66" t="s">
        <v>36</v>
      </c>
      <c r="Z190" s="66"/>
      <c r="AA190" s="66"/>
      <c r="AB190" s="67"/>
      <c r="AC190" s="87">
        <f t="shared" si="6"/>
        <v>0.42592592592592587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213</v>
      </c>
      <c r="V191" s="66" t="s">
        <v>213</v>
      </c>
      <c r="W191" s="66"/>
      <c r="X191" s="66"/>
      <c r="Y191" s="66" t="s">
        <v>36</v>
      </c>
      <c r="Z191" s="66"/>
      <c r="AA191" s="66"/>
      <c r="AB191" s="67"/>
      <c r="AC191" s="87">
        <f t="shared" si="6"/>
        <v>0.42592592592592587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36</v>
      </c>
      <c r="Z192" s="66"/>
      <c r="AA192" s="66"/>
      <c r="AB192" s="67"/>
      <c r="AC192" s="87">
        <f t="shared" si="6"/>
        <v>0.72222222222222221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/>
      <c r="AA193" s="66"/>
      <c r="AB193" s="67"/>
      <c r="AC193" s="87">
        <f t="shared" si="6"/>
        <v>0.72222222222222221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0.72222222222222221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35</v>
      </c>
      <c r="V195" s="66" t="s">
        <v>213</v>
      </c>
      <c r="W195" s="66" t="s">
        <v>35</v>
      </c>
      <c r="X195" s="66"/>
      <c r="Y195" s="66" t="s">
        <v>36</v>
      </c>
      <c r="Z195" s="66"/>
      <c r="AA195" s="66"/>
      <c r="AB195" s="67"/>
      <c r="AC195" s="87">
        <f t="shared" si="9"/>
        <v>0.57407407407407396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213</v>
      </c>
      <c r="V196" s="66" t="s">
        <v>213</v>
      </c>
      <c r="W196" s="66"/>
      <c r="X196" s="66"/>
      <c r="Y196" s="66" t="s">
        <v>36</v>
      </c>
      <c r="Z196" s="66"/>
      <c r="AA196" s="66"/>
      <c r="AB196" s="67"/>
      <c r="AC196" s="87">
        <f t="shared" si="9"/>
        <v>0.42592592592592587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213</v>
      </c>
      <c r="V197" s="66" t="s">
        <v>213</v>
      </c>
      <c r="W197" s="66"/>
      <c r="X197" s="66"/>
      <c r="Y197" s="66" t="s">
        <v>36</v>
      </c>
      <c r="Z197" s="66"/>
      <c r="AA197" s="66"/>
      <c r="AB197" s="67"/>
      <c r="AC197" s="87">
        <f t="shared" si="9"/>
        <v>0.42592592592592587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67"/>
      <c r="AC198" s="87">
        <f t="shared" si="9"/>
        <v>0.72222222222222221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213</v>
      </c>
      <c r="V199" s="66" t="s">
        <v>213</v>
      </c>
      <c r="W199" s="66"/>
      <c r="X199" s="66"/>
      <c r="Y199" s="66" t="s">
        <v>36</v>
      </c>
      <c r="Z199" s="66"/>
      <c r="AA199" s="66"/>
      <c r="AB199" s="67"/>
      <c r="AC199" s="87">
        <f t="shared" si="9"/>
        <v>0.42592592592592587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67"/>
      <c r="AC200" s="87">
        <f t="shared" si="9"/>
        <v>0.72222222222222221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213</v>
      </c>
      <c r="V201" s="66" t="s">
        <v>213</v>
      </c>
      <c r="W201" s="66"/>
      <c r="X201" s="66"/>
      <c r="Y201" s="66" t="s">
        <v>1799</v>
      </c>
      <c r="Z201" s="66"/>
      <c r="AA201" s="66"/>
      <c r="AB201" s="67"/>
      <c r="AC201" s="87">
        <f t="shared" si="9"/>
        <v>0.37037037037037035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213</v>
      </c>
      <c r="V202" s="66" t="s">
        <v>213</v>
      </c>
      <c r="W202" s="66"/>
      <c r="X202" s="66"/>
      <c r="Y202" s="66" t="s">
        <v>36</v>
      </c>
      <c r="Z202" s="66"/>
      <c r="AA202" s="66"/>
      <c r="AB202" s="67"/>
      <c r="AC202" s="87">
        <f t="shared" si="9"/>
        <v>0.42592592592592587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 t="s">
        <v>175</v>
      </c>
      <c r="U203" s="66" t="s">
        <v>176</v>
      </c>
      <c r="V203" s="66" t="s">
        <v>176</v>
      </c>
      <c r="W203" s="66"/>
      <c r="X203" s="66"/>
      <c r="Y203" s="66"/>
      <c r="Z203" s="66"/>
      <c r="AA203" s="66"/>
      <c r="AB203" s="67"/>
      <c r="AC203" s="87">
        <f t="shared" si="9"/>
        <v>0.16666666666666663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 t="s">
        <v>175</v>
      </c>
      <c r="U204" s="66" t="s">
        <v>176</v>
      </c>
      <c r="V204" s="66" t="s">
        <v>176</v>
      </c>
      <c r="W204" s="66"/>
      <c r="X204" s="66"/>
      <c r="Y204" s="66"/>
      <c r="Z204" s="66"/>
      <c r="AA204" s="66"/>
      <c r="AB204" s="67"/>
      <c r="AC204" s="87">
        <f t="shared" si="9"/>
        <v>0.16666666666666663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 t="s">
        <v>175</v>
      </c>
      <c r="U205" s="66" t="s">
        <v>176</v>
      </c>
      <c r="V205" s="66" t="s">
        <v>176</v>
      </c>
      <c r="W205" s="66"/>
      <c r="X205" s="66"/>
      <c r="Y205" s="66"/>
      <c r="Z205" s="66"/>
      <c r="AA205" s="66"/>
      <c r="AB205" s="67"/>
      <c r="AC205" s="87">
        <f t="shared" si="9"/>
        <v>0.16666666666666663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9"/>
        <v>9.2592592592592587E-2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 t="s">
        <v>175</v>
      </c>
      <c r="U207" s="66" t="s">
        <v>176</v>
      </c>
      <c r="V207" s="66" t="s">
        <v>176</v>
      </c>
      <c r="W207" s="66"/>
      <c r="X207" s="66"/>
      <c r="Y207" s="66"/>
      <c r="Z207" s="66"/>
      <c r="AA207" s="66"/>
      <c r="AB207" s="67"/>
      <c r="AC207" s="87">
        <f t="shared" si="9"/>
        <v>0.16666666666666663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 t="s">
        <v>175</v>
      </c>
      <c r="U208" s="66" t="s">
        <v>176</v>
      </c>
      <c r="V208" s="66" t="s">
        <v>176</v>
      </c>
      <c r="W208" s="66"/>
      <c r="X208" s="66"/>
      <c r="Y208" s="66"/>
      <c r="Z208" s="66"/>
      <c r="AA208" s="66"/>
      <c r="AB208" s="67"/>
      <c r="AC208" s="87">
        <f t="shared" si="9"/>
        <v>0.16666666666666663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 t="s">
        <v>175</v>
      </c>
      <c r="U209" s="66" t="s">
        <v>176</v>
      </c>
      <c r="V209" s="66" t="s">
        <v>176</v>
      </c>
      <c r="W209" s="66"/>
      <c r="X209" s="66"/>
      <c r="Y209" s="66"/>
      <c r="Z209" s="66"/>
      <c r="AA209" s="66"/>
      <c r="AB209" s="67"/>
      <c r="AC209" s="87">
        <f t="shared" si="9"/>
        <v>0.16666666666666663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9"/>
        <v>9.2592592592592587E-2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9"/>
        <v>9.2592592592592587E-2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9"/>
        <v>9.2592592592592587E-2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 t="s">
        <v>175</v>
      </c>
      <c r="U213" s="66"/>
      <c r="V213" s="66"/>
      <c r="W213" s="66"/>
      <c r="X213" s="66"/>
      <c r="Y213" s="66"/>
      <c r="Z213" s="66"/>
      <c r="AA213" s="66"/>
      <c r="AB213" s="67"/>
      <c r="AC213" s="87">
        <f t="shared" si="9"/>
        <v>9.2592592592592587E-2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 t="s">
        <v>175</v>
      </c>
      <c r="U214" s="66"/>
      <c r="V214" s="66"/>
      <c r="W214" s="66"/>
      <c r="X214" s="66"/>
      <c r="Y214" s="66"/>
      <c r="Z214" s="66"/>
      <c r="AA214" s="66"/>
      <c r="AB214" s="67"/>
      <c r="AC214" s="87">
        <f t="shared" si="9"/>
        <v>9.2592592592592587E-2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 t="s">
        <v>175</v>
      </c>
      <c r="U215" s="66"/>
      <c r="V215" s="66"/>
      <c r="W215" s="66"/>
      <c r="X215" s="66"/>
      <c r="Y215" s="66"/>
      <c r="Z215" s="66"/>
      <c r="AA215" s="66"/>
      <c r="AB215" s="67"/>
      <c r="AC215" s="87">
        <f t="shared" si="9"/>
        <v>9.2592592592592587E-2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 t="s">
        <v>175</v>
      </c>
      <c r="U216" s="66"/>
      <c r="V216" s="66"/>
      <c r="W216" s="66"/>
      <c r="X216" s="66"/>
      <c r="Y216" s="66"/>
      <c r="Z216" s="66"/>
      <c r="AA216" s="66"/>
      <c r="AB216" s="67"/>
      <c r="AC216" s="87">
        <f t="shared" si="9"/>
        <v>9.2592592592592587E-2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 t="s">
        <v>175</v>
      </c>
      <c r="U217" s="66"/>
      <c r="V217" s="66"/>
      <c r="W217" s="66"/>
      <c r="X217" s="66"/>
      <c r="Y217" s="66"/>
      <c r="Z217" s="66"/>
      <c r="AA217" s="66"/>
      <c r="AB217" s="67"/>
      <c r="AC217" s="87">
        <f t="shared" si="9"/>
        <v>9.2592592592592587E-2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35</v>
      </c>
      <c r="V222" s="66" t="s">
        <v>35</v>
      </c>
      <c r="W222" s="66" t="s">
        <v>175</v>
      </c>
      <c r="X222" s="66" t="s">
        <v>175</v>
      </c>
      <c r="Y222" s="66"/>
      <c r="Z222" s="66"/>
      <c r="AA222" s="66"/>
      <c r="AB222" s="67"/>
      <c r="AC222" s="87">
        <f t="shared" si="9"/>
        <v>0.5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 t="s">
        <v>35</v>
      </c>
      <c r="X223" s="66" t="s">
        <v>35</v>
      </c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0.55555555555555558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35</v>
      </c>
      <c r="V224" s="66" t="s">
        <v>35</v>
      </c>
      <c r="W224" s="66" t="s">
        <v>175</v>
      </c>
      <c r="X224" s="66" t="s">
        <v>175</v>
      </c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35</v>
      </c>
      <c r="V226" s="66" t="s">
        <v>35</v>
      </c>
      <c r="W226" s="66" t="s">
        <v>175</v>
      </c>
      <c r="X226" s="66" t="s">
        <v>175</v>
      </c>
      <c r="Y226" s="66"/>
      <c r="Z226" s="66"/>
      <c r="AA226" s="66"/>
      <c r="AB226" s="67"/>
      <c r="AC226" s="87">
        <f t="shared" si="12"/>
        <v>0.5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35</v>
      </c>
      <c r="V227" s="66" t="s">
        <v>35</v>
      </c>
      <c r="W227" s="66" t="s">
        <v>175</v>
      </c>
      <c r="X227" s="66" t="s">
        <v>175</v>
      </c>
      <c r="Y227" s="66"/>
      <c r="Z227" s="66"/>
      <c r="AA227" s="66"/>
      <c r="AB227" s="67"/>
      <c r="AC227" s="87">
        <f t="shared" si="12"/>
        <v>0.5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35</v>
      </c>
      <c r="V228" s="66" t="s">
        <v>35</v>
      </c>
      <c r="W228" s="66" t="s">
        <v>175</v>
      </c>
      <c r="X228" s="66" t="s">
        <v>175</v>
      </c>
      <c r="Y228" s="66"/>
      <c r="Z228" s="66"/>
      <c r="AA228" s="66"/>
      <c r="AB228" s="67"/>
      <c r="AC228" s="87">
        <f t="shared" si="12"/>
        <v>0.5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35</v>
      </c>
      <c r="V229" s="66" t="s">
        <v>35</v>
      </c>
      <c r="W229" s="66" t="s">
        <v>175</v>
      </c>
      <c r="X229" s="66" t="s">
        <v>175</v>
      </c>
      <c r="Y229" s="66"/>
      <c r="Z229" s="66"/>
      <c r="AA229" s="66"/>
      <c r="AB229" s="67"/>
      <c r="AC229" s="87">
        <f t="shared" si="12"/>
        <v>0.5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35</v>
      </c>
      <c r="V232" s="66" t="s">
        <v>35</v>
      </c>
      <c r="W232" s="66" t="s">
        <v>175</v>
      </c>
      <c r="X232" s="66" t="s">
        <v>175</v>
      </c>
      <c r="Y232" s="66"/>
      <c r="Z232" s="66"/>
      <c r="AA232" s="66"/>
      <c r="AB232" s="67"/>
      <c r="AC232" s="87">
        <f t="shared" si="12"/>
        <v>0.5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35</v>
      </c>
      <c r="V233" s="66" t="s">
        <v>35</v>
      </c>
      <c r="W233" s="66" t="s">
        <v>175</v>
      </c>
      <c r="X233" s="66" t="s">
        <v>175</v>
      </c>
      <c r="Y233" s="66"/>
      <c r="Z233" s="66"/>
      <c r="AA233" s="66"/>
      <c r="AB233" s="67"/>
      <c r="AC233" s="87">
        <f t="shared" si="12"/>
        <v>0.5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 t="s">
        <v>175</v>
      </c>
      <c r="X234" s="66" t="s">
        <v>175</v>
      </c>
      <c r="Y234" s="66"/>
      <c r="Z234" s="66"/>
      <c r="AA234" s="66"/>
      <c r="AB234" s="67"/>
      <c r="AC234" s="87">
        <f t="shared" si="12"/>
        <v>0.42592592592592587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35</v>
      </c>
      <c r="V236" s="66" t="s">
        <v>35</v>
      </c>
      <c r="W236" s="66" t="s">
        <v>175</v>
      </c>
      <c r="X236" s="66" t="s">
        <v>175</v>
      </c>
      <c r="Y236" s="66"/>
      <c r="Z236" s="66"/>
      <c r="AA236" s="66"/>
      <c r="AB236" s="67"/>
      <c r="AC236" s="87">
        <f t="shared" si="12"/>
        <v>0.5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35</v>
      </c>
      <c r="V237" s="66" t="s">
        <v>35</v>
      </c>
      <c r="W237" s="66" t="s">
        <v>175</v>
      </c>
      <c r="X237" s="66" t="s">
        <v>175</v>
      </c>
      <c r="Y237" s="66"/>
      <c r="Z237" s="66"/>
      <c r="AA237" s="66"/>
      <c r="AB237" s="67"/>
      <c r="AC237" s="87">
        <f t="shared" si="12"/>
        <v>0.5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35</v>
      </c>
      <c r="V238" s="66" t="s">
        <v>35</v>
      </c>
      <c r="W238" s="66" t="s">
        <v>175</v>
      </c>
      <c r="X238" s="66" t="s">
        <v>175</v>
      </c>
      <c r="Y238" s="66"/>
      <c r="Z238" s="66"/>
      <c r="AA238" s="66"/>
      <c r="AB238" s="67"/>
      <c r="AC238" s="87">
        <f t="shared" si="12"/>
        <v>0.5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35</v>
      </c>
      <c r="V239" s="66" t="s">
        <v>35</v>
      </c>
      <c r="W239" s="66" t="s">
        <v>175</v>
      </c>
      <c r="X239" s="66" t="s">
        <v>175</v>
      </c>
      <c r="Y239" s="66"/>
      <c r="Z239" s="66"/>
      <c r="AA239" s="66"/>
      <c r="AB239" s="67"/>
      <c r="AC239" s="87">
        <f t="shared" si="12"/>
        <v>0.5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35</v>
      </c>
      <c r="V240" s="66" t="s">
        <v>35</v>
      </c>
      <c r="W240" s="66" t="s">
        <v>175</v>
      </c>
      <c r="X240" s="66" t="s">
        <v>175</v>
      </c>
      <c r="Y240" s="66"/>
      <c r="Z240" s="66"/>
      <c r="AA240" s="66"/>
      <c r="AB240" s="67"/>
      <c r="AC240" s="87">
        <f t="shared" si="12"/>
        <v>0.5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35</v>
      </c>
      <c r="V241" s="66" t="s">
        <v>35</v>
      </c>
      <c r="W241" s="66" t="s">
        <v>175</v>
      </c>
      <c r="X241" s="66" t="s">
        <v>175</v>
      </c>
      <c r="Y241" s="66"/>
      <c r="Z241" s="66"/>
      <c r="AA241" s="66"/>
      <c r="AB241" s="67"/>
      <c r="AC241" s="87">
        <f t="shared" si="12"/>
        <v>0.5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35</v>
      </c>
      <c r="V242" s="66" t="s">
        <v>35</v>
      </c>
      <c r="W242" s="66" t="s">
        <v>175</v>
      </c>
      <c r="X242" s="66" t="s">
        <v>175</v>
      </c>
      <c r="Y242" s="66"/>
      <c r="Z242" s="66"/>
      <c r="AA242" s="66"/>
      <c r="AB242" s="67"/>
      <c r="AC242" s="87">
        <f t="shared" si="12"/>
        <v>0.5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35</v>
      </c>
      <c r="V243" s="66" t="s">
        <v>35</v>
      </c>
      <c r="W243" s="66" t="s">
        <v>175</v>
      </c>
      <c r="X243" s="66" t="s">
        <v>175</v>
      </c>
      <c r="Y243" s="66"/>
      <c r="Z243" s="66"/>
      <c r="AA243" s="66"/>
      <c r="AB243" s="67"/>
      <c r="AC243" s="87">
        <f t="shared" si="12"/>
        <v>0.5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35</v>
      </c>
      <c r="V244" s="66" t="s">
        <v>35</v>
      </c>
      <c r="W244" s="66" t="s">
        <v>35</v>
      </c>
      <c r="X244" s="66" t="s">
        <v>35</v>
      </c>
      <c r="Y244" s="66"/>
      <c r="Z244" s="66"/>
      <c r="AA244" s="66"/>
      <c r="AB244" s="67"/>
      <c r="AC244" s="87">
        <f t="shared" si="12"/>
        <v>0.61111111111111116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12"/>
        <v>0.5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35</v>
      </c>
      <c r="V246" s="66" t="s">
        <v>35</v>
      </c>
      <c r="W246" s="66" t="s">
        <v>175</v>
      </c>
      <c r="X246" s="66" t="s">
        <v>175</v>
      </c>
      <c r="Y246" s="66"/>
      <c r="Z246" s="66"/>
      <c r="AA246" s="66"/>
      <c r="AB246" s="67"/>
      <c r="AC246" s="87">
        <f t="shared" si="12"/>
        <v>0.5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35</v>
      </c>
      <c r="X247" s="66" t="s">
        <v>175</v>
      </c>
      <c r="Y247" s="66"/>
      <c r="Z247" s="66"/>
      <c r="AA247" s="66"/>
      <c r="AB247" s="67"/>
      <c r="AC247" s="87">
        <f t="shared" si="12"/>
        <v>0.55555555555555558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35</v>
      </c>
      <c r="V248" s="66" t="s">
        <v>35</v>
      </c>
      <c r="W248" s="66" t="s">
        <v>175</v>
      </c>
      <c r="X248" s="66" t="s">
        <v>175</v>
      </c>
      <c r="Y248" s="66"/>
      <c r="Z248" s="66"/>
      <c r="AA248" s="66"/>
      <c r="AB248" s="67"/>
      <c r="AC248" s="87">
        <f t="shared" si="12"/>
        <v>0.5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35</v>
      </c>
      <c r="V249" s="66" t="s">
        <v>35</v>
      </c>
      <c r="W249" s="66" t="s">
        <v>175</v>
      </c>
      <c r="X249" s="66" t="s">
        <v>175</v>
      </c>
      <c r="Y249" s="66"/>
      <c r="Z249" s="66"/>
      <c r="AA249" s="66"/>
      <c r="AB249" s="67"/>
      <c r="AC249" s="87">
        <f t="shared" si="12"/>
        <v>0.5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35</v>
      </c>
      <c r="V251" s="66" t="s">
        <v>35</v>
      </c>
      <c r="W251" s="66" t="s">
        <v>175</v>
      </c>
      <c r="X251" s="66" t="s">
        <v>175</v>
      </c>
      <c r="Y251" s="66"/>
      <c r="Z251" s="66"/>
      <c r="AA251" s="66"/>
      <c r="AB251" s="67"/>
      <c r="AC251" s="87">
        <f t="shared" si="12"/>
        <v>0.5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12"/>
        <v>0.5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35</v>
      </c>
      <c r="V253" s="66" t="s">
        <v>35</v>
      </c>
      <c r="W253" s="66" t="s">
        <v>175</v>
      </c>
      <c r="X253" s="66" t="s">
        <v>175</v>
      </c>
      <c r="Y253" s="66"/>
      <c r="Z253" s="66"/>
      <c r="AA253" s="66"/>
      <c r="AB253" s="67"/>
      <c r="AC253" s="87">
        <f t="shared" si="12"/>
        <v>0.5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35</v>
      </c>
      <c r="V254" s="66" t="s">
        <v>35</v>
      </c>
      <c r="W254" s="66" t="s">
        <v>175</v>
      </c>
      <c r="X254" s="66" t="s">
        <v>175</v>
      </c>
      <c r="Y254" s="66"/>
      <c r="Z254" s="66"/>
      <c r="AA254" s="66"/>
      <c r="AB254" s="67"/>
      <c r="AC254" s="87">
        <f t="shared" si="12"/>
        <v>0.5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35</v>
      </c>
      <c r="V255" s="66" t="s">
        <v>35</v>
      </c>
      <c r="W255" s="66" t="s">
        <v>175</v>
      </c>
      <c r="X255" s="66" t="s">
        <v>175</v>
      </c>
      <c r="Y255" s="66"/>
      <c r="Z255" s="66"/>
      <c r="AA255" s="66"/>
      <c r="AB255" s="67"/>
      <c r="AC255" s="87">
        <f t="shared" si="12"/>
        <v>0.5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35</v>
      </c>
      <c r="V256" s="66" t="s">
        <v>35</v>
      </c>
      <c r="W256" s="66" t="s">
        <v>175</v>
      </c>
      <c r="X256" s="66" t="s">
        <v>175</v>
      </c>
      <c r="Y256" s="66"/>
      <c r="Z256" s="66"/>
      <c r="AA256" s="66"/>
      <c r="AB256" s="67"/>
      <c r="AC256" s="87">
        <f t="shared" si="12"/>
        <v>0.5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 t="s">
        <v>175</v>
      </c>
      <c r="X257" s="66" t="s">
        <v>175</v>
      </c>
      <c r="Y257" s="66"/>
      <c r="Z257" s="66"/>
      <c r="AA257" s="66"/>
      <c r="AB257" s="67"/>
      <c r="AC257" s="87">
        <f t="shared" si="12"/>
        <v>0.42592592592592587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35</v>
      </c>
      <c r="X258" s="66" t="s">
        <v>175</v>
      </c>
      <c r="Y258" s="66"/>
      <c r="Z258" s="66"/>
      <c r="AA258" s="66"/>
      <c r="AB258" s="67"/>
      <c r="AC258" s="87">
        <f t="shared" si="12"/>
        <v>0.55555555555555558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35</v>
      </c>
      <c r="Y259" s="66"/>
      <c r="Z259" s="66"/>
      <c r="AA259" s="66"/>
      <c r="AB259" s="67"/>
      <c r="AC259" s="87">
        <f t="shared" si="12"/>
        <v>0.61111111111111116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35</v>
      </c>
      <c r="V260" s="66" t="s">
        <v>35</v>
      </c>
      <c r="W260" s="66" t="s">
        <v>175</v>
      </c>
      <c r="X260" s="66" t="s">
        <v>175</v>
      </c>
      <c r="Y260" s="66"/>
      <c r="Z260" s="66"/>
      <c r="AA260" s="66"/>
      <c r="AB260" s="67"/>
      <c r="AC260" s="87">
        <f t="shared" si="12"/>
        <v>0.5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35</v>
      </c>
      <c r="V262" s="66" t="s">
        <v>35</v>
      </c>
      <c r="W262" s="66" t="s">
        <v>175</v>
      </c>
      <c r="X262" s="66" t="s">
        <v>175</v>
      </c>
      <c r="Y262" s="66"/>
      <c r="Z262" s="66"/>
      <c r="AA262" s="66"/>
      <c r="AB262" s="67"/>
      <c r="AC262" s="87">
        <f t="shared" si="12"/>
        <v>0.5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12"/>
        <v>0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12"/>
        <v>0.77777777777777779</v>
      </c>
      <c r="AD268" s="91">
        <v>1</v>
      </c>
      <c r="AE268" s="103" t="s">
        <v>1838</v>
      </c>
      <c r="AF268">
        <f t="shared" si="14"/>
        <v>0</v>
      </c>
      <c r="AG268">
        <f t="shared" si="13"/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35</v>
      </c>
      <c r="V320" s="66" t="s">
        <v>35</v>
      </c>
      <c r="W320" s="66" t="s">
        <v>35</v>
      </c>
      <c r="X320" s="66" t="s">
        <v>175</v>
      </c>
      <c r="Y320" s="66"/>
      <c r="Z320" s="66"/>
      <c r="AA320" s="66"/>
      <c r="AB320" s="67"/>
      <c r="AC320" s="87">
        <f t="shared" si="15"/>
        <v>0.55555555555555558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35</v>
      </c>
      <c r="V326" s="66" t="s">
        <v>35</v>
      </c>
      <c r="W326" s="66" t="s">
        <v>175</v>
      </c>
      <c r="X326" s="66" t="s">
        <v>175</v>
      </c>
      <c r="Y326" s="66"/>
      <c r="Z326" s="66"/>
      <c r="AA326" s="66"/>
      <c r="AB326" s="67"/>
      <c r="AC326" s="87">
        <f t="shared" si="15"/>
        <v>0.5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35</v>
      </c>
      <c r="V328" s="66" t="s">
        <v>35</v>
      </c>
      <c r="W328" s="66" t="s">
        <v>175</v>
      </c>
      <c r="X328" s="66" t="s">
        <v>175</v>
      </c>
      <c r="Y328" s="66"/>
      <c r="Z328" s="66"/>
      <c r="AA328" s="66"/>
      <c r="AB328" s="67"/>
      <c r="AC328" s="87">
        <f t="shared" si="15"/>
        <v>0.5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35</v>
      </c>
      <c r="V332" s="66" t="s">
        <v>35</v>
      </c>
      <c r="W332" s="66" t="s">
        <v>175</v>
      </c>
      <c r="X332" s="66" t="s">
        <v>175</v>
      </c>
      <c r="Y332" s="66"/>
      <c r="Z332" s="66"/>
      <c r="AA332" s="66"/>
      <c r="AB332" s="67"/>
      <c r="AC332" s="87">
        <f t="shared" si="15"/>
        <v>0.5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35</v>
      </c>
      <c r="V337" s="66" t="s">
        <v>35</v>
      </c>
      <c r="W337" s="66" t="s">
        <v>175</v>
      </c>
      <c r="X337" s="66" t="s">
        <v>175</v>
      </c>
      <c r="Y337" s="66"/>
      <c r="Z337" s="66"/>
      <c r="AA337" s="66"/>
      <c r="AB337" s="67"/>
      <c r="AC337" s="87">
        <f t="shared" si="15"/>
        <v>0.5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35</v>
      </c>
      <c r="V340" s="66" t="s">
        <v>35</v>
      </c>
      <c r="W340" s="66" t="s">
        <v>35</v>
      </c>
      <c r="X340" s="66" t="s">
        <v>175</v>
      </c>
      <c r="Y340" s="66"/>
      <c r="Z340" s="66"/>
      <c r="AA340" s="66"/>
      <c r="AB340" s="67"/>
      <c r="AC340" s="87">
        <f t="shared" si="15"/>
        <v>0.55555555555555558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35</v>
      </c>
      <c r="V343" s="66" t="s">
        <v>35</v>
      </c>
      <c r="W343" s="66" t="s">
        <v>175</v>
      </c>
      <c r="X343" s="66" t="s">
        <v>175</v>
      </c>
      <c r="Y343" s="66"/>
      <c r="Z343" s="66"/>
      <c r="AA343" s="66"/>
      <c r="AB343" s="67"/>
      <c r="AC343" s="87">
        <f t="shared" si="15"/>
        <v>0.5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35</v>
      </c>
      <c r="V345" s="66" t="s">
        <v>35</v>
      </c>
      <c r="W345" s="66" t="s">
        <v>35</v>
      </c>
      <c r="X345" s="66" t="s">
        <v>35</v>
      </c>
      <c r="Y345" s="66"/>
      <c r="Z345" s="66"/>
      <c r="AA345" s="66"/>
      <c r="AB345" s="67"/>
      <c r="AC345" s="87">
        <f t="shared" si="15"/>
        <v>0.61111111111111116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0.44444444444444442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15"/>
        <v>0.25925925925925924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35</v>
      </c>
      <c r="V348" s="66" t="s">
        <v>35</v>
      </c>
      <c r="W348" s="66" t="s">
        <v>175</v>
      </c>
      <c r="X348" s="66" t="s">
        <v>175</v>
      </c>
      <c r="Y348" s="66"/>
      <c r="Z348" s="66"/>
      <c r="AA348" s="66"/>
      <c r="AB348" s="67"/>
      <c r="AC348" s="87">
        <f t="shared" si="15"/>
        <v>0.44444444444444442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15"/>
        <v>0.25925925925925924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15"/>
        <v>0.25925925925925924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 t="s">
        <v>175</v>
      </c>
      <c r="X351" s="66" t="s">
        <v>175</v>
      </c>
      <c r="Y351" s="66"/>
      <c r="Z351" s="66"/>
      <c r="AA351" s="66"/>
      <c r="AB351" s="67"/>
      <c r="AC351" s="87">
        <f t="shared" si="15"/>
        <v>0.44444444444444442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 t="s">
        <v>175</v>
      </c>
      <c r="X353" s="66" t="s">
        <v>175</v>
      </c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0.44444444444444442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 t="s">
        <v>35</v>
      </c>
      <c r="X354" s="66" t="s">
        <v>35</v>
      </c>
      <c r="Y354" s="66"/>
      <c r="Z354" s="66"/>
      <c r="AA354" s="66"/>
      <c r="AB354" s="67"/>
      <c r="AC354" s="87">
        <f t="shared" si="18"/>
        <v>0.55555555555555558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18"/>
        <v>0.25925925925925924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38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18"/>
        <v>0.25925925925925924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35</v>
      </c>
      <c r="V357" s="66" t="s">
        <v>35</v>
      </c>
      <c r="W357" s="66"/>
      <c r="X357" s="66"/>
      <c r="Y357" s="66"/>
      <c r="Z357" s="66"/>
      <c r="AA357" s="66"/>
      <c r="AB357" s="74"/>
      <c r="AC357" s="87">
        <f t="shared" si="18"/>
        <v>0.33333333333333331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18"/>
        <v>0.25925925925925924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35</v>
      </c>
      <c r="X359" s="66"/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 t="s">
        <v>1799</v>
      </c>
      <c r="Z363" s="66"/>
      <c r="AA363" s="66"/>
      <c r="AB363" s="67"/>
      <c r="AC363" s="87">
        <f t="shared" si="18"/>
        <v>0.61111111111111116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 t="s">
        <v>1799</v>
      </c>
      <c r="Z364" s="66"/>
      <c r="AA364" s="66"/>
      <c r="AB364" s="67"/>
      <c r="AC364" s="87">
        <f t="shared" si="18"/>
        <v>0.24074074074074073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 t="s">
        <v>1799</v>
      </c>
      <c r="Z365" s="66"/>
      <c r="AA365" s="66"/>
      <c r="AB365" s="67"/>
      <c r="AC365" s="87">
        <f t="shared" si="18"/>
        <v>0.24074074074074073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 t="s">
        <v>1799</v>
      </c>
      <c r="Z366" s="66"/>
      <c r="AA366" s="66"/>
      <c r="AB366" s="67"/>
      <c r="AC366" s="87">
        <f t="shared" si="18"/>
        <v>0.24074074074074073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 t="s">
        <v>1799</v>
      </c>
      <c r="Z367" s="66"/>
      <c r="AA367" s="66"/>
      <c r="AB367" s="67"/>
      <c r="AC367" s="87">
        <f t="shared" si="18"/>
        <v>0.61111111111111116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213</v>
      </c>
      <c r="V368" s="66" t="s">
        <v>213</v>
      </c>
      <c r="W368" s="66"/>
      <c r="X368" s="66"/>
      <c r="Y368" s="66" t="s">
        <v>1799</v>
      </c>
      <c r="Z368" s="66"/>
      <c r="AA368" s="66"/>
      <c r="AB368" s="67"/>
      <c r="AC368" s="87">
        <f t="shared" si="18"/>
        <v>0.31481481481481477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35</v>
      </c>
      <c r="V369" s="66" t="s">
        <v>35</v>
      </c>
      <c r="W369" s="66" t="s">
        <v>35</v>
      </c>
      <c r="X369" s="66" t="s">
        <v>35</v>
      </c>
      <c r="Y369" s="66" t="s">
        <v>1799</v>
      </c>
      <c r="Z369" s="66"/>
      <c r="AA369" s="66"/>
      <c r="AB369" s="67"/>
      <c r="AC369" s="87">
        <f t="shared" si="18"/>
        <v>0.61111111111111116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35</v>
      </c>
      <c r="V370" s="66" t="s">
        <v>35</v>
      </c>
      <c r="W370" s="66" t="s">
        <v>35</v>
      </c>
      <c r="X370" s="66" t="s">
        <v>175</v>
      </c>
      <c r="Y370" s="66" t="s">
        <v>1799</v>
      </c>
      <c r="Z370" s="66"/>
      <c r="AA370" s="66"/>
      <c r="AB370" s="67"/>
      <c r="AC370" s="87">
        <f t="shared" si="18"/>
        <v>0.55555555555555558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 t="s">
        <v>1799</v>
      </c>
      <c r="Z371" s="66"/>
      <c r="AA371" s="66"/>
      <c r="AB371" s="67"/>
      <c r="AC371" s="87">
        <f t="shared" si="18"/>
        <v>0.24074074074074073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 t="s">
        <v>1799</v>
      </c>
      <c r="Z372" s="66"/>
      <c r="AA372" s="66"/>
      <c r="AB372" s="67"/>
      <c r="AC372" s="87">
        <f t="shared" si="18"/>
        <v>0.61111111111111116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 t="s">
        <v>1799</v>
      </c>
      <c r="Z373" s="66"/>
      <c r="AA373" s="66"/>
      <c r="AB373" s="67"/>
      <c r="AC373" s="87">
        <f t="shared" si="18"/>
        <v>0.24074074074074073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 t="s">
        <v>1799</v>
      </c>
      <c r="Z374" s="66"/>
      <c r="AA374" s="66"/>
      <c r="AB374" s="67"/>
      <c r="AC374" s="87">
        <f t="shared" si="18"/>
        <v>0.24074074074074073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 t="s">
        <v>1799</v>
      </c>
      <c r="Z375" s="66"/>
      <c r="AA375" s="66"/>
      <c r="AB375" s="67"/>
      <c r="AC375" s="87">
        <f t="shared" si="18"/>
        <v>0.24074074074074073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 t="s">
        <v>1799</v>
      </c>
      <c r="Z376" s="66"/>
      <c r="AA376" s="66"/>
      <c r="AB376" s="67"/>
      <c r="AC376" s="87">
        <f t="shared" si="18"/>
        <v>0.24074074074074073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 t="s">
        <v>1799</v>
      </c>
      <c r="Z377" s="66"/>
      <c r="AA377" s="66"/>
      <c r="AB377" s="67"/>
      <c r="AC377" s="87">
        <f t="shared" si="18"/>
        <v>0.24074074074074073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 t="s">
        <v>1799</v>
      </c>
      <c r="Z378" s="66"/>
      <c r="AA378" s="66"/>
      <c r="AB378" s="67"/>
      <c r="AC378" s="87">
        <f t="shared" si="18"/>
        <v>0.61111111111111116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 t="s">
        <v>1799</v>
      </c>
      <c r="Z379" s="66"/>
      <c r="AA379" s="66"/>
      <c r="AB379" s="67"/>
      <c r="AC379" s="87">
        <f t="shared" si="18"/>
        <v>0.24074074074074073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 t="s">
        <v>1799</v>
      </c>
      <c r="Z380" s="66"/>
      <c r="AA380" s="66"/>
      <c r="AB380" s="67"/>
      <c r="AC380" s="87">
        <f t="shared" si="18"/>
        <v>0.24074074074074073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 t="s">
        <v>1799</v>
      </c>
      <c r="Z381" s="66"/>
      <c r="AA381" s="66"/>
      <c r="AB381" s="67"/>
      <c r="AC381" s="87">
        <f t="shared" si="18"/>
        <v>0.24074074074074073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 t="s">
        <v>1799</v>
      </c>
      <c r="Z382" s="66"/>
      <c r="AA382" s="66"/>
      <c r="AB382" s="67"/>
      <c r="AC382" s="87">
        <f t="shared" si="18"/>
        <v>0.24074074074074073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 t="s">
        <v>1799</v>
      </c>
      <c r="Z383" s="66"/>
      <c r="AA383" s="66"/>
      <c r="AB383" s="67"/>
      <c r="AC383" s="87">
        <f t="shared" si="18"/>
        <v>0.24074074074074073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 t="s">
        <v>1799</v>
      </c>
      <c r="Z384" s="66"/>
      <c r="AA384" s="66"/>
      <c r="AB384" s="67"/>
      <c r="AC384" s="87">
        <f t="shared" si="18"/>
        <v>0.24074074074074073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 t="s">
        <v>1799</v>
      </c>
      <c r="Z385" s="66"/>
      <c r="AA385" s="66"/>
      <c r="AB385" s="67"/>
      <c r="AC385" s="87">
        <f t="shared" si="18"/>
        <v>0.24074074074074073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 t="s">
        <v>1799</v>
      </c>
      <c r="Z386" s="66"/>
      <c r="AA386" s="66"/>
      <c r="AB386" s="67"/>
      <c r="AC386" s="87">
        <f t="shared" si="18"/>
        <v>0.24074074074074073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 t="s">
        <v>1799</v>
      </c>
      <c r="Z387" s="66"/>
      <c r="AA387" s="66"/>
      <c r="AB387" s="67"/>
      <c r="AC387" s="87">
        <f t="shared" si="18"/>
        <v>0.24074074074074073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 t="s">
        <v>1799</v>
      </c>
      <c r="Z388" s="66"/>
      <c r="AA388" s="66"/>
      <c r="AB388" s="67"/>
      <c r="AC388" s="87">
        <f t="shared" si="18"/>
        <v>0.24074074074074073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 t="s">
        <v>1799</v>
      </c>
      <c r="Z389" s="66"/>
      <c r="AA389" s="66"/>
      <c r="AB389" s="67"/>
      <c r="AC389" s="87">
        <f t="shared" si="18"/>
        <v>0.24074074074074073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 t="s">
        <v>1799</v>
      </c>
      <c r="Z390" s="66"/>
      <c r="AA390" s="66"/>
      <c r="AB390" s="67"/>
      <c r="AC390" s="87">
        <f t="shared" si="18"/>
        <v>0.24074074074074073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 t="s">
        <v>1799</v>
      </c>
      <c r="Z391" s="66"/>
      <c r="AA391" s="66"/>
      <c r="AB391" s="67"/>
      <c r="AC391" s="87">
        <f t="shared" si="18"/>
        <v>0.24074074074074073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 t="s">
        <v>1799</v>
      </c>
      <c r="Z392" s="66"/>
      <c r="AA392" s="66"/>
      <c r="AB392" s="67"/>
      <c r="AC392" s="87">
        <f t="shared" si="18"/>
        <v>0.61111111111111116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 t="s">
        <v>1799</v>
      </c>
      <c r="Z393" s="66"/>
      <c r="AA393" s="66"/>
      <c r="AB393" s="67"/>
      <c r="AC393" s="87">
        <f t="shared" si="18"/>
        <v>0.24074074074074073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35</v>
      </c>
      <c r="V394" s="66" t="s">
        <v>35</v>
      </c>
      <c r="W394" s="66" t="s">
        <v>35</v>
      </c>
      <c r="X394" s="66" t="s">
        <v>175</v>
      </c>
      <c r="Y394" s="66" t="s">
        <v>1799</v>
      </c>
      <c r="Z394" s="66"/>
      <c r="AA394" s="66"/>
      <c r="AB394" s="67"/>
      <c r="AC394" s="87">
        <f t="shared" si="18"/>
        <v>0.55555555555555558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 t="s">
        <v>1799</v>
      </c>
      <c r="Z395" s="66"/>
      <c r="AA395" s="66"/>
      <c r="AB395" s="67"/>
      <c r="AC395" s="87">
        <f t="shared" si="18"/>
        <v>0.24074074074074073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 t="s">
        <v>1799</v>
      </c>
      <c r="Z396" s="66"/>
      <c r="AA396" s="66"/>
      <c r="AB396" s="67"/>
      <c r="AC396" s="87">
        <f t="shared" si="18"/>
        <v>0.24074074074074073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 t="s">
        <v>1799</v>
      </c>
      <c r="Z397" s="66"/>
      <c r="AA397" s="66"/>
      <c r="AB397" s="67" t="s">
        <v>1814</v>
      </c>
      <c r="AC397" s="87">
        <f t="shared" si="18"/>
        <v>0.61111111111111116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35</v>
      </c>
      <c r="V398" s="66" t="s">
        <v>35</v>
      </c>
      <c r="W398" s="66" t="s">
        <v>35</v>
      </c>
      <c r="X398" s="66" t="s">
        <v>35</v>
      </c>
      <c r="Y398" s="66" t="s">
        <v>1799</v>
      </c>
      <c r="Z398" s="66"/>
      <c r="AA398" s="66"/>
      <c r="AB398" s="67"/>
      <c r="AC398" s="87">
        <f t="shared" si="18"/>
        <v>0.61111111111111116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 t="s">
        <v>1799</v>
      </c>
      <c r="Z399" s="66"/>
      <c r="AA399" s="66"/>
      <c r="AB399" s="67"/>
      <c r="AC399" s="87">
        <f t="shared" si="18"/>
        <v>0.37037037037037035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 t="s">
        <v>1799</v>
      </c>
      <c r="Z400" s="66"/>
      <c r="AA400" s="66"/>
      <c r="AB400" s="67"/>
      <c r="AC400" s="87">
        <f t="shared" si="18"/>
        <v>0.37037037037037035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 t="s">
        <v>1799</v>
      </c>
      <c r="Z401" s="66"/>
      <c r="AA401" s="66"/>
      <c r="AB401" s="67"/>
      <c r="AC401" s="87">
        <f t="shared" si="18"/>
        <v>0.37037037037037035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 t="s">
        <v>1799</v>
      </c>
      <c r="Z402" s="66"/>
      <c r="AA402" s="66"/>
      <c r="AB402" s="67"/>
      <c r="AC402" s="87">
        <f t="shared" si="18"/>
        <v>0.37037037037037035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 t="s">
        <v>1799</v>
      </c>
      <c r="Z403" s="66"/>
      <c r="AA403" s="66"/>
      <c r="AB403" s="67"/>
      <c r="AC403" s="87">
        <f t="shared" si="18"/>
        <v>0.37037037037037035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 t="s">
        <v>1799</v>
      </c>
      <c r="Z404" s="66"/>
      <c r="AA404" s="66"/>
      <c r="AB404" s="67"/>
      <c r="AC404" s="87">
        <f t="shared" si="18"/>
        <v>0.37037037037037035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 t="s">
        <v>1799</v>
      </c>
      <c r="Z405" s="66"/>
      <c r="AA405" s="66"/>
      <c r="AB405" s="67"/>
      <c r="AC405" s="87">
        <f t="shared" si="18"/>
        <v>0.37037037037037035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 t="s">
        <v>1799</v>
      </c>
      <c r="Z406" s="66"/>
      <c r="AA406" s="66"/>
      <c r="AB406" s="67"/>
      <c r="AC406" s="87">
        <f t="shared" si="18"/>
        <v>0.37037037037037035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 t="s">
        <v>1799</v>
      </c>
      <c r="Z407" s="66"/>
      <c r="AA407" s="66"/>
      <c r="AB407" s="67"/>
      <c r="AC407" s="87">
        <f t="shared" si="18"/>
        <v>0.37037037037037035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 t="s">
        <v>1799</v>
      </c>
      <c r="Z408" s="66"/>
      <c r="AA408" s="66"/>
      <c r="AB408" s="67"/>
      <c r="AC408" s="87">
        <f t="shared" si="18"/>
        <v>0.37037037037037035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 t="s">
        <v>1799</v>
      </c>
      <c r="Z409" s="66"/>
      <c r="AA409" s="66"/>
      <c r="AB409" s="67"/>
      <c r="AC409" s="87">
        <f t="shared" si="18"/>
        <v>0.37037037037037035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 t="s">
        <v>1799</v>
      </c>
      <c r="Z410" s="66"/>
      <c r="AA410" s="66"/>
      <c r="AB410" s="67"/>
      <c r="AC410" s="87">
        <f t="shared" si="18"/>
        <v>0.37037037037037035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213</v>
      </c>
      <c r="W411" s="66"/>
      <c r="X411" s="66"/>
      <c r="Y411" s="66" t="s">
        <v>1799</v>
      </c>
      <c r="Z411" s="66"/>
      <c r="AA411" s="66"/>
      <c r="AB411" s="67"/>
      <c r="AC411" s="87">
        <f t="shared" si="18"/>
        <v>0.33333333333333331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 t="s">
        <v>1799</v>
      </c>
      <c r="Z412" s="66"/>
      <c r="AA412" s="66"/>
      <c r="AB412" s="67"/>
      <c r="AC412" s="87">
        <f t="shared" si="18"/>
        <v>0.37037037037037035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 t="s">
        <v>1799</v>
      </c>
      <c r="Z413" s="66"/>
      <c r="AA413" s="66"/>
      <c r="AB413" s="67"/>
      <c r="AC413" s="87">
        <f t="shared" si="18"/>
        <v>0.37037037037037035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 t="s">
        <v>1799</v>
      </c>
      <c r="Z414" s="66"/>
      <c r="AA414" s="66"/>
      <c r="AB414" s="67"/>
      <c r="AC414" s="87">
        <f t="shared" si="18"/>
        <v>0.37037037037037035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 t="s">
        <v>1799</v>
      </c>
      <c r="Z415" s="66"/>
      <c r="AA415" s="66"/>
      <c r="AB415" s="67"/>
      <c r="AC415" s="87">
        <f t="shared" si="18"/>
        <v>0.37037037037037035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 t="s">
        <v>1799</v>
      </c>
      <c r="Z416" s="66"/>
      <c r="AA416" s="66"/>
      <c r="AB416" s="67"/>
      <c r="AC416" s="87">
        <f t="shared" si="18"/>
        <v>0.37037037037037035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 t="s">
        <v>1799</v>
      </c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0.37037037037037035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 t="s">
        <v>1799</v>
      </c>
      <c r="Z418" s="66"/>
      <c r="AA418" s="66"/>
      <c r="AB418" s="67"/>
      <c r="AC418" s="87">
        <f t="shared" si="21"/>
        <v>0.37037037037037035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 t="s">
        <v>1799</v>
      </c>
      <c r="Z419" s="66"/>
      <c r="AA419" s="66"/>
      <c r="AB419" s="67"/>
      <c r="AC419" s="87">
        <f t="shared" si="21"/>
        <v>0.37037037037037035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 t="s">
        <v>1799</v>
      </c>
      <c r="Z420" s="66"/>
      <c r="AA420" s="66"/>
      <c r="AB420" s="67"/>
      <c r="AC420" s="87">
        <f t="shared" si="21"/>
        <v>0.37037037037037035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 t="s">
        <v>1799</v>
      </c>
      <c r="Z421" s="66"/>
      <c r="AA421" s="66"/>
      <c r="AB421" s="67"/>
      <c r="AC421" s="87">
        <f t="shared" si="21"/>
        <v>0.37037037037037035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 t="s">
        <v>1799</v>
      </c>
      <c r="Z422" s="66"/>
      <c r="AA422" s="66"/>
      <c r="AB422" s="67"/>
      <c r="AC422" s="87">
        <f t="shared" si="21"/>
        <v>0.37037037037037035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 t="s">
        <v>1799</v>
      </c>
      <c r="Z423" s="66"/>
      <c r="AA423" s="66"/>
      <c r="AB423" s="67"/>
      <c r="AC423" s="87">
        <f t="shared" si="21"/>
        <v>0.37037037037037035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21"/>
        <v>0.31481481481481477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35</v>
      </c>
      <c r="V449" s="66" t="s">
        <v>213</v>
      </c>
      <c r="W449" s="66" t="s">
        <v>35</v>
      </c>
      <c r="X449" s="66"/>
      <c r="Y449" s="66"/>
      <c r="Z449" s="66"/>
      <c r="AA449" s="66"/>
      <c r="AB449" s="67" t="s">
        <v>1795</v>
      </c>
      <c r="AC449" s="87">
        <f t="shared" si="21"/>
        <v>0.46296296296296291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35</v>
      </c>
      <c r="V450" s="66" t="s">
        <v>213</v>
      </c>
      <c r="W450" s="66" t="s">
        <v>175</v>
      </c>
      <c r="X450" s="66"/>
      <c r="Y450" s="66"/>
      <c r="Z450" s="66"/>
      <c r="AA450" s="66"/>
      <c r="AB450" s="67" t="s">
        <v>1795</v>
      </c>
      <c r="AC450" s="87">
        <f t="shared" si="21"/>
        <v>0.40740740740740738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137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21"/>
        <v>0.31481481481481477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213</v>
      </c>
      <c r="V454" s="66" t="s">
        <v>213</v>
      </c>
      <c r="W454" s="66"/>
      <c r="X454" s="66"/>
      <c r="Y454" s="66"/>
      <c r="Z454" s="66"/>
      <c r="AA454" s="66"/>
      <c r="AB454" s="67"/>
      <c r="AC454" s="87">
        <f t="shared" si="21"/>
        <v>0.31481481481481477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21"/>
        <v>0.31481481481481477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21"/>
        <v>0.31481481481481477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21"/>
        <v>0.31481481481481477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21"/>
        <v>0.31481481481481477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21"/>
        <v>0.31481481481481477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21"/>
        <v>0.31481481481481477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213</v>
      </c>
      <c r="V461" s="66" t="s">
        <v>213</v>
      </c>
      <c r="W461" s="66"/>
      <c r="X461" s="66"/>
      <c r="Y461" s="66"/>
      <c r="Z461" s="66"/>
      <c r="AA461" s="66"/>
      <c r="AB461" s="67"/>
      <c r="AC461" s="87">
        <f t="shared" si="21"/>
        <v>0.31481481481481477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21"/>
        <v>0.31481481481481477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21"/>
        <v>0.31481481481481477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21"/>
        <v>0.31481481481481477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21"/>
        <v>0.31481481481481477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213</v>
      </c>
      <c r="V466" s="66" t="s">
        <v>213</v>
      </c>
      <c r="W466" s="66"/>
      <c r="X466" s="66"/>
      <c r="Y466" s="66"/>
      <c r="Z466" s="66"/>
      <c r="AA466" s="66"/>
      <c r="AB466" s="67"/>
      <c r="AC466" s="87">
        <f t="shared" si="21"/>
        <v>0.31481481481481477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21"/>
        <v>0.31481481481481477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175</v>
      </c>
      <c r="X468" s="66" t="s">
        <v>35</v>
      </c>
      <c r="Y468" s="66"/>
      <c r="Z468" s="66"/>
      <c r="AA468" s="66"/>
      <c r="AB468" s="67"/>
      <c r="AC468" s="87">
        <f t="shared" si="21"/>
        <v>0.5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175</v>
      </c>
      <c r="X469" s="66" t="s">
        <v>35</v>
      </c>
      <c r="Y469" s="66"/>
      <c r="Z469" s="66"/>
      <c r="AA469" s="66"/>
      <c r="AB469" s="67"/>
      <c r="AC469" s="87">
        <f t="shared" si="21"/>
        <v>0.5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21"/>
        <v>0.55555555555555558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21"/>
        <v>0.18518518518518517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21"/>
        <v>0.55555555555555558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21"/>
        <v>0.18518518518518517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21"/>
        <v>0.33333333333333331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67"/>
      <c r="AC475" s="87">
        <f t="shared" si="21"/>
        <v>0.25925925925925924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 t="s">
        <v>35</v>
      </c>
      <c r="X476" s="66" t="s">
        <v>35</v>
      </c>
      <c r="Y476" s="66"/>
      <c r="Z476" s="66"/>
      <c r="AA476" s="66"/>
      <c r="AB476" s="67"/>
      <c r="AC476" s="87">
        <f t="shared" si="21"/>
        <v>0.55555555555555558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21"/>
        <v>0.33333333333333331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21"/>
        <v>0.55555555555555558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21"/>
        <v>0.55555555555555558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35</v>
      </c>
      <c r="X480" s="66" t="s">
        <v>35</v>
      </c>
      <c r="Y480" s="66"/>
      <c r="Z480" s="66"/>
      <c r="AA480" s="66"/>
      <c r="AB480" s="67"/>
      <c r="AC480" s="87">
        <f t="shared" si="21"/>
        <v>0.55555555555555558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24"/>
        <v>0.18518518518518517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24"/>
        <v>0.18518518518518517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24"/>
        <v>0.25925925925925924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24"/>
        <v>0.18518518518518517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24"/>
        <v>0.55555555555555558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24"/>
        <v>0.33333333333333331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35</v>
      </c>
      <c r="V488" s="66" t="s">
        <v>35</v>
      </c>
      <c r="W488" s="66"/>
      <c r="X488" s="66" t="s">
        <v>35</v>
      </c>
      <c r="Y488" s="66"/>
      <c r="Z488" s="66"/>
      <c r="AA488" s="66"/>
      <c r="AB488" s="67"/>
      <c r="AC488" s="87">
        <f t="shared" si="24"/>
        <v>0.44444444444444442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35</v>
      </c>
      <c r="Y489" s="66"/>
      <c r="Z489" s="66"/>
      <c r="AA489" s="66"/>
      <c r="AB489" s="67"/>
      <c r="AC489" s="87">
        <f t="shared" si="24"/>
        <v>0.5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24"/>
        <v>0.55555555555555558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35</v>
      </c>
      <c r="X498" s="66" t="s">
        <v>35</v>
      </c>
      <c r="Y498" s="66" t="s">
        <v>36</v>
      </c>
      <c r="Z498" s="66"/>
      <c r="AA498" s="66"/>
      <c r="AB498" s="67"/>
      <c r="AC498" s="87">
        <f t="shared" si="24"/>
        <v>0.77777777777777779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35</v>
      </c>
      <c r="Y499" s="66" t="s">
        <v>36</v>
      </c>
      <c r="Z499" s="66"/>
      <c r="AA499" s="66"/>
      <c r="AB499" s="67"/>
      <c r="AC499" s="87">
        <f t="shared" si="24"/>
        <v>0.77777777777777779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35</v>
      </c>
      <c r="Y502" s="66" t="s">
        <v>36</v>
      </c>
      <c r="Z502" s="66"/>
      <c r="AA502" s="66"/>
      <c r="AB502" s="67"/>
      <c r="AC502" s="87">
        <f t="shared" si="24"/>
        <v>0.72222222222222221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0.29629629629629634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 t="s">
        <v>175</v>
      </c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0.24074074074074073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 t="s">
        <v>175</v>
      </c>
      <c r="U511" s="66" t="s">
        <v>213</v>
      </c>
      <c r="V511" s="66" t="s">
        <v>35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0.35185185185185186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 t="s">
        <v>175</v>
      </c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0.31481481481481477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 t="s">
        <v>175</v>
      </c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0.24074074074074073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 t="s">
        <v>175</v>
      </c>
      <c r="U514" s="66" t="s">
        <v>35</v>
      </c>
      <c r="V514" s="66" t="s">
        <v>35</v>
      </c>
      <c r="W514" s="66"/>
      <c r="X514" s="66"/>
      <c r="Y514" s="66"/>
      <c r="Z514" s="66"/>
      <c r="AA514" s="66"/>
      <c r="AB514" s="70" t="s">
        <v>1795</v>
      </c>
      <c r="AC514" s="87">
        <f t="shared" si="24"/>
        <v>0.3888888888888889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 t="s">
        <v>175</v>
      </c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0.24074074074074073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213</v>
      </c>
      <c r="V516" s="66" t="s">
        <v>213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0.37037037037037035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213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0.40740740740740738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35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0.40740740740740738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 t="s">
        <v>175</v>
      </c>
      <c r="U519" s="66" t="s">
        <v>213</v>
      </c>
      <c r="V519" s="66" t="s">
        <v>35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0.35185185185185186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/>
      <c r="X520" s="66"/>
      <c r="Y520" s="76"/>
      <c r="Z520" s="66"/>
      <c r="AA520" s="66"/>
      <c r="AB520" s="70" t="s">
        <v>1795</v>
      </c>
      <c r="AC520" s="87">
        <f t="shared" si="24"/>
        <v>0.44444444444444442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/>
      <c r="X521" s="66"/>
      <c r="Y521" s="66"/>
      <c r="Z521" s="66"/>
      <c r="AA521" s="66"/>
      <c r="AB521" s="70" t="s">
        <v>1795</v>
      </c>
      <c r="AC521" s="87">
        <f t="shared" si="24"/>
        <v>0.3888888888888889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 t="s">
        <v>175</v>
      </c>
      <c r="U523" s="66" t="s">
        <v>213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0.35185185185185186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 t="s">
        <v>175</v>
      </c>
      <c r="U524" s="66" t="s">
        <v>176</v>
      </c>
      <c r="V524" s="66" t="s">
        <v>176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0.24074074074074073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 t="s">
        <v>175</v>
      </c>
      <c r="U525" s="66" t="s">
        <v>176</v>
      </c>
      <c r="V525" s="66" t="s">
        <v>176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0.24074074074074073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 t="s">
        <v>175</v>
      </c>
      <c r="U526" s="66" t="s">
        <v>176</v>
      </c>
      <c r="V526" s="66" t="s">
        <v>176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0.24074074074074073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/>
      <c r="X527" s="66"/>
      <c r="Y527" s="66"/>
      <c r="Z527" s="66"/>
      <c r="AA527" s="66"/>
      <c r="AB527" s="70" t="s">
        <v>1795</v>
      </c>
      <c r="AC527" s="87">
        <f t="shared" si="24"/>
        <v>0.3888888888888889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 t="s">
        <v>175</v>
      </c>
      <c r="U528" s="66" t="s">
        <v>213</v>
      </c>
      <c r="V528" s="66" t="s">
        <v>35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0.35185185185185186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 t="s">
        <v>175</v>
      </c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0.31481481481481477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 t="s">
        <v>175</v>
      </c>
      <c r="U530" s="66" t="s">
        <v>213</v>
      </c>
      <c r="V530" s="66" t="s">
        <v>213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0.31481481481481477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0.24074074074074073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1819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24"/>
        <v>0.18518518518518517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24"/>
        <v>0.18518518518518517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24"/>
        <v>0.18518518518518517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24"/>
        <v>0.18518518518518517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24"/>
        <v>0.18518518518518517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24"/>
        <v>0.18518518518518517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24"/>
        <v>0.18518518518518517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27"/>
        <v>0.18518518518518517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27"/>
        <v>0.18518518518518517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27"/>
        <v>0.18518518518518517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27"/>
        <v>0.18518518518518517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0.83333333333333337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0.72222222222222221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27"/>
        <v>0.72222222222222221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0.72222222222222221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27"/>
        <v>0.72222222222222221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0.72222222222222221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27"/>
        <v>0.72222222222222221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27"/>
        <v>0.72222222222222221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27"/>
        <v>0.72222222222222221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27"/>
        <v>0.72222222222222221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27"/>
        <v>0.72222222222222221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27"/>
        <v>0.72222222222222221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27"/>
        <v>0.72222222222222221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213</v>
      </c>
      <c r="V566" s="66" t="s">
        <v>213</v>
      </c>
      <c r="W566" s="66"/>
      <c r="X566" s="66"/>
      <c r="Y566" s="66"/>
      <c r="Z566" s="66"/>
      <c r="AA566" s="66"/>
      <c r="AB566" s="67"/>
      <c r="AC566" s="87">
        <f t="shared" si="27"/>
        <v>0.31481481481481477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27"/>
        <v>0.31481481481481477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213</v>
      </c>
      <c r="V569" s="66" t="s">
        <v>213</v>
      </c>
      <c r="W569" s="66"/>
      <c r="X569" s="66"/>
      <c r="Y569" s="66"/>
      <c r="Z569" s="66"/>
      <c r="AA569" s="66"/>
      <c r="AB569" s="67"/>
      <c r="AC569" s="87">
        <f t="shared" si="27"/>
        <v>0.31481481481481477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 t="s">
        <v>36</v>
      </c>
      <c r="Z570" s="66"/>
      <c r="AA570" s="66"/>
      <c r="AB570" s="67"/>
      <c r="AC570" s="87">
        <f t="shared" si="27"/>
        <v>0.72222222222222221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27"/>
        <v>0.31481481481481477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27"/>
        <v>0.31481481481481477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35</v>
      </c>
      <c r="X574" s="66" t="s">
        <v>175</v>
      </c>
      <c r="Y574" s="66" t="s">
        <v>36</v>
      </c>
      <c r="Z574" s="66"/>
      <c r="AA574" s="66"/>
      <c r="AB574" s="67"/>
      <c r="AC574" s="87">
        <f t="shared" si="27"/>
        <v>0.66666666666666663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 t="s">
        <v>36</v>
      </c>
      <c r="Z575" s="66"/>
      <c r="AA575" s="66"/>
      <c r="AB575" s="67"/>
      <c r="AC575" s="87">
        <f t="shared" si="27"/>
        <v>0.42592592592592587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 t="s">
        <v>36</v>
      </c>
      <c r="Z577" s="66"/>
      <c r="AA577" s="66"/>
      <c r="AB577" s="67"/>
      <c r="AC577" s="87">
        <f t="shared" si="27"/>
        <v>0.42592592592592587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27"/>
        <v>0.31481481481481477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213</v>
      </c>
      <c r="V580" s="66" t="s">
        <v>213</v>
      </c>
      <c r="W580" s="66"/>
      <c r="X580" s="66"/>
      <c r="Y580" s="66"/>
      <c r="Z580" s="66"/>
      <c r="AA580" s="66"/>
      <c r="AB580" s="67"/>
      <c r="AC580" s="87">
        <f t="shared" si="27"/>
        <v>0.31481481481481477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 t="s">
        <v>36</v>
      </c>
      <c r="Z581" s="66"/>
      <c r="AA581" s="66"/>
      <c r="AB581" s="67"/>
      <c r="AC581" s="87">
        <f t="shared" si="27"/>
        <v>0.72222222222222221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 t="s">
        <v>36</v>
      </c>
      <c r="Z582" s="66"/>
      <c r="AA582" s="66"/>
      <c r="AB582" s="67"/>
      <c r="AC582" s="87">
        <f t="shared" si="27"/>
        <v>0.42592592592592587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27"/>
        <v>0.31481481481481477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 t="s">
        <v>36</v>
      </c>
      <c r="Z585" s="66"/>
      <c r="AA585" s="66"/>
      <c r="AB585" s="67"/>
      <c r="AC585" s="87">
        <f t="shared" si="27"/>
        <v>0.42592592592592587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213</v>
      </c>
      <c r="V586" s="66" t="s">
        <v>213</v>
      </c>
      <c r="W586" s="66"/>
      <c r="X586" s="66"/>
      <c r="Y586" s="66"/>
      <c r="Z586" s="66"/>
      <c r="AA586" s="66"/>
      <c r="AB586" s="67"/>
      <c r="AC586" s="87">
        <f t="shared" si="27"/>
        <v>0.31481481481481477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27"/>
        <v>0.31481481481481477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27"/>
        <v>0.31481481481481477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27"/>
        <v>0.31481481481481477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35</v>
      </c>
      <c r="V592" s="66" t="s">
        <v>35</v>
      </c>
      <c r="W592" s="66" t="s">
        <v>175</v>
      </c>
      <c r="X592" s="66" t="s">
        <v>175</v>
      </c>
      <c r="Y592" s="66" t="s">
        <v>36</v>
      </c>
      <c r="Z592" s="66"/>
      <c r="AA592" s="66"/>
      <c r="AB592" s="67"/>
      <c r="AC592" s="87">
        <f t="shared" si="27"/>
        <v>0.61111111111111116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67"/>
      <c r="AC593" s="87">
        <f t="shared" si="27"/>
        <v>0.31481481481481477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 t="s">
        <v>36</v>
      </c>
      <c r="Z594" s="66"/>
      <c r="AA594" s="66"/>
      <c r="AB594" s="67"/>
      <c r="AC594" s="87">
        <f t="shared" si="27"/>
        <v>0.72222222222222221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27"/>
        <v>0.31481481481481477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213</v>
      </c>
      <c r="V596" s="66" t="s">
        <v>213</v>
      </c>
      <c r="W596" s="66"/>
      <c r="X596" s="66"/>
      <c r="Y596" s="66"/>
      <c r="Z596" s="66"/>
      <c r="AA596" s="66"/>
      <c r="AB596" s="67"/>
      <c r="AC596" s="87">
        <f t="shared" si="27"/>
        <v>0.31481481481481477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27"/>
        <v>0.31481481481481477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213</v>
      </c>
      <c r="V598" s="66" t="s">
        <v>213</v>
      </c>
      <c r="W598" s="66"/>
      <c r="X598" s="66"/>
      <c r="Y598" s="66"/>
      <c r="Z598" s="66"/>
      <c r="AA598" s="66"/>
      <c r="AB598" s="67"/>
      <c r="AC598" s="87">
        <f t="shared" si="27"/>
        <v>0.31481481481481477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0" t="s">
        <v>1852</v>
      </c>
      <c r="F602" s="121" t="s">
        <v>1853</v>
      </c>
      <c r="G602" s="122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/>
      <c r="AA602" s="66"/>
      <c r="AB602" s="67"/>
      <c r="AC602" s="87">
        <f t="shared" si="27"/>
        <v>0.55555555555555558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 t="s">
        <v>36</v>
      </c>
      <c r="Z604" s="66"/>
      <c r="AA604" s="66"/>
      <c r="AB604" s="67"/>
      <c r="AC604" s="87">
        <f t="shared" si="27"/>
        <v>0.42592592592592587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213</v>
      </c>
      <c r="V605" s="66" t="s">
        <v>213</v>
      </c>
      <c r="W605" s="66"/>
      <c r="X605" s="66"/>
      <c r="Y605" s="66"/>
      <c r="Z605" s="66"/>
      <c r="AA605" s="66"/>
      <c r="AB605" s="67"/>
      <c r="AC605" s="87">
        <f t="shared" si="27"/>
        <v>0.31481481481481477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35</v>
      </c>
      <c r="V606" s="66" t="s">
        <v>35</v>
      </c>
      <c r="W606" s="66" t="s">
        <v>175</v>
      </c>
      <c r="X606" s="66" t="s">
        <v>175</v>
      </c>
      <c r="Y606" s="66" t="s">
        <v>36</v>
      </c>
      <c r="Z606" s="66"/>
      <c r="AA606" s="66"/>
      <c r="AB606" s="67"/>
      <c r="AC606" s="87">
        <f t="shared" si="27"/>
        <v>0.61111111111111116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3" t="s">
        <v>1609</v>
      </c>
      <c r="F610" s="123" t="s">
        <v>1747</v>
      </c>
      <c r="G610" s="123" t="s">
        <v>1747</v>
      </c>
      <c r="H610" s="124">
        <v>3</v>
      </c>
      <c r="I610" s="123" t="s">
        <v>181</v>
      </c>
      <c r="J610" s="123" t="s">
        <v>182</v>
      </c>
      <c r="K610" s="123" t="s">
        <v>32</v>
      </c>
      <c r="L610" s="123" t="s">
        <v>1760</v>
      </c>
      <c r="M610" s="123" t="s">
        <v>33</v>
      </c>
      <c r="N610" s="125">
        <v>6</v>
      </c>
      <c r="O610" s="125">
        <v>1</v>
      </c>
      <c r="P610" s="125">
        <v>4</v>
      </c>
      <c r="Q610" s="123">
        <v>20.974905799999998</v>
      </c>
      <c r="R610" s="123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6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Y614" t="s">
        <v>1871</v>
      </c>
      <c r="AC614" s="113">
        <f>SUM(AC2:AC613)</f>
        <v>310.87055555555554</v>
      </c>
      <c r="AD614" s="29">
        <f>AC614/612*100</f>
        <v>50.795842411038485</v>
      </c>
      <c r="AF614">
        <f>SUM(AF2:AF613)</f>
        <v>9</v>
      </c>
      <c r="AG614">
        <f>SUM(AG2:AG613)</f>
        <v>100</v>
      </c>
    </row>
  </sheetData>
  <conditionalFormatting sqref="S1">
    <cfRule type="containsText" dxfId="879" priority="839" operator="containsText" text="ENTREGADO/REVISIÓN">
      <formula>NOT(ISERROR(SEARCH("ENTREGADO/REVISIÓN",S1)))</formula>
    </cfRule>
    <cfRule type="containsText" dxfId="878" priority="838" operator="containsText" text="ENVIADO A TICS">
      <formula>NOT(ISERROR(SEARCH("ENVIADO A TICS",S1)))</formula>
    </cfRule>
    <cfRule type="containsText" dxfId="877" priority="840" operator="containsText" text="ENVIADO A LA CE/UM">
      <formula>NOT(ISERROR(SEARCH("ENVIADO A LA CE/UM",S1)))</formula>
    </cfRule>
  </conditionalFormatting>
  <conditionalFormatting sqref="T1">
    <cfRule type="containsText" dxfId="876" priority="837" operator="containsText" text="EN PROCESO">
      <formula>NOT(ISERROR(SEARCH("EN PROCESO",T1)))</formula>
    </cfRule>
  </conditionalFormatting>
  <conditionalFormatting sqref="T1:X1">
    <cfRule type="containsText" dxfId="742" priority="5928" operator="containsText" text="CONCLUIDO">
      <formula>NOT(ISERROR(SEARCH("CONCLUIDO",T1)))</formula>
    </cfRule>
  </conditionalFormatting>
  <conditionalFormatting sqref="U1">
    <cfRule type="containsText" dxfId="740" priority="5930" operator="containsText" text="ENVIADO A LA CE/UM">
      <formula>NOT(ISERROR(SEARCH("ENVIADO A LA CE/UM",U1)))</formula>
    </cfRule>
  </conditionalFormatting>
  <conditionalFormatting sqref="U1:V1">
    <cfRule type="containsText" dxfId="736" priority="5929" operator="containsText" text="EN REVISIÓN CENTRAL">
      <formula>NOT(ISERROR(SEARCH("EN REVISIÓN CENTRAL",U1)))</formula>
    </cfRule>
  </conditionalFormatting>
  <conditionalFormatting sqref="Z1:AA1">
    <cfRule type="containsText" dxfId="504" priority="831" operator="containsText" text="SI">
      <formula>NOT(ISERROR(SEARCH("SI",Z1)))</formula>
    </cfRule>
  </conditionalFormatting>
  <conditionalFormatting sqref="W1:X1">
    <cfRule type="containsText" dxfId="503" priority="5522" operator="containsText" text="ENVIADO">
      <formula>NOT(ISERROR(SEARCH("ENVIADO",W1)))</formula>
    </cfRule>
  </conditionalFormatting>
  <conditionalFormatting sqref="W1:X1">
    <cfRule type="containsText" dxfId="502" priority="555" operator="containsText" text="EN PROCESO">
      <formula>NOT(ISERROR(SEARCH("EN PROCESO",W1)))</formula>
    </cfRule>
  </conditionalFormatting>
  <conditionalFormatting sqref="Y1">
    <cfRule type="containsText" dxfId="456" priority="833" operator="containsText" text="CONCLUIDAS">
      <formula>NOT(ISERROR(SEARCH("CONCLUIDAS",Y1)))</formula>
    </cfRule>
    <cfRule type="containsText" dxfId="455" priority="834" operator="containsText" text="PROGRAMADAS">
      <formula>NOT(ISERROR(SEARCH("PROGRAMADAS",Y1)))</formula>
    </cfRule>
  </conditionalFormatting>
  <conditionalFormatting sqref="Z1:AA1">
    <cfRule type="containsText" dxfId="454" priority="832" operator="containsText" text="NO">
      <formula>NOT(ISERROR(SEARCH("NO",Z1)))</formula>
    </cfRule>
  </conditionalFormatting>
  <conditionalFormatting sqref="AC1 AF1:AG1 AF3:AF614">
    <cfRule type="containsText" dxfId="453" priority="3801" operator="containsText" text="SI">
      <formula>NOT(ISERROR(SEARCH("SI",AC1)))</formula>
    </cfRule>
    <cfRule type="containsText" dxfId="452" priority="3802" operator="containsText" text="NO">
      <formula>NOT(ISERROR(SEARCH("NO",AC1)))</formula>
    </cfRule>
  </conditionalFormatting>
  <conditionalFormatting sqref="AC2:AC613">
    <cfRule type="dataBar" priority="42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42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11615" operator="containsText" text="CONCLUIDO">
      <formula>NOT(ISERROR(SEARCH("CONCLUIDO",AD1)))</formula>
    </cfRule>
    <cfRule type="containsText" dxfId="450" priority="11613" operator="containsText" text="EN PROCESO">
      <formula>NOT(ISERROR(SEARCH("EN PROCESO",AD1)))</formula>
    </cfRule>
    <cfRule type="containsText" dxfId="449" priority="11614" operator="containsText" text="ENVIADO">
      <formula>NOT(ISERROR(SEARCH("ENVIADO",AD1)))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1" priority="128" operator="containsText" text="ENVIADO">
      <formula>NOT(ISERROR(SEARCH("ENVIADO",T89)))</formula>
    </cfRule>
    <cfRule type="containsText" dxfId="413" priority="129" operator="containsText" text="EN PROCESO">
      <formula>NOT(ISERROR(SEARCH("EN PROCESO",T89)))</formula>
    </cfRule>
    <cfRule type="containsText" dxfId="414" priority="130" operator="containsText" text="ENVIADO">
      <formula>NOT(ISERROR(SEARCH("ENVIADO",T89)))</formula>
    </cfRule>
  </conditionalFormatting>
  <conditionalFormatting sqref="T98">
    <cfRule type="containsText" dxfId="408" priority="123" operator="containsText" text="EN PROCESO">
      <formula>NOT(ISERROR(SEARCH("EN PROCESO",T98)))</formula>
    </cfRule>
    <cfRule type="containsText" dxfId="409" priority="124" operator="containsText" text="ENVIADO">
      <formula>NOT(ISERROR(SEARCH("ENVIADO",T98)))</formula>
    </cfRule>
    <cfRule type="containsText" dxfId="410" priority="125" operator="containsText" text="EN PROCESO">
      <formula>NOT(ISERROR(SEARCH("EN PROCESO",T98)))</formula>
    </cfRule>
    <cfRule type="containsText" dxfId="407" priority="126" operator="containsText" text="ENVIADO">
      <formula>NOT(ISERROR(SEARCH("ENVIADO",T98)))</formula>
    </cfRule>
  </conditionalFormatting>
  <conditionalFormatting sqref="T100">
    <cfRule type="containsText" dxfId="406" priority="119" operator="containsText" text="EN PROCESO">
      <formula>NOT(ISERROR(SEARCH("EN PROCESO",T100)))</formula>
    </cfRule>
    <cfRule type="containsText" dxfId="403" priority="120" operator="containsText" text="ENVIADO">
      <formula>NOT(ISERROR(SEARCH("ENVIADO",T100)))</formula>
    </cfRule>
    <cfRule type="containsText" dxfId="404" priority="121" operator="containsText" text="EN PROCESO">
      <formula>NOT(ISERROR(SEARCH("EN PROCESO",T100)))</formula>
    </cfRule>
    <cfRule type="containsText" dxfId="405" priority="122" operator="containsText" text="ENVIADO">
      <formula>NOT(ISERROR(SEARCH("ENVIADO",T100)))</formula>
    </cfRule>
  </conditionalFormatting>
  <conditionalFormatting sqref="T100:T102">
    <cfRule type="containsText" dxfId="402" priority="115" operator="containsText" text="EN PROCESO">
      <formula>NOT(ISERROR(SEARCH("EN PROCESO",T100)))</formula>
    </cfRule>
    <cfRule type="containsText" dxfId="401" priority="116" operator="containsText" text="ENVIADO">
      <formula>NOT(ISERROR(SEARCH("ENVIADO",T100)))</formula>
    </cfRule>
    <cfRule type="containsText" dxfId="400" priority="117" operator="containsText" text="EN PROCESO">
      <formula>NOT(ISERROR(SEARCH("EN PROCESO",T100)))</formula>
    </cfRule>
    <cfRule type="containsText" dxfId="399" priority="118" operator="containsText" text="ENVIADO">
      <formula>NOT(ISERROR(SEARCH("ENVIADO",T100)))</formula>
    </cfRule>
  </conditionalFormatting>
  <conditionalFormatting sqref="T104:T105 X277:X613 W385:W524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7" priority="21" operator="containsText" text="EN PROCESO">
      <formula>NOT(ISERROR(SEARCH("EN PROCESO",T104)))</formula>
    </cfRule>
    <cfRule type="containsText" dxfId="396" priority="22" operator="containsText" text="ENVIADO">
      <formula>NOT(ISERROR(SEARCH("ENVIADO",T104)))</formula>
    </cfRule>
  </conditionalFormatting>
  <conditionalFormatting sqref="T106 W109:W115 T112 W117:W291">
    <cfRule type="containsText" dxfId="395" priority="19" operator="containsText" text="EN PROCESO">
      <formula>NOT(ISERROR(SEARCH("EN PROCESO",T106)))</formula>
    </cfRule>
    <cfRule type="containsText" dxfId="394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9" priority="3" operator="containsText" text="EN PROCESO">
      <formula>NOT(ISERROR(SEARCH("EN PROCESO",T115)))</formula>
    </cfRule>
    <cfRule type="containsText" dxfId="388" priority="4" operator="containsText" text="ENVIADO">
      <formula>NOT(ISERROR(SEARCH("ENVIADO",T115)))</formula>
    </cfRule>
  </conditionalFormatting>
  <conditionalFormatting sqref="T187 T190:T191">
    <cfRule type="containsText" dxfId="387" priority="15" operator="containsText" text="EN PROCESO">
      <formula>NOT(ISERROR(SEARCH("EN PROCESO",T187)))</formula>
    </cfRule>
    <cfRule type="containsText" dxfId="384" priority="16" operator="containsText" text="ENVIADO">
      <formula>NOT(ISERROR(SEARCH("ENVIADO",T187)))</formula>
    </cfRule>
    <cfRule type="containsText" dxfId="385" priority="17" operator="containsText" text="EN PROCESO">
      <formula>NOT(ISERROR(SEARCH("EN PROCESO",T187)))</formula>
    </cfRule>
    <cfRule type="containsText" dxfId="386" priority="18" operator="containsText" text="ENVIADO">
      <formula>NOT(ISERROR(SEARCH("ENVIADO",T187)))</formula>
    </cfRule>
  </conditionalFormatting>
  <conditionalFormatting sqref="T198">
    <cfRule type="containsText" dxfId="383" priority="7" operator="containsText" text="EN PROCESO">
      <formula>NOT(ISERROR(SEARCH("EN PROCESO",T198)))</formula>
    </cfRule>
    <cfRule type="containsText" dxfId="382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0" priority="10" operator="containsText" text="ENVIADO">
      <formula>NOT(ISERROR(SEARCH("ENVIADO",T198)))</formula>
    </cfRule>
  </conditionalFormatting>
  <conditionalFormatting sqref="T201 T203:T217">
    <cfRule type="containsText" dxfId="379" priority="11" operator="containsText" text="EN PROCESO">
      <formula>NOT(ISERROR(SEARCH("EN PROCESO",T201)))</formula>
    </cfRule>
    <cfRule type="containsText" dxfId="376" priority="12" operator="containsText" text="ENVIADO">
      <formula>NOT(ISERROR(SEARCH("ENVIADO",T201)))</formula>
    </cfRule>
    <cfRule type="containsText" dxfId="377" priority="13" operator="containsText" text="EN PROCESO">
      <formula>NOT(ISERROR(SEARCH("EN PROCESO",T201)))</formula>
    </cfRule>
    <cfRule type="containsText" dxfId="378" priority="14" operator="containsText" text="ENVIADO">
      <formula>NOT(ISERROR(SEARCH("ENVIADO",T201)))</formula>
    </cfRule>
  </conditionalFormatting>
  <conditionalFormatting sqref="T277:T283">
    <cfRule type="containsText" dxfId="374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2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69" priority="107" operator="containsText" text="EN PROCESO">
      <formula>NOT(ISERROR(SEARCH("EN PROCESO",T292)))</formula>
    </cfRule>
    <cfRule type="containsText" dxfId="368" priority="108" operator="containsText" text="ENVIADO">
      <formula>NOT(ISERROR(SEARCH("ENVIADO",T292)))</formula>
    </cfRule>
    <cfRule type="containsText" dxfId="371" priority="109" operator="containsText" text="EN PROCESO">
      <formula>NOT(ISERROR(SEARCH("EN PROCESO",T292)))</formula>
    </cfRule>
    <cfRule type="containsText" dxfId="370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7" priority="374" operator="containsText" text="ENVIADO">
      <formula>NOT(ISERROR(SEARCH("ENVIADO",T294)))</formula>
    </cfRule>
    <cfRule type="containsText" dxfId="366" priority="375" operator="containsText" text="EN PROCESO">
      <formula>NOT(ISERROR(SEARCH("EN PROCESO",T294)))</formula>
    </cfRule>
    <cfRule type="containsText" dxfId="364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8" priority="99" operator="containsText" text="EN PROCESO">
      <formula>NOT(ISERROR(SEARCH("EN PROCESO",T297)))</formula>
    </cfRule>
    <cfRule type="containsText" dxfId="357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3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2" priority="97" operator="containsText" text="EN PROCESO">
      <formula>NOT(ISERROR(SEARCH("EN PROCESO",T303)))</formula>
    </cfRule>
    <cfRule type="containsText" dxfId="355" priority="98" operator="containsText" text="ENVIADO">
      <formula>NOT(ISERROR(SEARCH("ENVIADO",T303)))</formula>
    </cfRule>
  </conditionalFormatting>
  <conditionalFormatting sqref="T305">
    <cfRule type="containsText" dxfId="349" priority="91" operator="containsText" text="EN PROCESO">
      <formula>NOT(ISERROR(SEARCH("EN PROCESO",T305)))</formula>
    </cfRule>
    <cfRule type="containsText" dxfId="350" priority="92" operator="containsText" text="ENVIADO">
      <formula>NOT(ISERROR(SEARCH("ENVIADO",T305)))</formula>
    </cfRule>
    <cfRule type="containsText" dxfId="351" priority="93" operator="containsText" text="EN PROCESO">
      <formula>NOT(ISERROR(SEARCH("EN PROCESO",T305)))</formula>
    </cfRule>
    <cfRule type="containsText" dxfId="348" priority="94" operator="containsText" text="ENVIADO">
      <formula>NOT(ISERROR(SEARCH("ENVIADO",T305)))</formula>
    </cfRule>
  </conditionalFormatting>
  <conditionalFormatting sqref="T307">
    <cfRule type="containsText" dxfId="346" priority="87" operator="containsText" text="EN PROCESO">
      <formula>NOT(ISERROR(SEARCH("EN PROCESO",T307)))</formula>
    </cfRule>
    <cfRule type="containsText" dxfId="345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4" priority="90" operator="containsText" text="ENVIADO">
      <formula>NOT(ISERROR(SEARCH("ENVIADO",T307)))</formula>
    </cfRule>
  </conditionalFormatting>
  <conditionalFormatting sqref="T309:T314">
    <cfRule type="containsText" dxfId="341" priority="83" operator="containsText" text="EN PROCESO">
      <formula>NOT(ISERROR(SEARCH("EN PROCESO",T309)))</formula>
    </cfRule>
    <cfRule type="containsText" dxfId="343" priority="84" operator="containsText" text="ENVIADO">
      <formula>NOT(ISERROR(SEARCH("ENVIADO",T309)))</formula>
    </cfRule>
    <cfRule type="containsText" dxfId="340" priority="85" operator="containsText" text="EN PROCESO">
      <formula>NOT(ISERROR(SEARCH("EN PROCESO",T309)))</formula>
    </cfRule>
    <cfRule type="containsText" dxfId="342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4" priority="75" operator="containsText" text="EN PROCESO">
      <formula>NOT(ISERROR(SEARCH("EN PROCESO",T385)))</formula>
    </cfRule>
    <cfRule type="containsText" dxfId="333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2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7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6" priority="70" operator="containsText" text="ENVIADO">
      <formula>NOT(ISERROR(SEARCH("ENVIADO",T517)))</formula>
    </cfRule>
  </conditionalFormatting>
  <conditionalFormatting sqref="T533">
    <cfRule type="containsText" dxfId="322" priority="63" operator="containsText" text="EN PROCESO">
      <formula>NOT(ISERROR(SEARCH("EN PROCESO",T533)))</formula>
    </cfRule>
    <cfRule type="containsText" dxfId="321" priority="64" operator="containsText" text="ENVIADO">
      <formula>NOT(ISERROR(SEARCH("ENVIADO",T533)))</formula>
    </cfRule>
    <cfRule type="containsText" dxfId="320" priority="65" operator="containsText" text="EN PROCESO">
      <formula>NOT(ISERROR(SEARCH("EN PROCESO",T533)))</formula>
    </cfRule>
    <cfRule type="containsText" dxfId="323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2" priority="57" operator="containsText" text="EN PROCESO">
      <formula>NOT(ISERROR(SEARCH("EN PROCESO",T544)))</formula>
    </cfRule>
    <cfRule type="containsText" dxfId="313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1" priority="53" operator="containsText" text="EN PROCESO">
      <formula>NOT(ISERROR(SEARCH("EN PROCESO",T547)))</formula>
    </cfRule>
    <cfRule type="containsText" dxfId="310" priority="54" operator="containsText" text="ENVIADO">
      <formula>NOT(ISERROR(SEARCH("ENVIADO",T547)))</formula>
    </cfRule>
  </conditionalFormatting>
  <conditionalFormatting sqref="T566">
    <cfRule type="containsText" dxfId="307" priority="47" operator="containsText" text="EN PROCESO">
      <formula>NOT(ISERROR(SEARCH("EN PROCESO",T566)))</formula>
    </cfRule>
    <cfRule type="containsText" dxfId="304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5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1" priority="44" operator="containsText" text="ENVIADO">
      <formula>NOT(ISERROR(SEARCH("ENVIADO",T581)))</formula>
    </cfRule>
    <cfRule type="containsText" dxfId="302" priority="45" operator="containsText" text="EN PROCESO">
      <formula>NOT(ISERROR(SEARCH("EN PROCESO",T581)))</formula>
    </cfRule>
    <cfRule type="containsText" dxfId="303" priority="46" operator="containsText" text="ENVIADO">
      <formula>NOT(ISERROR(SEARCH("ENVIADO",T581)))</formula>
    </cfRule>
  </conditionalFormatting>
  <conditionalFormatting sqref="T590:T591">
    <cfRule type="containsText" dxfId="299" priority="39" operator="containsText" text="EN PROCESO">
      <formula>NOT(ISERROR(SEARCH("EN PROCESO",T590)))</formula>
    </cfRule>
    <cfRule type="containsText" dxfId="296" priority="40" operator="containsText" text="ENVIADO">
      <formula>NOT(ISERROR(SEARCH("ENVIADO",T590)))</formula>
    </cfRule>
    <cfRule type="containsText" dxfId="297" priority="41" operator="containsText" text="EN PROCESO">
      <formula>NOT(ISERROR(SEARCH("EN PROCESO",T590)))</formula>
    </cfRule>
    <cfRule type="containsText" dxfId="298" priority="42" operator="containsText" text="ENVIADO">
      <formula>NOT(ISERROR(SEARCH("ENVIADO",T590)))</formula>
    </cfRule>
  </conditionalFormatting>
  <conditionalFormatting sqref="T604">
    <cfRule type="containsText" dxfId="292" priority="35" operator="containsText" text="EN PROCESO">
      <formula>NOT(ISERROR(SEARCH("EN PROCESO",T604)))</formula>
    </cfRule>
    <cfRule type="containsText" dxfId="293" priority="36" operator="containsText" text="ENVIADO">
      <formula>NOT(ISERROR(SEARCH("ENVIADO",T604)))</formula>
    </cfRule>
    <cfRule type="containsText" dxfId="295" priority="37" operator="containsText" text="EN PROCESO">
      <formula>NOT(ISERROR(SEARCH("EN PROCESO",T604)))</formula>
    </cfRule>
    <cfRule type="containsText" dxfId="294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2" operator="containsText" text="EN PROCESO">
      <formula>NOT(ISERROR(SEARCH("EN PROCESO",T611)))</formula>
    </cfRule>
  </conditionalFormatting>
  <conditionalFormatting sqref="T610:U610">
    <cfRule type="containsText" dxfId="285" priority="29" operator="containsText" text="EN REVISIÓN CENTRAL">
      <formula>NOT(ISERROR(SEARCH("EN REVISIÓN CENTRAL",T610)))</formula>
    </cfRule>
    <cfRule type="containsText" dxfId="286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19" operator="containsText" text="CONCLUIDO">
      <formula>NOT(ISERROR(SEARCH("CONCLUIDO",R2)))</formula>
    </cfRule>
  </conditionalFormatting>
  <conditionalFormatting sqref="U2:U609 V2:V613 U611:U613">
    <cfRule type="containsText" dxfId="283" priority="421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0" operator="containsText" text="EN REVISIÓN CENTRAL">
      <formula>NOT(ISERROR(SEARCH("EN REVISIÓN CENTRAL",U2)))</formula>
    </cfRule>
  </conditionalFormatting>
  <conditionalFormatting sqref="W7">
    <cfRule type="containsText" dxfId="279" priority="5" operator="containsText" text="EN REVISIÓN CENTRAL">
      <formula>NOT(ISERROR(SEARCH("EN REVISIÓN CENTRAL",W7)))</formula>
    </cfRule>
    <cfRule type="containsText" dxfId="278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6" priority="251" operator="containsText" text="EN PROCESO">
      <formula>NOT(ISERROR(SEARCH("EN PROCESO",W108)))</formula>
    </cfRule>
    <cfRule type="containsText" dxfId="267" priority="252" operator="containsText" text="ENVIADO">
      <formula>NOT(ISERROR(SEARCH("ENVIADO",W108)))</formula>
    </cfRule>
  </conditionalFormatting>
  <conditionalFormatting sqref="W117:W291">
    <cfRule type="containsText" dxfId="265" priority="317" operator="containsText" text="EN PROCESO">
      <formula>NOT(ISERROR(SEARCH("EN PROCESO",W117)))</formula>
    </cfRule>
    <cfRule type="containsText" dxfId="264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1" priority="347" operator="containsText" text="EN PROCESO">
      <formula>NOT(ISERROR(SEARCH("EN PROCESO",W277)))</formula>
    </cfRule>
    <cfRule type="containsText" dxfId="260" priority="348" operator="containsText" text="ENVIADO">
      <formula>NOT(ISERROR(SEARCH("ENVIADO",W277)))</formula>
    </cfRule>
  </conditionalFormatting>
  <conditionalFormatting sqref="W293:W294">
    <cfRule type="containsText" dxfId="259" priority="247" operator="containsText" text="EN PROCESO">
      <formula>NOT(ISERROR(SEARCH("EN PROCESO",W293)))</formula>
    </cfRule>
    <cfRule type="containsText" dxfId="258" priority="248" operator="containsText" text="ENVIADO">
      <formula>NOT(ISERROR(SEARCH("ENVIADO",W293)))</formula>
    </cfRule>
  </conditionalFormatting>
  <conditionalFormatting sqref="W293:W295">
    <cfRule type="containsText" dxfId="256" priority="249" operator="containsText" text="EN PROCESO">
      <formula>NOT(ISERROR(SEARCH("EN PROCESO",W293)))</formula>
    </cfRule>
    <cfRule type="containsText" dxfId="257" priority="250" operator="containsText" text="ENVIADO">
      <formula>NOT(ISERROR(SEARCH("ENVIADO",W293)))</formula>
    </cfRule>
  </conditionalFormatting>
  <conditionalFormatting sqref="W294">
    <cfRule type="containsText" dxfId="255" priority="377" operator="containsText" text="EN PROCESO">
      <formula>NOT(ISERROR(SEARCH("EN PROCESO",W294)))</formula>
    </cfRule>
    <cfRule type="containsText" dxfId="254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47" priority="239" operator="containsText" text="EN PROCESO">
      <formula>NOT(ISERROR(SEARCH("EN PROCESO",W296)))</formula>
    </cfRule>
    <cfRule type="containsText" dxfId="248" priority="240" operator="containsText" text="ENVIADO">
      <formula>NOT(ISERROR(SEARCH("ENVIADO",W296)))</formula>
    </cfRule>
    <cfRule type="containsText" dxfId="249" priority="241" operator="containsText" text="EN PROCESO">
      <formula>NOT(ISERROR(SEARCH("EN PROCESO",W296)))</formula>
    </cfRule>
    <cfRule type="containsText" dxfId="250" priority="242" operator="containsText" text="ENVIADO">
      <formula>NOT(ISERROR(SEARCH("ENVIADO",W296)))</formula>
    </cfRule>
    <cfRule type="containsText" dxfId="244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6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0" priority="316" operator="containsText" text="ENVIADO">
      <formula>NOT(ISERROR(SEARCH("ENVIADO",W297)))</formula>
    </cfRule>
    <cfRule type="containsText" dxfId="242" priority="341" operator="containsText" text="EN PROCESO">
      <formula>NOT(ISERROR(SEARCH("EN PROCESO",W297)))</formula>
    </cfRule>
    <cfRule type="containsText" dxfId="243" priority="342" operator="containsText" text="ENVIADO">
      <formula>NOT(ISERROR(SEARCH("ENVIADO",W297)))</formula>
    </cfRule>
  </conditionalFormatting>
  <conditionalFormatting sqref="W301">
    <cfRule type="containsText" dxfId="238" priority="313" operator="containsText" text="EN PROCESO">
      <formula>NOT(ISERROR(SEARCH("EN PROCESO",W301)))</formula>
    </cfRule>
    <cfRule type="containsText" dxfId="239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4" priority="232" operator="containsText" text="ENVIADO">
      <formula>NOT(ISERROR(SEARCH("ENVIADO",W310)))</formula>
    </cfRule>
    <cfRule type="containsText" dxfId="232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0" priority="237" operator="containsText" text="EN PROCESO">
      <formula>NOT(ISERROR(SEARCH("EN PROCESO",W310)))</formula>
    </cfRule>
    <cfRule type="containsText" dxfId="231" priority="238" operator="containsText" text="ENVIADO">
      <formula>NOT(ISERROR(SEARCH("ENVIADO",W310)))</formula>
    </cfRule>
  </conditionalFormatting>
  <conditionalFormatting sqref="W312:W313">
    <cfRule type="containsText" dxfId="228" priority="339" operator="containsText" text="EN PROCESO">
      <formula>NOT(ISERROR(SEARCH("EN PROCESO",W312)))</formula>
    </cfRule>
    <cfRule type="containsText" dxfId="229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6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3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0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0" priority="217" operator="containsText" text="EN PROCESO">
      <formula>NOT(ISERROR(SEARCH("EN PROCESO",W385)))</formula>
    </cfRule>
    <cfRule type="containsText" dxfId="211" priority="218" operator="containsText" text="ENVIADO">
      <formula>NOT(ISERROR(SEARCH("ENVIADO",W385)))</formula>
    </cfRule>
    <cfRule type="containsText" dxfId="209" priority="219" operator="containsText" text="EN PROCESO">
      <formula>NOT(ISERROR(SEARCH("EN PROCESO",W385)))</formula>
    </cfRule>
    <cfRule type="containsText" dxfId="208" priority="220" operator="containsText" text="ENVIADO">
      <formula>NOT(ISERROR(SEARCH("ENVIADO",W385)))</formula>
    </cfRule>
  </conditionalFormatting>
  <conditionalFormatting sqref="W446:W450">
    <cfRule type="containsText" dxfId="204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5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196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8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201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3" priority="335" operator="containsText" text="EN PROCESO">
      <formula>NOT(ISERROR(SEARCH("EN PROCESO",W455)))</formula>
    </cfRule>
    <cfRule type="containsText" dxfId="192" priority="336" operator="containsText" text="ENVIADO">
      <formula>NOT(ISERROR(SEARCH("ENVIADO",W455)))</formula>
    </cfRule>
  </conditionalFormatting>
  <conditionalFormatting sqref="W456:W483">
    <cfRule type="containsText" dxfId="190" priority="201" operator="containsText" text="EN PROCESO">
      <formula>NOT(ISERROR(SEARCH("EN PROCESO",W456)))</formula>
    </cfRule>
    <cfRule type="containsText" dxfId="191" priority="202" operator="containsText" text="ENVIADO">
      <formula>NOT(ISERROR(SEARCH("ENVIADO",W456)))</formula>
    </cfRule>
  </conditionalFormatting>
  <conditionalFormatting sqref="W469">
    <cfRule type="containsText" dxfId="185" priority="195" operator="containsText" text="EN PROCESO">
      <formula>NOT(ISERROR(SEARCH("EN PROCESO",W469)))</formula>
    </cfRule>
    <cfRule type="containsText" dxfId="184" priority="196" operator="containsText" text="ENVIADO">
      <formula>NOT(ISERROR(SEARCH("ENVIADO",W469)))</formula>
    </cfRule>
    <cfRule type="containsText" dxfId="189" priority="197" operator="containsText" text="EN PROCESO">
      <formula>NOT(ISERROR(SEARCH("EN PROCESO",W469)))</formula>
    </cfRule>
    <cfRule type="containsText" dxfId="188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6" priority="200" operator="containsText" text="ENVIADO">
      <formula>NOT(ISERROR(SEARCH("ENVIADO",W469)))</formula>
    </cfRule>
  </conditionalFormatting>
  <conditionalFormatting sqref="W470:W483">
    <cfRule type="containsText" dxfId="183" priority="309" operator="containsText" text="EN PROCESO">
      <formula>NOT(ISERROR(SEARCH("EN PROCESO",W470)))</formula>
    </cfRule>
    <cfRule type="containsText" dxfId="182" priority="310" operator="containsText" text="ENVIADO">
      <formula>NOT(ISERROR(SEARCH("ENVIADO",W470)))</formula>
    </cfRule>
  </conditionalFormatting>
  <conditionalFormatting sqref="W484">
    <cfRule type="containsText" dxfId="177" priority="187" operator="containsText" text="EN PROCESO">
      <formula>NOT(ISERROR(SEARCH("EN PROCESO",W484)))</formula>
    </cfRule>
    <cfRule type="containsText" dxfId="176" priority="188" operator="containsText" text="ENVIADO">
      <formula>NOT(ISERROR(SEARCH("ENVIADO",W484)))</formula>
    </cfRule>
    <cfRule type="containsText" dxfId="180" priority="189" operator="containsText" text="EN PROCESO">
      <formula>NOT(ISERROR(SEARCH("EN PROCESO",W484)))</formula>
    </cfRule>
    <cfRule type="containsText" dxfId="179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81" priority="192" operator="containsText" text="ENVIADO">
      <formula>NOT(ISERROR(SEARCH("ENVIADO",W484)))</formula>
    </cfRule>
  </conditionalFormatting>
  <conditionalFormatting sqref="W484:W524">
    <cfRule type="containsText" dxfId="174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24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1" priority="180" operator="containsText" text="ENVIADO">
      <formula>NOT(ISERROR(SEARCH("ENVIADO",W519)))</formula>
    </cfRule>
    <cfRule type="containsText" dxfId="170" priority="181" operator="containsText" text="EN PROCESO">
      <formula>NOT(ISERROR(SEARCH("EN PROCESO",W519)))</formula>
    </cfRule>
    <cfRule type="containsText" dxfId="166" priority="182" operator="containsText" text="ENVIADO">
      <formula>NOT(ISERROR(SEARCH("ENVIADO",W519)))</formula>
    </cfRule>
    <cfRule type="containsText" dxfId="168" priority="183" operator="containsText" text="EN PROCESO">
      <formula>NOT(ISERROR(SEARCH("EN PROCESO",W519)))</formula>
    </cfRule>
    <cfRule type="containsText" dxfId="167" priority="184" operator="containsText" text="ENVIADO">
      <formula>NOT(ISERROR(SEARCH("ENVIADO",W519)))</formula>
    </cfRule>
  </conditionalFormatting>
  <conditionalFormatting sqref="W519:W520">
    <cfRule type="containsText" dxfId="165" priority="185" operator="containsText" text="EN PROCESO">
      <formula>NOT(ISERROR(SEARCH("EN PROCESO",W519)))</formula>
    </cfRule>
    <cfRule type="containsText" dxfId="164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1" priority="333" operator="containsText" text="EN PROCESO">
      <formula>NOT(ISERROR(SEARCH("EN PROCESO",W521)))</formula>
    </cfRule>
    <cfRule type="containsText" dxfId="160" priority="334" operator="containsText" text="ENVIADO">
      <formula>NOT(ISERROR(SEARCH("ENVIADO",W521)))</formula>
    </cfRule>
  </conditionalFormatting>
  <conditionalFormatting sqref="W522">
    <cfRule type="containsText" dxfId="158" priority="405" operator="containsText" text="EN PROCESO">
      <formula>NOT(ISERROR(SEARCH("EN PROCESO",W522)))</formula>
    </cfRule>
    <cfRule type="containsText" dxfId="159" priority="406" operator="containsText" text="ENVIADO">
      <formula>NOT(ISERROR(SEARCH("ENVIADO",W522)))</formula>
    </cfRule>
  </conditionalFormatting>
  <conditionalFormatting sqref="W522:W531">
    <cfRule type="containsText" dxfId="156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07" operator="containsText" text="EN PROCESO">
      <formula>NOT(ISERROR(SEARCH("EN PROCESO",W522)))</formula>
    </cfRule>
    <cfRule type="containsText" dxfId="154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0" priority="169" operator="containsText" text="EN PROCESO">
      <formula>NOT(ISERROR(SEARCH("EN PROCESO",W541)))</formula>
    </cfRule>
    <cfRule type="containsText" dxfId="141" priority="170" operator="containsText" text="ENVIADO">
      <formula>NOT(ISERROR(SEARCH("ENVIADO",W541)))</formula>
    </cfRule>
    <cfRule type="containsText" dxfId="144" priority="171" operator="containsText" text="EN PROCESO">
      <formula>NOT(ISERROR(SEARCH("EN PROCESO",W541)))</formula>
    </cfRule>
    <cfRule type="containsText" dxfId="145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3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5" priority="159" operator="containsText" text="EN PROCESO">
      <formula>NOT(ISERROR(SEARCH("EN PROCESO",W544)))</formula>
    </cfRule>
    <cfRule type="containsText" dxfId="134" priority="160" operator="containsText" text="ENVIADO">
      <formula>NOT(ISERROR(SEARCH("ENVIADO",W544)))</formula>
    </cfRule>
    <cfRule type="containsText" dxfId="133" priority="161" operator="containsText" text="EN PROCESO">
      <formula>NOT(ISERROR(SEARCH("EN PROCESO",W544)))</formula>
    </cfRule>
    <cfRule type="containsText" dxfId="136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31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29" priority="166" operator="containsText" text="ENVIADO">
      <formula>NOT(ISERROR(SEARCH("ENVIADO",W544)))</formula>
    </cfRule>
    <cfRule type="containsText" dxfId="128" priority="167" operator="containsText" text="EN PROCESO">
      <formula>NOT(ISERROR(SEARCH("EN PROCESO",W544)))</formula>
    </cfRule>
    <cfRule type="containsText" dxfId="137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4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3" priority="295" operator="containsText" text="EN PROCESO">
      <formula>NOT(ISERROR(SEARCH("EN PROCESO",W546)))</formula>
    </cfRule>
    <cfRule type="containsText" dxfId="122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4" priority="289" operator="containsText" text="EN PROCESO">
      <formula>NOT(ISERROR(SEARCH("EN PROCESO",W548)))</formula>
    </cfRule>
    <cfRule type="containsText" dxfId="115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6" priority="292" operator="containsText" text="ENVIADO">
      <formula>NOT(ISERROR(SEARCH("ENVIADO",W548)))</formula>
    </cfRule>
    <cfRule type="containsText" dxfId="117" priority="293" operator="containsText" text="EN PROCESO">
      <formula>NOT(ISERROR(SEARCH("EN PROCESO",W548)))</formula>
    </cfRule>
    <cfRule type="containsText" dxfId="119" priority="294" operator="containsText" text="ENVIADO">
      <formula>NOT(ISERROR(SEARCH("ENVIADO",W548)))</formula>
    </cfRule>
  </conditionalFormatting>
  <conditionalFormatting sqref="W548:W563">
    <cfRule type="containsText" dxfId="110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2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2" priority="277" operator="containsText" text="EN PROCESO">
      <formula>NOT(ISERROR(SEARCH("EN PROCESO",W565)))</formula>
    </cfRule>
    <cfRule type="containsText" dxfId="105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0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9" priority="323" operator="containsText" text="EN PROCESO">
      <formula>NOT(ISERROR(SEARCH("EN PROCESO",W566)))</formula>
    </cfRule>
    <cfRule type="containsText" dxfId="98" priority="324" operator="containsText" text="ENVIADO">
      <formula>NOT(ISERROR(SEARCH("ENVIADO",W566)))</formula>
    </cfRule>
    <cfRule type="containsText" dxfId="97" priority="379" operator="containsText" text="EN PROCESO">
      <formula>NOT(ISERROR(SEARCH("EN PROCESO",W566)))</formula>
    </cfRule>
    <cfRule type="containsText" dxfId="96" priority="380" operator="containsText" text="ENVIADO">
      <formula>NOT(ISERROR(SEARCH("ENVIADO",W566)))</formula>
    </cfRule>
    <cfRule type="containsText" dxfId="95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0" priority="149" operator="containsText" text="EN PROCESO">
      <formula>NOT(ISERROR(SEARCH("EN PROCESO",W590)))</formula>
    </cfRule>
    <cfRule type="containsText" dxfId="81" priority="150" operator="containsText" text="ENVIADO">
      <formula>NOT(ISERROR(SEARCH("ENVIADO",W590)))</formula>
    </cfRule>
    <cfRule type="containsText" dxfId="82" priority="151" operator="containsText" text="EN PROCESO">
      <formula>NOT(ISERROR(SEARCH("EN PROCESO",W590)))</formula>
    </cfRule>
    <cfRule type="containsText" dxfId="83" priority="152" operator="containsText" text="ENVIADO">
      <formula>NOT(ISERROR(SEARCH("ENVIADO",W590)))</formula>
    </cfRule>
    <cfRule type="containsText" dxfId="87" priority="153" operator="containsText" text="EN PROCESO">
      <formula>NOT(ISERROR(SEARCH("EN PROCESO",W590)))</formula>
    </cfRule>
    <cfRule type="containsText" dxfId="84" priority="154" operator="containsText" text="ENVIADO">
      <formula>NOT(ISERROR(SEARCH("ENVIADO",W590)))</formula>
    </cfRule>
    <cfRule type="containsText" dxfId="85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7" priority="269" operator="containsText" text="EN PROCESO">
      <formula>NOT(ISERROR(SEARCH("EN PROCESO",W592)))</formula>
    </cfRule>
    <cfRule type="containsText" dxfId="76" priority="270" operator="containsText" text="ENVIADO">
      <formula>NOT(ISERROR(SEARCH("ENVIADO",W592)))</formula>
    </cfRule>
  </conditionalFormatting>
  <conditionalFormatting sqref="W597:W603">
    <cfRule type="containsText" dxfId="75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3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5" priority="139" operator="containsText" text="EN PROCESO">
      <formula>NOT(ISERROR(SEARCH("EN PROCESO",W604)))</formula>
    </cfRule>
    <cfRule type="containsText" dxfId="64" priority="140" operator="containsText" text="ENVIADO">
      <formula>NOT(ISERROR(SEARCH("ENVIADO",W604)))</formula>
    </cfRule>
    <cfRule type="containsText" dxfId="63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6" priority="143" operator="containsText" text="EN PROCESO">
      <formula>NOT(ISERROR(SEARCH("EN PROCESO",W604)))</formula>
    </cfRule>
    <cfRule type="containsText" dxfId="69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7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6" priority="321" operator="containsText" text="EN PROCESO">
      <formula>NOT(ISERROR(SEARCH("EN PROCESO",W607)))</formula>
    </cfRule>
    <cfRule type="containsText" dxfId="57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2" priority="257" operator="containsText" text="EN PROCESO">
      <formula>NOT(ISERROR(SEARCH("EN PROCESO",W608)))</formula>
    </cfRule>
    <cfRule type="containsText" dxfId="53" priority="258" operator="containsText" text="ENVIADO">
      <formula>NOT(ISERROR(SEARCH("ENVIADO",W608)))</formula>
    </cfRule>
    <cfRule type="containsText" dxfId="54" priority="259" operator="containsText" text="EN PROCESO">
      <formula>NOT(ISERROR(SEARCH("EN PROCESO",W608)))</formula>
    </cfRule>
    <cfRule type="containsText" dxfId="55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3" priority="359" operator="containsText" text="EN PROCESO">
      <formula>NOT(ISERROR(SEARCH("EN PROCESO",W396)))</formula>
    </cfRule>
    <cfRule type="containsText" dxfId="42" priority="360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3" priority="353" operator="containsText" text="EN PROCESO">
      <formula>NOT(ISERROR(SEARCH("EN PROCESO",W586)))</formula>
    </cfRule>
    <cfRule type="containsText" dxfId="32" priority="354" operator="containsText" text="ENVIADO">
      <formula>NOT(ISERROR(SEARCH("ENVIADO",W586)))</formula>
    </cfRule>
  </conditionalFormatting>
  <conditionalFormatting sqref="X41:X43">
    <cfRule type="containsText" dxfId="29" priority="383" operator="containsText" text="EN PROCESO">
      <formula>NOT(ISERROR(SEARCH("EN PROCESO",X41)))</formula>
    </cfRule>
    <cfRule type="containsText" dxfId="28" priority="384" operator="containsText" text="ENVIADO">
      <formula>NOT(ISERROR(SEARCH("ENVIADO",X41)))</formula>
    </cfRule>
    <cfRule type="containsText" dxfId="27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5" priority="387" operator="containsText" text="EN PROCESO">
      <formula>NOT(ISERROR(SEARCH("EN PROCESO",X41)))</formula>
    </cfRule>
    <cfRule type="containsText" dxfId="24" priority="388" operator="containsText" text="ENVIADO">
      <formula>NOT(ISERROR(SEARCH("ENVIADO",X41)))</formula>
    </cfRule>
    <cfRule type="containsText" dxfId="31" priority="389" operator="containsText" text="EN PROCESO">
      <formula>NOT(ISERROR(SEARCH("EN PROCESO",X41)))</formula>
    </cfRule>
    <cfRule type="containsText" dxfId="30" priority="390" operator="containsText" text="ENVIADO">
      <formula>NOT(ISERROR(SEARCH("ENVIADO",X41)))</formula>
    </cfRule>
  </conditionalFormatting>
  <conditionalFormatting sqref="X46 X63">
    <cfRule type="containsText" dxfId="23" priority="369" operator="containsText" text="EN PROCESO">
      <formula>NOT(ISERROR(SEARCH("EN PROCESO",X46)))</formula>
    </cfRule>
    <cfRule type="containsText" dxfId="20" priority="370" operator="containsText" text="ENVIADO">
      <formula>NOT(ISERROR(SEARCH("ENVIADO",X46)))</formula>
    </cfRule>
    <cfRule type="containsText" dxfId="21" priority="371" operator="containsText" text="EN PROCESO">
      <formula>NOT(ISERROR(SEARCH("EN PROCESO",X46)))</formula>
    </cfRule>
    <cfRule type="containsText" dxfId="22" priority="372" operator="containsText" text="ENVIADO">
      <formula>NOT(ISERROR(SEARCH("ENVIADO",X46)))</formula>
    </cfRule>
  </conditionalFormatting>
  <conditionalFormatting sqref="X146">
    <cfRule type="containsText" dxfId="19" priority="363" operator="containsText" text="EN PROCESO">
      <formula>NOT(ISERROR(SEARCH("EN PROCESO",X146)))</formula>
    </cfRule>
    <cfRule type="containsText" dxfId="18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2" priority="395" operator="containsText" text="EN PROCESO">
      <formula>NOT(ISERROR(SEARCH("EN PROCESO",X266)))</formula>
    </cfRule>
    <cfRule type="containsText" dxfId="13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4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dataValidations count="11">
    <dataValidation type="list" allowBlank="1" showInputMessage="1" showErrorMessage="1" sqref="T610 V286:V287" xr:uid="{86084947-3A0B-4CC7-A217-823716B0EFDA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453 T567:T580 T113:T114 T386:T445 T64:T92 T156:T291" xr:uid="{026D5544-47B2-43C0-8C3D-DE6A0FEE15D9}">
      <formula1>"EN PROCESO,CONCLUIDO"</formula1>
    </dataValidation>
    <dataValidation type="list" allowBlank="1" showInputMessage="1" showErrorMessage="1" sqref="Q610 S2:S613" xr:uid="{C8AE155B-1EC6-451A-9CA0-7F325B628023}">
      <formula1>"ENVIADO A LA CE/UM,ENTREGADO/REVISIÓN,ENVIADO A TICS"</formula1>
    </dataValidation>
    <dataValidation type="list" allowBlank="1" showInputMessage="1" showErrorMessage="1" sqref="Y2:Y613" xr:uid="{1EB18F6B-F8E3-494C-AAD1-B9EDC0C68DD8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AB76531B-2171-4C89-9165-5D7763D90F92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U344:V398 U302:U318 V115:V155 U446:U455 U484 U611 U520:U521 U532 U541 U544:U545 U2:U49 U564 U566 U581 U590:U591 U596 U604 U607 U609 U518:V519 V520 U412:V432 U109:U155" xr:uid="{591CF43D-FF6B-44CD-A531-DD09A2DC6297}">
      <formula1>"ENVIADO A LA CE/UM,EN REVISIÓN CENTRAL,CONCLUIDO, NO APLICA"</formula1>
    </dataValidation>
    <dataValidation type="list" allowBlank="1" showInputMessage="1" showErrorMessage="1" sqref="AA2:AA613" xr:uid="{9C884B8E-D1A9-4FBD-A376-374376AFA099}">
      <formula1>"SI,NO,NO APLICA"</formula1>
    </dataValidation>
    <dataValidation type="list" allowBlank="1" showInputMessage="1" showErrorMessage="1" sqref="W49:W115 W117:W222 W224:W613" xr:uid="{D8D18CEB-675A-4470-B317-2F2A06D3C262}">
      <formula1>"EN PROCESO,CONCLUIDO,NO APLICA"</formula1>
    </dataValidation>
    <dataValidation type="list" allowBlank="1" showInputMessage="1" showErrorMessage="1" sqref="W2:W6 W8:W48" xr:uid="{ED315D09-B5AF-433F-AABE-9D7EAB628FAD}">
      <formula1>" EN PROCESO,CONCLUIDO,NO APLICA"</formula1>
    </dataValidation>
    <dataValidation type="list" allowBlank="1" showInputMessage="1" showErrorMessage="1" sqref="T608 T98 T100:T102 T104:T106 T109:T112 T292 T295 T297 T303 T305 T307 T309:T314 T329:T337 T385 W223 T517:T521 T541 T544:T545 T547 T566 T581 T590:T591 T604 T2:T63 T596 T454:T455 T115:T155 T93:T95 T446:T452 X2:X613" xr:uid="{04C24DF2-AB7A-41A1-B612-927A06CC87F7}">
      <formula1>"EN PROCESO,CONCLUIDO, NO APLICA"</formula1>
    </dataValidation>
    <dataValidation type="list" allowBlank="1" showInputMessage="1" showErrorMessage="1" sqref="Z2:Z613" xr:uid="{0AF3ECC1-5D85-41E3-93CB-A638AFD114BC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29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0">
        <v>95</v>
      </c>
      <c r="E2" s="108">
        <v>58</v>
      </c>
      <c r="F2" s="131">
        <v>0</v>
      </c>
      <c r="G2" s="108">
        <v>49</v>
      </c>
      <c r="H2" s="130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0">
        <v>722</v>
      </c>
      <c r="E3" s="108">
        <v>97</v>
      </c>
      <c r="F3" s="131">
        <v>0</v>
      </c>
      <c r="G3" s="109">
        <v>245</v>
      </c>
      <c r="H3" s="130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0">
        <v>0</v>
      </c>
      <c r="E4" s="109">
        <v>104</v>
      </c>
      <c r="F4" s="130">
        <v>104</v>
      </c>
      <c r="G4" s="109">
        <v>106</v>
      </c>
      <c r="H4" s="130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1">
        <v>0</v>
      </c>
      <c r="E5" s="108">
        <v>21</v>
      </c>
      <c r="F5" s="131">
        <v>15</v>
      </c>
      <c r="G5" s="109">
        <v>60</v>
      </c>
      <c r="H5" s="130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0">
        <v>700</v>
      </c>
      <c r="E6" s="111">
        <v>216</v>
      </c>
      <c r="F6" s="130">
        <v>216</v>
      </c>
      <c r="G6" s="109">
        <v>221</v>
      </c>
      <c r="H6" s="130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0">
        <v>349</v>
      </c>
      <c r="E7" s="111">
        <v>188</v>
      </c>
      <c r="F7" s="130">
        <v>188</v>
      </c>
      <c r="G7" s="109">
        <v>170</v>
      </c>
      <c r="H7" s="130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0">
        <v>200</v>
      </c>
      <c r="E8" s="108">
        <v>67</v>
      </c>
      <c r="F8" s="131">
        <v>0</v>
      </c>
      <c r="G8" s="108">
        <v>0</v>
      </c>
      <c r="H8" s="131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0">
        <v>347</v>
      </c>
      <c r="E9" s="108">
        <v>35</v>
      </c>
      <c r="F9" s="131">
        <v>0</v>
      </c>
      <c r="G9" s="108">
        <v>0</v>
      </c>
      <c r="H9" s="131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0">
        <v>175</v>
      </c>
      <c r="E10" s="108">
        <v>51</v>
      </c>
      <c r="F10" s="130">
        <v>51</v>
      </c>
      <c r="G10" s="109">
        <v>18</v>
      </c>
      <c r="H10" s="130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0">
        <v>486</v>
      </c>
      <c r="E11" s="108">
        <v>77</v>
      </c>
      <c r="F11" s="131">
        <v>0</v>
      </c>
      <c r="G11" s="108">
        <v>0</v>
      </c>
      <c r="H11" s="131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0">
        <v>332</v>
      </c>
      <c r="E12" s="108">
        <v>25</v>
      </c>
      <c r="F12" s="131">
        <v>17</v>
      </c>
      <c r="G12" s="109">
        <v>20</v>
      </c>
      <c r="H12" s="130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1">
        <v>0</v>
      </c>
      <c r="E13" s="108">
        <v>63</v>
      </c>
      <c r="F13" s="131">
        <v>0</v>
      </c>
      <c r="G13" s="109">
        <v>113</v>
      </c>
      <c r="H13" s="130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1">
        <v>0</v>
      </c>
      <c r="E14" s="108">
        <v>31</v>
      </c>
      <c r="F14" s="131">
        <v>0</v>
      </c>
      <c r="G14" s="109">
        <v>100</v>
      </c>
      <c r="H14" s="130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1">
        <v>0</v>
      </c>
      <c r="E15" s="108">
        <v>61</v>
      </c>
      <c r="F15" s="131">
        <v>0</v>
      </c>
      <c r="G15" s="109">
        <v>36</v>
      </c>
      <c r="H15" s="130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1">
        <v>0</v>
      </c>
      <c r="E16" s="108">
        <v>26</v>
      </c>
      <c r="F16" s="131">
        <v>0</v>
      </c>
      <c r="G16" s="108">
        <v>197</v>
      </c>
      <c r="H16" s="130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0">
        <v>185</v>
      </c>
      <c r="E17" s="108">
        <v>135</v>
      </c>
      <c r="F17" s="131">
        <v>99</v>
      </c>
      <c r="G17" s="109">
        <v>244</v>
      </c>
      <c r="H17" s="130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1">
        <v>0</v>
      </c>
      <c r="E18" s="108">
        <v>162</v>
      </c>
      <c r="F18" s="131">
        <v>3</v>
      </c>
      <c r="G18" s="108">
        <v>0</v>
      </c>
      <c r="H18" s="131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1">
        <v>0</v>
      </c>
      <c r="E19" s="108">
        <v>154</v>
      </c>
      <c r="F19" s="131">
        <v>0</v>
      </c>
      <c r="G19" s="108">
        <v>0</v>
      </c>
      <c r="H19" s="131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1">
        <v>0</v>
      </c>
      <c r="E20" s="108">
        <v>125</v>
      </c>
      <c r="F20" s="131">
        <v>15</v>
      </c>
      <c r="G20" s="108">
        <v>48</v>
      </c>
      <c r="H20" s="130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1">
        <v>0</v>
      </c>
      <c r="E21" s="108">
        <v>223</v>
      </c>
      <c r="F21" s="131">
        <v>0</v>
      </c>
      <c r="G21" s="108">
        <v>34</v>
      </c>
      <c r="H21" s="130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1">
        <v>0</v>
      </c>
      <c r="E22" s="108">
        <v>175</v>
      </c>
      <c r="F22" s="131">
        <v>0</v>
      </c>
      <c r="G22" s="108">
        <v>86</v>
      </c>
      <c r="H22" s="130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1">
        <v>0</v>
      </c>
      <c r="E23" s="108">
        <v>317</v>
      </c>
      <c r="F23" s="131">
        <v>301</v>
      </c>
      <c r="G23" s="108">
        <v>521</v>
      </c>
      <c r="H23" s="130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1">
        <v>0</v>
      </c>
      <c r="E24" s="108">
        <v>355</v>
      </c>
      <c r="F24" s="131">
        <v>0</v>
      </c>
      <c r="G24" s="108">
        <v>324</v>
      </c>
      <c r="H24" s="130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2">
        <v>0</v>
      </c>
      <c r="E25" s="111">
        <v>82</v>
      </c>
      <c r="F25" s="135">
        <v>71</v>
      </c>
      <c r="G25" s="111">
        <v>70</v>
      </c>
      <c r="H25" s="134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2">
        <v>0</v>
      </c>
      <c r="E26" s="111">
        <v>269</v>
      </c>
      <c r="F26" s="135">
        <v>119</v>
      </c>
      <c r="G26" s="111">
        <v>441</v>
      </c>
      <c r="H26" s="132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1">
        <v>0</v>
      </c>
      <c r="E27" s="108">
        <v>6</v>
      </c>
      <c r="F27" s="131">
        <v>0</v>
      </c>
      <c r="G27" s="108">
        <v>0</v>
      </c>
      <c r="H27" s="131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0">
        <v>114</v>
      </c>
      <c r="E28" s="111">
        <v>0</v>
      </c>
      <c r="F28" s="135"/>
      <c r="G28" s="109">
        <v>52</v>
      </c>
      <c r="H28" s="130">
        <v>52</v>
      </c>
    </row>
    <row r="29" spans="1:8" ht="15" x14ac:dyDescent="0.35">
      <c r="B29" s="106" t="s">
        <v>26</v>
      </c>
      <c r="C29" s="109">
        <v>1000</v>
      </c>
      <c r="D29" s="133">
        <v>1000</v>
      </c>
      <c r="E29" s="108">
        <v>39</v>
      </c>
      <c r="F29" s="136">
        <v>34</v>
      </c>
      <c r="G29" s="109">
        <v>698</v>
      </c>
      <c r="H29" s="133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2026-09-07T20:03:09Z</dcterms:modified>
</cp:coreProperties>
</file>