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8C504D5B-9B55-4863-96BD-0D93417D8FAC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Hoja1!$A$1:$AF$613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614" i="1" s="1"/>
  <c r="AD614" i="1" s="1"/>
  <c r="AC3" i="1"/>
  <c r="A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tc={04409905-98A1-46B8-8041-45C920962F9B}</author>
  </authors>
  <commentList>
    <comment ref="Q25" authorId="0" shapeId="0" xr:uid="{04409905-98A1-46B8-8041-45C920962F9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<sst xmlns="http://schemas.openxmlformats.org/spreadsheetml/2006/main" count="19740" uniqueCount="1869">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</sst>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04409905-98A1-46B8-8041-45C920962F9B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E8392EB9-7FAE-4FC2-A167-F1C93CEC8D33}" parentId="{04409905-98A1-46B8-8041-45C920962F9B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176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0.29629629629629628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74</v>
      </c>
      <c r="AA80" s="66" t="s">
        <v>37</v>
      </c>
      <c r="AB80" s="70" t="s">
        <v>1795</v>
      </c>
      <c r="AC80" s="87">
        <f t="shared" si="1"/>
        <v>0.88888888888888884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1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74</v>
      </c>
      <c r="AA89" s="66" t="s">
        <v>37</v>
      </c>
      <c r="AB89" s="70" t="s">
        <v>1795</v>
      </c>
      <c r="AC89" s="87">
        <f t="shared" si="1"/>
        <v>0.88888888888888884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9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9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74</v>
      </c>
      <c r="AA92" s="66" t="s">
        <v>74</v>
      </c>
      <c r="AB92" s="72" t="s">
        <v>1821</v>
      </c>
      <c r="AC92" s="87">
        <f t="shared" si="1"/>
        <v>0.72222222222222221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/>
      <c r="AA178" s="66"/>
      <c r="AB178" s="70" t="s">
        <v>1814</v>
      </c>
      <c r="AC178" s="87">
        <f t="shared" si="2"/>
        <v>0.77777777777777779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175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0.72222222222222221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175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0.72222222222222221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175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0.72222222222222221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0.72222222222222221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1819</v>
      </c>
      <c r="X290" s="66"/>
      <c r="Y290" s="66"/>
      <c r="Z290" s="66" t="s">
        <v>1819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/>
      <c r="AA307" s="66"/>
      <c r="AB307" s="70" t="s">
        <v>1814</v>
      </c>
      <c r="AC307" s="87">
        <f t="shared" si="4"/>
        <v>0.77777777777777779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175</v>
      </c>
      <c r="X428" s="66" t="s">
        <v>175</v>
      </c>
      <c r="Y428" s="66"/>
      <c r="Z428" s="66"/>
      <c r="AA428" s="66"/>
      <c r="AB428" s="67"/>
      <c r="AC428" s="87">
        <f t="shared" si="6"/>
        <v>0.44444444444444442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/>
      <c r="AC431" s="87">
        <f t="shared" si="6"/>
        <v>0.25925925925925924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176</v>
      </c>
      <c r="V433" s="66" t="s">
        <v>176</v>
      </c>
      <c r="W433" s="66"/>
      <c r="X433" s="66"/>
      <c r="Y433" s="66"/>
      <c r="Z433" s="66"/>
      <c r="AA433" s="66"/>
      <c r="AB433" s="67"/>
      <c r="AC433" s="87">
        <f t="shared" si="6"/>
        <v>0.18518518518518517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176</v>
      </c>
      <c r="V436" s="66" t="s">
        <v>176</v>
      </c>
      <c r="W436" s="66"/>
      <c r="X436" s="66"/>
      <c r="Y436" s="66"/>
      <c r="Z436" s="66"/>
      <c r="AA436" s="66"/>
      <c r="AB436" s="67"/>
      <c r="AC436" s="87">
        <f t="shared" si="6"/>
        <v>0.18518518518518517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176</v>
      </c>
      <c r="V439" s="66" t="s">
        <v>176</v>
      </c>
      <c r="W439" s="66"/>
      <c r="X439" s="66"/>
      <c r="Y439" s="66"/>
      <c r="Z439" s="66"/>
      <c r="AA439" s="66"/>
      <c r="AB439" s="67"/>
      <c r="AC439" s="87">
        <f t="shared" si="6"/>
        <v>0.18518518518518517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176</v>
      </c>
      <c r="V446" s="66" t="s">
        <v>176</v>
      </c>
      <c r="W446" s="66"/>
      <c r="X446" s="66"/>
      <c r="Y446" s="66"/>
      <c r="Z446" s="66"/>
      <c r="AA446" s="66"/>
      <c r="AB446" s="67"/>
      <c r="AC446" s="87">
        <f t="shared" si="6"/>
        <v>0.18518518518518517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176</v>
      </c>
      <c r="V448" s="66" t="s">
        <v>176</v>
      </c>
      <c r="W448" s="66"/>
      <c r="X448" s="66"/>
      <c r="Y448" s="66"/>
      <c r="Z448" s="66"/>
      <c r="AA448" s="66"/>
      <c r="AB448" s="67"/>
      <c r="AC448" s="87">
        <f t="shared" si="6"/>
        <v>0.18518518518518517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175</v>
      </c>
      <c r="X449" s="66" t="s">
        <v>35</v>
      </c>
      <c r="Y449" s="66"/>
      <c r="Z449" s="66"/>
      <c r="AA449" s="66"/>
      <c r="AB449" s="67"/>
      <c r="AC449" s="87">
        <f t="shared" si="6"/>
        <v>0.5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35</v>
      </c>
      <c r="W495" s="66" t="s">
        <v>175</v>
      </c>
      <c r="X495" s="66" t="s">
        <v>35</v>
      </c>
      <c r="Y495" s="66" t="s">
        <v>1799</v>
      </c>
      <c r="Z495" s="66"/>
      <c r="AA495" s="66"/>
      <c r="AB495" s="67"/>
      <c r="AC495" s="87">
        <f t="shared" si="7"/>
        <v>0.51851851851851849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1799</v>
      </c>
      <c r="Z596" s="66"/>
      <c r="AA596" s="66"/>
      <c r="AB596" s="67"/>
      <c r="AC596" s="87">
        <f t="shared" si="9"/>
        <v>0.72222222222222221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1799</v>
      </c>
      <c r="Z597" s="66"/>
      <c r="AA597" s="66"/>
      <c r="AB597" s="67"/>
      <c r="AC597" s="87">
        <f t="shared" si="9"/>
        <v>0.72222222222222221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1799</v>
      </c>
      <c r="Z598" s="66"/>
      <c r="AA598" s="66"/>
      <c r="AB598" s="67"/>
      <c r="AC598" s="87">
        <f t="shared" si="9"/>
        <v>0.72222222222222221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1799</v>
      </c>
      <c r="Z599" s="66"/>
      <c r="AA599" s="66"/>
      <c r="AB599" s="67"/>
      <c r="AC599" s="87">
        <f t="shared" si="9"/>
        <v>0.72222222222222221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1799</v>
      </c>
      <c r="Z600" s="66"/>
      <c r="AA600" s="66"/>
      <c r="AB600" s="67"/>
      <c r="AC600" s="87">
        <f t="shared" si="9"/>
        <v>0.72222222222222221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1799</v>
      </c>
      <c r="Z601" s="66"/>
      <c r="AA601" s="66"/>
      <c r="AB601" s="67"/>
      <c r="AC601" s="87">
        <f t="shared" si="9"/>
        <v>0.72222222222222221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1799</v>
      </c>
      <c r="Z602" s="66"/>
      <c r="AA602" s="66"/>
      <c r="AB602" s="67"/>
      <c r="AC602" s="87">
        <f t="shared" si="9"/>
        <v>0.72222222222222221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1799</v>
      </c>
      <c r="Z603" s="66"/>
      <c r="AA603" s="66"/>
      <c r="AB603" s="67"/>
      <c r="AC603" s="87">
        <f t="shared" si="9"/>
        <v>0.72222222222222221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1799</v>
      </c>
      <c r="Z604" s="66"/>
      <c r="AA604" s="66"/>
      <c r="AB604" s="67"/>
      <c r="AC604" s="87">
        <f t="shared" si="9"/>
        <v>0.72222222222222221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1799</v>
      </c>
      <c r="Z605" s="66"/>
      <c r="AA605" s="66"/>
      <c r="AB605" s="67"/>
      <c r="AC605" s="87">
        <f t="shared" si="9"/>
        <v>0.72222222222222221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1799</v>
      </c>
      <c r="Z606" s="66"/>
      <c r="AA606" s="66"/>
      <c r="AB606" s="67"/>
      <c r="AC606" s="87">
        <f t="shared" si="9"/>
        <v>0.72222222222222221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1799</v>
      </c>
      <c r="Z607" s="66"/>
      <c r="AA607" s="66"/>
      <c r="AB607" s="67"/>
      <c r="AC607" s="87">
        <f t="shared" si="9"/>
        <v>0.72222222222222221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1799</v>
      </c>
      <c r="Z608" s="66"/>
      <c r="AA608" s="66"/>
      <c r="AB608" s="67"/>
      <c r="AC608" s="87">
        <f t="shared" si="9"/>
        <v>0.72222222222222221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1799</v>
      </c>
      <c r="Z609" s="66"/>
      <c r="AA609" s="66"/>
      <c r="AB609" s="67"/>
      <c r="AC609" s="87">
        <f t="shared" si="9"/>
        <v>0.72222222222222221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1799</v>
      </c>
      <c r="Z610" s="66"/>
      <c r="AA610" s="66"/>
      <c r="AB610" s="67"/>
      <c r="AC610" s="87">
        <f t="shared" si="9"/>
        <v>0.72222222222222221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1799</v>
      </c>
      <c r="Z611" s="66"/>
      <c r="AA611" s="66"/>
      <c r="AB611" s="67"/>
      <c r="AC611" s="87">
        <f t="shared" si="9"/>
        <v>0.72222222222222221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1799</v>
      </c>
      <c r="Z612" s="66"/>
      <c r="AA612" s="66"/>
      <c r="AB612" s="67"/>
      <c r="AC612" s="87">
        <f t="shared" si="9"/>
        <v>0.72222222222222221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1799</v>
      </c>
      <c r="Z613" s="74"/>
      <c r="AA613" s="74"/>
      <c r="AB613" s="74"/>
      <c r="AC613" s="87">
        <f t="shared" si="9"/>
        <v>0.72222222222222221</v>
      </c>
      <c r="AD613" s="55">
        <v>4</v>
      </c>
      <c r="AE613" s="64" t="s">
        <v>1786</v>
      </c>
    </row>
    <row r="614" spans="1:32" x14ac:dyDescent="0.3">
      <c r="AC614" s="127">
        <f>SUM(AC2:AC613)</f>
        <v>262.48148148148096</v>
      </c>
      <c r="AD614" s="29">
        <f>AC614/612*100</f>
        <v>42.889130961026304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24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3953" operator="containsText" text="EN PROCESO">
      <formula>NOT(ISERROR(SEARCH("EN PROCESO",AD1)))</formula>
    </cfRule>
    <cfRule type="containsText" dxfId="458" priority="3954" operator="containsText" text="ENVIADO">
      <formula>NOT(ISERROR(SEARCH("ENVIADO",AD1)))</formula>
    </cfRule>
    <cfRule type="containsText" dxfId="457" priority="3955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{07A43314-2F80-46AD-93D5-BE4946E42D38}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{EBA3677A-E2FC-4C8C-A87F-53A5AB0F4E3F}</x14:id>
        </ext>
      </extLst>
    </cfRule>
  </conditionalFormatting>
  <dataValidations count="11">
    <dataValidation type="list" allowBlank="1" showInputMessage="1" showErrorMessage="1" sqref="T610 V286:V287" xr:uid="{F19AED64-1B40-4BCC-A9FB-5880C3F7EA85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456:T516 T522:T540 T542:T543 T546 T548:T565 T582:T589 T592:T595 T597:T603 T605:T607 T107:T108 T156:T291 T567:T580 T113:T114 T386:T445" xr:uid="{5291C974-3C0D-444D-A671-C85D3A40A852}">
      <formula1>"EN PROCESO,CONCLUIDO"</formula1>
    </dataValidation>
    <dataValidation type="list" allowBlank="1" showInputMessage="1" showErrorMessage="1" sqref="Q610 S2:S613" xr:uid="{DBA6855F-BA50-4E12-ABF1-0406B0F07EF3}">
      <formula1>"ENVIADO A LA CE/UM,ENTREGADO/REVISIÓN,ENVIADO A TICS"</formula1>
    </dataValidation>
    <dataValidation type="list" allowBlank="1" showInputMessage="1" showErrorMessage="1" sqref="Y2:Y613" xr:uid="{95C61F07-FDAF-4AD3-A5E5-F753ECC066A3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A155F8F3-5D96-47C5-A362-669256D6A8E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109:U155 V115:V155 U412:V432" xr:uid="{B158D5BB-DD0E-47F5-8A48-A85AE342DDA3}">
      <formula1>"ENVIADO A LA CE/UM,EN REVISIÓN CENTRAL,CONCLUIDO, NO APLICA"</formula1>
    </dataValidation>
    <dataValidation type="list" allowBlank="1" showInputMessage="1" showErrorMessage="1" sqref="AA2:AA613" xr:uid="{749B7007-7B4F-44C9-89AD-55EA83DC779E}">
      <formula1>"SI,NO,NO APLICA"</formula1>
    </dataValidation>
    <dataValidation type="list" allowBlank="1" showInputMessage="1" showErrorMessage="1" sqref="W520:W613 W49:W518" xr:uid="{A68479AF-E15C-48D0-8D3A-C0AD78476B56}">
      <formula1>"EN PROCESO,CONCLUIDO,NO APLICA"</formula1>
    </dataValidation>
    <dataValidation type="list" allowBlank="1" showInputMessage="1" showErrorMessage="1" sqref="W2:W6 W8:W48" xr:uid="{E99BC52F-3805-4BE9-B963-0908D47DE2BA}">
      <formula1>" EN PROCESO,CONCLUIDO,NO APLICA"</formula1>
    </dataValidation>
    <dataValidation type="list" allowBlank="1" showInputMessage="1" showErrorMessage="1" sqref="T608 T89:T95 T98 T100:T102 T104:T106 T109:T112 T292 T295 T297 T303 T305 T307 T309:T314 T329:T337 T385 T446:T455 T517:T521 T541 T544:T545 T547 T566 T581 T590:T591 T604 T2:T63 T596 X520:X613 T115:T155 X2:X518" xr:uid="{A949C01D-6FD8-4424-B162-29D5914082B0}">
      <formula1>"EN PROCESO,CONCLUIDO, NO APLICA"</formula1>
    </dataValidation>
    <dataValidation type="list" allowBlank="1" showInputMessage="1" showErrorMessage="1" sqref="Z2:Z613" xr:uid="{A419609B-183A-4813-BDE2-2BD82A8DCF95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07A43314-2F80-46AD-93D5-BE4946E42D38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EBA3677A-E2FC-4C8C-A87F-53A5AB0F4E3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2026-08-11T16:42:37Z</dcterms:modified>
</cp:coreProperties>
</file>