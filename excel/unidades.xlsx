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46E89373-D8D6-45AA-A362-840329A81672}" xr6:coauthVersionLast="47" xr6:coauthVersionMax="47" xr10:uidLastSave="{00000000-0000-0000-0000-000000000000}"/>
  <bookViews>
    <workbookView xWindow="19090" yWindow="-110" windowWidth="19420" windowHeight="10300" xr2:uid="{A71EBC0A-EF77-4480-B2A6-100C25EC669C}"/>
  </bookViews>
  <sheets>
    <sheet name="Hoja1" sheetId="1" r:id="rId1"/>
    <sheet name="equipamiento" sheetId="4" r:id="rId2"/>
    <sheet name="Hoja2" sheetId="3" r:id="rId3"/>
  </sheets>
  <definedNames>
    <definedName name="_xlnm._FilterDatabase" localSheetId="0" hidden="1">Hoja1!$A$1:$AB$613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613" i="1" l="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B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tc={379D517B-B225-4035-B846-7CA10E64F3EF}</author>
    <author>tc={04812820-69D2-4A95-AA59-151882688377}</author>
  </authors>
  <commentList>
    <comment ref="Q53" authorId="0" shapeId="0" xr:uid="{379D517B-B225-4035-B846-7CA10E64F3EF}">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602" authorId="1" shapeId="0" xr:uid="{04812820-69D2-4A95-AA59-151882688377}">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tc={C8B3C7CB-E79C-4600-9CB7-F6450F2AF430}</author>
  </authors>
  <commentList>
    <comment ref="D4" authorId="0" shapeId="0" xr:uid="{C8B3C7CB-E79C-4600-9CB7-F6450F2AF430}">
      <text>
        <t>[Comentario encadenado]
Su versión de Excel le permite leer este comentario encadenado; sin embargo, las ediciones que se apliquen se quitarán si el archivo se abre en una versión más reciente de Excel. Más información: https://go.microsoft.com/fwlink/?linkid=870924
Comentario:
    Entregado el viernes 5 de junio</t>
      </text>
    </comment>
  </commentList>
</comments>
</file>

<file path=xl/sharedStrings.xml><?xml version="1.0" encoding="utf-8"?>
<sst xmlns="http://schemas.openxmlformats.org/spreadsheetml/2006/main" count="17804" uniqueCount="1841">
  <si>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</si>
  <si>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</si>
  <si>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</si>
  <si>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</si>
  <si>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</si>
  <si>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</si>
  <si>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</si>
  <si>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</si>
  <si>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</si>
  <si>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</si>
  <si>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</si>
  <si>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</si>
  <si>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</si>
  <si>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</si>
  <si>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</si>
  <si>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</si>
  <si>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</si>
  <si>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</si>
  <si>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</si>
  <si>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</si>
  <si>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</si>
  <si>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</si>
  <si>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</si>
  <si>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</si>
  <si>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</si>
  <si>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</si>
  <si>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</si>
  <si>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</si>
  <si>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</si>
  <si>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</si>
  <si>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</si>
  <si>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</si>
  <si>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</si>
  <si>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</si>
  <si>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</si>
  <si>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</si>
  <si>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</si>
  <si>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</si>
  <si>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</si>
  <si>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</si>
  <si>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</si>
  <si>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</si>
  <si>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</si>
  <si>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</si>
  <si>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</si>
  <si>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</si>
  <si>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</si>
  <si>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</si>
  <si>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</si>
  <si>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</si>
  <si>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</si>
  <si>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</si>
  <si>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</si>
  <si>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</si>
  <si>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</si>
  <si>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</si>
  <si>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</si>
  <si>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</si>
  <si>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</si>
  <si>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</si>
  <si>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</si>
  <si>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</si>
  <si>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</si>
  <si>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</si>
  <si>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</si>
  <si>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</si>
  <si>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</si>
  <si>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</si>
  <si>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</si>
  <si>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</si>
  <si>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</si>
  <si>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</si>
  <si>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</si>
  <si>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</si>
  <si>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</si>
  <si>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</si>
  <si>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</si>
  <si>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</si>
  <si>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</si>
  <si>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</si>
  <si>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</si>
  <si>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</si>
  <si>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</si>
  <si>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</si>
  <si>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</si>
  <si>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</si>
  <si>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</si>
  <si>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</si>
  <si>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</si>
  <si>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</si>
  <si>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</si>
  <si>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</si>
  <si>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</si>
  <si>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</si>
  <si>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</si>
  <si>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</si>
  <si>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</si>
  <si>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</si>
  <si>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</si>
  <si>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</si>
  <si>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</si>
  <si>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</si>
  <si>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</si>
  <si>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</si>
  <si>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</si>
  <si>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</si>
  <si>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</si>
  <si>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</si>
  <si>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</si>
  <si>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</si>
  <si>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</si>
  <si>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</si>
  <si>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</si>
  <si>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</si>
  <si>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</si>
  <si>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</si>
  <si>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</si>
  <si>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</si>
  <si>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</si>
  <si>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</si>
  <si>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</si>
  <si>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</si>
  <si>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</si>
  <si>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</si>
  <si>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</si>
  <si>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</si>
  <si>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</si>
  <si>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</si>
  <si>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</si>
  <si>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</si>
  <si>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</si>
  <si>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</si>
  <si>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</si>
  <si>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</si>
  <si>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</si>
  <si>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</si>
  <si>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</si>
  <si>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</si>
  <si>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</si>
  <si>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</si>
  <si>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</si>
  <si>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</si>
  <si>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</si>
  <si>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</si>
  <si>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</si>
  <si>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</si>
  <si>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</si>
  <si>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</si>
  <si>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</si>
  <si>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</si>
  <si>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</si>
  <si>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</si>
  <si>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</si>
  <si>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</si>
  <si>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</si>
  <si>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</si>
  <si>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</si>
  <si>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</si>
  <si>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</si>
  <si>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</si>
  <si>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</si>
  <si>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</si>
  <si>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</si>
  <si>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</si>
  <si>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</si>
  <si>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</si>
  <si>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</si>
  <si>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</si>
  <si>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</si>
  <si>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</si>
  <si>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</si>
  <si>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</si>
  <si>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</si>
  <si>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</si>
  <si>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</si>
  <si>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</si>
  <si>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</si>
  <si>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</si>
  <si>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</si>
  <si>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</si>
  <si>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</si>
  <si>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</si>
  <si>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</si>
  <si>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</si>
  <si>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</si>
  <si>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</si>
  <si>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</si>
  <si>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</si>
  <si>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</si>
  <si>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</si>
  <si>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</si>
  <si>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</si>
  <si>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</si>
  <si>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</si>
  <si>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</si>
  <si>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</si>
  <si>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</si>
  <si>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</si>
  <si>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</si>
  <si>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</si>
  <si>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</si>
  <si>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</si>
  <si>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</si>
  <si>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</si>
  <si>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</si>
  <si>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</si>
  <si>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</si>
  <si>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</si>
  <si>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</si>
  <si>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</si>
  <si>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</si>
  <si>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</si>
  <si>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</si>
  <si>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</si>
  <si>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</si>
  <si>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</si>
  <si>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</si>
  <si>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</si>
  <si>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</si>
  <si>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</si>
  <si>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</si>
  <si>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</si>
  <si>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</si>
  <si>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</si>
  <si>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</si>
  <si>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</si>
  <si>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</si>
  <si>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</si>
  <si>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</si>
  <si>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</si>
  <si>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</si>
  <si>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</si>
  <si>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</si>
  <si>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</si>
  <si>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</si>
  <si>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</si>
  <si>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</si>
  <si>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</si>
  <si>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</si>
  <si>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</si>
  <si>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</si>
  <si>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</si>
  <si>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</si>
  <si>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</si>
  <si>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</si>
  <si>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</si>
  <si>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</si>
  <si>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</si>
  <si>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</si>
  <si>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</si>
  <si>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</si>
  <si>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</si>
  <si>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</si>
  <si>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</si>
  <si>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</si>
  <si>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</si>
  <si>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</si>
  <si>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</si>
  <si>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</si>
  <si>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</si>
  <si>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</si>
  <si>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</si>
  <si>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</si>
  <si>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</si>
  <si>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</si>
  <si>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</si>
  <si>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</si>
  <si>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</si>
  <si>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</si>
  <si>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</si>
  <si>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</si>
  <si>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</si>
  <si>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</si>
  <si>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</si>
  <si>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</si>
  <si>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</si>
  <si>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</si>
  <si>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</si>
  <si>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</si>
  <si>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</si>
  <si>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</si>
  <si>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</si>
  <si>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</si>
  <si>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</si>
  <si>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</si>
  <si>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</si>
  <si>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</si>
  <si>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</si>
  <si>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</si>
  <si>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</si>
  <si>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</si>
  <si>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</si>
  <si>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</si>
  <si>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</si>
  <si>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</si>
  <si>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</si>
  <si>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</si>
  <si>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</si>
  <si>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</si>
  <si>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</si>
  <si>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</si>
  <si>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</si>
  <si>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</si>
  <si>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</si>
  <si>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</si>
  <si>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</si>
  <si>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</si>
  <si>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</si>
  <si>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</si>
  <si>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</si>
  <si>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</si>
  <si>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</si>
  <si>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</si>
  <si>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</si>
  <si>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</si>
  <si>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</si>
  <si>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</si>
  <si>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</si>
  <si>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</si>
  <si>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</si>
  <si>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</si>
  <si>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</si>
  <si>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</si>
  <si>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</si>
  <si>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</si>
  <si>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</si>
  <si>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</si>
  <si>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</si>
  <si>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</si>
  <si>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</si>
  <si>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</si>
  <si>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</si>
  <si>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</si>
  <si>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</si>
  <si>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</si>
  <si>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</si>
  <si>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</si>
  <si>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</si>
  <si>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</si>
  <si>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</si>
  <si>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</si>
  <si>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</si>
  <si>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</si>
  <si>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</si>
  <si>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</si>
  <si>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</si>
  <si>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</si>
  <si>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</si>
  <si>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</si>
  <si>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</si>
  <si>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</si>
  <si>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</si>
  <si>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</si>
  <si>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</si>
  <si>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</si>
  <si>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</si>
  <si>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</si>
  <si>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</si>
  <si>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</si>
  <si>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</si>
  <si>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</si>
  <si>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</si>
  <si>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</si>
  <si>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</si>
  <si>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</si>
  <si>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</si>
  <si>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</si>
  <si>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</si>
  <si>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</si>
  <si>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</si>
  <si>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</si>
  <si>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</si>
  <si>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</si>
  <si>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</si>
  <si>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</si>
  <si>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</si>
  <si>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</si>
  <si>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</si>
  <si>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</si>
  <si>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</si>
  <si>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</si>
  <si>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</si>
  <si>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</si>
  <si>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</si>
  <si>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</si>
  <si>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</si>
  <si>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</si>
  <si>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</si>
  <si>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</si>
  <si>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</si>
  <si>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</si>
  <si>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</si>
  <si>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</si>
  <si>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</si>
  <si>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</si>
  <si>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</si>
  <si>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</si>
  <si>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</si>
  <si>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</si>
  <si>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</si>
  <si>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</si>
  <si>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</si>
  <si>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</si>
  <si>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</si>
  <si>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</si>
  <si>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</si>
  <si>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</si>
  <si>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</si>
  <si>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</si>
  <si>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</si>
  <si>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</si>
  <si>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</si>
  <si>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</si>
  <si>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</si>
  <si>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</si>
  <si>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</si>
  <si>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</si>
  <si>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</si>
  <si>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</si>
  <si>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</si>
  <si>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</si>
  <si>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</si>
  <si>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</si>
  <si>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</si>
  <si>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</si>
  <si>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</si>
  <si>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</si>
  <si>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</si>
  <si>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</si>
  <si>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</si>
  <si>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</si>
  <si>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</si>
  <si>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</si>
  <si>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</si>
  <si>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</si>
  <si>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</si>
  <si>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</si>
  <si>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</si>
  <si>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</si>
  <si>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</si>
  <si>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</si>
  <si>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</si>
  <si>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</si>
  <si>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</si>
  <si>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</si>
  <si>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</si>
  <si>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</si>
  <si>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</si>
  <si>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</si>
  <si>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</si>
  <si>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</si>
  <si>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</si>
  <si>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</si>
  <si>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</si>
  <si>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</si>
  <si>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</si>
  <si>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</si>
  <si>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</si>
  <si>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</si>
  <si>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</si>
  <si>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</si>
  <si>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</si>
  <si>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</si>
  <si>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</si>
  <si>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</si>
  <si>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</si>
  <si>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</si>
  <si>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</si>
  <si>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</si>
  <si>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</si>
  <si>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</si>
  <si>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</si>
  <si>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</si>
  <si>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</si>
  <si>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</si>
  <si>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</si>
  <si>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</si>
  <si>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</si>
  <si>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</si>
  <si>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</si>
  <si>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</si>
  <si>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</si>
  <si>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</si>
  <si>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</si>
  <si>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</si>
  <si>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</si>
  <si>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</si>
  <si>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</si>
  <si>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</si>
  <si>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</si>
  <si>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</si>
  <si>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</si>
  <si>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</si>
  <si>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</si>
  <si>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</si>
  <si>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</si>
  <si>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</si>
  <si>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</si>
  <si>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</si>
  <si>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</si>
  <si>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</si>
  <si>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</si>
  <si>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</si>
  <si>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</si>
  <si>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</si>
  <si>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</si>
  <si>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</si>
  <si>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</si>
  <si>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</si>
  <si>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</si>
  <si>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</si>
  <si>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</si>
  <si>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</si>
  <si>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</si>
  <si>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</si>
  <si>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</si>
  <si>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</si>
  <si>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</si>
  <si>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</si>
  <si>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</si>
  <si>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</si>
  <si>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</si>
  <si>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</si>
  <si>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</si>
  <si>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</si>
  <si>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</si>
  <si>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</si>
  <si>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</si>
  <si>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</si>
  <si>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</si>
  <si>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</si>
  <si>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</si>
  <si>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</si>
  <si>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</si>
  <si>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</si>
  <si>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</si>
  <si>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</si>
  <si>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</si>
  <si>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</si>
  <si>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</si>
  <si>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</si>
  <si>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</si>
  <si>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</si>
  <si>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</si>
  <si>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</si>
  <si>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</si>
  <si>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</si>
  <si>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</si>
  <si>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</si>
  <si>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</si>
  <si>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</si>
  <si>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</si>
  <si>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</si>
  <si>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</si>
  <si>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</si>
  <si>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</si>
  <si>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</si>
  <si>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</si>
  <si>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</si>
  <si>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</si>
  <si>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</si>
  <si>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</si>
  <si>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</si>
  <si>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</si>
  <si>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</si>
  <si>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</si>
  <si>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</si>
  <si>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</si>
  <si>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</si>
  <si>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</si>
  <si>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</si>
  <si>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</si>
  <si>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</si>
  <si>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</si>
  <si>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</si>
  <si>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</si>
  <si>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</si>
  <si>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</si>
  <si>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</si>
  <si>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</si>
  <si>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</si>
  <si>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</si>
  <si>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</si>
  <si>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</si>
  <si>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</si>
  <si>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</si>
  <si>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</si>
  <si>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</si>
  <si>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</si>
  <si>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</si>
  <si>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</si>
  <si>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</si>
  <si>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</si>
  <si>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</si>
  <si>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</si>
  <si>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</si>
  <si>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</si>
  <si>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</si>
  <si>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</si>
  <si>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</si>
  <si>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</si>
  <si>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</si>
  <si>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</si>
  <si>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</si>
  <si>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</si>
  <si>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</si>
  <si>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</si>
  <si>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</si>
  <si>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</si>
  <si>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</si>
  <si>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</si>
  <si>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</si>
  <si>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</si>
  <si>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</si>
  <si>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</si>
  <si>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</si>
  <si>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</si>
  <si>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</si>
  <si>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</si>
  <si>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</si>
  <si>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</si>
  <si>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</si>
  <si>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</si>
  <si>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</si>
  <si>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</si>
  <si>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</si>
  <si>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</si>
  <si>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</si>
  <si>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</si>
  <si>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</si>
  <si>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</si>
  <si>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</si>
  <si>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</si>
  <si>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</si>
  <si>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</si>
  <si>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</si>
  <si>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</si>
  <si>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</si>
  <si>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</si>
  <si>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</si>
  <si>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</si>
  <si>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</si>
  <si>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</si>
  <si>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</si>
  <si>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</si>
  <si>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</si>
  <si>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</si>
  <si>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</si>
  <si>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</si>
  <si>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</si>
  <si>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</si>
  <si>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</si>
  <si>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</si>
  <si>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</si>
  <si>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</si>
  <si>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</si>
  <si>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</si>
  <si>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</si>
  <si>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</si>
  <si>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</si>
  <si>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</si>
  <si>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</si>
  <si>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</si>
  <si>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</si>
  <si>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</si>
  <si>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</si>
  <si>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</si>
  <si>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</si>
  <si>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</si>
  <si>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</si>
  <si>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</si>
  <si>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</si>
  <si>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</si>
  <si>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</si>
  <si>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</si>
  <si>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</si>
  <si>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</si>
  <si>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</si>
  <si>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</si>
  <si>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</si>
  <si>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</si>
  <si>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</si>
  <si>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</si>
  <si>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</si>
  <si>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</si>
  <si>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</si>
  <si>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</si>
  <si>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</si>
  <si>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</si>
  <si>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</si>
  <si>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</si>
  <si>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</si>
  <si>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</si>
  <si>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</si>
  <si>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</si>
  <si>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</si>
  <si>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</si>
  <si>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</si>
  <si>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</si>
  <si>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</si>
  <si>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</si>
  <si>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</si>
  <si>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</si>
  <si>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</si>
  <si>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</si>
  <si>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</si>
  <si>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</si>
  <si>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</si>
  <si>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</si>
  <si>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</si>
  <si>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</si>
  <si>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</si>
  <si>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</si>
  <si>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</si>
  <si>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</si>
  <si>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</si>
  <si>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</si>
  <si>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</si>
  <si>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</si>
  <si>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</si>
  <si>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</si>
  <si>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</si>
  <si>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</si>
  <si>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</si>
  <si>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</si>
  <si>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</si>
  <si>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</si>
  <si>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</si>
  <si>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</si>
  <si>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</si>
  <si>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</si>
  <si>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</si>
  <si>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</si>
  <si>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</si>
  <si>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</si>
  <si>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</si>
  <si>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</si>
  <si>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</si>
  <si>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</si>
  <si>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</si>
  <si>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</si>
  <si>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</si>
  <si>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</si>
  <si>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</si>
  <si>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</si>
  <si>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</si>
  <si>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</si>
  <si>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</si>
  <si>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</si>
  <si>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</si>
  <si>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</si>
  <si>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</si>
  <si>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</si>
  <si>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</si>
  <si>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</si>
  <si>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</si>
  <si>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</si>
  <si>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</si>
  <si>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</si>
  <si>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</si>
  <si>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</si>
  <si>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</si>
  <si>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</si>
  <si>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</si>
  <si>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</si>
  <si>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</si>
  <si>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</si>
  <si>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</si>
  <si>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</si>
  <si>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</si>
  <si>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</si>
  <si>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</si>
  <si>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</si>
  <si>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</si>
  <si>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</si>
  <si>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</si>
  <si>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</si>
  <si>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</si>
  <si>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</si>
  <si>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</si>
  <si>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</si>
  <si>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</si>
  <si>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</si>
  <si>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</si>
  <si>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</si>
  <si>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</si>
  <si>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</si>
  <si>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</si>
  <si>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</si>
  <si>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</si>
  <si>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</si>
  <si>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</si>
  <si>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</si>
  <si>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</si>
  <si>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</si>
  <si>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</si>
  <si>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</si>
  <si>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</si>
  <si>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</si>
  <si>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</si>
  <si>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</si>
  <si>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</si>
  <si>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</si>
  <si>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</si>
  <si>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</si>
  <si>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</si>
  <si>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</si>
  <si>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</si>
  <si>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</si>
  <si>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</si>
  <si>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</si>
  <si>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</si>
  <si>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</si>
  <si>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</si>
  <si>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</si>
  <si>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</si>
  <si>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</si>
  <si>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</si>
  <si>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</si>
  <si>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</si>
  <si>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</si>
  <si>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</si>
  <si>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</si>
  <si>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</si>
  <si>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</si>
  <si>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</si>
  <si>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</si>
  <si>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</si>
  <si>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</si>
  <si>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</si>
  <si>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</si>
  <si>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</si>
  <si>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</si>
  <si>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</si>
  <si>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</si>
  <si>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</si>
  <si>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</si>
  <si>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</si>
  <si>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</si>
  <si>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</si>
  <si>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</si>
  <si>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</si>
  <si>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</si>
  <si>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</si>
  <si>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</si>
  <si>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</si>
  <si>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</si>
  <si>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</si>
  <si>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</si>
  <si>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</si>
  <si>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</si>
  <si>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</si>
  <si>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</si>
  <si>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</si>
  <si>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</si>
  <si>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</si>
  <si>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</si>
  <si>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</si>
  <si>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</si>
  <si>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</si>
  <si>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</si>
  <si>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</si>
  <si>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</si>
  <si>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</si>
  <si>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</si>
  <si>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</si>
  <si>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</si>
  <si>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</si>
  <si>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</si>
  <si>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</si>
  <si>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</si>
  <si>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</si>
  <si>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</si>
  <si>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</si>
  <si>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</si>
  <si>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</si>
  <si>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</si>
  <si>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</si>
  <si>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</si>
  <si>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</si>
  <si>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</si>
  <si>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</si>
  <si>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</si>
  <si>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</si>
  <si>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</si>
  <si>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</si>
  <si>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</si>
  <si>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</si>
  <si>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</si>
  <si>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</si>
  <si>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</si>
  <si>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</si>
  <si>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</si>
  <si>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</si>
  <si>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</si>
  <si>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</si>
  <si>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</si>
  <si>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</si>
  <si>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</si>
  <si>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</si>
  <si>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</si>
  <si>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</si>
  <si>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</si>
  <si>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</si>
  <si>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</si>
  <si>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</si>
  <si>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</si>
  <si>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</si>
  <si>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</si>
  <si>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</si>
  <si>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</si>
  <si>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</si>
  <si>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</si>
  <si>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</si>
  <si>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</si>
  <si>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</si>
  <si>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</si>
  <si>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</si>
  <si>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</si>
  <si>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</si>
  <si>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</si>
  <si>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</si>
  <si>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</si>
  <si>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</si>
  <si>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</si>
  <si>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</si>
  <si>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</si>
  <si>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</si>
  <si>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</si>
  <si>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</si>
  <si>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</si>
  <si>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</si>
  <si>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</si>
  <si>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</si>
  <si>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</si>
  <si>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</si>
  <si>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</si>
  <si>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</si>
  <si>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</si>
  <si>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</si>
  <si>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</si>
  <si>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</si>
  <si>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</si>
  <si>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</si>
  <si>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</si>
  <si>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</si>
  <si>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</si>
  <si>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</si>
  <si>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</si>
  <si>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</si>
  <si>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</si>
  <si>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</si>
  <si>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</si>
  <si>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</si>
  <si>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</si>
  <si>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</si>
  <si>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</si>
  <si>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</si>
  <si>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</si>
  <si>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</si>
  <si>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</si>
  <si>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</si>
  <si>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</si>
  <si>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</si>
  <si>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</si>
  <si>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</si>
  <si>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</si>
  <si>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</si>
  <si>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</si>
  <si>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</si>
  <si>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</si>
  <si>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</si>
  <si>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</si>
  <si>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</si>
  <si>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</si>
  <si>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</si>
  <si>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</si>
  <si>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</si>
  <si>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</si>
  <si>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</si>
  <si>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</si>
  <si>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</si>
  <si>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</si>
  <si>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</si>
  <si>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</si>
  <si>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</si>
  <si>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</si>
  <si>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</si>
  <si>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</si>
  <si>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</si>
  <si>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</si>
  <si>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</si>
  <si>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</si>
  <si>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</si>
  <si>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</si>
  <si>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</si>
  <si>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</si>
  <si>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</si>
  <si>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</si>
  <si>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</si>
  <si>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</si>
  <si>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</si>
  <si>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</si>
  <si>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</si>
  <si>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</si>
  <si>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</si>
  <si>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</si>
  <si>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</si>
  <si>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</si>
  <si>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</si>
  <si>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</si>
  <si>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</si>
  <si>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</si>
  <si>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</si>
  <si>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</si>
  <si>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</si>
  <si>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</si>
  <si>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</si>
  <si>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</si>
  <si>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</si>
  <si>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</si>
  <si>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</si>
  <si>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</si>
  <si>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</si>
  <si>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</si>
  <si>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</si>
  <si>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</si>
  <si>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</si>
  <si>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</si>
  <si>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</si>
  <si>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</si>
  <si>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</si>
  <si>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</si>
  <si>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</si>
  <si>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</si>
  <si>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</si>
  <si>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</si>
  <si>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</si>
  <si>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</si>
  <si>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</si>
  <si>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</si>
  <si>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</si>
  <si>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</si>
  <si>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</si>
  <si>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</si>
  <si>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</si>
  <si>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</si>
  <si>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</si>
  <si>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</si>
  <si>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</si>
  <si>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</si>
  <si>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</si>
  <si>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</si>
  <si>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</si>
  <si>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</si>
  <si>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</si>
  <si>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</si>
  <si>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</si>
  <si>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</si>
  <si>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</si>
  <si>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</si>
  <si>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</si>
  <si>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</si>
  <si>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</si>
  <si>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</si>
  <si>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</si>
  <si>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</si>
  <si>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</si>
  <si>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</si>
  <si>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</si>
  <si>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</si>
  <si>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</si>
  <si>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</si>
  <si>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</si>
  <si>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</si>
  <si>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</si>
  <si>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</si>
  <si>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</si>
  <si>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</si>
  <si>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</si>
  <si>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</si>
  <si>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</si>
  <si>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</si>
  <si>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</si>
  <si>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</si>
  <si>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</si>
  <si>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</si>
  <si>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</si>
  <si>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</si>
  <si>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</si>
  <si>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</si>
  <si>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</si>
  <si>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</si>
  <si>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</si>
  <si>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</si>
  <si>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</si>
  <si>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</si>
  <si>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</si>
  <si>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</si>
  <si>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</si>
  <si>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</si>
  <si>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</si>
  <si>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</si>
  <si>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</si>
  <si>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</si>
  <si>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</si>
  <si>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</si>
  <si>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</si>
  <si>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</si>
  <si>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</si>
  <si>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</si>
  <si>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</si>
  <si>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</si>
  <si>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</si>
  <si>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</si>
  <si>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</si>
  <si>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</si>
  <si>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</si>
  <si>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</si>
  <si>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</si>
  <si>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</si>
  <si>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</si>
  <si>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</si>
  <si>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</si>
  <si>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</si>
  <si>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</si>
  <si>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</si>
  <si>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</si>
  <si>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</si>
  <si>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</si>
  <si>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</si>
  <si>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</si>
  <si>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</si>
  <si>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</si>
  <si>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</si>
  <si>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</si>
  <si>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</si>
  <si>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</si>
  <si>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</si>
  <si>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</si>
  <si>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</si>
  <si>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</si>
  <si>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</si>
  <si>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</si>
  <si>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</si>
  <si>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</si>
  <si>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</si>
  <si>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</si>
  <si>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</si>
  <si>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</si>
  <si>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</si>
  <si>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</si>
  <si>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</si>
  <si>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</si>
  <si>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</si>
  <si>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</si>
  <si>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</si>
  <si>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</si>
  <si>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</si>
  <si>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</si>
  <si>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</si>
  <si>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</si>
  <si>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</si>
  <si>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</si>
  <si>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</si>
  <si>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</si>
  <si>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</si>
  <si>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</si>
  <si>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</si>
  <si>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</si>
  <si>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</si>
  <si>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</si>
  <si>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</si>
  <si>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</si>
  <si>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</si>
  <si>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</si>
  <si>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</si>
  <si>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</si>
  <si>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</si>
  <si>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</si>
  <si>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</si>
  <si>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</si>
  <si>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</si>
  <si>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</si>
  <si>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</si>
  <si>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</si>
  <si>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</si>
  <si>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</si>
  <si>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</si>
  <si>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</si>
  <si>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</si>
  <si>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</si>
  <si>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</si>
  <si>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</si>
  <si>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</si>
  <si>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</si>
  <si>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</si>
  <si>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</si>
  <si>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</si>
  <si>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</si>
  <si>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</si>
  <si>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</si>
  <si>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</si>
  <si>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</si>
  <si>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</si>
  <si>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</si>
  <si>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</si>
  <si>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</si>
  <si>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</si>
  <si>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</si>
  <si>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</si>
  <si>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</si>
  <si>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</si>
  <si>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</si>
  <si>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</si>
  <si>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</si>
  <si>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</si>
  <si>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</si>
  <si>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</si>
  <si>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</si>
  <si>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</si>
  <si>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</si>
  <si>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</si>
  <si>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</si>
  <si>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</si>
  <si>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</si>
  <si>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</si>
  <si>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</si>
  <si>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</si>
  <si>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</si>
  <si>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</si>
  <si>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</si>
  <si>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</si>
  <si>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</si>
  <si>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</si>
  <si>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</si>
  <si>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</si>
  <si>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</si>
  <si>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</si>
  <si>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</si>
  <si>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</si>
  <si>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</si>
  <si>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</si>
  <si>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</si>
  <si>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</si>
  <si>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</si>
  <si>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</si>
  <si>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</si>
  <si>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</si>
  <si>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</si>
  <si>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</si>
  <si>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</si>
  <si>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</si>
  <si>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</si>
  <si>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</si>
  <si>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</si>
  <si>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</si>
  <si>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</si>
  <si>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</si>
  <si>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</si>
  <si>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</si>
  <si>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</si>
  <si>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</si>
  <si>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</si>
  <si>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</si>
  <si>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</si>
  <si>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</si>
  <si>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</si>
  <si>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</si>
  <si>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</si>
  <si>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</si>
  <si>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</si>
  <si>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</si>
  <si>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</si>
  <si>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</si>
  <si>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</si>
  <si>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</si>
  <si>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</si>
  <si>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</si>
  <si>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</si>
  <si>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</si>
  <si>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</si>
  <si>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</si>
  <si>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</si>
  <si>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</si>
  <si>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</si>
  <si>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</si>
  <si>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</si>
  <si>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</si>
  <si>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</si>
  <si>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</si>
  <si>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</si>
  <si>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</si>
  <si>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</si>
  <si>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</si>
  <si>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</si>
  <si>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</si>
  <si>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</si>
  <si>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</si>
  <si>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</si>
  <si>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</si>
  <si>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</si>
  <si>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</si>
  <si>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</si>
  <si>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</si>
  <si>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</si>
  <si>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</si>
  <si>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</si>
  <si>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</si>
  <si>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</si>
  <si>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</si>
  <si>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</si>
  <si>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</si>
  <si>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</si>
  <si>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</si>
  <si>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</si>
  <si>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</si>
  <si>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</si>
  <si>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</si>
  <si>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</si>
  <si>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</si>
  <si>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</si>
  <si>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</si>
  <si>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</si>
  <si>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</si>
  <si>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</si>
  <si>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</si>
  <si>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</si>
  <si>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</si>
  <si>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</si>
  <si>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</si>
  <si>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</si>
  <si>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</si>
  <si>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</si>
  <si>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</si>
  <si>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</si>
  <si>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</si>
  <si>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</si>
  <si>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</si>
  <si>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</si>
  <si>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</si>
  <si>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</si>
  <si>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</si>
  <si>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</si>
  <si>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</si>
  <si>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</si>
  <si>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</si>
  <si>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</si>
  <si>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</si>
  <si>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</si>
  <si>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</si>
  <si>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</si>
  <si>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</si>
  <si>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</si>
  <si>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</si>
  <si>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</si>
  <si>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</si>
  <si>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</si>
  <si>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</si>
  <si>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</si>
  <si>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</si>
  <si>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</si>
  <si>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</si>
  <si>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</si>
  <si>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</si>
  <si>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</si>
  <si>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</si>
  <si>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</si>
  <si>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</si>
  <si>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</si>
  <si>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</si>
  <si>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</si>
  <si>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</si>
  <si>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</si>
  <si>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</si>
  <si>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</si>
  <si>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</si>
  <si>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</si>
  <si>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</si>
  <si>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</si>
  <si>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</si>
  <si>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</si>
  <si>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</si>
  <si>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</si>
  <si>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</si>
  <si>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</si>
  <si>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</si>
  <si>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</si>
  <si>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</si>
  <si>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</si>
  <si>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</si>
  <si>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</si>
  <si>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</si>
  <si>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</si>
  <si>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</si>
  <si>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</si>
  <si>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</si>
  <si>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</si>
  <si>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</si>
  <si>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</si>
  <si>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</si>
  <si>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</si>
  <si>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</si>
  <si>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</si>
  <si>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</si>
  <si>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</si>
  <si>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</si>
  <si>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</si>
  <si>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</si>
  <si>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</si>
  <si>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</si>
  <si>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</si>
  <si>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</si>
  <si>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</si>
  <si>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</si>
  <si>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</si>
  <si>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</si>
  <si>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</si>
  <si>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</si>
  <si>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</si>
  <si>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</si>
  <si>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</si>
  <si>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</si>
  <si>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</si>
  <si>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</si>
  <si>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</si>
  <si>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</si>
  <si>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</si>
  <si>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</si>
  <si>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</si>
  <si>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</si>
  <si>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</si>
  <si>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</si>
  <si>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</si>
  <si>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</si>
  <si>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</si>
  <si>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</si>
  <si>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</si>
  <si>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</si>
  <si>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</si>
  <si>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</si>
  <si>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</si>
  <si>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</si>
  <si>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</si>
  <si>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</si>
  <si>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</si>
  <si>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</si>
  <si>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</si>
  <si>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</si>
  <si>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</si>
  <si>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</si>
  <si>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</si>
  <si>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</si>
  <si>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</si>
  <si>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</si>
  <si>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</si>
  <si>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</si>
  <si>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</si>
  <si>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</si>
  <si>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</si>
  <si>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</si>
  <si>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</si>
  <si>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</si>
  <si>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</si>
  <si>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</si>
  <si>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</si>
  <si>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</si>
  <si>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</si>
  <si>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</si>
  <si>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</si>
  <si>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</si>
  <si>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</si>
  <si>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</si>
  <si>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</si>
  <si>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</si>
  <si>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</si>
  <si>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</si>
  <si>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</si>
  <si>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</si>
  <si>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</si>
  <si>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</si>
  <si>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</si>
  <si>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</si>
  <si>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</si>
  <si>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</si>
  <si>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</si>
  <si>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</si>
  <si>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</si>
  <si>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</si>
  <si>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</si>
  <si>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</si>
  <si>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</si>
  <si>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</si>
  <si>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</si>
  <si>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</si>
  <si>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</si>
  <si>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</si>
  <si>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</si>
  <si>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</si>
  <si>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</si>
  <si>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</si>
  <si>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</si>
  <si>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</si>
  <si>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</si>
  <si>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</si>
  <si>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</si>
  <si>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</si>
  <si>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</si>
  <si>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</si>
  <si>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</si>
  <si>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</si>
  <si>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</si>
  <si>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</si>
  <si>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</si>
  <si>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</si>
  <si>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</si>
  <si>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</si>
  <si>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</si>
  <si>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</si>
  <si>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</si>
  <si>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</si>
  <si>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</si>
  <si>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</si>
  <si>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</si>
  <si>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</si>
  <si>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</si>
  <si>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</si>
  <si>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</si>
  <si>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</si>
  <si>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</si>
  <si>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</si>
  <si>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</si>
  <si>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</si>
  <si>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</si>
  <si>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</si>
  <si>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</si>
  <si>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</si>
  <si>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</si>
  <si>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</si>
  <si>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</si>
  <si>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</si>
  <si>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</si>
  <si>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</si>
  <si>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</si>
  <si>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</si>
  <si>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</si>
  <si>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</si>
  <si>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</si>
  <si>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</si>
  <si>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</si>
  <si>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</si>
  <si>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</si>
  <si>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</si>
  <si>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</si>
  <si>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</si>
  <si>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</si>
  <si>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</si>
  <si>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</si>
  <si>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</si>
  <si>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</si>
  <si>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</si>
  <si>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</si>
  <si>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</si>
  <si>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</si>
  <si>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</si>
  <si>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</si>
  <si>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</si>
  <si>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</si>
  <si>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</si>
  <si>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</si>
  <si>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</si>
  <si>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</si>
  <si>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</si>
  <si>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</si>
  <si>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</si>
  <si>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</si>
  <si>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</si>
  <si>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</si>
  <si>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</si>
  <si>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</si>
  <si>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</si>
  <si>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</si>
  <si>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</si>
  <si>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</si>
  <si>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</si>
  <si>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</si>
  <si>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</si>
  <si>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</si>
  <si>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</si>
  <si>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</si>
  <si>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</si>
  <si>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</si>
  <si>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</si>
  <si>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</si>
  <si>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</si>
  <si>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</si>
  <si>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</si>
  <si>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</si>
  <si>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</si>
  <si>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</si>
  <si>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</si>
  <si>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</si>
  <si>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</si>
  <si>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</si>
  <si>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</si>
  <si>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</si>
  <si>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</si>
  <si>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</si>
  <si>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</si>
  <si>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</si>
  <si>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</si>
  <si>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</si>
  <si>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</si>
  <si>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</si>
  <si>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</si>
  <si>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</si>
  <si>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</si>
  <si>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</si>
  <si>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</si>
  <si>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</si>
  <si>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</si>
  <si>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</si>
  <si>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</si>
  <si>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</si>
  <si>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</si>
  <si>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</si>
  <si>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</si>
  <si>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</si>
  <si>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</si>
  <si>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</si>
  <si>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</si>
  <si>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</si>
  <si>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</si>
  <si>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</si>
  <si>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</si>
  <si>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</si>
  <si>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</si>
  <si>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</si>
  <si>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</si>
  <si>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</si>
  <si>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</si>
  <si>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</si>
  <si>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</si>
  <si>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</si>
  <si>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</si>
  <si>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</si>
  <si>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</si>
  <si>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</si>
  <si>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</si>
  <si>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</si>
  <si>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</si>
  <si>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</si>
  <si>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</si>
  <si>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</si>
  <si>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</si>
  <si>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</si>
  <si>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</si>
  <si>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</si>
  <si>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</si>
  <si>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</si>
  <si>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</si>
  <si>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</si>
  <si>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</si>
  <si>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</si>
  <si>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</si>
  <si>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</si>
  <si>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</si>
  <si>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</si>
  <si>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</si>
  <si>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</si>
  <si>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</si>
  <si>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</si>
  <si>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</si>
  <si>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</si>
  <si>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</si>
  <si>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</si>
  <si>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</si>
  <si>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</si>
  <si>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</si>
  <si>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</si>
  <si>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</si>
  <si>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</si>
  <si>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</si>
  <si>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</si>
  <si>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</si>
  <si>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</si>
  <si>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</si>
  <si>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</si>
  <si>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</si>
  <si>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</si>
  <si>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</si>
  <si>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</si>
  <si>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</si>
  <si>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</si>
  <si>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</si>
  <si>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</si>
  <si>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</si>
  <si>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</si>
  <si>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</si>
  <si>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</si>
  <si>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</si>
  <si>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</si>
  <si>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</si>
  <si>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</si>
  <si>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</si>
  <si>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</si>
  <si>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</si>
  <si>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</si>
  <si>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</si>
  <si>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</si>
  <si>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</si>
  <si>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</si>
  <si>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</si>
  <si>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</si>
  <si>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</si>
  <si>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</si>
  <si>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</si>
  <si>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</si>
  <si>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</si>
  <si>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</si>
  <si>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</si>
  <si>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</si>
  <si>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</si>
  <si>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</si>
  <si>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</si>
  <si>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</si>
  <si>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</si>
  <si>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</si>
  <si>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</si>
  <si>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</si>
  <si>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</si>
  <si>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</si>
  <si>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</si>
  <si>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</si>
  <si>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</si>
  <si>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</si>
  <si>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</si>
  <si>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</si>
  <si>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</si>
  <si>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</si>
  <si>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</si>
  <si>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</si>
  <si>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</si>
  <si>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</si>
  <si>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</si>
  <si>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</si>
  <si>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</si>
  <si>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</si>
  <si>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</si>
  <si>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</si>
  <si>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</si>
  <si>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</si>
  <si>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</si>
  <si>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</si>
  <si>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</si>
  <si>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</si>
  <si>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</si>
  <si>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</si>
  <si>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</si>
  <si>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</si>
  <si>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</si>
  <si>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</si>
  <si>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</si>
  <si>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</si>
  <si>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</si>
  <si>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</si>
  <si>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</si>
  <si>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</si>
  <si>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</si>
  <si>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</si>
  <si>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</si>
  <si>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</si>
  <si>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</si>
  <si>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</si>
  <si>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</si>
  <si>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</si>
  <si>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</si>
  <si>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</si>
  <si>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</si>
  <si>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</si>
  <si>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</si>
  <si>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</si>
  <si>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</si>
  <si>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</si>
  <si>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</si>
  <si>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</si>
  <si>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</si>
  <si>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</si>
  <si>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</si>
  <si>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</si>
  <si>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</si>
  <si>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</si>
  <si>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</si>
  <si>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</si>
  <si>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</si>
  <si>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</si>
  <si>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</si>
  <si>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</si>
  <si>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</si>
  <si>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</si>
  <si>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</si>
  <si>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</si>
  <si>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</si>
  <si>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</si>
  <si>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</si>
  <si>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</si>
  <si>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</si>
  <si>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</si>
  <si>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ENVIADO</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</si>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</sst>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indexed="81"/>
      <name val="Tahoma"/>
      <charset val="1"/>
    </font>
  </fonts>
  <fills count="18">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s>
  <cellStyleXfs count="2">
    <xf numFmtId="0" fontId="0" fillId="0" borderId="0"/>
    <xf numFmtId="0" fontId="13" fillId="0" borderId="0"/>
  </cellStyleXfs>
  <cellXfs count="98">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0" fontId="17" fillId="0" borderId="0" xfId="0" applyFont="1"/>
    <xf numFmtId="3" fontId="3" fillId="0" borderId="1" xfId="0" applyNumberFormat="1" applyFont="1" applyBorder="1"/>
    <xf numFmtId="3" fontId="3" fillId="0" borderId="8" xfId="0" applyNumberFormat="1" applyFont="1" applyBorder="1"/>
    <xf numFmtId="0" fontId="3" fillId="0" borderId="8" xfId="0" applyFont="1" applyBorder="1"/>
    <xf numFmtId="3" fontId="3" fillId="0" borderId="2" xfId="0" applyNumberFormat="1" applyFont="1" applyBorder="1"/>
    <xf numFmtId="3" fontId="3" fillId="0" borderId="9"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0" borderId="2" xfId="0" applyFont="1" applyBorder="1" applyAlignment="1">
      <alignment wrapText="1"/>
    </xf>
    <xf numFmtId="0" fontId="14" fillId="0" borderId="1" xfId="0" applyFont="1" applyBorder="1" applyAlignment="1">
      <alignment horizontal="center"/>
    </xf>
    <xf numFmtId="0" fontId="14" fillId="0" borderId="2" xfId="0" applyFont="1" applyBorder="1" applyAlignment="1">
      <alignment horizontal="center"/>
    </xf>
    <xf numFmtId="0" fontId="14" fillId="0" borderId="2" xfId="0" applyFont="1" applyBorder="1" applyAlignment="1">
      <alignment horizontal="left"/>
    </xf>
    <xf numFmtId="0" fontId="14" fillId="6" borderId="1" xfId="0" applyFont="1" applyFill="1" applyBorder="1" applyAlignment="1">
      <alignment horizontal="center"/>
    </xf>
    <xf numFmtId="0" fontId="14" fillId="6" borderId="2" xfId="0" applyFont="1" applyFill="1" applyBorder="1" applyAlignment="1">
      <alignment horizontal="center"/>
    </xf>
    <xf numFmtId="0" fontId="12" fillId="9" borderId="10" xfId="0" applyFont="1" applyFill="1" applyBorder="1"/>
    <xf numFmtId="0" fontId="0" fillId="9" borderId="10" xfId="0" applyFill="1" applyBorder="1"/>
    <xf numFmtId="0" fontId="10" fillId="9" borderId="10" xfId="0" applyFont="1" applyFill="1" applyBorder="1" applyAlignment="1">
      <alignment horizontal="center"/>
    </xf>
    <xf numFmtId="0" fontId="0" fillId="9" borderId="10" xfId="0" applyFill="1" applyBorder="1" applyAlignment="1">
      <alignment horizontal="center"/>
    </xf>
    <xf numFmtId="0" fontId="11" fillId="0" borderId="14" xfId="0" applyFont="1" applyBorder="1"/>
    <xf numFmtId="0" fontId="20" fillId="0" borderId="0" xfId="0" applyFont="1" applyAlignment="1">
      <alignment horizontal="left" vertical="center" wrapText="1"/>
    </xf>
    <xf numFmtId="164" fontId="0" fillId="6" borderId="1" xfId="0" applyNumberFormat="1" applyFill="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4" fillId="5" borderId="1" xfId="0" applyFont="1" applyFill="1" applyBorder="1" applyAlignment="1">
      <alignment horizontal="center"/>
    </xf>
    <xf numFmtId="0" fontId="10" fillId="9" borderId="10" xfId="0" applyFont="1" applyFill="1" applyBorder="1"/>
    <xf numFmtId="0" fontId="10" fillId="9" borderId="11" xfId="0" applyFont="1" applyFill="1" applyBorder="1"/>
    <xf numFmtId="0" fontId="20" fillId="9" borderId="12" xfId="0" applyFont="1" applyFill="1" applyBorder="1" applyAlignment="1">
      <alignment horizontal="left" vertical="center" wrapText="1"/>
    </xf>
    <xf numFmtId="0" fontId="10" fillId="9" borderId="8" xfId="0" applyFont="1" applyFill="1" applyBorder="1"/>
    <xf numFmtId="0" fontId="20" fillId="9" borderId="12" xfId="0" applyFont="1" applyFill="1" applyBorder="1" applyAlignment="1">
      <alignment horizontal="center" vertical="center" wrapText="1"/>
    </xf>
    <xf numFmtId="0" fontId="10" fillId="9" borderId="2" xfId="0" applyFont="1" applyFill="1" applyBorder="1"/>
    <xf numFmtId="0" fontId="14" fillId="5" borderId="2" xfId="0" applyFont="1" applyFill="1" applyBorder="1" applyAlignment="1">
      <alignment horizontal="center"/>
    </xf>
    <xf numFmtId="164" fontId="0" fillId="5" borderId="1" xfId="0" applyNumberFormat="1" applyFill="1" applyBorder="1"/>
  </cellXfs>
  <cellStyles count="2">
    <cellStyle name="Normal" xfId="0" builtinId="0"/>
    <cellStyle name="Normal 2 2" xfId="1" xr:uid="{BBAC9C38-E6FF-4A4E-98C5-89F45FD601CF}"/>
  </cellStyles>
  <dxfs count="79">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 displayName="Penelope Talia Villanueva Rodriguez" id="{3204B8C3-38FE-4C8A-9CA4-17FDA43CB1BF}" userId="S::penelope.villanueva@imssbienestar.gob.mx::bceb7122-6a31-4c15-8e4c-b871921e0590"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379D517B-B225-4035-B846-7CA10E64F3EF}">
    <text>¡NOTA IMPORTANTE!
1. Al agregar un nuevo hospital es importante llenar todos los campos necesarios.
2. No dejar filas filtradas.
3. No ocultar columnas ni filas.</text>
  </threadedComment>
  <threadedComment ref="F602" dT="2026-06-17T01:21:33.31" personId="{0E7B108A-53C5-4565-83D9-CBA790F4A4FB}" id="{04812820-69D2-4A95-AA59-151882688377}">
    <text>NO ESTA EN OAXACA, ESTA EN ESTADO DE MÉXICO</text>
  </threadedComment>
</ThreadedComments>
</file>

<file path=xl/threadedComments/threadedComment2.xml><?xml version="1.0" encoding="utf-8"?>
<ThreadedComments xmlns="http://schemas.microsoft.com/office/spreadsheetml/2018/threadedcomments" xmlns:x="http://schemas.openxmlformats.org/spreadsheetml/2006/main">
  <threadedComment ref="D4" dT="2026-06-09T00:10:19.68" personId="{3204B8C3-38FE-4C8A-9CA4-17FDA43CB1BF}" id="{C8B3C7CB-E79C-4600-9CB7-F6450F2AF430}">
    <text>Entregado el viernes 5 de junio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15"/>
  <sheetViews>
    <sheetView tabSelected="1" zoomScale="84" zoomScaleNormal="84" workbookViewId="0">
      <pane xSplit="1" ySplit="1" topLeftCell="G2" activePane="bottomRight" state="frozen"/>
      <selection pane="topRight" activeCell="B1" sqref="B1"/>
      <selection pane="bottomLeft" activeCell="A2" sqref="A2"/>
      <selection pane="bottomRight" activeCell="S4" sqref="S4"/>
    </sheetView>
  </sheetViews>
  <sheetFormatPr baseColWidth="10" defaultRowHeight="14.4" x14ac:dyDescent="0.3"/>
  <cols>
    <col min="6" max="6" width="50.109375" customWidth="1"/>
    <col min="18" max="18" width="13.109375" bestFit="1" customWidth="1"/>
  </cols>
  <sheetData>
    <row r="1" spans="1:28" ht="25.2" customHeight="1"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74" t="s">
        <v>34</v>
      </c>
      <c r="T2" s="74" t="s">
        <v>35</v>
      </c>
      <c r="U2" s="74" t="s">
        <v>35</v>
      </c>
      <c r="V2" s="74" t="s">
        <v>35</v>
      </c>
      <c r="W2" s="74" t="s">
        <v>35</v>
      </c>
      <c r="X2" s="74" t="s">
        <v>36</v>
      </c>
      <c r="Y2" s="74" t="s">
        <v>74</v>
      </c>
      <c r="Z2" s="74" t="s">
        <v>37</v>
      </c>
      <c r="AA2" s="75"/>
      <c r="AB2" s="30">
        <f t="shared" ref="AB2:AB65" si="0">(
IF(S2="ENVIADO A LA CE/UM",1/3,IF(S2="ENTREGADO/REVISIÓN",2/3,IF(S2="ENVIADO A TICS",1,0)))+
IF(T2="EN PROCESO",0,IF(T2="CONCLUIDO",1,0))+
IF(U2="ENVIADO A LA CE/UM",1/3,IF(U2="EN REVISIÓN CENTRAL",2/3,IF(U2="CONCLUIDO",1,0)))+
IF(V2="ENVIADO A LA CE/UM",1/3,IF(V2="EN REVISIÓN CENTRAL",2/3,IF(V2="CONCLUIDO",1,0)))+
IF(W2="ENVIADO",1/3,IF(W2="EN PROCESO",2/3,IF(W2="CONCLUIDO",1,0)))+
IF(X2="PROGRAMADAS",0,IF(X2="CONCLUIDAS",1,0))+
IF(Y2="SI",1,IF(Y2="NO",0,0))+
IF(Z2="SI",1,IF(Z2="NO",0,0))
)/8</f>
        <v>0.875</v>
      </c>
    </row>
    <row r="3" spans="1:28" x14ac:dyDescent="0.3">
      <c r="A3" s="34" t="s">
        <v>24</v>
      </c>
      <c r="B3" s="37" t="s">
        <v>25</v>
      </c>
      <c r="C3" s="34" t="s">
        <v>26</v>
      </c>
      <c r="D3" s="33" t="s">
        <v>1775</v>
      </c>
      <c r="E3" s="34" t="s">
        <v>27</v>
      </c>
      <c r="F3" s="34" t="s">
        <v>28</v>
      </c>
      <c r="G3" s="34" t="s">
        <v>29</v>
      </c>
      <c r="H3" s="37">
        <v>1</v>
      </c>
      <c r="I3" s="34" t="s">
        <v>30</v>
      </c>
      <c r="J3" s="34" t="s">
        <v>31</v>
      </c>
      <c r="K3" s="34" t="s">
        <v>32</v>
      </c>
      <c r="L3" s="34" t="s">
        <v>1755</v>
      </c>
      <c r="M3" s="34" t="s">
        <v>33</v>
      </c>
      <c r="N3" s="49">
        <v>7</v>
      </c>
      <c r="O3" s="50">
        <v>2</v>
      </c>
      <c r="P3" s="51">
        <v>23</v>
      </c>
      <c r="Q3" s="52">
        <v>16.556405000000002</v>
      </c>
      <c r="R3" s="52">
        <v>-92.815190999999999</v>
      </c>
      <c r="S3" s="74" t="s">
        <v>34</v>
      </c>
      <c r="T3" s="74" t="s">
        <v>35</v>
      </c>
      <c r="U3" s="74" t="s">
        <v>35</v>
      </c>
      <c r="V3" s="74" t="s">
        <v>35</v>
      </c>
      <c r="W3" s="74" t="s">
        <v>35</v>
      </c>
      <c r="X3" s="74" t="s">
        <v>36</v>
      </c>
      <c r="Y3" s="74" t="s">
        <v>37</v>
      </c>
      <c r="Z3" s="74" t="s">
        <v>37</v>
      </c>
      <c r="AA3" s="75"/>
      <c r="AB3" s="30">
        <f t="shared" si="0"/>
        <v>1</v>
      </c>
    </row>
    <row r="4" spans="1:28" x14ac:dyDescent="0.3">
      <c r="A4" s="34" t="s">
        <v>38</v>
      </c>
      <c r="B4" s="37" t="s">
        <v>25</v>
      </c>
      <c r="C4" s="34" t="s">
        <v>26</v>
      </c>
      <c r="D4" s="33" t="s">
        <v>1775</v>
      </c>
      <c r="E4" s="34" t="s">
        <v>39</v>
      </c>
      <c r="F4" s="34" t="s">
        <v>40</v>
      </c>
      <c r="G4" s="34" t="s">
        <v>29</v>
      </c>
      <c r="H4" s="37">
        <v>1</v>
      </c>
      <c r="I4" s="34" t="s">
        <v>30</v>
      </c>
      <c r="J4" s="34" t="s">
        <v>31</v>
      </c>
      <c r="K4" s="34" t="s">
        <v>32</v>
      </c>
      <c r="L4" s="34" t="s">
        <v>1755</v>
      </c>
      <c r="M4" s="34" t="s">
        <v>33</v>
      </c>
      <c r="N4" s="49">
        <v>3</v>
      </c>
      <c r="O4" s="50">
        <v>2</v>
      </c>
      <c r="P4" s="51">
        <v>19</v>
      </c>
      <c r="Q4" s="52">
        <v>15.872464000000001</v>
      </c>
      <c r="R4" s="52">
        <v>-92.716949999999997</v>
      </c>
      <c r="S4" s="74" t="s">
        <v>34</v>
      </c>
      <c r="T4" s="74" t="s">
        <v>35</v>
      </c>
      <c r="U4" s="74" t="s">
        <v>35</v>
      </c>
      <c r="V4" s="74" t="s">
        <v>35</v>
      </c>
      <c r="W4" s="74" t="s">
        <v>35</v>
      </c>
      <c r="X4" s="74" t="s">
        <v>36</v>
      </c>
      <c r="Y4" s="74" t="s">
        <v>37</v>
      </c>
      <c r="Z4" s="74" t="s">
        <v>37</v>
      </c>
      <c r="AA4" s="75"/>
      <c r="AB4" s="30">
        <f t="shared" si="0"/>
        <v>1</v>
      </c>
    </row>
    <row r="5" spans="1:28" x14ac:dyDescent="0.3">
      <c r="A5" s="34" t="s">
        <v>41</v>
      </c>
      <c r="B5" s="37" t="s">
        <v>25</v>
      </c>
      <c r="C5" s="34" t="s">
        <v>26</v>
      </c>
      <c r="D5" s="33" t="s">
        <v>1775</v>
      </c>
      <c r="E5" s="34" t="s">
        <v>42</v>
      </c>
      <c r="F5" s="34" t="s">
        <v>43</v>
      </c>
      <c r="G5" s="34" t="s">
        <v>29</v>
      </c>
      <c r="H5" s="37">
        <v>1</v>
      </c>
      <c r="I5" s="34" t="s">
        <v>30</v>
      </c>
      <c r="J5" s="34" t="s">
        <v>31</v>
      </c>
      <c r="K5" s="34" t="s">
        <v>32</v>
      </c>
      <c r="L5" s="34" t="s">
        <v>1755</v>
      </c>
      <c r="M5" s="34" t="s">
        <v>33</v>
      </c>
      <c r="N5" s="49">
        <v>11</v>
      </c>
      <c r="O5" s="50">
        <v>2</v>
      </c>
      <c r="P5" s="51">
        <v>20</v>
      </c>
      <c r="Q5" s="52">
        <v>16.681322999999999</v>
      </c>
      <c r="R5" s="52">
        <v>-93.730085000000003</v>
      </c>
      <c r="S5" s="74" t="s">
        <v>34</v>
      </c>
      <c r="T5" s="74" t="s">
        <v>35</v>
      </c>
      <c r="U5" s="74" t="s">
        <v>35</v>
      </c>
      <c r="V5" s="74" t="s">
        <v>35</v>
      </c>
      <c r="W5" s="74" t="s">
        <v>35</v>
      </c>
      <c r="X5" s="74" t="s">
        <v>36</v>
      </c>
      <c r="Y5" s="74" t="s">
        <v>37</v>
      </c>
      <c r="Z5" s="74" t="s">
        <v>37</v>
      </c>
      <c r="AA5" s="75"/>
      <c r="AB5" s="30">
        <f t="shared" si="0"/>
        <v>1</v>
      </c>
    </row>
    <row r="6" spans="1:28" x14ac:dyDescent="0.3">
      <c r="A6" s="34" t="s">
        <v>44</v>
      </c>
      <c r="B6" s="37" t="s">
        <v>25</v>
      </c>
      <c r="C6" s="34" t="s">
        <v>26</v>
      </c>
      <c r="D6" s="33" t="s">
        <v>1775</v>
      </c>
      <c r="E6" s="34" t="s">
        <v>45</v>
      </c>
      <c r="F6" s="34" t="s">
        <v>46</v>
      </c>
      <c r="G6" s="34" t="s">
        <v>29</v>
      </c>
      <c r="H6" s="37">
        <v>1</v>
      </c>
      <c r="I6" s="34" t="s">
        <v>30</v>
      </c>
      <c r="J6" s="34" t="s">
        <v>31</v>
      </c>
      <c r="K6" s="34" t="s">
        <v>32</v>
      </c>
      <c r="L6" s="34" t="s">
        <v>1755</v>
      </c>
      <c r="M6" s="34" t="s">
        <v>33</v>
      </c>
      <c r="N6" s="49">
        <v>11</v>
      </c>
      <c r="O6" s="50">
        <v>1</v>
      </c>
      <c r="P6" s="51">
        <v>9</v>
      </c>
      <c r="Q6" s="52">
        <v>16.320459</v>
      </c>
      <c r="R6" s="52">
        <v>-91.977010000000007</v>
      </c>
      <c r="S6" s="74" t="s">
        <v>34</v>
      </c>
      <c r="T6" s="74" t="s">
        <v>35</v>
      </c>
      <c r="U6" s="74" t="s">
        <v>35</v>
      </c>
      <c r="V6" s="74" t="s">
        <v>35</v>
      </c>
      <c r="W6" s="74" t="s">
        <v>35</v>
      </c>
      <c r="X6" s="74" t="s">
        <v>36</v>
      </c>
      <c r="Y6" s="74" t="s">
        <v>37</v>
      </c>
      <c r="Z6" s="74" t="s">
        <v>37</v>
      </c>
      <c r="AA6" s="75"/>
      <c r="AB6" s="30">
        <f t="shared" si="0"/>
        <v>1</v>
      </c>
    </row>
    <row r="7" spans="1:28" x14ac:dyDescent="0.3">
      <c r="A7" s="34" t="s">
        <v>47</v>
      </c>
      <c r="B7" s="37" t="s">
        <v>25</v>
      </c>
      <c r="C7" s="34" t="s">
        <v>26</v>
      </c>
      <c r="D7" s="33" t="s">
        <v>1775</v>
      </c>
      <c r="E7" s="34" t="s">
        <v>48</v>
      </c>
      <c r="F7" s="34" t="s">
        <v>49</v>
      </c>
      <c r="G7" s="34" t="s">
        <v>29</v>
      </c>
      <c r="H7" s="37">
        <v>1</v>
      </c>
      <c r="I7" s="34" t="s">
        <v>30</v>
      </c>
      <c r="J7" s="34" t="s">
        <v>31</v>
      </c>
      <c r="K7" s="34" t="s">
        <v>32</v>
      </c>
      <c r="L7" s="34" t="s">
        <v>1755</v>
      </c>
      <c r="M7" s="34" t="s">
        <v>33</v>
      </c>
      <c r="N7" s="49">
        <v>9</v>
      </c>
      <c r="O7" s="50">
        <v>1</v>
      </c>
      <c r="P7" s="51">
        <v>22</v>
      </c>
      <c r="Q7" s="52">
        <v>17.552807000000001</v>
      </c>
      <c r="R7" s="52">
        <v>-92.338727000000006</v>
      </c>
      <c r="S7" s="74" t="s">
        <v>34</v>
      </c>
      <c r="T7" s="74" t="s">
        <v>35</v>
      </c>
      <c r="U7" s="74" t="s">
        <v>35</v>
      </c>
      <c r="V7" s="74" t="s">
        <v>35</v>
      </c>
      <c r="W7" s="74" t="s">
        <v>35</v>
      </c>
      <c r="X7" s="74" t="s">
        <v>36</v>
      </c>
      <c r="Y7" s="74" t="s">
        <v>37</v>
      </c>
      <c r="Z7" s="74" t="s">
        <v>37</v>
      </c>
      <c r="AA7" s="75"/>
      <c r="AB7" s="30">
        <f t="shared" si="0"/>
        <v>1</v>
      </c>
    </row>
    <row r="8" spans="1:28" x14ac:dyDescent="0.3">
      <c r="A8" s="34" t="s">
        <v>50</v>
      </c>
      <c r="B8" s="37" t="s">
        <v>25</v>
      </c>
      <c r="C8" s="33" t="s">
        <v>26</v>
      </c>
      <c r="D8" s="33" t="s">
        <v>1775</v>
      </c>
      <c r="E8" s="34" t="s">
        <v>51</v>
      </c>
      <c r="F8" s="34" t="s">
        <v>52</v>
      </c>
      <c r="G8" s="34" t="s">
        <v>29</v>
      </c>
      <c r="H8" s="37">
        <v>1</v>
      </c>
      <c r="I8" s="34" t="s">
        <v>30</v>
      </c>
      <c r="J8" s="34" t="s">
        <v>31</v>
      </c>
      <c r="K8" s="34" t="s">
        <v>32</v>
      </c>
      <c r="L8" s="34" t="s">
        <v>1755</v>
      </c>
      <c r="M8" s="34" t="s">
        <v>33</v>
      </c>
      <c r="N8" s="49">
        <v>7</v>
      </c>
      <c r="O8" s="50">
        <v>1</v>
      </c>
      <c r="P8" s="51">
        <v>28</v>
      </c>
      <c r="Q8" s="52">
        <v>17.313151000000001</v>
      </c>
      <c r="R8" s="52">
        <v>-92.428340000000006</v>
      </c>
      <c r="S8" s="74" t="s">
        <v>34</v>
      </c>
      <c r="T8" s="74" t="s">
        <v>35</v>
      </c>
      <c r="U8" s="74" t="s">
        <v>35</v>
      </c>
      <c r="V8" s="74" t="s">
        <v>35</v>
      </c>
      <c r="W8" s="74" t="s">
        <v>35</v>
      </c>
      <c r="X8" s="74" t="s">
        <v>36</v>
      </c>
      <c r="Y8" s="74" t="s">
        <v>37</v>
      </c>
      <c r="Z8" s="74" t="s">
        <v>37</v>
      </c>
      <c r="AA8" s="75"/>
      <c r="AB8" s="30">
        <f t="shared" si="0"/>
        <v>1</v>
      </c>
    </row>
    <row r="9" spans="1:28" x14ac:dyDescent="0.3">
      <c r="A9" s="34" t="s">
        <v>53</v>
      </c>
      <c r="B9" s="37" t="s">
        <v>25</v>
      </c>
      <c r="C9" s="34" t="s">
        <v>26</v>
      </c>
      <c r="D9" s="33" t="s">
        <v>1775</v>
      </c>
      <c r="E9" s="34" t="s">
        <v>54</v>
      </c>
      <c r="F9" s="34" t="s">
        <v>55</v>
      </c>
      <c r="G9" s="34" t="s">
        <v>29</v>
      </c>
      <c r="H9" s="37">
        <v>1</v>
      </c>
      <c r="I9" s="34" t="s">
        <v>30</v>
      </c>
      <c r="J9" s="34" t="s">
        <v>31</v>
      </c>
      <c r="K9" s="34" t="s">
        <v>32</v>
      </c>
      <c r="L9" s="34" t="s">
        <v>1755</v>
      </c>
      <c r="M9" s="34" t="s">
        <v>33</v>
      </c>
      <c r="N9" s="49">
        <v>10</v>
      </c>
      <c r="O9" s="50">
        <v>2</v>
      </c>
      <c r="P9" s="51">
        <v>21</v>
      </c>
      <c r="Q9" s="52">
        <v>16.807812999999999</v>
      </c>
      <c r="R9" s="52">
        <v>-93.279999000000004</v>
      </c>
      <c r="S9" s="74" t="s">
        <v>34</v>
      </c>
      <c r="T9" s="74" t="s">
        <v>35</v>
      </c>
      <c r="U9" s="74" t="s">
        <v>35</v>
      </c>
      <c r="V9" s="74" t="s">
        <v>35</v>
      </c>
      <c r="W9" s="74" t="s">
        <v>35</v>
      </c>
      <c r="X9" s="74" t="s">
        <v>36</v>
      </c>
      <c r="Y9" s="74" t="s">
        <v>37</v>
      </c>
      <c r="Z9" s="74" t="s">
        <v>37</v>
      </c>
      <c r="AA9" s="75"/>
      <c r="AB9" s="30">
        <f t="shared" si="0"/>
        <v>1</v>
      </c>
    </row>
    <row r="10" spans="1:28" x14ac:dyDescent="0.3">
      <c r="A10" s="34" t="s">
        <v>56</v>
      </c>
      <c r="B10" s="37" t="s">
        <v>25</v>
      </c>
      <c r="C10" s="34" t="s">
        <v>26</v>
      </c>
      <c r="D10" s="33" t="s">
        <v>1775</v>
      </c>
      <c r="E10" s="34" t="s">
        <v>57</v>
      </c>
      <c r="F10" s="34" t="s">
        <v>58</v>
      </c>
      <c r="G10" s="48" t="s">
        <v>29</v>
      </c>
      <c r="H10" s="37">
        <v>1</v>
      </c>
      <c r="I10" s="34" t="s">
        <v>30</v>
      </c>
      <c r="J10" s="34" t="s">
        <v>31</v>
      </c>
      <c r="K10" s="34" t="s">
        <v>32</v>
      </c>
      <c r="L10" s="34" t="s">
        <v>1755</v>
      </c>
      <c r="M10" s="34" t="s">
        <v>33</v>
      </c>
      <c r="N10" s="49">
        <v>7</v>
      </c>
      <c r="O10" s="50">
        <v>0</v>
      </c>
      <c r="P10" s="51">
        <v>20</v>
      </c>
      <c r="Q10" s="52">
        <v>17.134391999999998</v>
      </c>
      <c r="R10" s="52">
        <v>-92.719601999999995</v>
      </c>
      <c r="S10" s="74" t="s">
        <v>34</v>
      </c>
      <c r="T10" s="74" t="s">
        <v>35</v>
      </c>
      <c r="U10" s="74" t="s">
        <v>35</v>
      </c>
      <c r="V10" s="74" t="s">
        <v>35</v>
      </c>
      <c r="W10" s="74" t="s">
        <v>35</v>
      </c>
      <c r="X10" s="74" t="s">
        <v>36</v>
      </c>
      <c r="Y10" s="74" t="s">
        <v>37</v>
      </c>
      <c r="Z10" s="74" t="s">
        <v>37</v>
      </c>
      <c r="AA10" s="75"/>
      <c r="AB10" s="30">
        <f t="shared" si="0"/>
        <v>1</v>
      </c>
    </row>
    <row r="11" spans="1:28" x14ac:dyDescent="0.3">
      <c r="A11" s="34" t="s">
        <v>59</v>
      </c>
      <c r="B11" s="37" t="s">
        <v>25</v>
      </c>
      <c r="C11" s="34" t="s">
        <v>26</v>
      </c>
      <c r="D11" s="33" t="s">
        <v>1775</v>
      </c>
      <c r="E11" s="34" t="s">
        <v>60</v>
      </c>
      <c r="F11" s="34" t="s">
        <v>61</v>
      </c>
      <c r="G11" s="48" t="s">
        <v>29</v>
      </c>
      <c r="H11" s="37">
        <v>1</v>
      </c>
      <c r="I11" s="34" t="s">
        <v>30</v>
      </c>
      <c r="J11" s="34" t="s">
        <v>31</v>
      </c>
      <c r="K11" s="34" t="s">
        <v>32</v>
      </c>
      <c r="L11" s="34" t="s">
        <v>1755</v>
      </c>
      <c r="M11" s="34" t="s">
        <v>33</v>
      </c>
      <c r="N11" s="49">
        <v>10</v>
      </c>
      <c r="O11" s="50">
        <v>2</v>
      </c>
      <c r="P11" s="51">
        <v>27</v>
      </c>
      <c r="Q11" s="52">
        <v>16.365531000000001</v>
      </c>
      <c r="R11" s="52">
        <v>-92.377345000000005</v>
      </c>
      <c r="S11" s="74" t="s">
        <v>34</v>
      </c>
      <c r="T11" s="74" t="s">
        <v>35</v>
      </c>
      <c r="U11" s="74" t="s">
        <v>35</v>
      </c>
      <c r="V11" s="74" t="s">
        <v>35</v>
      </c>
      <c r="W11" s="74" t="s">
        <v>35</v>
      </c>
      <c r="X11" s="74" t="s">
        <v>36</v>
      </c>
      <c r="Y11" s="74" t="s">
        <v>37</v>
      </c>
      <c r="Z11" s="74" t="s">
        <v>37</v>
      </c>
      <c r="AA11" s="75"/>
      <c r="AB11" s="30">
        <f t="shared" si="0"/>
        <v>1</v>
      </c>
    </row>
    <row r="12" spans="1:28" x14ac:dyDescent="0.3">
      <c r="A12" s="34" t="s">
        <v>62</v>
      </c>
      <c r="B12" s="37" t="s">
        <v>25</v>
      </c>
      <c r="C12" s="34" t="s">
        <v>26</v>
      </c>
      <c r="D12" s="33" t="s">
        <v>1775</v>
      </c>
      <c r="E12" s="34" t="s">
        <v>63</v>
      </c>
      <c r="F12" s="34" t="s">
        <v>64</v>
      </c>
      <c r="G12" s="48" t="s">
        <v>29</v>
      </c>
      <c r="H12" s="37">
        <v>1</v>
      </c>
      <c r="I12" s="34" t="s">
        <v>30</v>
      </c>
      <c r="J12" s="34" t="s">
        <v>31</v>
      </c>
      <c r="K12" s="34" t="s">
        <v>32</v>
      </c>
      <c r="L12" s="34" t="s">
        <v>1755</v>
      </c>
      <c r="M12" s="34" t="s">
        <v>33</v>
      </c>
      <c r="N12" s="49">
        <v>10</v>
      </c>
      <c r="O12" s="50">
        <v>2</v>
      </c>
      <c r="P12" s="51">
        <v>24</v>
      </c>
      <c r="Q12" s="52">
        <v>16.720224999999999</v>
      </c>
      <c r="R12" s="52">
        <v>-93.012051</v>
      </c>
      <c r="S12" s="74" t="s">
        <v>34</v>
      </c>
      <c r="T12" s="74" t="s">
        <v>35</v>
      </c>
      <c r="U12" s="74" t="s">
        <v>35</v>
      </c>
      <c r="V12" s="74" t="s">
        <v>35</v>
      </c>
      <c r="W12" s="74" t="s">
        <v>35</v>
      </c>
      <c r="X12" s="74" t="s">
        <v>36</v>
      </c>
      <c r="Y12" s="74" t="s">
        <v>37</v>
      </c>
      <c r="Z12" s="74" t="s">
        <v>37</v>
      </c>
      <c r="AA12" s="75"/>
      <c r="AB12" s="30">
        <f t="shared" si="0"/>
        <v>1</v>
      </c>
    </row>
    <row r="13" spans="1:28" x14ac:dyDescent="0.3">
      <c r="A13" s="34" t="s">
        <v>65</v>
      </c>
      <c r="B13" s="37" t="s">
        <v>25</v>
      </c>
      <c r="C13" s="34" t="s">
        <v>26</v>
      </c>
      <c r="D13" s="33" t="s">
        <v>1775</v>
      </c>
      <c r="E13" s="34" t="s">
        <v>66</v>
      </c>
      <c r="F13" s="34" t="s">
        <v>67</v>
      </c>
      <c r="G13" s="48" t="s">
        <v>29</v>
      </c>
      <c r="H13" s="37">
        <v>1</v>
      </c>
      <c r="I13" s="34" t="s">
        <v>30</v>
      </c>
      <c r="J13" s="34" t="s">
        <v>31</v>
      </c>
      <c r="K13" s="34" t="s">
        <v>32</v>
      </c>
      <c r="L13" s="34" t="s">
        <v>1755</v>
      </c>
      <c r="M13" s="34" t="s">
        <v>33</v>
      </c>
      <c r="N13" s="49">
        <v>8</v>
      </c>
      <c r="O13" s="50">
        <v>1</v>
      </c>
      <c r="P13" s="51">
        <v>17</v>
      </c>
      <c r="Q13" s="52">
        <v>17.377960000000002</v>
      </c>
      <c r="R13" s="52">
        <v>-92.811238000000003</v>
      </c>
      <c r="S13" s="74" t="s">
        <v>34</v>
      </c>
      <c r="T13" s="74" t="s">
        <v>35</v>
      </c>
      <c r="U13" s="74" t="s">
        <v>35</v>
      </c>
      <c r="V13" s="74" t="s">
        <v>35</v>
      </c>
      <c r="W13" s="74" t="s">
        <v>35</v>
      </c>
      <c r="X13" s="74" t="s">
        <v>36</v>
      </c>
      <c r="Y13" s="74" t="s">
        <v>37</v>
      </c>
      <c r="Z13" s="74" t="s">
        <v>37</v>
      </c>
      <c r="AA13" s="75"/>
      <c r="AB13" s="30">
        <f t="shared" si="0"/>
        <v>1</v>
      </c>
    </row>
    <row r="14" spans="1:28" x14ac:dyDescent="0.3">
      <c r="A14" s="34" t="s">
        <v>68</v>
      </c>
      <c r="B14" s="37" t="s">
        <v>25</v>
      </c>
      <c r="C14" s="34" t="s">
        <v>26</v>
      </c>
      <c r="D14" s="33" t="s">
        <v>1775</v>
      </c>
      <c r="E14" s="34" t="s">
        <v>69</v>
      </c>
      <c r="F14" s="34" t="s">
        <v>70</v>
      </c>
      <c r="G14" s="34" t="s">
        <v>29</v>
      </c>
      <c r="H14" s="37">
        <v>1</v>
      </c>
      <c r="I14" s="34" t="s">
        <v>30</v>
      </c>
      <c r="J14" s="34" t="s">
        <v>31</v>
      </c>
      <c r="K14" s="34" t="s">
        <v>32</v>
      </c>
      <c r="L14" s="34" t="s">
        <v>1755</v>
      </c>
      <c r="M14" s="34" t="s">
        <v>33</v>
      </c>
      <c r="N14" s="49">
        <v>6</v>
      </c>
      <c r="O14" s="50">
        <v>2</v>
      </c>
      <c r="P14" s="51">
        <v>17</v>
      </c>
      <c r="Q14" s="52">
        <v>15.453841000000001</v>
      </c>
      <c r="R14" s="52">
        <v>-92.276784000000006</v>
      </c>
      <c r="S14" s="74" t="s">
        <v>34</v>
      </c>
      <c r="T14" s="74" t="s">
        <v>35</v>
      </c>
      <c r="U14" s="74" t="s">
        <v>35</v>
      </c>
      <c r="V14" s="74" t="s">
        <v>35</v>
      </c>
      <c r="W14" s="74" t="s">
        <v>35</v>
      </c>
      <c r="X14" s="74" t="s">
        <v>36</v>
      </c>
      <c r="Y14" s="74" t="s">
        <v>37</v>
      </c>
      <c r="Z14" s="74" t="s">
        <v>37</v>
      </c>
      <c r="AA14" s="75"/>
      <c r="AB14" s="30">
        <f t="shared" si="0"/>
        <v>1</v>
      </c>
    </row>
    <row r="15" spans="1:28" x14ac:dyDescent="0.3">
      <c r="A15" s="34" t="s">
        <v>71</v>
      </c>
      <c r="B15" s="37" t="s">
        <v>25</v>
      </c>
      <c r="C15" s="33" t="s">
        <v>26</v>
      </c>
      <c r="D15" s="33" t="s">
        <v>1775</v>
      </c>
      <c r="E15" s="34" t="s">
        <v>72</v>
      </c>
      <c r="F15" s="34" t="s">
        <v>73</v>
      </c>
      <c r="G15" s="34" t="s">
        <v>29</v>
      </c>
      <c r="H15" s="37">
        <v>1</v>
      </c>
      <c r="I15" s="34" t="s">
        <v>30</v>
      </c>
      <c r="J15" s="34" t="s">
        <v>31</v>
      </c>
      <c r="K15" s="34" t="s">
        <v>32</v>
      </c>
      <c r="L15" s="34" t="s">
        <v>1755</v>
      </c>
      <c r="M15" s="34" t="s">
        <v>33</v>
      </c>
      <c r="N15" s="49">
        <v>10</v>
      </c>
      <c r="O15" s="50">
        <v>2</v>
      </c>
      <c r="P15" s="51">
        <v>31</v>
      </c>
      <c r="Q15" s="52">
        <v>16.166713000000001</v>
      </c>
      <c r="R15" s="52">
        <v>-93.079977</v>
      </c>
      <c r="S15" s="74" t="s">
        <v>34</v>
      </c>
      <c r="T15" s="74" t="s">
        <v>35</v>
      </c>
      <c r="U15" s="74" t="s">
        <v>35</v>
      </c>
      <c r="V15" s="74" t="s">
        <v>35</v>
      </c>
      <c r="W15" s="74" t="s">
        <v>35</v>
      </c>
      <c r="X15" s="74" t="s">
        <v>36</v>
      </c>
      <c r="Y15" s="74" t="s">
        <v>37</v>
      </c>
      <c r="Z15" s="74" t="s">
        <v>74</v>
      </c>
      <c r="AA15" s="75"/>
      <c r="AB15" s="30">
        <f t="shared" si="0"/>
        <v>0.875</v>
      </c>
    </row>
    <row r="16" spans="1:28" x14ac:dyDescent="0.3">
      <c r="A16" s="34" t="s">
        <v>75</v>
      </c>
      <c r="B16" s="37" t="s">
        <v>25</v>
      </c>
      <c r="C16" s="34" t="s">
        <v>26</v>
      </c>
      <c r="D16" s="33" t="s">
        <v>1775</v>
      </c>
      <c r="E16" s="34" t="s">
        <v>76</v>
      </c>
      <c r="F16" s="34" t="s">
        <v>77</v>
      </c>
      <c r="G16" s="34" t="s">
        <v>29</v>
      </c>
      <c r="H16" s="37">
        <v>1</v>
      </c>
      <c r="I16" s="34" t="s">
        <v>30</v>
      </c>
      <c r="J16" s="34" t="s">
        <v>31</v>
      </c>
      <c r="K16" s="34" t="s">
        <v>32</v>
      </c>
      <c r="L16" s="34" t="s">
        <v>1755</v>
      </c>
      <c r="M16" s="34" t="s">
        <v>33</v>
      </c>
      <c r="N16" s="49">
        <v>8</v>
      </c>
      <c r="O16" s="50">
        <v>0</v>
      </c>
      <c r="P16" s="51">
        <v>23</v>
      </c>
      <c r="Q16" s="52">
        <v>17.255877999999999</v>
      </c>
      <c r="R16" s="52">
        <v>-93.017016999999996</v>
      </c>
      <c r="S16" s="74" t="s">
        <v>34</v>
      </c>
      <c r="T16" s="74" t="s">
        <v>35</v>
      </c>
      <c r="U16" s="74" t="s">
        <v>35</v>
      </c>
      <c r="V16" s="74" t="s">
        <v>35</v>
      </c>
      <c r="W16" s="74" t="s">
        <v>35</v>
      </c>
      <c r="X16" s="74" t="s">
        <v>36</v>
      </c>
      <c r="Y16" s="74" t="s">
        <v>37</v>
      </c>
      <c r="Z16" s="74" t="s">
        <v>37</v>
      </c>
      <c r="AA16" s="75"/>
      <c r="AB16" s="30">
        <f t="shared" si="0"/>
        <v>1</v>
      </c>
    </row>
    <row r="17" spans="1:28" x14ac:dyDescent="0.3">
      <c r="A17" s="34" t="s">
        <v>78</v>
      </c>
      <c r="B17" s="37" t="s">
        <v>25</v>
      </c>
      <c r="C17" s="34" t="s">
        <v>26</v>
      </c>
      <c r="D17" s="33" t="s">
        <v>1775</v>
      </c>
      <c r="E17" s="34" t="s">
        <v>79</v>
      </c>
      <c r="F17" s="34" t="s">
        <v>80</v>
      </c>
      <c r="G17" s="34" t="s">
        <v>29</v>
      </c>
      <c r="H17" s="37">
        <v>1</v>
      </c>
      <c r="I17" s="34" t="s">
        <v>30</v>
      </c>
      <c r="J17" s="34" t="s">
        <v>31</v>
      </c>
      <c r="K17" s="34" t="s">
        <v>32</v>
      </c>
      <c r="L17" s="34" t="s">
        <v>1755</v>
      </c>
      <c r="M17" s="34" t="s">
        <v>33</v>
      </c>
      <c r="N17" s="49">
        <v>8</v>
      </c>
      <c r="O17" s="50">
        <v>2</v>
      </c>
      <c r="P17" s="51">
        <v>21</v>
      </c>
      <c r="Q17" s="52">
        <v>16.879071</v>
      </c>
      <c r="R17" s="52">
        <v>-92.714877999999999</v>
      </c>
      <c r="S17" s="74" t="s">
        <v>34</v>
      </c>
      <c r="T17" s="74" t="s">
        <v>35</v>
      </c>
      <c r="U17" s="74" t="s">
        <v>35</v>
      </c>
      <c r="V17" s="74" t="s">
        <v>35</v>
      </c>
      <c r="W17" s="74" t="s">
        <v>35</v>
      </c>
      <c r="X17" s="74" t="s">
        <v>36</v>
      </c>
      <c r="Y17" s="74" t="s">
        <v>37</v>
      </c>
      <c r="Z17" s="74" t="s">
        <v>37</v>
      </c>
      <c r="AA17" s="75"/>
      <c r="AB17" s="30">
        <f t="shared" si="0"/>
        <v>1</v>
      </c>
    </row>
    <row r="18" spans="1:28" x14ac:dyDescent="0.3">
      <c r="A18" s="34" t="s">
        <v>81</v>
      </c>
      <c r="B18" s="37" t="s">
        <v>25</v>
      </c>
      <c r="C18" s="34" t="s">
        <v>26</v>
      </c>
      <c r="D18" s="33" t="s">
        <v>1775</v>
      </c>
      <c r="E18" s="34" t="s">
        <v>82</v>
      </c>
      <c r="F18" s="34" t="s">
        <v>83</v>
      </c>
      <c r="G18" s="34" t="s">
        <v>29</v>
      </c>
      <c r="H18" s="37">
        <v>1</v>
      </c>
      <c r="I18" s="34" t="s">
        <v>30</v>
      </c>
      <c r="J18" s="34" t="s">
        <v>31</v>
      </c>
      <c r="K18" s="34" t="s">
        <v>32</v>
      </c>
      <c r="L18" s="34" t="s">
        <v>1755</v>
      </c>
      <c r="M18" s="34" t="s">
        <v>84</v>
      </c>
      <c r="N18" s="49">
        <v>9</v>
      </c>
      <c r="O18" s="50">
        <v>2</v>
      </c>
      <c r="P18" s="51">
        <v>21</v>
      </c>
      <c r="Q18" s="52">
        <v>17.023199999999999</v>
      </c>
      <c r="R18" s="52">
        <v>-91.419499999999999</v>
      </c>
      <c r="S18" s="74" t="s">
        <v>34</v>
      </c>
      <c r="T18" s="74" t="s">
        <v>35</v>
      </c>
      <c r="U18" s="74" t="s">
        <v>35</v>
      </c>
      <c r="V18" s="74" t="s">
        <v>35</v>
      </c>
      <c r="W18" s="74" t="s">
        <v>35</v>
      </c>
      <c r="X18" s="74" t="s">
        <v>36</v>
      </c>
      <c r="Y18" s="74" t="s">
        <v>37</v>
      </c>
      <c r="Z18" s="74" t="s">
        <v>37</v>
      </c>
      <c r="AA18" s="75"/>
      <c r="AB18" s="30">
        <f t="shared" si="0"/>
        <v>1</v>
      </c>
    </row>
    <row r="19" spans="1:28" x14ac:dyDescent="0.3">
      <c r="A19" s="34" t="s">
        <v>85</v>
      </c>
      <c r="B19" s="37" t="s">
        <v>25</v>
      </c>
      <c r="C19" s="34" t="s">
        <v>26</v>
      </c>
      <c r="D19" s="33" t="s">
        <v>1775</v>
      </c>
      <c r="E19" s="34" t="s">
        <v>86</v>
      </c>
      <c r="F19" s="34" t="s">
        <v>87</v>
      </c>
      <c r="G19" s="34" t="s">
        <v>29</v>
      </c>
      <c r="H19" s="37">
        <v>1</v>
      </c>
      <c r="I19" s="34" t="s">
        <v>30</v>
      </c>
      <c r="J19" s="34" t="s">
        <v>31</v>
      </c>
      <c r="K19" s="34" t="s">
        <v>32</v>
      </c>
      <c r="L19" s="34" t="s">
        <v>1755</v>
      </c>
      <c r="M19" s="34" t="s">
        <v>33</v>
      </c>
      <c r="N19" s="49">
        <v>9</v>
      </c>
      <c r="O19" s="50">
        <v>2</v>
      </c>
      <c r="P19" s="51">
        <v>22</v>
      </c>
      <c r="Q19" s="52">
        <v>15.671072199999999</v>
      </c>
      <c r="R19" s="52">
        <v>-93.211713599999996</v>
      </c>
      <c r="S19" s="74" t="s">
        <v>34</v>
      </c>
      <c r="T19" s="74" t="s">
        <v>35</v>
      </c>
      <c r="U19" s="74" t="s">
        <v>35</v>
      </c>
      <c r="V19" s="74" t="s">
        <v>35</v>
      </c>
      <c r="W19" s="74" t="s">
        <v>35</v>
      </c>
      <c r="X19" s="74" t="s">
        <v>36</v>
      </c>
      <c r="Y19" s="74" t="s">
        <v>37</v>
      </c>
      <c r="Z19" s="74" t="s">
        <v>37</v>
      </c>
      <c r="AA19" s="75"/>
      <c r="AB19" s="30">
        <f t="shared" si="0"/>
        <v>1</v>
      </c>
    </row>
    <row r="20" spans="1:28" x14ac:dyDescent="0.3">
      <c r="A20" s="34" t="s">
        <v>88</v>
      </c>
      <c r="B20" s="37" t="s">
        <v>25</v>
      </c>
      <c r="C20" s="34" t="s">
        <v>26</v>
      </c>
      <c r="D20" s="33" t="s">
        <v>1775</v>
      </c>
      <c r="E20" s="34" t="s">
        <v>89</v>
      </c>
      <c r="F20" s="34" t="s">
        <v>90</v>
      </c>
      <c r="G20" s="34" t="s">
        <v>29</v>
      </c>
      <c r="H20" s="37">
        <v>1</v>
      </c>
      <c r="I20" s="34" t="s">
        <v>30</v>
      </c>
      <c r="J20" s="34" t="s">
        <v>31</v>
      </c>
      <c r="K20" s="34" t="s">
        <v>32</v>
      </c>
      <c r="L20" s="34" t="s">
        <v>1755</v>
      </c>
      <c r="M20" s="34" t="s">
        <v>33</v>
      </c>
      <c r="N20" s="49">
        <v>9</v>
      </c>
      <c r="O20" s="50">
        <v>2</v>
      </c>
      <c r="P20" s="51">
        <v>16</v>
      </c>
      <c r="Q20" s="52">
        <v>16.554808000000001</v>
      </c>
      <c r="R20" s="52">
        <v>-92.475661000000002</v>
      </c>
      <c r="S20" s="74" t="s">
        <v>34</v>
      </c>
      <c r="T20" s="74" t="s">
        <v>35</v>
      </c>
      <c r="U20" s="74" t="s">
        <v>35</v>
      </c>
      <c r="V20" s="74" t="s">
        <v>35</v>
      </c>
      <c r="W20" s="74" t="s">
        <v>35</v>
      </c>
      <c r="X20" s="74" t="s">
        <v>36</v>
      </c>
      <c r="Y20" s="74" t="s">
        <v>37</v>
      </c>
      <c r="Z20" s="74" t="s">
        <v>37</v>
      </c>
      <c r="AA20" s="75"/>
      <c r="AB20" s="30">
        <f t="shared" si="0"/>
        <v>1</v>
      </c>
    </row>
    <row r="21" spans="1:28" x14ac:dyDescent="0.3">
      <c r="A21" s="34" t="s">
        <v>91</v>
      </c>
      <c r="B21" s="37" t="s">
        <v>25</v>
      </c>
      <c r="C21" s="34" t="s">
        <v>26</v>
      </c>
      <c r="D21" s="33" t="s">
        <v>1775</v>
      </c>
      <c r="E21" s="34" t="s">
        <v>92</v>
      </c>
      <c r="F21" s="34" t="s">
        <v>93</v>
      </c>
      <c r="G21" s="34" t="s">
        <v>29</v>
      </c>
      <c r="H21" s="37">
        <v>1</v>
      </c>
      <c r="I21" s="34" t="s">
        <v>30</v>
      </c>
      <c r="J21" s="34" t="s">
        <v>31</v>
      </c>
      <c r="K21" s="34" t="s">
        <v>32</v>
      </c>
      <c r="L21" s="34" t="s">
        <v>1755</v>
      </c>
      <c r="M21" s="34" t="s">
        <v>33</v>
      </c>
      <c r="N21" s="49">
        <v>8</v>
      </c>
      <c r="O21" s="50">
        <v>2</v>
      </c>
      <c r="P21" s="51">
        <v>29</v>
      </c>
      <c r="Q21" s="52">
        <v>15.667289</v>
      </c>
      <c r="R21" s="52">
        <v>-92.132599999999996</v>
      </c>
      <c r="S21" s="74" t="s">
        <v>34</v>
      </c>
      <c r="T21" s="74" t="s">
        <v>35</v>
      </c>
      <c r="U21" s="74" t="s">
        <v>35</v>
      </c>
      <c r="V21" s="74" t="s">
        <v>35</v>
      </c>
      <c r="W21" s="74" t="s">
        <v>35</v>
      </c>
      <c r="X21" s="74" t="s">
        <v>36</v>
      </c>
      <c r="Y21" s="74" t="s">
        <v>37</v>
      </c>
      <c r="Z21" s="74" t="s">
        <v>37</v>
      </c>
      <c r="AA21" s="75"/>
      <c r="AB21" s="30">
        <f t="shared" si="0"/>
        <v>1</v>
      </c>
    </row>
    <row r="22" spans="1:28" x14ac:dyDescent="0.3">
      <c r="A22" s="34" t="s">
        <v>94</v>
      </c>
      <c r="B22" s="37" t="s">
        <v>25</v>
      </c>
      <c r="C22" s="34" t="s">
        <v>26</v>
      </c>
      <c r="D22" s="33" t="s">
        <v>1775</v>
      </c>
      <c r="E22" s="34" t="s">
        <v>95</v>
      </c>
      <c r="F22" s="34" t="s">
        <v>96</v>
      </c>
      <c r="G22" s="34" t="s">
        <v>29</v>
      </c>
      <c r="H22" s="37">
        <v>1</v>
      </c>
      <c r="I22" s="34" t="s">
        <v>30</v>
      </c>
      <c r="J22" s="34" t="s">
        <v>31</v>
      </c>
      <c r="K22" s="34" t="s">
        <v>32</v>
      </c>
      <c r="L22" s="34" t="s">
        <v>1755</v>
      </c>
      <c r="M22" s="34" t="s">
        <v>33</v>
      </c>
      <c r="N22" s="49">
        <v>7</v>
      </c>
      <c r="O22" s="50">
        <v>1</v>
      </c>
      <c r="P22" s="51">
        <v>9</v>
      </c>
      <c r="Q22" s="52">
        <v>16.957888000000001</v>
      </c>
      <c r="R22" s="52">
        <v>-92.619906999999998</v>
      </c>
      <c r="S22" s="74" t="s">
        <v>34</v>
      </c>
      <c r="T22" s="74" t="s">
        <v>35</v>
      </c>
      <c r="U22" s="74" t="s">
        <v>35</v>
      </c>
      <c r="V22" s="74" t="s">
        <v>35</v>
      </c>
      <c r="W22" s="74" t="s">
        <v>35</v>
      </c>
      <c r="X22" s="74" t="s">
        <v>36</v>
      </c>
      <c r="Y22" s="74" t="s">
        <v>37</v>
      </c>
      <c r="Z22" s="74" t="s">
        <v>37</v>
      </c>
      <c r="AA22" s="75"/>
      <c r="AB22" s="30">
        <f t="shared" si="0"/>
        <v>1</v>
      </c>
    </row>
    <row r="23" spans="1:28" x14ac:dyDescent="0.3">
      <c r="A23" s="34" t="s">
        <v>100</v>
      </c>
      <c r="B23" s="37" t="s">
        <v>25</v>
      </c>
      <c r="C23" s="33" t="s">
        <v>26</v>
      </c>
      <c r="D23" s="33" t="s">
        <v>1775</v>
      </c>
      <c r="E23" s="34" t="s">
        <v>101</v>
      </c>
      <c r="F23" s="34" t="s">
        <v>102</v>
      </c>
      <c r="G23" s="48" t="s">
        <v>29</v>
      </c>
      <c r="H23" s="37">
        <v>1</v>
      </c>
      <c r="I23" s="34" t="s">
        <v>30</v>
      </c>
      <c r="J23" s="34" t="s">
        <v>31</v>
      </c>
      <c r="K23" s="34" t="s">
        <v>32</v>
      </c>
      <c r="L23" s="34" t="s">
        <v>1755</v>
      </c>
      <c r="M23" s="34" t="s">
        <v>33</v>
      </c>
      <c r="N23" s="49">
        <v>7</v>
      </c>
      <c r="O23" s="50">
        <v>2</v>
      </c>
      <c r="P23" s="51">
        <v>8</v>
      </c>
      <c r="Q23" s="52">
        <v>16.790454</v>
      </c>
      <c r="R23" s="52">
        <v>-92.343530999999999</v>
      </c>
      <c r="S23" s="74" t="s">
        <v>34</v>
      </c>
      <c r="T23" s="74" t="s">
        <v>35</v>
      </c>
      <c r="U23" s="74" t="s">
        <v>35</v>
      </c>
      <c r="V23" s="74" t="s">
        <v>35</v>
      </c>
      <c r="W23" s="74" t="s">
        <v>35</v>
      </c>
      <c r="X23" s="74" t="s">
        <v>36</v>
      </c>
      <c r="Y23" s="74" t="s">
        <v>37</v>
      </c>
      <c r="Z23" s="74" t="s">
        <v>74</v>
      </c>
      <c r="AA23" s="75"/>
      <c r="AB23" s="30">
        <f t="shared" si="0"/>
        <v>0.875</v>
      </c>
    </row>
    <row r="24" spans="1:28" x14ac:dyDescent="0.3">
      <c r="A24" s="34" t="s">
        <v>103</v>
      </c>
      <c r="B24" s="37" t="s">
        <v>25</v>
      </c>
      <c r="C24" s="34" t="s">
        <v>26</v>
      </c>
      <c r="D24" s="33" t="s">
        <v>1775</v>
      </c>
      <c r="E24" s="34" t="s">
        <v>104</v>
      </c>
      <c r="F24" s="34" t="s">
        <v>105</v>
      </c>
      <c r="G24" s="48" t="s">
        <v>29</v>
      </c>
      <c r="H24" s="37">
        <v>1</v>
      </c>
      <c r="I24" s="34" t="s">
        <v>30</v>
      </c>
      <c r="J24" s="34" t="s">
        <v>31</v>
      </c>
      <c r="K24" s="34" t="s">
        <v>32</v>
      </c>
      <c r="L24" s="34" t="s">
        <v>1755</v>
      </c>
      <c r="M24" s="34" t="s">
        <v>33</v>
      </c>
      <c r="N24" s="49">
        <v>9</v>
      </c>
      <c r="O24" s="50">
        <v>2</v>
      </c>
      <c r="P24" s="51">
        <v>20</v>
      </c>
      <c r="Q24" s="52">
        <v>16.782468000000001</v>
      </c>
      <c r="R24" s="52">
        <v>-92.696190000000001</v>
      </c>
      <c r="S24" s="74" t="s">
        <v>34</v>
      </c>
      <c r="T24" s="74" t="s">
        <v>35</v>
      </c>
      <c r="U24" s="74" t="s">
        <v>35</v>
      </c>
      <c r="V24" s="74" t="s">
        <v>35</v>
      </c>
      <c r="W24" s="74" t="s">
        <v>35</v>
      </c>
      <c r="X24" s="74" t="s">
        <v>36</v>
      </c>
      <c r="Y24" s="74" t="s">
        <v>37</v>
      </c>
      <c r="Z24" s="74" t="s">
        <v>37</v>
      </c>
      <c r="AA24" s="75"/>
      <c r="AB24" s="30">
        <f t="shared" si="0"/>
        <v>1</v>
      </c>
    </row>
    <row r="25" spans="1:28" x14ac:dyDescent="0.3">
      <c r="A25" s="34" t="s">
        <v>106</v>
      </c>
      <c r="B25" s="37" t="s">
        <v>25</v>
      </c>
      <c r="C25" s="34" t="s">
        <v>26</v>
      </c>
      <c r="D25" s="33" t="s">
        <v>1775</v>
      </c>
      <c r="E25" s="34" t="s">
        <v>82</v>
      </c>
      <c r="F25" s="34" t="s">
        <v>107</v>
      </c>
      <c r="G25" s="48" t="s">
        <v>29</v>
      </c>
      <c r="H25" s="37">
        <v>1</v>
      </c>
      <c r="I25" s="34" t="s">
        <v>30</v>
      </c>
      <c r="J25" s="34" t="s">
        <v>31</v>
      </c>
      <c r="K25" s="34" t="s">
        <v>32</v>
      </c>
      <c r="L25" s="34" t="s">
        <v>1755</v>
      </c>
      <c r="M25" s="34" t="s">
        <v>33</v>
      </c>
      <c r="N25" s="49">
        <v>9</v>
      </c>
      <c r="O25" s="50">
        <v>2</v>
      </c>
      <c r="P25" s="51">
        <v>34</v>
      </c>
      <c r="Q25" s="52">
        <v>16.896882999999999</v>
      </c>
      <c r="R25" s="52">
        <v>-92.063021000000006</v>
      </c>
      <c r="S25" s="74" t="s">
        <v>34</v>
      </c>
      <c r="T25" s="74" t="s">
        <v>35</v>
      </c>
      <c r="U25" s="74" t="s">
        <v>35</v>
      </c>
      <c r="V25" s="74" t="s">
        <v>35</v>
      </c>
      <c r="W25" s="74" t="s">
        <v>35</v>
      </c>
      <c r="X25" s="74" t="s">
        <v>36</v>
      </c>
      <c r="Y25" s="74" t="s">
        <v>37</v>
      </c>
      <c r="Z25" s="74" t="s">
        <v>37</v>
      </c>
      <c r="AA25" s="75"/>
      <c r="AB25" s="30">
        <f t="shared" si="0"/>
        <v>1</v>
      </c>
    </row>
    <row r="26" spans="1:28" x14ac:dyDescent="0.3">
      <c r="A26" s="34" t="s">
        <v>108</v>
      </c>
      <c r="B26" s="37" t="s">
        <v>25</v>
      </c>
      <c r="C26" s="34" t="s">
        <v>26</v>
      </c>
      <c r="D26" s="33" t="s">
        <v>1775</v>
      </c>
      <c r="E26" s="34" t="s">
        <v>109</v>
      </c>
      <c r="F26" s="34" t="s">
        <v>110</v>
      </c>
      <c r="G26" s="34" t="s">
        <v>111</v>
      </c>
      <c r="H26" s="37">
        <v>1</v>
      </c>
      <c r="I26" s="34" t="s">
        <v>112</v>
      </c>
      <c r="J26" s="34" t="s">
        <v>31</v>
      </c>
      <c r="K26" s="34" t="s">
        <v>32</v>
      </c>
      <c r="L26" s="34" t="s">
        <v>1755</v>
      </c>
      <c r="M26" s="34" t="s">
        <v>33</v>
      </c>
      <c r="N26" s="49">
        <v>11</v>
      </c>
      <c r="O26" s="50">
        <v>2</v>
      </c>
      <c r="P26" s="51">
        <v>40</v>
      </c>
      <c r="Q26" s="52">
        <v>16.241557</v>
      </c>
      <c r="R26" s="52">
        <v>-93.887718000000007</v>
      </c>
      <c r="S26" s="74" t="s">
        <v>34</v>
      </c>
      <c r="T26" s="74" t="s">
        <v>35</v>
      </c>
      <c r="U26" s="74" t="s">
        <v>35</v>
      </c>
      <c r="V26" s="74" t="s">
        <v>35</v>
      </c>
      <c r="W26" s="74" t="s">
        <v>35</v>
      </c>
      <c r="X26" s="74" t="s">
        <v>36</v>
      </c>
      <c r="Y26" s="74" t="s">
        <v>37</v>
      </c>
      <c r="Z26" s="74" t="s">
        <v>37</v>
      </c>
      <c r="AA26" s="75"/>
      <c r="AB26" s="30">
        <f t="shared" si="0"/>
        <v>1</v>
      </c>
    </row>
    <row r="27" spans="1:28" x14ac:dyDescent="0.3">
      <c r="A27" s="34" t="s">
        <v>113</v>
      </c>
      <c r="B27" s="37" t="s">
        <v>25</v>
      </c>
      <c r="C27" s="34" t="s">
        <v>26</v>
      </c>
      <c r="D27" s="33" t="s">
        <v>1775</v>
      </c>
      <c r="E27" s="34" t="s">
        <v>114</v>
      </c>
      <c r="F27" s="34" t="s">
        <v>115</v>
      </c>
      <c r="G27" s="34" t="s">
        <v>111</v>
      </c>
      <c r="H27" s="37">
        <v>1</v>
      </c>
      <c r="I27" s="34" t="s">
        <v>112</v>
      </c>
      <c r="J27" s="34" t="s">
        <v>31</v>
      </c>
      <c r="K27" s="34" t="s">
        <v>32</v>
      </c>
      <c r="L27" s="34" t="s">
        <v>1755</v>
      </c>
      <c r="M27" s="34" t="s">
        <v>33</v>
      </c>
      <c r="N27" s="49">
        <v>10</v>
      </c>
      <c r="O27" s="50">
        <v>5</v>
      </c>
      <c r="P27" s="51">
        <v>105</v>
      </c>
      <c r="Q27" s="52">
        <v>16.246123999999998</v>
      </c>
      <c r="R27" s="52">
        <v>-92.129626999999999</v>
      </c>
      <c r="S27" s="74" t="s">
        <v>34</v>
      </c>
      <c r="T27" s="74" t="s">
        <v>35</v>
      </c>
      <c r="U27" s="74" t="s">
        <v>35</v>
      </c>
      <c r="V27" s="74" t="s">
        <v>35</v>
      </c>
      <c r="W27" s="74" t="s">
        <v>35</v>
      </c>
      <c r="X27" s="74" t="s">
        <v>36</v>
      </c>
      <c r="Y27" s="74" t="s">
        <v>37</v>
      </c>
      <c r="Z27" s="74" t="s">
        <v>37</v>
      </c>
      <c r="AA27" s="75"/>
      <c r="AB27" s="30">
        <f t="shared" si="0"/>
        <v>1</v>
      </c>
    </row>
    <row r="28" spans="1:28" x14ac:dyDescent="0.3">
      <c r="A28" s="34" t="s">
        <v>116</v>
      </c>
      <c r="B28" s="37" t="s">
        <v>25</v>
      </c>
      <c r="C28" s="34" t="s">
        <v>26</v>
      </c>
      <c r="D28" s="33" t="s">
        <v>1775</v>
      </c>
      <c r="E28" s="34" t="s">
        <v>117</v>
      </c>
      <c r="F28" s="34" t="s">
        <v>118</v>
      </c>
      <c r="G28" s="34" t="s">
        <v>111</v>
      </c>
      <c r="H28" s="37">
        <v>1</v>
      </c>
      <c r="I28" s="34" t="s">
        <v>112</v>
      </c>
      <c r="J28" s="34" t="s">
        <v>31</v>
      </c>
      <c r="K28" s="34" t="s">
        <v>32</v>
      </c>
      <c r="L28" s="34" t="s">
        <v>1755</v>
      </c>
      <c r="M28" s="34" t="s">
        <v>33</v>
      </c>
      <c r="N28" s="49">
        <v>9</v>
      </c>
      <c r="O28" s="50">
        <v>3</v>
      </c>
      <c r="P28" s="51">
        <v>68</v>
      </c>
      <c r="Q28" s="52">
        <v>15.145903000000001</v>
      </c>
      <c r="R28" s="52">
        <v>-92.457536000000005</v>
      </c>
      <c r="S28" s="74" t="s">
        <v>34</v>
      </c>
      <c r="T28" s="74" t="s">
        <v>35</v>
      </c>
      <c r="U28" s="74" t="s">
        <v>35</v>
      </c>
      <c r="V28" s="74" t="s">
        <v>35</v>
      </c>
      <c r="W28" s="74" t="s">
        <v>35</v>
      </c>
      <c r="X28" s="74" t="s">
        <v>36</v>
      </c>
      <c r="Y28" s="74" t="s">
        <v>37</v>
      </c>
      <c r="Z28" s="74" t="s">
        <v>37</v>
      </c>
      <c r="AA28" s="75"/>
      <c r="AB28" s="30">
        <f t="shared" si="0"/>
        <v>1</v>
      </c>
    </row>
    <row r="29" spans="1:28" x14ac:dyDescent="0.3">
      <c r="A29" s="34" t="s">
        <v>119</v>
      </c>
      <c r="B29" s="37" t="s">
        <v>25</v>
      </c>
      <c r="C29" s="34" t="s">
        <v>26</v>
      </c>
      <c r="D29" s="33" t="s">
        <v>1775</v>
      </c>
      <c r="E29" s="34" t="s">
        <v>120</v>
      </c>
      <c r="F29" s="34" t="s">
        <v>121</v>
      </c>
      <c r="G29" s="34" t="s">
        <v>111</v>
      </c>
      <c r="H29" s="37">
        <v>1</v>
      </c>
      <c r="I29" s="34" t="s">
        <v>112</v>
      </c>
      <c r="J29" s="34" t="s">
        <v>31</v>
      </c>
      <c r="K29" s="34" t="s">
        <v>32</v>
      </c>
      <c r="L29" s="34" t="s">
        <v>1755</v>
      </c>
      <c r="M29" s="34" t="s">
        <v>33</v>
      </c>
      <c r="N29" s="49">
        <v>17</v>
      </c>
      <c r="O29" s="50">
        <v>3</v>
      </c>
      <c r="P29" s="51">
        <v>90</v>
      </c>
      <c r="Q29" s="52">
        <v>17.507697</v>
      </c>
      <c r="R29" s="52">
        <v>-91.988442000000006</v>
      </c>
      <c r="S29" s="74" t="s">
        <v>34</v>
      </c>
      <c r="T29" s="74" t="s">
        <v>35</v>
      </c>
      <c r="U29" s="74" t="s">
        <v>35</v>
      </c>
      <c r="V29" s="74" t="s">
        <v>35</v>
      </c>
      <c r="W29" s="74" t="s">
        <v>35</v>
      </c>
      <c r="X29" s="74" t="s">
        <v>36</v>
      </c>
      <c r="Y29" s="74" t="s">
        <v>37</v>
      </c>
      <c r="Z29" s="74" t="s">
        <v>37</v>
      </c>
      <c r="AA29" s="75"/>
      <c r="AB29" s="30">
        <f t="shared" si="0"/>
        <v>1</v>
      </c>
    </row>
    <row r="30" spans="1:28" x14ac:dyDescent="0.3">
      <c r="A30" s="34" t="s">
        <v>122</v>
      </c>
      <c r="B30" s="37" t="s">
        <v>25</v>
      </c>
      <c r="C30" s="34" t="s">
        <v>26</v>
      </c>
      <c r="D30" s="33" t="s">
        <v>1775</v>
      </c>
      <c r="E30" s="34" t="s">
        <v>123</v>
      </c>
      <c r="F30" s="34" t="s">
        <v>124</v>
      </c>
      <c r="G30" s="34" t="s">
        <v>111</v>
      </c>
      <c r="H30" s="37">
        <v>1</v>
      </c>
      <c r="I30" s="34" t="s">
        <v>112</v>
      </c>
      <c r="J30" s="34" t="s">
        <v>31</v>
      </c>
      <c r="K30" s="34" t="s">
        <v>32</v>
      </c>
      <c r="L30" s="34" t="s">
        <v>1755</v>
      </c>
      <c r="M30" s="34" t="s">
        <v>33</v>
      </c>
      <c r="N30" s="49">
        <v>14</v>
      </c>
      <c r="O30" s="50">
        <v>3</v>
      </c>
      <c r="P30" s="51">
        <v>33</v>
      </c>
      <c r="Q30" s="52">
        <v>17.513850000000001</v>
      </c>
      <c r="R30" s="52">
        <v>-93.120507000000003</v>
      </c>
      <c r="S30" s="74" t="s">
        <v>34</v>
      </c>
      <c r="T30" s="74" t="s">
        <v>35</v>
      </c>
      <c r="U30" s="74" t="s">
        <v>35</v>
      </c>
      <c r="V30" s="74" t="s">
        <v>35</v>
      </c>
      <c r="W30" s="74" t="s">
        <v>35</v>
      </c>
      <c r="X30" s="74" t="s">
        <v>36</v>
      </c>
      <c r="Y30" s="74" t="s">
        <v>37</v>
      </c>
      <c r="Z30" s="74" t="s">
        <v>37</v>
      </c>
      <c r="AA30" s="75"/>
      <c r="AB30" s="30">
        <f t="shared" si="0"/>
        <v>1</v>
      </c>
    </row>
    <row r="31" spans="1:28" x14ac:dyDescent="0.3">
      <c r="A31" s="34" t="s">
        <v>125</v>
      </c>
      <c r="B31" s="37" t="s">
        <v>25</v>
      </c>
      <c r="C31" s="34" t="s">
        <v>26</v>
      </c>
      <c r="D31" s="33" t="s">
        <v>1775</v>
      </c>
      <c r="E31" s="34" t="s">
        <v>126</v>
      </c>
      <c r="F31" s="34" t="s">
        <v>127</v>
      </c>
      <c r="G31" s="34" t="s">
        <v>111</v>
      </c>
      <c r="H31" s="37">
        <v>1</v>
      </c>
      <c r="I31" s="34" t="s">
        <v>112</v>
      </c>
      <c r="J31" s="34" t="s">
        <v>31</v>
      </c>
      <c r="K31" s="34" t="s">
        <v>32</v>
      </c>
      <c r="L31" s="34" t="s">
        <v>1755</v>
      </c>
      <c r="M31" s="34" t="s">
        <v>33</v>
      </c>
      <c r="N31" s="49">
        <v>10</v>
      </c>
      <c r="O31" s="50">
        <v>2</v>
      </c>
      <c r="P31" s="51">
        <v>47</v>
      </c>
      <c r="Q31" s="52">
        <v>16.090009999999999</v>
      </c>
      <c r="R31" s="52">
        <v>-93.744799999999998</v>
      </c>
      <c r="S31" s="74" t="s">
        <v>34</v>
      </c>
      <c r="T31" s="74" t="s">
        <v>35</v>
      </c>
      <c r="U31" s="74" t="s">
        <v>35</v>
      </c>
      <c r="V31" s="74" t="s">
        <v>35</v>
      </c>
      <c r="W31" s="74" t="s">
        <v>35</v>
      </c>
      <c r="X31" s="74" t="s">
        <v>36</v>
      </c>
      <c r="Y31" s="74" t="s">
        <v>37</v>
      </c>
      <c r="Z31" s="74" t="s">
        <v>37</v>
      </c>
      <c r="AA31" s="75"/>
      <c r="AB31" s="30">
        <f t="shared" si="0"/>
        <v>1</v>
      </c>
    </row>
    <row r="32" spans="1:28" x14ac:dyDescent="0.3">
      <c r="A32" s="34" t="s">
        <v>128</v>
      </c>
      <c r="B32" s="37" t="s">
        <v>25</v>
      </c>
      <c r="C32" s="34" t="s">
        <v>26</v>
      </c>
      <c r="D32" s="33" t="s">
        <v>1775</v>
      </c>
      <c r="E32" s="34" t="s">
        <v>129</v>
      </c>
      <c r="F32" s="34" t="s">
        <v>130</v>
      </c>
      <c r="G32" s="34" t="s">
        <v>111</v>
      </c>
      <c r="H32" s="37">
        <v>1</v>
      </c>
      <c r="I32" s="34" t="s">
        <v>112</v>
      </c>
      <c r="J32" s="34" t="s">
        <v>31</v>
      </c>
      <c r="K32" s="34" t="s">
        <v>32</v>
      </c>
      <c r="L32" s="34" t="s">
        <v>1755</v>
      </c>
      <c r="M32" s="34" t="s">
        <v>33</v>
      </c>
      <c r="N32" s="49">
        <v>23</v>
      </c>
      <c r="O32" s="50">
        <v>9</v>
      </c>
      <c r="P32" s="51">
        <v>94</v>
      </c>
      <c r="Q32" s="52">
        <v>16.745825</v>
      </c>
      <c r="R32" s="52">
        <v>-93.116883999999999</v>
      </c>
      <c r="S32" s="74" t="s">
        <v>34</v>
      </c>
      <c r="T32" s="74" t="s">
        <v>35</v>
      </c>
      <c r="U32" s="74" t="s">
        <v>35</v>
      </c>
      <c r="V32" s="74" t="s">
        <v>35</v>
      </c>
      <c r="W32" s="74" t="s">
        <v>35</v>
      </c>
      <c r="X32" s="74" t="s">
        <v>36</v>
      </c>
      <c r="Y32" s="74" t="s">
        <v>37</v>
      </c>
      <c r="Z32" s="74" t="s">
        <v>37</v>
      </c>
      <c r="AA32" s="75"/>
      <c r="AB32" s="30">
        <f t="shared" si="0"/>
        <v>1</v>
      </c>
    </row>
    <row r="33" spans="1:28" x14ac:dyDescent="0.3">
      <c r="A33" s="34" t="s">
        <v>131</v>
      </c>
      <c r="B33" s="37" t="s">
        <v>25</v>
      </c>
      <c r="C33" s="34" t="s">
        <v>26</v>
      </c>
      <c r="D33" s="33" t="s">
        <v>1775</v>
      </c>
      <c r="E33" s="34" t="s">
        <v>132</v>
      </c>
      <c r="F33" s="34" t="s">
        <v>133</v>
      </c>
      <c r="G33" s="34" t="s">
        <v>111</v>
      </c>
      <c r="H33" s="37">
        <v>1</v>
      </c>
      <c r="I33" s="34" t="s">
        <v>112</v>
      </c>
      <c r="J33" s="34" t="s">
        <v>31</v>
      </c>
      <c r="K33" s="34" t="s">
        <v>32</v>
      </c>
      <c r="L33" s="34" t="s">
        <v>1755</v>
      </c>
      <c r="M33" s="34" t="s">
        <v>33</v>
      </c>
      <c r="N33" s="49">
        <v>8</v>
      </c>
      <c r="O33" s="50">
        <v>3</v>
      </c>
      <c r="P33" s="51">
        <v>55</v>
      </c>
      <c r="Q33" s="52">
        <v>17.853377999999999</v>
      </c>
      <c r="R33" s="52">
        <v>-93.157189000000002</v>
      </c>
      <c r="S33" s="74" t="s">
        <v>34</v>
      </c>
      <c r="T33" s="74" t="s">
        <v>35</v>
      </c>
      <c r="U33" s="74" t="s">
        <v>35</v>
      </c>
      <c r="V33" s="74" t="s">
        <v>35</v>
      </c>
      <c r="W33" s="74" t="s">
        <v>35</v>
      </c>
      <c r="X33" s="74" t="s">
        <v>36</v>
      </c>
      <c r="Y33" s="74" t="s">
        <v>37</v>
      </c>
      <c r="Z33" s="74" t="s">
        <v>37</v>
      </c>
      <c r="AA33" s="75"/>
      <c r="AB33" s="30">
        <f t="shared" si="0"/>
        <v>1</v>
      </c>
    </row>
    <row r="34" spans="1:28" x14ac:dyDescent="0.3">
      <c r="A34" s="34" t="s">
        <v>134</v>
      </c>
      <c r="B34" s="37" t="s">
        <v>25</v>
      </c>
      <c r="C34" s="33" t="s">
        <v>26</v>
      </c>
      <c r="D34" s="33" t="s">
        <v>1775</v>
      </c>
      <c r="E34" s="34" t="s">
        <v>135</v>
      </c>
      <c r="F34" s="34" t="s">
        <v>136</v>
      </c>
      <c r="G34" s="34" t="s">
        <v>111</v>
      </c>
      <c r="H34" s="37">
        <v>1</v>
      </c>
      <c r="I34" s="34" t="s">
        <v>112</v>
      </c>
      <c r="J34" s="34" t="s">
        <v>31</v>
      </c>
      <c r="K34" s="34" t="s">
        <v>32</v>
      </c>
      <c r="L34" s="34" t="s">
        <v>1755</v>
      </c>
      <c r="M34" s="34" t="s">
        <v>33</v>
      </c>
      <c r="N34" s="49">
        <v>6</v>
      </c>
      <c r="O34" s="50">
        <v>2</v>
      </c>
      <c r="P34" s="51">
        <v>63</v>
      </c>
      <c r="Q34" s="52">
        <v>17.178397</v>
      </c>
      <c r="R34" s="52">
        <v>-92.338070000000002</v>
      </c>
      <c r="S34" s="74" t="s">
        <v>34</v>
      </c>
      <c r="T34" s="74" t="s">
        <v>35</v>
      </c>
      <c r="U34" s="74" t="s">
        <v>35</v>
      </c>
      <c r="V34" s="74" t="s">
        <v>35</v>
      </c>
      <c r="W34" s="74" t="s">
        <v>35</v>
      </c>
      <c r="X34" s="74" t="s">
        <v>36</v>
      </c>
      <c r="Y34" s="74" t="s">
        <v>37</v>
      </c>
      <c r="Z34" s="74" t="s">
        <v>37</v>
      </c>
      <c r="AA34" s="75"/>
      <c r="AB34" s="30">
        <f t="shared" si="0"/>
        <v>1</v>
      </c>
    </row>
    <row r="35" spans="1:28" x14ac:dyDescent="0.3">
      <c r="A35" s="34" t="s">
        <v>137</v>
      </c>
      <c r="B35" s="37" t="s">
        <v>25</v>
      </c>
      <c r="C35" s="33" t="s">
        <v>26</v>
      </c>
      <c r="D35" s="33" t="s">
        <v>1775</v>
      </c>
      <c r="E35" s="34" t="s">
        <v>138</v>
      </c>
      <c r="F35" s="34" t="s">
        <v>139</v>
      </c>
      <c r="G35" s="34" t="s">
        <v>111</v>
      </c>
      <c r="H35" s="37">
        <v>1</v>
      </c>
      <c r="I35" s="34" t="s">
        <v>112</v>
      </c>
      <c r="J35" s="34" t="s">
        <v>31</v>
      </c>
      <c r="K35" s="34" t="s">
        <v>32</v>
      </c>
      <c r="L35" s="34" t="s">
        <v>1755</v>
      </c>
      <c r="M35" s="34" t="s">
        <v>33</v>
      </c>
      <c r="N35" s="49">
        <v>29</v>
      </c>
      <c r="O35" s="50">
        <v>6</v>
      </c>
      <c r="P35" s="51">
        <v>205</v>
      </c>
      <c r="Q35" s="52">
        <v>14.842518500000001</v>
      </c>
      <c r="R35" s="52">
        <v>-92.318376099999995</v>
      </c>
      <c r="S35" s="74" t="s">
        <v>34</v>
      </c>
      <c r="T35" s="74" t="s">
        <v>35</v>
      </c>
      <c r="U35" s="74" t="s">
        <v>35</v>
      </c>
      <c r="V35" s="74" t="s">
        <v>35</v>
      </c>
      <c r="W35" s="74" t="s">
        <v>35</v>
      </c>
      <c r="X35" s="74" t="s">
        <v>36</v>
      </c>
      <c r="Y35" s="74" t="s">
        <v>37</v>
      </c>
      <c r="Z35" s="74" t="s">
        <v>37</v>
      </c>
      <c r="AA35" s="75"/>
      <c r="AB35" s="30">
        <f t="shared" si="0"/>
        <v>1</v>
      </c>
    </row>
    <row r="36" spans="1:28" x14ac:dyDescent="0.3">
      <c r="A36" s="34" t="s">
        <v>140</v>
      </c>
      <c r="B36" s="37" t="s">
        <v>25</v>
      </c>
      <c r="C36" s="34" t="s">
        <v>26</v>
      </c>
      <c r="D36" s="33" t="s">
        <v>1775</v>
      </c>
      <c r="E36" s="34" t="s">
        <v>141</v>
      </c>
      <c r="F36" s="34" t="s">
        <v>142</v>
      </c>
      <c r="G36" s="34" t="s">
        <v>111</v>
      </c>
      <c r="H36" s="37">
        <v>1</v>
      </c>
      <c r="I36" s="34" t="s">
        <v>112</v>
      </c>
      <c r="J36" s="34" t="s">
        <v>31</v>
      </c>
      <c r="K36" s="34" t="s">
        <v>32</v>
      </c>
      <c r="L36" s="34" t="s">
        <v>1755</v>
      </c>
      <c r="M36" s="34" t="s">
        <v>33</v>
      </c>
      <c r="N36" s="49">
        <v>13</v>
      </c>
      <c r="O36" s="50">
        <v>3</v>
      </c>
      <c r="P36" s="51">
        <v>116</v>
      </c>
      <c r="Q36" s="52">
        <v>16.723703</v>
      </c>
      <c r="R36" s="52">
        <v>-92.652269000000004</v>
      </c>
      <c r="S36" s="74" t="s">
        <v>34</v>
      </c>
      <c r="T36" s="74" t="s">
        <v>35</v>
      </c>
      <c r="U36" s="74" t="s">
        <v>35</v>
      </c>
      <c r="V36" s="74" t="s">
        <v>35</v>
      </c>
      <c r="W36" s="74" t="s">
        <v>35</v>
      </c>
      <c r="X36" s="74" t="s">
        <v>36</v>
      </c>
      <c r="Y36" s="74" t="s">
        <v>37</v>
      </c>
      <c r="Z36" s="74" t="s">
        <v>37</v>
      </c>
      <c r="AA36" s="75"/>
      <c r="AB36" s="30">
        <f t="shared" si="0"/>
        <v>1</v>
      </c>
    </row>
    <row r="37" spans="1:28" x14ac:dyDescent="0.3">
      <c r="A37" s="34" t="s">
        <v>143</v>
      </c>
      <c r="B37" s="37" t="s">
        <v>25</v>
      </c>
      <c r="C37" s="34" t="s">
        <v>26</v>
      </c>
      <c r="D37" s="33" t="s">
        <v>1775</v>
      </c>
      <c r="E37" s="34" t="s">
        <v>144</v>
      </c>
      <c r="F37" s="34" t="s">
        <v>145</v>
      </c>
      <c r="G37" s="34" t="s">
        <v>111</v>
      </c>
      <c r="H37" s="37">
        <v>1</v>
      </c>
      <c r="I37" s="34" t="s">
        <v>112</v>
      </c>
      <c r="J37" s="34" t="s">
        <v>31</v>
      </c>
      <c r="K37" s="34" t="s">
        <v>32</v>
      </c>
      <c r="L37" s="34" t="s">
        <v>1755</v>
      </c>
      <c r="M37" s="34" t="s">
        <v>33</v>
      </c>
      <c r="N37" s="49">
        <v>9</v>
      </c>
      <c r="O37" s="50">
        <v>6</v>
      </c>
      <c r="P37" s="51">
        <v>98</v>
      </c>
      <c r="Q37" s="52">
        <v>16.258402</v>
      </c>
      <c r="R37" s="52">
        <v>-93.265141</v>
      </c>
      <c r="S37" s="74" t="s">
        <v>34</v>
      </c>
      <c r="T37" s="74" t="s">
        <v>35</v>
      </c>
      <c r="U37" s="74" t="s">
        <v>35</v>
      </c>
      <c r="V37" s="74" t="s">
        <v>35</v>
      </c>
      <c r="W37" s="74" t="s">
        <v>35</v>
      </c>
      <c r="X37" s="74" t="s">
        <v>36</v>
      </c>
      <c r="Y37" s="74" t="s">
        <v>37</v>
      </c>
      <c r="Z37" s="74" t="s">
        <v>37</v>
      </c>
      <c r="AA37" s="75"/>
      <c r="AB37" s="30">
        <f t="shared" si="0"/>
        <v>1</v>
      </c>
    </row>
    <row r="38" spans="1:28" x14ac:dyDescent="0.3">
      <c r="A38" s="34" t="s">
        <v>146</v>
      </c>
      <c r="B38" s="37" t="s">
        <v>25</v>
      </c>
      <c r="C38" s="34" t="s">
        <v>26</v>
      </c>
      <c r="D38" s="33" t="s">
        <v>1775</v>
      </c>
      <c r="E38" s="34" t="s">
        <v>129</v>
      </c>
      <c r="F38" s="34" t="s">
        <v>147</v>
      </c>
      <c r="G38" s="34" t="s">
        <v>111</v>
      </c>
      <c r="H38" s="37">
        <v>1</v>
      </c>
      <c r="I38" s="34" t="s">
        <v>112</v>
      </c>
      <c r="J38" s="34" t="s">
        <v>31</v>
      </c>
      <c r="K38" s="34" t="s">
        <v>32</v>
      </c>
      <c r="L38" s="34" t="s">
        <v>1756</v>
      </c>
      <c r="M38" s="34" t="s">
        <v>33</v>
      </c>
      <c r="N38" s="49">
        <v>39</v>
      </c>
      <c r="O38" s="50">
        <v>6</v>
      </c>
      <c r="P38" s="51">
        <v>222</v>
      </c>
      <c r="Q38" s="52">
        <v>16.748459700000002</v>
      </c>
      <c r="R38" s="52">
        <v>-93.072799500000002</v>
      </c>
      <c r="S38" s="74" t="s">
        <v>34</v>
      </c>
      <c r="T38" s="74" t="s">
        <v>35</v>
      </c>
      <c r="U38" s="74" t="s">
        <v>35</v>
      </c>
      <c r="V38" s="74" t="s">
        <v>35</v>
      </c>
      <c r="W38" s="74" t="s">
        <v>35</v>
      </c>
      <c r="X38" s="74" t="s">
        <v>36</v>
      </c>
      <c r="Y38" s="74" t="s">
        <v>37</v>
      </c>
      <c r="Z38" s="74" t="s">
        <v>37</v>
      </c>
      <c r="AA38" s="75"/>
      <c r="AB38" s="30">
        <f t="shared" si="0"/>
        <v>1</v>
      </c>
    </row>
    <row r="39" spans="1:28" x14ac:dyDescent="0.3">
      <c r="A39" s="34" t="s">
        <v>148</v>
      </c>
      <c r="B39" s="37" t="s">
        <v>25</v>
      </c>
      <c r="C39" s="34" t="s">
        <v>1774</v>
      </c>
      <c r="D39" s="33" t="s">
        <v>1775</v>
      </c>
      <c r="E39" s="34" t="s">
        <v>150</v>
      </c>
      <c r="F39" s="34" t="s">
        <v>151</v>
      </c>
      <c r="G39" s="34" t="s">
        <v>111</v>
      </c>
      <c r="H39" s="37">
        <v>1</v>
      </c>
      <c r="I39" s="34" t="s">
        <v>112</v>
      </c>
      <c r="J39" s="34" t="s">
        <v>31</v>
      </c>
      <c r="K39" s="34" t="s">
        <v>32</v>
      </c>
      <c r="L39" s="34" t="s">
        <v>1755</v>
      </c>
      <c r="M39" s="34" t="s">
        <v>33</v>
      </c>
      <c r="N39" s="49">
        <v>8</v>
      </c>
      <c r="O39" s="50">
        <v>2</v>
      </c>
      <c r="P39" s="51">
        <v>73</v>
      </c>
      <c r="Q39" s="52">
        <v>20.187197000000001</v>
      </c>
      <c r="R39" s="52">
        <v>-89.264460900000003</v>
      </c>
      <c r="S39" s="74" t="s">
        <v>34</v>
      </c>
      <c r="T39" s="74" t="s">
        <v>35</v>
      </c>
      <c r="U39" s="74" t="s">
        <v>35</v>
      </c>
      <c r="V39" s="74" t="s">
        <v>35</v>
      </c>
      <c r="W39" s="74" t="s">
        <v>35</v>
      </c>
      <c r="X39" s="74" t="s">
        <v>36</v>
      </c>
      <c r="Y39" s="74" t="s">
        <v>37</v>
      </c>
      <c r="Z39" s="74" t="s">
        <v>37</v>
      </c>
      <c r="AA39" s="75"/>
      <c r="AB39" s="30">
        <f t="shared" si="0"/>
        <v>1</v>
      </c>
    </row>
    <row r="40" spans="1:28" x14ac:dyDescent="0.3">
      <c r="A40" s="34" t="s">
        <v>152</v>
      </c>
      <c r="B40" s="37" t="s">
        <v>25</v>
      </c>
      <c r="C40" s="34" t="s">
        <v>1771</v>
      </c>
      <c r="D40" s="34" t="s">
        <v>1771</v>
      </c>
      <c r="E40" s="34" t="s">
        <v>138</v>
      </c>
      <c r="F40" s="34" t="s">
        <v>153</v>
      </c>
      <c r="G40" s="34" t="s">
        <v>154</v>
      </c>
      <c r="H40" s="37">
        <v>1</v>
      </c>
      <c r="I40" s="34" t="s">
        <v>155</v>
      </c>
      <c r="J40" s="34" t="s">
        <v>31</v>
      </c>
      <c r="K40" s="34" t="s">
        <v>32</v>
      </c>
      <c r="L40" s="34" t="s">
        <v>1756</v>
      </c>
      <c r="M40" s="34" t="s">
        <v>33</v>
      </c>
      <c r="N40" s="49">
        <v>36</v>
      </c>
      <c r="O40" s="50">
        <v>5</v>
      </c>
      <c r="P40" s="51">
        <v>137</v>
      </c>
      <c r="Q40" s="52">
        <v>14.809310999999999</v>
      </c>
      <c r="R40" s="52">
        <v>-92.345595000000003</v>
      </c>
      <c r="S40" s="74" t="s">
        <v>34</v>
      </c>
      <c r="T40" s="74" t="s">
        <v>35</v>
      </c>
      <c r="U40" s="74" t="s">
        <v>35</v>
      </c>
      <c r="V40" s="74" t="s">
        <v>35</v>
      </c>
      <c r="W40" s="74" t="s">
        <v>35</v>
      </c>
      <c r="X40" s="74" t="s">
        <v>36</v>
      </c>
      <c r="Y40" s="74" t="s">
        <v>37</v>
      </c>
      <c r="Z40" s="74" t="s">
        <v>37</v>
      </c>
      <c r="AA40" s="75"/>
      <c r="AB40" s="30">
        <f t="shared" si="0"/>
        <v>1</v>
      </c>
    </row>
    <row r="41" spans="1:28" x14ac:dyDescent="0.3">
      <c r="A41" s="34" t="s">
        <v>156</v>
      </c>
      <c r="B41" s="37" t="s">
        <v>25</v>
      </c>
      <c r="C41" s="34" t="s">
        <v>1771</v>
      </c>
      <c r="D41" s="34" t="s">
        <v>1771</v>
      </c>
      <c r="E41" s="34" t="s">
        <v>129</v>
      </c>
      <c r="F41" s="34" t="s">
        <v>157</v>
      </c>
      <c r="G41" s="34" t="s">
        <v>154</v>
      </c>
      <c r="H41" s="37">
        <v>1</v>
      </c>
      <c r="I41" s="34" t="s">
        <v>155</v>
      </c>
      <c r="J41" s="34" t="s">
        <v>31</v>
      </c>
      <c r="K41" s="34" t="s">
        <v>32</v>
      </c>
      <c r="L41" s="34" t="s">
        <v>1756</v>
      </c>
      <c r="M41" s="34" t="s">
        <v>33</v>
      </c>
      <c r="N41" s="49">
        <v>24</v>
      </c>
      <c r="O41" s="50">
        <v>4</v>
      </c>
      <c r="P41" s="51">
        <v>106</v>
      </c>
      <c r="Q41" s="52">
        <v>16.750662999999999</v>
      </c>
      <c r="R41" s="52">
        <v>-93.078046999999998</v>
      </c>
      <c r="S41" s="74" t="s">
        <v>34</v>
      </c>
      <c r="T41" s="74" t="s">
        <v>35</v>
      </c>
      <c r="U41" s="74" t="s">
        <v>35</v>
      </c>
      <c r="V41" s="74" t="s">
        <v>35</v>
      </c>
      <c r="W41" s="74" t="s">
        <v>35</v>
      </c>
      <c r="X41" s="74" t="s">
        <v>36</v>
      </c>
      <c r="Y41" s="74" t="s">
        <v>37</v>
      </c>
      <c r="Z41" s="74" t="s">
        <v>37</v>
      </c>
      <c r="AA41" s="75"/>
      <c r="AB41" s="30">
        <f t="shared" si="0"/>
        <v>1</v>
      </c>
    </row>
    <row r="42" spans="1:28" x14ac:dyDescent="0.3">
      <c r="A42" s="34" t="s">
        <v>158</v>
      </c>
      <c r="B42" s="37" t="s">
        <v>25</v>
      </c>
      <c r="C42" s="34" t="s">
        <v>1771</v>
      </c>
      <c r="D42" s="34" t="s">
        <v>1771</v>
      </c>
      <c r="E42" s="34" t="s">
        <v>160</v>
      </c>
      <c r="F42" s="34" t="s">
        <v>161</v>
      </c>
      <c r="G42" s="34" t="s">
        <v>154</v>
      </c>
      <c r="H42" s="37">
        <v>1</v>
      </c>
      <c r="I42" s="34" t="s">
        <v>155</v>
      </c>
      <c r="J42" s="34" t="s">
        <v>31</v>
      </c>
      <c r="K42" s="34" t="s">
        <v>32</v>
      </c>
      <c r="L42" s="34" t="s">
        <v>1756</v>
      </c>
      <c r="M42" s="34" t="s">
        <v>33</v>
      </c>
      <c r="N42" s="49">
        <v>37</v>
      </c>
      <c r="O42" s="50">
        <v>8</v>
      </c>
      <c r="P42" s="51">
        <v>179</v>
      </c>
      <c r="Q42" s="52">
        <v>23.761924</v>
      </c>
      <c r="R42" s="52">
        <v>-99.107735000000005</v>
      </c>
      <c r="S42" s="74" t="s">
        <v>34</v>
      </c>
      <c r="T42" s="74" t="s">
        <v>35</v>
      </c>
      <c r="U42" s="74" t="s">
        <v>35</v>
      </c>
      <c r="V42" s="74" t="s">
        <v>35</v>
      </c>
      <c r="W42" s="74" t="s">
        <v>35</v>
      </c>
      <c r="X42" s="74" t="s">
        <v>36</v>
      </c>
      <c r="Y42" s="74" t="s">
        <v>37</v>
      </c>
      <c r="Z42" s="74" t="s">
        <v>37</v>
      </c>
      <c r="AA42" s="75"/>
      <c r="AB42" s="30">
        <f t="shared" si="0"/>
        <v>1</v>
      </c>
    </row>
    <row r="43" spans="1:28" x14ac:dyDescent="0.3">
      <c r="A43" s="34" t="s">
        <v>162</v>
      </c>
      <c r="B43" s="37" t="s">
        <v>25</v>
      </c>
      <c r="C43" s="34" t="s">
        <v>26</v>
      </c>
      <c r="D43" s="33" t="s">
        <v>1775</v>
      </c>
      <c r="E43" s="34" t="s">
        <v>114</v>
      </c>
      <c r="F43" s="34" t="s">
        <v>163</v>
      </c>
      <c r="G43" s="34" t="s">
        <v>164</v>
      </c>
      <c r="H43" s="37">
        <v>2</v>
      </c>
      <c r="I43" s="34" t="s">
        <v>112</v>
      </c>
      <c r="J43" s="34" t="s">
        <v>31</v>
      </c>
      <c r="K43" s="34" t="s">
        <v>32</v>
      </c>
      <c r="L43" s="34" t="s">
        <v>1755</v>
      </c>
      <c r="M43" s="34" t="s">
        <v>33</v>
      </c>
      <c r="N43" s="49">
        <v>11</v>
      </c>
      <c r="O43" s="50">
        <v>5</v>
      </c>
      <c r="P43" s="51">
        <v>106</v>
      </c>
      <c r="Q43" s="52">
        <v>16.207545</v>
      </c>
      <c r="R43" s="52">
        <v>-92.106986000000006</v>
      </c>
      <c r="S43" s="74" t="s">
        <v>34</v>
      </c>
      <c r="T43" s="74" t="s">
        <v>35</v>
      </c>
      <c r="U43" s="74" t="s">
        <v>35</v>
      </c>
      <c r="V43" s="74" t="s">
        <v>35</v>
      </c>
      <c r="W43" s="74" t="s">
        <v>35</v>
      </c>
      <c r="X43" s="74" t="s">
        <v>36</v>
      </c>
      <c r="Y43" s="74" t="s">
        <v>37</v>
      </c>
      <c r="Z43" s="74" t="s">
        <v>37</v>
      </c>
      <c r="AA43" s="75"/>
      <c r="AB43" s="30">
        <f t="shared" si="0"/>
        <v>1</v>
      </c>
    </row>
    <row r="44" spans="1:28" x14ac:dyDescent="0.3">
      <c r="A44" s="34" t="s">
        <v>165</v>
      </c>
      <c r="B44" s="37" t="s">
        <v>25</v>
      </c>
      <c r="C44" s="34" t="s">
        <v>26</v>
      </c>
      <c r="D44" s="33" t="s">
        <v>1775</v>
      </c>
      <c r="E44" s="34" t="s">
        <v>141</v>
      </c>
      <c r="F44" s="34" t="s">
        <v>166</v>
      </c>
      <c r="G44" s="34" t="s">
        <v>164</v>
      </c>
      <c r="H44" s="37">
        <v>2</v>
      </c>
      <c r="I44" s="34" t="s">
        <v>112</v>
      </c>
      <c r="J44" s="34" t="s">
        <v>31</v>
      </c>
      <c r="K44" s="34" t="s">
        <v>32</v>
      </c>
      <c r="L44" s="34" t="s">
        <v>1755</v>
      </c>
      <c r="M44" s="34" t="s">
        <v>33</v>
      </c>
      <c r="N44" s="49">
        <v>9</v>
      </c>
      <c r="O44" s="50">
        <v>3</v>
      </c>
      <c r="P44" s="51">
        <v>81</v>
      </c>
      <c r="Q44" s="52">
        <v>16.733135999999998</v>
      </c>
      <c r="R44" s="52">
        <v>-92.636848999999998</v>
      </c>
      <c r="S44" s="74" t="s">
        <v>34</v>
      </c>
      <c r="T44" s="74" t="s">
        <v>35</v>
      </c>
      <c r="U44" s="74" t="s">
        <v>35</v>
      </c>
      <c r="V44" s="74" t="s">
        <v>35</v>
      </c>
      <c r="W44" s="74" t="s">
        <v>35</v>
      </c>
      <c r="X44" s="74" t="s">
        <v>36</v>
      </c>
      <c r="Y44" s="74" t="s">
        <v>37</v>
      </c>
      <c r="Z44" s="74" t="s">
        <v>37</v>
      </c>
      <c r="AA44" s="75"/>
      <c r="AB44" s="30">
        <f t="shared" si="0"/>
        <v>1</v>
      </c>
    </row>
    <row r="45" spans="1:28" x14ac:dyDescent="0.3">
      <c r="A45" s="34" t="s">
        <v>167</v>
      </c>
      <c r="B45" s="37" t="s">
        <v>25</v>
      </c>
      <c r="C45" s="34" t="s">
        <v>26</v>
      </c>
      <c r="D45" s="33" t="s">
        <v>1775</v>
      </c>
      <c r="E45" s="34" t="s">
        <v>129</v>
      </c>
      <c r="F45" s="34" t="s">
        <v>168</v>
      </c>
      <c r="G45" s="34" t="s">
        <v>169</v>
      </c>
      <c r="H45" s="37">
        <v>2</v>
      </c>
      <c r="I45" s="34" t="s">
        <v>170</v>
      </c>
      <c r="J45" s="34" t="s">
        <v>31</v>
      </c>
      <c r="K45" s="34" t="s">
        <v>32</v>
      </c>
      <c r="L45" s="34" t="s">
        <v>1755</v>
      </c>
      <c r="M45" s="34" t="s">
        <v>33</v>
      </c>
      <c r="N45" s="49">
        <v>7</v>
      </c>
      <c r="O45" s="50">
        <v>0</v>
      </c>
      <c r="P45" s="51">
        <v>32</v>
      </c>
      <c r="Q45" s="52">
        <v>16.682003000000002</v>
      </c>
      <c r="R45" s="52">
        <v>-93.103123999999994</v>
      </c>
      <c r="S45" s="74" t="s">
        <v>34</v>
      </c>
      <c r="T45" s="74" t="s">
        <v>35</v>
      </c>
      <c r="U45" s="74" t="s">
        <v>35</v>
      </c>
      <c r="V45" s="74" t="s">
        <v>35</v>
      </c>
      <c r="W45" s="74" t="s">
        <v>35</v>
      </c>
      <c r="X45" s="74" t="s">
        <v>36</v>
      </c>
      <c r="Y45" s="74" t="s">
        <v>37</v>
      </c>
      <c r="Z45" s="74" t="s">
        <v>37</v>
      </c>
      <c r="AA45" s="75"/>
      <c r="AB45" s="30">
        <f t="shared" si="0"/>
        <v>1</v>
      </c>
    </row>
    <row r="46" spans="1:28" x14ac:dyDescent="0.3">
      <c r="A46" s="34" t="s">
        <v>914</v>
      </c>
      <c r="B46" s="37" t="s">
        <v>25</v>
      </c>
      <c r="C46" s="34" t="s">
        <v>1776</v>
      </c>
      <c r="D46" s="33" t="s">
        <v>1775</v>
      </c>
      <c r="E46" s="34" t="s">
        <v>915</v>
      </c>
      <c r="F46" s="38" t="s">
        <v>916</v>
      </c>
      <c r="G46" s="34" t="s">
        <v>111</v>
      </c>
      <c r="H46" s="37">
        <v>1</v>
      </c>
      <c r="I46" s="34" t="s">
        <v>112</v>
      </c>
      <c r="J46" s="34" t="s">
        <v>31</v>
      </c>
      <c r="K46" s="34" t="s">
        <v>32</v>
      </c>
      <c r="L46" s="34" t="s">
        <v>1755</v>
      </c>
      <c r="M46" s="34" t="s">
        <v>33</v>
      </c>
      <c r="N46" s="49">
        <v>26</v>
      </c>
      <c r="O46" s="50">
        <v>7</v>
      </c>
      <c r="P46" s="51">
        <v>200</v>
      </c>
      <c r="Q46" s="52">
        <v>19.524347599999999</v>
      </c>
      <c r="R46" s="52">
        <v>-99.140138399999998</v>
      </c>
      <c r="S46" s="74" t="s">
        <v>34</v>
      </c>
      <c r="T46" s="74" t="s">
        <v>175</v>
      </c>
      <c r="U46" s="74" t="s">
        <v>213</v>
      </c>
      <c r="V46" s="74" t="s">
        <v>213</v>
      </c>
      <c r="W46" s="74" t="s">
        <v>175</v>
      </c>
      <c r="X46" s="74" t="s">
        <v>1816</v>
      </c>
      <c r="Y46" s="74" t="s">
        <v>74</v>
      </c>
      <c r="Z46" s="74" t="s">
        <v>74</v>
      </c>
      <c r="AA46" s="75" t="s">
        <v>1807</v>
      </c>
      <c r="AB46" s="30">
        <f t="shared" si="0"/>
        <v>0.37499999999999994</v>
      </c>
    </row>
    <row r="47" spans="1:28" x14ac:dyDescent="0.3">
      <c r="A47" s="34" t="s">
        <v>1757</v>
      </c>
      <c r="B47" s="37" t="s">
        <v>25</v>
      </c>
      <c r="C47" s="34" t="s">
        <v>1774</v>
      </c>
      <c r="D47" s="33" t="s">
        <v>1775</v>
      </c>
      <c r="E47" s="53" t="s">
        <v>1609</v>
      </c>
      <c r="F47" s="34" t="s">
        <v>1750</v>
      </c>
      <c r="G47" s="34" t="s">
        <v>111</v>
      </c>
      <c r="H47" s="37">
        <v>1</v>
      </c>
      <c r="I47" s="34" t="s">
        <v>30</v>
      </c>
      <c r="J47" s="34" t="s">
        <v>31</v>
      </c>
      <c r="K47" s="34" t="s">
        <v>32</v>
      </c>
      <c r="L47" s="34" t="s">
        <v>1756</v>
      </c>
      <c r="M47" s="34" t="s">
        <v>33</v>
      </c>
      <c r="N47" s="49"/>
      <c r="O47" s="50"/>
      <c r="P47" s="51"/>
      <c r="Q47" s="54" t="s">
        <v>1764</v>
      </c>
      <c r="R47" s="55" t="s">
        <v>1765</v>
      </c>
      <c r="S47" s="74" t="s">
        <v>34</v>
      </c>
      <c r="T47" s="74" t="s">
        <v>35</v>
      </c>
      <c r="U47" s="74" t="s">
        <v>35</v>
      </c>
      <c r="V47" s="74" t="s">
        <v>35</v>
      </c>
      <c r="W47" s="74" t="s">
        <v>35</v>
      </c>
      <c r="X47" s="74" t="s">
        <v>36</v>
      </c>
      <c r="Y47" s="74" t="s">
        <v>37</v>
      </c>
      <c r="Z47" s="74" t="s">
        <v>37</v>
      </c>
      <c r="AA47" s="75"/>
      <c r="AB47" s="30">
        <f t="shared" si="0"/>
        <v>1</v>
      </c>
    </row>
    <row r="48" spans="1:28" x14ac:dyDescent="0.3">
      <c r="A48" s="38" t="s">
        <v>1748</v>
      </c>
      <c r="B48" s="37" t="s">
        <v>25</v>
      </c>
      <c r="C48" s="34" t="s">
        <v>1771</v>
      </c>
      <c r="D48" s="34" t="s">
        <v>1771</v>
      </c>
      <c r="E48" s="34" t="s">
        <v>1609</v>
      </c>
      <c r="F48" s="6" t="s">
        <v>1749</v>
      </c>
      <c r="G48" s="56" t="s">
        <v>154</v>
      </c>
      <c r="H48" s="37">
        <v>1</v>
      </c>
      <c r="I48" s="56" t="s">
        <v>155</v>
      </c>
      <c r="J48" s="56" t="s">
        <v>31</v>
      </c>
      <c r="K48" s="56" t="s">
        <v>32</v>
      </c>
      <c r="L48" s="56" t="s">
        <v>1756</v>
      </c>
      <c r="M48" s="56" t="s">
        <v>33</v>
      </c>
      <c r="N48" s="49"/>
      <c r="O48" s="50"/>
      <c r="P48" s="51"/>
      <c r="Q48" s="57">
        <v>210193421</v>
      </c>
      <c r="R48" s="58">
        <v>-895819034</v>
      </c>
      <c r="S48" s="74" t="s">
        <v>34</v>
      </c>
      <c r="T48" s="74" t="s">
        <v>35</v>
      </c>
      <c r="U48" s="74" t="s">
        <v>35</v>
      </c>
      <c r="V48" s="74" t="s">
        <v>35</v>
      </c>
      <c r="W48" s="74" t="s">
        <v>35</v>
      </c>
      <c r="X48" s="74" t="s">
        <v>36</v>
      </c>
      <c r="Y48" s="74" t="s">
        <v>37</v>
      </c>
      <c r="Z48" s="74" t="s">
        <v>37</v>
      </c>
      <c r="AA48" s="75"/>
      <c r="AB48" s="30">
        <f t="shared" si="0"/>
        <v>1</v>
      </c>
    </row>
    <row r="49" spans="1:28" x14ac:dyDescent="0.3">
      <c r="A49" s="34" t="s">
        <v>171</v>
      </c>
      <c r="B49" s="37" t="s">
        <v>25</v>
      </c>
      <c r="C49" s="34" t="s">
        <v>172</v>
      </c>
      <c r="D49" s="33" t="s">
        <v>1775</v>
      </c>
      <c r="E49" s="34" t="s">
        <v>173</v>
      </c>
      <c r="F49" s="59" t="s">
        <v>174</v>
      </c>
      <c r="G49" s="34" t="s">
        <v>29</v>
      </c>
      <c r="H49" s="37">
        <v>1</v>
      </c>
      <c r="I49" s="34" t="s">
        <v>30</v>
      </c>
      <c r="J49" s="34" t="s">
        <v>31</v>
      </c>
      <c r="K49" s="34" t="s">
        <v>32</v>
      </c>
      <c r="L49" s="34" t="s">
        <v>1755</v>
      </c>
      <c r="M49" s="34" t="s">
        <v>33</v>
      </c>
      <c r="N49" s="49">
        <v>7</v>
      </c>
      <c r="O49" s="50">
        <v>2</v>
      </c>
      <c r="P49" s="51">
        <v>28</v>
      </c>
      <c r="Q49" s="52">
        <v>31.023106200000001</v>
      </c>
      <c r="R49" s="52">
        <v>-114.839476</v>
      </c>
      <c r="S49" s="74" t="s">
        <v>34</v>
      </c>
      <c r="T49" s="74" t="s">
        <v>175</v>
      </c>
      <c r="U49" s="74" t="s">
        <v>213</v>
      </c>
      <c r="V49" s="74" t="s">
        <v>213</v>
      </c>
      <c r="W49" s="74"/>
      <c r="X49" s="74"/>
      <c r="Y49" s="74"/>
      <c r="Z49" s="74"/>
      <c r="AA49" s="75"/>
      <c r="AB49" s="30">
        <f t="shared" si="0"/>
        <v>0.29166666666666663</v>
      </c>
    </row>
    <row r="50" spans="1:28" x14ac:dyDescent="0.3">
      <c r="A50" s="34" t="s">
        <v>177</v>
      </c>
      <c r="B50" s="37" t="s">
        <v>25</v>
      </c>
      <c r="C50" s="34" t="s">
        <v>172</v>
      </c>
      <c r="D50" s="33" t="s">
        <v>1775</v>
      </c>
      <c r="E50" s="34" t="s">
        <v>178</v>
      </c>
      <c r="F50" s="59"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74" t="s">
        <v>34</v>
      </c>
      <c r="T50" s="74" t="s">
        <v>175</v>
      </c>
      <c r="U50" s="74" t="s">
        <v>213</v>
      </c>
      <c r="V50" s="74" t="s">
        <v>213</v>
      </c>
      <c r="W50" s="74"/>
      <c r="X50" s="74"/>
      <c r="Y50" s="74"/>
      <c r="Z50" s="74"/>
      <c r="AA50" s="75"/>
      <c r="AB50" s="30">
        <f t="shared" si="0"/>
        <v>0.29166666666666663</v>
      </c>
    </row>
    <row r="51" spans="1:28" x14ac:dyDescent="0.3">
      <c r="A51" s="34" t="s">
        <v>183</v>
      </c>
      <c r="B51" s="37" t="s">
        <v>25</v>
      </c>
      <c r="C51" s="34" t="s">
        <v>172</v>
      </c>
      <c r="D51" s="33" t="s">
        <v>1775</v>
      </c>
      <c r="E51" s="34" t="s">
        <v>184</v>
      </c>
      <c r="F51" s="59"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74" t="s">
        <v>34</v>
      </c>
      <c r="T51" s="74" t="s">
        <v>175</v>
      </c>
      <c r="U51" s="74" t="s">
        <v>213</v>
      </c>
      <c r="V51" s="74" t="s">
        <v>213</v>
      </c>
      <c r="W51" s="74"/>
      <c r="X51" s="74"/>
      <c r="Y51" s="74"/>
      <c r="Z51" s="74"/>
      <c r="AA51" s="75"/>
      <c r="AB51" s="30">
        <f t="shared" si="0"/>
        <v>0.29166666666666663</v>
      </c>
    </row>
    <row r="52" spans="1:28"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74" t="s">
        <v>34</v>
      </c>
      <c r="T52" s="74" t="s">
        <v>175</v>
      </c>
      <c r="U52" s="74" t="s">
        <v>176</v>
      </c>
      <c r="V52" s="74" t="s">
        <v>176</v>
      </c>
      <c r="W52" s="74"/>
      <c r="X52" s="74"/>
      <c r="Y52" s="74"/>
      <c r="Z52" s="74"/>
      <c r="AA52" s="75"/>
      <c r="AB52" s="30">
        <f t="shared" si="0"/>
        <v>0.20833333333333331</v>
      </c>
    </row>
    <row r="53" spans="1:28"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74" t="s">
        <v>34</v>
      </c>
      <c r="T53" s="74" t="s">
        <v>175</v>
      </c>
      <c r="U53" s="74" t="s">
        <v>176</v>
      </c>
      <c r="V53" s="74" t="s">
        <v>176</v>
      </c>
      <c r="W53" s="74"/>
      <c r="X53" s="74"/>
      <c r="Y53" s="74"/>
      <c r="Z53" s="74"/>
      <c r="AA53" s="75"/>
      <c r="AB53" s="30">
        <f t="shared" si="0"/>
        <v>0.20833333333333331</v>
      </c>
    </row>
    <row r="54" spans="1:28"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74" t="s">
        <v>34</v>
      </c>
      <c r="T54" s="74" t="s">
        <v>175</v>
      </c>
      <c r="U54" s="74" t="s">
        <v>176</v>
      </c>
      <c r="V54" s="74" t="s">
        <v>176</v>
      </c>
      <c r="W54" s="74"/>
      <c r="X54" s="74"/>
      <c r="Y54" s="74"/>
      <c r="Z54" s="74"/>
      <c r="AA54" s="75"/>
      <c r="AB54" s="30">
        <f t="shared" si="0"/>
        <v>0.20833333333333331</v>
      </c>
    </row>
    <row r="55" spans="1:28"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74" t="s">
        <v>34</v>
      </c>
      <c r="T55" s="74" t="s">
        <v>175</v>
      </c>
      <c r="U55" s="74" t="s">
        <v>176</v>
      </c>
      <c r="V55" s="74" t="s">
        <v>176</v>
      </c>
      <c r="W55" s="74"/>
      <c r="X55" s="74"/>
      <c r="Y55" s="74"/>
      <c r="Z55" s="74"/>
      <c r="AA55" s="75"/>
      <c r="AB55" s="30">
        <f t="shared" si="0"/>
        <v>0.20833333333333331</v>
      </c>
    </row>
    <row r="56" spans="1:28"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74" t="s">
        <v>34</v>
      </c>
      <c r="T56" s="74" t="s">
        <v>175</v>
      </c>
      <c r="U56" s="74" t="s">
        <v>176</v>
      </c>
      <c r="V56" s="74" t="s">
        <v>176</v>
      </c>
      <c r="W56" s="74"/>
      <c r="X56" s="74"/>
      <c r="Y56" s="74"/>
      <c r="Z56" s="74"/>
      <c r="AA56" s="75"/>
      <c r="AB56" s="30">
        <f t="shared" si="0"/>
        <v>0.20833333333333331</v>
      </c>
    </row>
    <row r="57" spans="1:28"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74" t="s">
        <v>34</v>
      </c>
      <c r="T57" s="74" t="s">
        <v>175</v>
      </c>
      <c r="U57" s="74" t="s">
        <v>176</v>
      </c>
      <c r="V57" s="74" t="s">
        <v>176</v>
      </c>
      <c r="W57" s="74"/>
      <c r="X57" s="74"/>
      <c r="Y57" s="74"/>
      <c r="Z57" s="74"/>
      <c r="AA57" s="75"/>
      <c r="AB57" s="30">
        <f t="shared" si="0"/>
        <v>0.20833333333333331</v>
      </c>
    </row>
    <row r="58" spans="1:28"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74" t="s">
        <v>34</v>
      </c>
      <c r="T58" s="74" t="s">
        <v>175</v>
      </c>
      <c r="U58" s="74" t="s">
        <v>176</v>
      </c>
      <c r="V58" s="74" t="s">
        <v>176</v>
      </c>
      <c r="W58" s="74"/>
      <c r="X58" s="74"/>
      <c r="Y58" s="74"/>
      <c r="Z58" s="74"/>
      <c r="AA58" s="75"/>
      <c r="AB58" s="30">
        <f t="shared" si="0"/>
        <v>0.20833333333333331</v>
      </c>
    </row>
    <row r="59" spans="1:28"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60">
        <v>20.124003299999998</v>
      </c>
      <c r="R59" s="60">
        <v>-88.938081400000002</v>
      </c>
      <c r="S59" s="74" t="s">
        <v>34</v>
      </c>
      <c r="T59" s="74" t="s">
        <v>175</v>
      </c>
      <c r="U59" s="74" t="s">
        <v>213</v>
      </c>
      <c r="V59" s="74" t="s">
        <v>213</v>
      </c>
      <c r="W59" s="74"/>
      <c r="X59" s="74"/>
      <c r="Y59" s="74"/>
      <c r="Z59" s="74"/>
      <c r="AA59" s="75"/>
      <c r="AB59" s="30">
        <f t="shared" si="0"/>
        <v>0.29166666666666663</v>
      </c>
    </row>
    <row r="60" spans="1:28"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60">
        <v>20.398339700000001</v>
      </c>
      <c r="R60" s="60">
        <v>-89.556041100000002</v>
      </c>
      <c r="S60" s="74" t="s">
        <v>34</v>
      </c>
      <c r="T60" s="74" t="s">
        <v>175</v>
      </c>
      <c r="U60" s="74" t="s">
        <v>213</v>
      </c>
      <c r="V60" s="74" t="s">
        <v>213</v>
      </c>
      <c r="W60" s="74"/>
      <c r="X60" s="74"/>
      <c r="Y60" s="74"/>
      <c r="Z60" s="74"/>
      <c r="AA60" s="75"/>
      <c r="AB60" s="30">
        <f t="shared" si="0"/>
        <v>0.29166666666666663</v>
      </c>
    </row>
    <row r="61" spans="1:28"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74" t="s">
        <v>34</v>
      </c>
      <c r="T61" s="74" t="s">
        <v>175</v>
      </c>
      <c r="U61" s="74"/>
      <c r="V61" s="74"/>
      <c r="W61" s="74"/>
      <c r="X61" s="74"/>
      <c r="Y61" s="74"/>
      <c r="Z61" s="74"/>
      <c r="AA61" s="75"/>
      <c r="AB61" s="30">
        <f t="shared" si="0"/>
        <v>0.125</v>
      </c>
    </row>
    <row r="62" spans="1:28"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74" t="s">
        <v>34</v>
      </c>
      <c r="T62" s="74" t="s">
        <v>175</v>
      </c>
      <c r="U62" s="74"/>
      <c r="V62" s="74"/>
      <c r="W62" s="74"/>
      <c r="X62" s="74"/>
      <c r="Y62" s="74"/>
      <c r="Z62" s="74"/>
      <c r="AA62" s="75"/>
      <c r="AB62" s="30">
        <f t="shared" si="0"/>
        <v>0.125</v>
      </c>
    </row>
    <row r="63" spans="1:28" x14ac:dyDescent="0.3">
      <c r="A63" s="34" t="s">
        <v>923</v>
      </c>
      <c r="B63" s="37" t="s">
        <v>25</v>
      </c>
      <c r="C63" s="34" t="s">
        <v>1776</v>
      </c>
      <c r="D63" s="33" t="s">
        <v>1775</v>
      </c>
      <c r="E63" s="34" t="s">
        <v>912</v>
      </c>
      <c r="F63" s="38" t="s">
        <v>924</v>
      </c>
      <c r="G63" s="34" t="s">
        <v>111</v>
      </c>
      <c r="H63" s="37">
        <v>1</v>
      </c>
      <c r="I63" s="34" t="s">
        <v>155</v>
      </c>
      <c r="J63" s="34" t="s">
        <v>31</v>
      </c>
      <c r="K63" s="34" t="s">
        <v>32</v>
      </c>
      <c r="L63" s="34" t="s">
        <v>1756</v>
      </c>
      <c r="M63" s="34" t="s">
        <v>33</v>
      </c>
      <c r="N63" s="49">
        <v>30</v>
      </c>
      <c r="O63" s="50">
        <v>7</v>
      </c>
      <c r="P63" s="51">
        <v>182</v>
      </c>
      <c r="Q63" s="52">
        <v>19.359813599999999</v>
      </c>
      <c r="R63" s="52">
        <v>-99.163239399999995</v>
      </c>
      <c r="S63" s="74" t="s">
        <v>34</v>
      </c>
      <c r="T63" s="74" t="s">
        <v>175</v>
      </c>
      <c r="U63" s="74" t="s">
        <v>213</v>
      </c>
      <c r="V63" s="74" t="s">
        <v>213</v>
      </c>
      <c r="W63" s="74" t="s">
        <v>175</v>
      </c>
      <c r="X63" s="74" t="s">
        <v>1816</v>
      </c>
      <c r="Y63" s="74" t="s">
        <v>74</v>
      </c>
      <c r="Z63" s="74" t="s">
        <v>74</v>
      </c>
      <c r="AA63" s="75" t="s">
        <v>1807</v>
      </c>
      <c r="AB63" s="30">
        <f t="shared" si="0"/>
        <v>0.37499999999999994</v>
      </c>
    </row>
    <row r="64" spans="1:28"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74" t="s">
        <v>176</v>
      </c>
      <c r="T64" s="74"/>
      <c r="U64" s="74"/>
      <c r="V64" s="74"/>
      <c r="W64" s="74"/>
      <c r="X64" s="74"/>
      <c r="Y64" s="74"/>
      <c r="Z64" s="74"/>
      <c r="AA64" s="75"/>
      <c r="AB64" s="30">
        <f t="shared" si="0"/>
        <v>4.1666666666666664E-2</v>
      </c>
    </row>
    <row r="65" spans="1:28"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74" t="s">
        <v>176</v>
      </c>
      <c r="T65" s="74"/>
      <c r="U65" s="74"/>
      <c r="V65" s="74"/>
      <c r="W65" s="74"/>
      <c r="X65" s="74"/>
      <c r="Y65" s="74"/>
      <c r="Z65" s="74"/>
      <c r="AA65" s="75"/>
      <c r="AB65" s="30">
        <f t="shared" si="0"/>
        <v>4.1666666666666664E-2</v>
      </c>
    </row>
    <row r="66" spans="1:28"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74" t="s">
        <v>176</v>
      </c>
      <c r="T66" s="74"/>
      <c r="U66" s="74"/>
      <c r="V66" s="74"/>
      <c r="W66" s="74"/>
      <c r="X66" s="74"/>
      <c r="Y66" s="74"/>
      <c r="Z66" s="74"/>
      <c r="AA66" s="75"/>
      <c r="AB66" s="30">
        <f t="shared" ref="AB66:AB129" si="1">(
IF(S66="ENVIADO A LA CE/UM",1/3,IF(S66="ENTREGADO/REVISIÓN",2/3,IF(S66="ENVIADO A TICS",1,0)))+
IF(T66="EN PROCESO",0,IF(T66="CONCLUIDO",1,0))+
IF(U66="ENVIADO A LA CE/UM",1/3,IF(U66="EN REVISIÓN CENTRAL",2/3,IF(U66="CONCLUIDO",1,0)))+
IF(V66="ENVIADO A LA CE/UM",1/3,IF(V66="EN REVISIÓN CENTRAL",2/3,IF(V66="CONCLUIDO",1,0)))+
IF(W66="ENVIADO",1/3,IF(W66="EN PROCESO",2/3,IF(W66="CONCLUIDO",1,0)))+
IF(X66="PROGRAMADAS",0,IF(X66="CONCLUIDAS",1,0))+
IF(Y66="SI",1,IF(Y66="NO",0,0))+
IF(Z66="SI",1,IF(Z66="NO",0,0))
)/8</f>
        <v>4.1666666666666664E-2</v>
      </c>
    </row>
    <row r="67" spans="1:28"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74" t="s">
        <v>176</v>
      </c>
      <c r="T67" s="74"/>
      <c r="U67" s="74"/>
      <c r="V67" s="74"/>
      <c r="W67" s="74"/>
      <c r="X67" s="74"/>
      <c r="Y67" s="74"/>
      <c r="Z67" s="74"/>
      <c r="AA67" s="75"/>
      <c r="AB67" s="30">
        <f t="shared" si="1"/>
        <v>4.1666666666666664E-2</v>
      </c>
    </row>
    <row r="68" spans="1:28"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74" t="s">
        <v>176</v>
      </c>
      <c r="T68" s="74"/>
      <c r="U68" s="74"/>
      <c r="V68" s="74"/>
      <c r="W68" s="74"/>
      <c r="X68" s="74"/>
      <c r="Y68" s="74"/>
      <c r="Z68" s="74"/>
      <c r="AA68" s="75"/>
      <c r="AB68" s="30">
        <f t="shared" si="1"/>
        <v>4.1666666666666664E-2</v>
      </c>
    </row>
    <row r="69" spans="1:28"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74" t="s">
        <v>176</v>
      </c>
      <c r="T69" s="74"/>
      <c r="U69" s="74"/>
      <c r="V69" s="74"/>
      <c r="W69" s="74"/>
      <c r="X69" s="74"/>
      <c r="Y69" s="74"/>
      <c r="Z69" s="74"/>
      <c r="AA69" s="75"/>
      <c r="AB69" s="30">
        <f t="shared" si="1"/>
        <v>4.1666666666666664E-2</v>
      </c>
    </row>
    <row r="70" spans="1:28"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74" t="s">
        <v>176</v>
      </c>
      <c r="T70" s="74"/>
      <c r="U70" s="74"/>
      <c r="V70" s="74"/>
      <c r="W70" s="74"/>
      <c r="X70" s="74"/>
      <c r="Y70" s="74"/>
      <c r="Z70" s="74"/>
      <c r="AA70" s="75"/>
      <c r="AB70" s="30">
        <f t="shared" si="1"/>
        <v>4.1666666666666664E-2</v>
      </c>
    </row>
    <row r="71" spans="1:28"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74" t="s">
        <v>176</v>
      </c>
      <c r="T71" s="74"/>
      <c r="U71" s="74"/>
      <c r="V71" s="74"/>
      <c r="W71" s="74"/>
      <c r="X71" s="74"/>
      <c r="Y71" s="74"/>
      <c r="Z71" s="74"/>
      <c r="AA71" s="75"/>
      <c r="AB71" s="30">
        <f t="shared" si="1"/>
        <v>4.1666666666666664E-2</v>
      </c>
    </row>
    <row r="72" spans="1:28"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74" t="s">
        <v>176</v>
      </c>
      <c r="T72" s="74"/>
      <c r="U72" s="74"/>
      <c r="V72" s="74"/>
      <c r="W72" s="74"/>
      <c r="X72" s="74"/>
      <c r="Y72" s="74"/>
      <c r="Z72" s="74"/>
      <c r="AA72" s="75"/>
      <c r="AB72" s="30">
        <f t="shared" si="1"/>
        <v>4.1666666666666664E-2</v>
      </c>
    </row>
    <row r="73" spans="1:28"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74" t="s">
        <v>176</v>
      </c>
      <c r="T73" s="74"/>
      <c r="U73" s="74"/>
      <c r="V73" s="74"/>
      <c r="W73" s="74"/>
      <c r="X73" s="74"/>
      <c r="Y73" s="74"/>
      <c r="Z73" s="74"/>
      <c r="AA73" s="75"/>
      <c r="AB73" s="30">
        <f t="shared" si="1"/>
        <v>4.1666666666666664E-2</v>
      </c>
    </row>
    <row r="74" spans="1:28"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74" t="s">
        <v>176</v>
      </c>
      <c r="T74" s="74"/>
      <c r="U74" s="74"/>
      <c r="V74" s="74"/>
      <c r="W74" s="74"/>
      <c r="X74" s="74"/>
      <c r="Y74" s="74"/>
      <c r="Z74" s="74"/>
      <c r="AA74" s="75"/>
      <c r="AB74" s="30">
        <f t="shared" si="1"/>
        <v>4.1666666666666664E-2</v>
      </c>
    </row>
    <row r="75" spans="1:28"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74" t="s">
        <v>176</v>
      </c>
      <c r="T75" s="74"/>
      <c r="U75" s="74"/>
      <c r="V75" s="74"/>
      <c r="W75" s="74"/>
      <c r="X75" s="74"/>
      <c r="Y75" s="74"/>
      <c r="Z75" s="74"/>
      <c r="AA75" s="75"/>
      <c r="AB75" s="30">
        <f t="shared" si="1"/>
        <v>4.1666666666666664E-2</v>
      </c>
    </row>
    <row r="76" spans="1:28"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74" t="s">
        <v>176</v>
      </c>
      <c r="T76" s="74"/>
      <c r="U76" s="74"/>
      <c r="V76" s="74"/>
      <c r="W76" s="74"/>
      <c r="X76" s="74"/>
      <c r="Y76" s="74"/>
      <c r="Z76" s="74"/>
      <c r="AA76" s="75"/>
      <c r="AB76" s="30">
        <f t="shared" si="1"/>
        <v>4.1666666666666664E-2</v>
      </c>
    </row>
    <row r="77" spans="1:28"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74" t="s">
        <v>176</v>
      </c>
      <c r="T77" s="74"/>
      <c r="U77" s="74"/>
      <c r="V77" s="74"/>
      <c r="W77" s="74"/>
      <c r="X77" s="74"/>
      <c r="Y77" s="74"/>
      <c r="Z77" s="74"/>
      <c r="AA77" s="75"/>
      <c r="AB77" s="30">
        <f t="shared" si="1"/>
        <v>4.1666666666666664E-2</v>
      </c>
    </row>
    <row r="78" spans="1:28"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74" t="s">
        <v>176</v>
      </c>
      <c r="T78" s="74"/>
      <c r="U78" s="74"/>
      <c r="V78" s="74"/>
      <c r="W78" s="74"/>
      <c r="X78" s="74"/>
      <c r="Y78" s="74"/>
      <c r="Z78" s="74"/>
      <c r="AA78" s="75"/>
      <c r="AB78" s="30">
        <f t="shared" si="1"/>
        <v>4.1666666666666664E-2</v>
      </c>
    </row>
    <row r="79" spans="1:28"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74" t="s">
        <v>176</v>
      </c>
      <c r="T79" s="74"/>
      <c r="U79" s="74"/>
      <c r="V79" s="74"/>
      <c r="W79" s="74"/>
      <c r="X79" s="74"/>
      <c r="Y79" s="74"/>
      <c r="Z79" s="74"/>
      <c r="AA79" s="75"/>
      <c r="AB79" s="30">
        <f t="shared" si="1"/>
        <v>4.1666666666666664E-2</v>
      </c>
    </row>
    <row r="80" spans="1:28"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74" t="s">
        <v>176</v>
      </c>
      <c r="T80" s="74"/>
      <c r="U80" s="74"/>
      <c r="V80" s="74"/>
      <c r="W80" s="74"/>
      <c r="X80" s="74"/>
      <c r="Y80" s="74"/>
      <c r="Z80" s="74"/>
      <c r="AA80" s="75"/>
      <c r="AB80" s="30">
        <f t="shared" si="1"/>
        <v>4.1666666666666664E-2</v>
      </c>
    </row>
    <row r="81" spans="1:28"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74" t="s">
        <v>176</v>
      </c>
      <c r="T81" s="74"/>
      <c r="U81" s="74"/>
      <c r="V81" s="74"/>
      <c r="W81" s="74"/>
      <c r="X81" s="74"/>
      <c r="Y81" s="74"/>
      <c r="Z81" s="74"/>
      <c r="AA81" s="75"/>
      <c r="AB81" s="30">
        <f t="shared" si="1"/>
        <v>4.1666666666666664E-2</v>
      </c>
    </row>
    <row r="82" spans="1:28"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74" t="s">
        <v>176</v>
      </c>
      <c r="T82" s="74"/>
      <c r="U82" s="74"/>
      <c r="V82" s="74"/>
      <c r="W82" s="74"/>
      <c r="X82" s="74"/>
      <c r="Y82" s="74"/>
      <c r="Z82" s="74"/>
      <c r="AA82" s="75"/>
      <c r="AB82" s="30">
        <f t="shared" si="1"/>
        <v>4.1666666666666664E-2</v>
      </c>
    </row>
    <row r="83" spans="1:28"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74" t="s">
        <v>176</v>
      </c>
      <c r="T83" s="74"/>
      <c r="U83" s="74"/>
      <c r="V83" s="74"/>
      <c r="W83" s="74"/>
      <c r="X83" s="74"/>
      <c r="Y83" s="74"/>
      <c r="Z83" s="74"/>
      <c r="AA83" s="75"/>
      <c r="AB83" s="30">
        <f t="shared" si="1"/>
        <v>4.1666666666666664E-2</v>
      </c>
    </row>
    <row r="84" spans="1:28"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74" t="s">
        <v>176</v>
      </c>
      <c r="T84" s="74"/>
      <c r="U84" s="74"/>
      <c r="V84" s="74"/>
      <c r="W84" s="74"/>
      <c r="X84" s="74"/>
      <c r="Y84" s="74"/>
      <c r="Z84" s="74"/>
      <c r="AA84" s="75"/>
      <c r="AB84" s="30">
        <f t="shared" si="1"/>
        <v>4.1666666666666664E-2</v>
      </c>
    </row>
    <row r="85" spans="1:28"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74" t="s">
        <v>176</v>
      </c>
      <c r="T85" s="74"/>
      <c r="U85" s="74"/>
      <c r="V85" s="74"/>
      <c r="W85" s="74"/>
      <c r="X85" s="74"/>
      <c r="Y85" s="74"/>
      <c r="Z85" s="74"/>
      <c r="AA85" s="75"/>
      <c r="AB85" s="30">
        <f t="shared" si="1"/>
        <v>4.1666666666666664E-2</v>
      </c>
    </row>
    <row r="86" spans="1:28"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74" t="s">
        <v>176</v>
      </c>
      <c r="T86" s="74"/>
      <c r="U86" s="74"/>
      <c r="V86" s="74"/>
      <c r="W86" s="74"/>
      <c r="X86" s="74"/>
      <c r="Y86" s="74"/>
      <c r="Z86" s="74"/>
      <c r="AA86" s="75"/>
      <c r="AB86" s="30">
        <f t="shared" si="1"/>
        <v>4.1666666666666664E-2</v>
      </c>
    </row>
    <row r="87" spans="1:28"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74" t="s">
        <v>176</v>
      </c>
      <c r="T87" s="74"/>
      <c r="U87" s="74"/>
      <c r="V87" s="74"/>
      <c r="W87" s="74"/>
      <c r="X87" s="74"/>
      <c r="Y87" s="74"/>
      <c r="Z87" s="74"/>
      <c r="AA87" s="75"/>
      <c r="AB87" s="30">
        <f t="shared" si="1"/>
        <v>4.1666666666666664E-2</v>
      </c>
    </row>
    <row r="88" spans="1:28"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74" t="s">
        <v>176</v>
      </c>
      <c r="T88" s="74"/>
      <c r="U88" s="74"/>
      <c r="V88" s="74"/>
      <c r="W88" s="74"/>
      <c r="X88" s="74"/>
      <c r="Y88" s="74"/>
      <c r="Z88" s="74"/>
      <c r="AA88" s="75"/>
      <c r="AB88" s="30">
        <f t="shared" si="1"/>
        <v>4.1666666666666664E-2</v>
      </c>
    </row>
    <row r="89" spans="1:28" x14ac:dyDescent="0.3">
      <c r="A89" s="34" t="s">
        <v>304</v>
      </c>
      <c r="B89" s="37" t="s">
        <v>25</v>
      </c>
      <c r="C89" s="34" t="s">
        <v>305</v>
      </c>
      <c r="D89" s="33" t="s">
        <v>1775</v>
      </c>
      <c r="E89" s="34" t="s">
        <v>306</v>
      </c>
      <c r="F89" s="34" t="s">
        <v>307</v>
      </c>
      <c r="G89" s="34" t="s">
        <v>111</v>
      </c>
      <c r="H89" s="37">
        <v>1</v>
      </c>
      <c r="I89" s="34" t="s">
        <v>112</v>
      </c>
      <c r="J89" s="34" t="s">
        <v>31</v>
      </c>
      <c r="K89" s="34" t="s">
        <v>32</v>
      </c>
      <c r="L89" s="34" t="s">
        <v>1755</v>
      </c>
      <c r="M89" s="34" t="s">
        <v>33</v>
      </c>
      <c r="N89" s="49">
        <v>12</v>
      </c>
      <c r="O89" s="50">
        <v>5</v>
      </c>
      <c r="P89" s="51">
        <v>105</v>
      </c>
      <c r="Q89" s="52">
        <v>20.433786999999999</v>
      </c>
      <c r="R89" s="52">
        <v>-99.155445999999998</v>
      </c>
      <c r="S89" s="74" t="s">
        <v>34</v>
      </c>
      <c r="T89" s="74" t="s">
        <v>35</v>
      </c>
      <c r="U89" s="74" t="s">
        <v>35</v>
      </c>
      <c r="V89" s="74" t="s">
        <v>35</v>
      </c>
      <c r="W89" s="74" t="s">
        <v>35</v>
      </c>
      <c r="X89" s="74" t="s">
        <v>36</v>
      </c>
      <c r="Y89" s="74" t="s">
        <v>37</v>
      </c>
      <c r="Z89" s="74" t="s">
        <v>37</v>
      </c>
      <c r="AA89" s="75"/>
      <c r="AB89" s="30">
        <f t="shared" si="1"/>
        <v>1</v>
      </c>
    </row>
    <row r="90" spans="1:28" x14ac:dyDescent="0.3">
      <c r="A90" s="34" t="s">
        <v>308</v>
      </c>
      <c r="B90" s="37" t="s">
        <v>25</v>
      </c>
      <c r="C90" s="34" t="s">
        <v>305</v>
      </c>
      <c r="D90" s="33" t="s">
        <v>1775</v>
      </c>
      <c r="E90" s="34" t="s">
        <v>309</v>
      </c>
      <c r="F90" s="34" t="s">
        <v>310</v>
      </c>
      <c r="G90" s="34" t="s">
        <v>111</v>
      </c>
      <c r="H90" s="37">
        <v>1</v>
      </c>
      <c r="I90" s="34" t="s">
        <v>112</v>
      </c>
      <c r="J90" s="34" t="s">
        <v>31</v>
      </c>
      <c r="K90" s="34" t="s">
        <v>32</v>
      </c>
      <c r="L90" s="34" t="s">
        <v>1755</v>
      </c>
      <c r="M90" s="34" t="s">
        <v>33</v>
      </c>
      <c r="N90" s="49">
        <v>12</v>
      </c>
      <c r="O90" s="50">
        <v>4</v>
      </c>
      <c r="P90" s="51">
        <v>49</v>
      </c>
      <c r="Q90" s="33">
        <v>19.713632</v>
      </c>
      <c r="R90" s="33">
        <v>-98.465096000000003</v>
      </c>
      <c r="S90" s="74" t="s">
        <v>34</v>
      </c>
      <c r="T90" s="74" t="s">
        <v>35</v>
      </c>
      <c r="U90" s="74" t="s">
        <v>35</v>
      </c>
      <c r="V90" s="74" t="s">
        <v>35</v>
      </c>
      <c r="W90" s="74" t="s">
        <v>35</v>
      </c>
      <c r="X90" s="74" t="s">
        <v>36</v>
      </c>
      <c r="Y90" s="74" t="s">
        <v>37</v>
      </c>
      <c r="Z90" s="74" t="s">
        <v>37</v>
      </c>
      <c r="AA90" s="75"/>
      <c r="AB90" s="30">
        <f t="shared" si="1"/>
        <v>1</v>
      </c>
    </row>
    <row r="91" spans="1:28" x14ac:dyDescent="0.3">
      <c r="A91" s="34" t="s">
        <v>311</v>
      </c>
      <c r="B91" s="37" t="s">
        <v>25</v>
      </c>
      <c r="C91" s="34" t="s">
        <v>305</v>
      </c>
      <c r="D91" s="33" t="s">
        <v>1775</v>
      </c>
      <c r="E91" s="34" t="s">
        <v>312</v>
      </c>
      <c r="F91" s="34" t="s">
        <v>313</v>
      </c>
      <c r="G91" s="34" t="s">
        <v>111</v>
      </c>
      <c r="H91" s="37">
        <v>1</v>
      </c>
      <c r="I91" s="34" t="s">
        <v>112</v>
      </c>
      <c r="J91" s="34" t="s">
        <v>31</v>
      </c>
      <c r="K91" s="34" t="s">
        <v>32</v>
      </c>
      <c r="L91" s="34" t="s">
        <v>1755</v>
      </c>
      <c r="M91" s="34" t="s">
        <v>84</v>
      </c>
      <c r="N91" s="49">
        <v>37</v>
      </c>
      <c r="O91" s="50">
        <v>10</v>
      </c>
      <c r="P91" s="51">
        <v>207</v>
      </c>
      <c r="Q91" s="33">
        <v>20.062166000000001</v>
      </c>
      <c r="R91" s="33">
        <v>-98.440731</v>
      </c>
      <c r="S91" s="74" t="s">
        <v>34</v>
      </c>
      <c r="T91" s="74" t="s">
        <v>35</v>
      </c>
      <c r="U91" s="74" t="s">
        <v>35</v>
      </c>
      <c r="V91" s="74" t="s">
        <v>35</v>
      </c>
      <c r="W91" s="74" t="s">
        <v>35</v>
      </c>
      <c r="X91" s="74" t="s">
        <v>36</v>
      </c>
      <c r="Y91" s="74" t="s">
        <v>37</v>
      </c>
      <c r="Z91" s="74" t="s">
        <v>37</v>
      </c>
      <c r="AA91" s="75"/>
      <c r="AB91" s="30">
        <f t="shared" si="1"/>
        <v>1</v>
      </c>
    </row>
    <row r="92" spans="1:28" x14ac:dyDescent="0.3">
      <c r="A92" s="34" t="s">
        <v>314</v>
      </c>
      <c r="B92" s="37" t="s">
        <v>25</v>
      </c>
      <c r="C92" s="34" t="s">
        <v>305</v>
      </c>
      <c r="D92" s="33" t="s">
        <v>1775</v>
      </c>
      <c r="E92" s="34" t="s">
        <v>315</v>
      </c>
      <c r="F92" s="34" t="s">
        <v>316</v>
      </c>
      <c r="G92" s="34" t="s">
        <v>164</v>
      </c>
      <c r="H92" s="37">
        <v>2</v>
      </c>
      <c r="I92" s="34" t="s">
        <v>155</v>
      </c>
      <c r="J92" s="34" t="s">
        <v>31</v>
      </c>
      <c r="K92" s="34" t="s">
        <v>32</v>
      </c>
      <c r="L92" s="34" t="s">
        <v>1755</v>
      </c>
      <c r="M92" s="34" t="s">
        <v>33</v>
      </c>
      <c r="N92" s="49">
        <v>12</v>
      </c>
      <c r="O92" s="50">
        <v>3</v>
      </c>
      <c r="P92" s="51">
        <v>78</v>
      </c>
      <c r="Q92" s="33">
        <v>20.117775000000002</v>
      </c>
      <c r="R92" s="33">
        <v>-98.729855999999998</v>
      </c>
      <c r="S92" s="74" t="s">
        <v>34</v>
      </c>
      <c r="T92" s="74" t="s">
        <v>35</v>
      </c>
      <c r="U92" s="74" t="s">
        <v>35</v>
      </c>
      <c r="V92" s="74" t="s">
        <v>35</v>
      </c>
      <c r="W92" s="74" t="s">
        <v>35</v>
      </c>
      <c r="X92" s="74" t="s">
        <v>36</v>
      </c>
      <c r="Y92" s="74" t="s">
        <v>37</v>
      </c>
      <c r="Z92" s="74" t="s">
        <v>37</v>
      </c>
      <c r="AA92" s="75"/>
      <c r="AB92" s="30">
        <f t="shared" si="1"/>
        <v>1</v>
      </c>
    </row>
    <row r="93" spans="1:28" x14ac:dyDescent="0.3">
      <c r="A93" s="34" t="s">
        <v>317</v>
      </c>
      <c r="B93" s="37" t="s">
        <v>25</v>
      </c>
      <c r="C93" s="34" t="s">
        <v>305</v>
      </c>
      <c r="D93" s="33" t="s">
        <v>1775</v>
      </c>
      <c r="E93" s="34" t="s">
        <v>318</v>
      </c>
      <c r="F93" s="34" t="s">
        <v>319</v>
      </c>
      <c r="G93" s="34" t="s">
        <v>29</v>
      </c>
      <c r="H93" s="37">
        <v>1</v>
      </c>
      <c r="I93" s="34" t="s">
        <v>30</v>
      </c>
      <c r="J93" s="34" t="s">
        <v>31</v>
      </c>
      <c r="K93" s="34" t="s">
        <v>32</v>
      </c>
      <c r="L93" s="34" t="s">
        <v>1755</v>
      </c>
      <c r="M93" s="34" t="s">
        <v>33</v>
      </c>
      <c r="N93" s="49">
        <v>11</v>
      </c>
      <c r="O93" s="50">
        <v>2</v>
      </c>
      <c r="P93" s="51">
        <v>27</v>
      </c>
      <c r="Q93" s="52">
        <v>21.021042000000001</v>
      </c>
      <c r="R93" s="52">
        <v>-98.348585</v>
      </c>
      <c r="S93" s="74" t="s">
        <v>34</v>
      </c>
      <c r="T93" s="74" t="s">
        <v>35</v>
      </c>
      <c r="U93" s="74" t="s">
        <v>35</v>
      </c>
      <c r="V93" s="74" t="s">
        <v>35</v>
      </c>
      <c r="W93" s="74" t="s">
        <v>35</v>
      </c>
      <c r="X93" s="74" t="s">
        <v>36</v>
      </c>
      <c r="Y93" s="74"/>
      <c r="Z93" s="74"/>
      <c r="AA93" s="75"/>
      <c r="AB93" s="30">
        <f t="shared" si="1"/>
        <v>0.75</v>
      </c>
    </row>
    <row r="94" spans="1:28" x14ac:dyDescent="0.3">
      <c r="A94" s="34" t="s">
        <v>320</v>
      </c>
      <c r="B94" s="37" t="s">
        <v>25</v>
      </c>
      <c r="C94" s="34" t="s">
        <v>305</v>
      </c>
      <c r="D94" s="33" t="s">
        <v>1775</v>
      </c>
      <c r="E94" s="34" t="s">
        <v>321</v>
      </c>
      <c r="F94" s="34" t="s">
        <v>322</v>
      </c>
      <c r="G94" s="34" t="s">
        <v>29</v>
      </c>
      <c r="H94" s="37">
        <v>1</v>
      </c>
      <c r="I94" s="34" t="s">
        <v>30</v>
      </c>
      <c r="J94" s="34" t="s">
        <v>31</v>
      </c>
      <c r="K94" s="34" t="s">
        <v>32</v>
      </c>
      <c r="L94" s="34" t="s">
        <v>1755</v>
      </c>
      <c r="M94" s="34" t="s">
        <v>33</v>
      </c>
      <c r="N94" s="49">
        <v>6</v>
      </c>
      <c r="O94" s="50">
        <v>3</v>
      </c>
      <c r="P94" s="51">
        <v>26</v>
      </c>
      <c r="Q94" s="52">
        <v>21.010408000000002</v>
      </c>
      <c r="R94" s="52">
        <v>-99.194832000000005</v>
      </c>
      <c r="S94" s="74" t="s">
        <v>34</v>
      </c>
      <c r="T94" s="74" t="s">
        <v>35</v>
      </c>
      <c r="U94" s="74" t="s">
        <v>35</v>
      </c>
      <c r="V94" s="74" t="s">
        <v>35</v>
      </c>
      <c r="W94" s="74" t="s">
        <v>35</v>
      </c>
      <c r="X94" s="74" t="s">
        <v>36</v>
      </c>
      <c r="Y94" s="74"/>
      <c r="Z94" s="74"/>
      <c r="AA94" s="75"/>
      <c r="AB94" s="30">
        <f t="shared" si="1"/>
        <v>0.75</v>
      </c>
    </row>
    <row r="95" spans="1:28" x14ac:dyDescent="0.3">
      <c r="A95" s="34" t="s">
        <v>323</v>
      </c>
      <c r="B95" s="37" t="s">
        <v>25</v>
      </c>
      <c r="C95" s="34" t="s">
        <v>305</v>
      </c>
      <c r="D95" s="33" t="s">
        <v>1775</v>
      </c>
      <c r="E95" s="34" t="s">
        <v>324</v>
      </c>
      <c r="F95" s="34" t="s">
        <v>325</v>
      </c>
      <c r="G95" s="34" t="s">
        <v>29</v>
      </c>
      <c r="H95" s="37">
        <v>1</v>
      </c>
      <c r="I95" s="34" t="s">
        <v>30</v>
      </c>
      <c r="J95" s="34" t="s">
        <v>31</v>
      </c>
      <c r="K95" s="34" t="s">
        <v>32</v>
      </c>
      <c r="L95" s="34" t="s">
        <v>1755</v>
      </c>
      <c r="M95" s="34" t="s">
        <v>84</v>
      </c>
      <c r="N95" s="49">
        <v>10</v>
      </c>
      <c r="O95" s="50">
        <v>3</v>
      </c>
      <c r="P95" s="51">
        <v>29</v>
      </c>
      <c r="Q95" s="52">
        <v>20.690989999999999</v>
      </c>
      <c r="R95" s="52">
        <v>-99.333370000000002</v>
      </c>
      <c r="S95" s="74" t="s">
        <v>34</v>
      </c>
      <c r="T95" s="74" t="s">
        <v>35</v>
      </c>
      <c r="U95" s="74" t="s">
        <v>35</v>
      </c>
      <c r="V95" s="74" t="s">
        <v>35</v>
      </c>
      <c r="W95" s="74" t="s">
        <v>35</v>
      </c>
      <c r="X95" s="74" t="s">
        <v>36</v>
      </c>
      <c r="Y95" s="74"/>
      <c r="Z95" s="74"/>
      <c r="AA95" s="75"/>
      <c r="AB95" s="30">
        <f t="shared" si="1"/>
        <v>0.75</v>
      </c>
    </row>
    <row r="96" spans="1:28" x14ac:dyDescent="0.3">
      <c r="A96" s="34" t="s">
        <v>354</v>
      </c>
      <c r="B96" s="37" t="s">
        <v>25</v>
      </c>
      <c r="C96" s="34" t="s">
        <v>1777</v>
      </c>
      <c r="D96" s="33" t="s">
        <v>1775</v>
      </c>
      <c r="E96" s="34" t="s">
        <v>355</v>
      </c>
      <c r="F96" s="68" t="s">
        <v>356</v>
      </c>
      <c r="G96" s="34" t="s">
        <v>29</v>
      </c>
      <c r="H96" s="37">
        <v>1</v>
      </c>
      <c r="I96" s="34" t="s">
        <v>30</v>
      </c>
      <c r="J96" s="34" t="s">
        <v>31</v>
      </c>
      <c r="K96" s="34" t="s">
        <v>32</v>
      </c>
      <c r="L96" s="34" t="s">
        <v>1755</v>
      </c>
      <c r="M96" s="34" t="s">
        <v>33</v>
      </c>
      <c r="N96" s="49">
        <v>7</v>
      </c>
      <c r="O96" s="50">
        <v>2</v>
      </c>
      <c r="P96" s="51">
        <v>43</v>
      </c>
      <c r="Q96" s="52">
        <v>19.181763</v>
      </c>
      <c r="R96" s="52">
        <v>-99.490306000000004</v>
      </c>
      <c r="S96" s="74" t="s">
        <v>34</v>
      </c>
      <c r="T96" s="74" t="s">
        <v>175</v>
      </c>
      <c r="U96" s="74" t="s">
        <v>35</v>
      </c>
      <c r="V96" s="74" t="s">
        <v>35</v>
      </c>
      <c r="W96" s="74"/>
      <c r="X96" s="74"/>
      <c r="Y96" s="74"/>
      <c r="Z96" s="74"/>
      <c r="AA96" s="75" t="s">
        <v>1840</v>
      </c>
      <c r="AB96" s="30">
        <f t="shared" si="1"/>
        <v>0.375</v>
      </c>
    </row>
    <row r="97" spans="1:28" x14ac:dyDescent="0.3">
      <c r="A97" s="34" t="s">
        <v>375</v>
      </c>
      <c r="B97" s="37" t="s">
        <v>25</v>
      </c>
      <c r="C97" s="34" t="s">
        <v>1777</v>
      </c>
      <c r="D97" s="33" t="s">
        <v>1775</v>
      </c>
      <c r="E97" s="34" t="s">
        <v>376</v>
      </c>
      <c r="F97" s="34" t="s">
        <v>377</v>
      </c>
      <c r="G97" s="34" t="s">
        <v>29</v>
      </c>
      <c r="H97" s="37">
        <v>1</v>
      </c>
      <c r="I97" s="34" t="s">
        <v>30</v>
      </c>
      <c r="J97" s="34" t="s">
        <v>31</v>
      </c>
      <c r="K97" s="34" t="s">
        <v>32</v>
      </c>
      <c r="L97" s="34" t="s">
        <v>1755</v>
      </c>
      <c r="M97" s="34" t="s">
        <v>84</v>
      </c>
      <c r="N97" s="49">
        <v>6</v>
      </c>
      <c r="O97" s="50">
        <v>0</v>
      </c>
      <c r="P97" s="51">
        <v>37</v>
      </c>
      <c r="Q97" s="52">
        <v>18.920839999999998</v>
      </c>
      <c r="R97" s="52">
        <v>-99.765491999999995</v>
      </c>
      <c r="S97" s="74" t="s">
        <v>34</v>
      </c>
      <c r="T97" s="74" t="s">
        <v>175</v>
      </c>
      <c r="U97" s="74" t="s">
        <v>35</v>
      </c>
      <c r="V97" s="74" t="s">
        <v>35</v>
      </c>
      <c r="W97" s="74" t="s">
        <v>1808</v>
      </c>
      <c r="X97" s="74" t="s">
        <v>1816</v>
      </c>
      <c r="Y97" s="74" t="s">
        <v>74</v>
      </c>
      <c r="Z97" s="74" t="s">
        <v>74</v>
      </c>
      <c r="AA97" s="75" t="s">
        <v>1826</v>
      </c>
      <c r="AB97" s="30">
        <f t="shared" si="1"/>
        <v>0.41666666666666669</v>
      </c>
    </row>
    <row r="98" spans="1:28" x14ac:dyDescent="0.3">
      <c r="A98" s="34" t="s">
        <v>393</v>
      </c>
      <c r="B98" s="37" t="s">
        <v>25</v>
      </c>
      <c r="C98" s="34" t="s">
        <v>1777</v>
      </c>
      <c r="D98" s="33" t="s">
        <v>1775</v>
      </c>
      <c r="E98" s="34" t="s">
        <v>394</v>
      </c>
      <c r="F98" s="34" t="s">
        <v>395</v>
      </c>
      <c r="G98" s="34" t="s">
        <v>29</v>
      </c>
      <c r="H98" s="37">
        <v>1</v>
      </c>
      <c r="I98" s="34" t="s">
        <v>30</v>
      </c>
      <c r="J98" s="34" t="s">
        <v>31</v>
      </c>
      <c r="K98" s="34" t="s">
        <v>32</v>
      </c>
      <c r="L98" s="34" t="s">
        <v>1755</v>
      </c>
      <c r="M98" s="34" t="s">
        <v>84</v>
      </c>
      <c r="N98" s="49">
        <v>11</v>
      </c>
      <c r="O98" s="50">
        <v>3</v>
      </c>
      <c r="P98" s="51">
        <v>52</v>
      </c>
      <c r="Q98" s="52">
        <v>19.828700000000001</v>
      </c>
      <c r="R98" s="52">
        <v>-99.230800000000002</v>
      </c>
      <c r="S98" s="74" t="s">
        <v>34</v>
      </c>
      <c r="T98" s="74" t="s">
        <v>175</v>
      </c>
      <c r="U98" s="74" t="s">
        <v>35</v>
      </c>
      <c r="V98" s="74" t="s">
        <v>35</v>
      </c>
      <c r="W98" s="74" t="s">
        <v>175</v>
      </c>
      <c r="X98" s="74" t="s">
        <v>1816</v>
      </c>
      <c r="Y98" s="74" t="s">
        <v>74</v>
      </c>
      <c r="Z98" s="74" t="s">
        <v>74</v>
      </c>
      <c r="AA98" s="75" t="s">
        <v>1827</v>
      </c>
      <c r="AB98" s="30">
        <f t="shared" si="1"/>
        <v>0.45833333333333331</v>
      </c>
    </row>
    <row r="99" spans="1:28" x14ac:dyDescent="0.3">
      <c r="A99" s="34" t="s">
        <v>399</v>
      </c>
      <c r="B99" s="37" t="s">
        <v>25</v>
      </c>
      <c r="C99" s="34" t="s">
        <v>1777</v>
      </c>
      <c r="D99" s="33" t="s">
        <v>1775</v>
      </c>
      <c r="E99" s="34" t="s">
        <v>400</v>
      </c>
      <c r="F99" s="68" t="s">
        <v>401</v>
      </c>
      <c r="G99" s="34" t="s">
        <v>29</v>
      </c>
      <c r="H99" s="37">
        <v>1</v>
      </c>
      <c r="I99" s="34" t="s">
        <v>30</v>
      </c>
      <c r="J99" s="34" t="s">
        <v>31</v>
      </c>
      <c r="K99" s="34" t="s">
        <v>32</v>
      </c>
      <c r="L99" s="34" t="s">
        <v>1755</v>
      </c>
      <c r="M99" s="34" t="s">
        <v>33</v>
      </c>
      <c r="N99" s="49">
        <v>8</v>
      </c>
      <c r="O99" s="50">
        <v>2</v>
      </c>
      <c r="P99" s="51">
        <v>28</v>
      </c>
      <c r="Q99" s="52">
        <v>19.359231000000001</v>
      </c>
      <c r="R99" s="52">
        <v>-99.353081000000003</v>
      </c>
      <c r="S99" s="74" t="s">
        <v>34</v>
      </c>
      <c r="T99" s="74" t="s">
        <v>175</v>
      </c>
      <c r="U99" s="74" t="s">
        <v>35</v>
      </c>
      <c r="V99" s="74" t="s">
        <v>35</v>
      </c>
      <c r="W99" s="74"/>
      <c r="X99" s="74"/>
      <c r="Y99" s="74"/>
      <c r="Z99" s="74"/>
      <c r="AA99" s="76" t="s">
        <v>1829</v>
      </c>
      <c r="AB99" s="30">
        <f t="shared" si="1"/>
        <v>0.375</v>
      </c>
    </row>
    <row r="100" spans="1:28" x14ac:dyDescent="0.3">
      <c r="A100" s="34" t="s">
        <v>1033</v>
      </c>
      <c r="B100" s="37" t="s">
        <v>25</v>
      </c>
      <c r="C100" s="34" t="s">
        <v>1777</v>
      </c>
      <c r="D100" s="33" t="s">
        <v>1775</v>
      </c>
      <c r="E100" s="34" t="s">
        <v>1034</v>
      </c>
      <c r="F100" s="34" t="s">
        <v>1035</v>
      </c>
      <c r="G100" s="34" t="s">
        <v>111</v>
      </c>
      <c r="H100" s="37">
        <v>1</v>
      </c>
      <c r="I100" s="34" t="s">
        <v>155</v>
      </c>
      <c r="J100" s="34" t="s">
        <v>31</v>
      </c>
      <c r="K100" s="34" t="s">
        <v>32</v>
      </c>
      <c r="L100" s="34" t="s">
        <v>1755</v>
      </c>
      <c r="M100" s="34" t="s">
        <v>33</v>
      </c>
      <c r="N100" s="49">
        <v>23</v>
      </c>
      <c r="O100" s="50">
        <v>2</v>
      </c>
      <c r="P100" s="51">
        <v>188</v>
      </c>
      <c r="Q100" s="52">
        <v>19.1727001</v>
      </c>
      <c r="R100" s="52">
        <v>-99.418332300000003</v>
      </c>
      <c r="S100" s="74" t="s">
        <v>34</v>
      </c>
      <c r="T100" s="74" t="s">
        <v>175</v>
      </c>
      <c r="U100" s="74" t="s">
        <v>35</v>
      </c>
      <c r="V100" s="74" t="s">
        <v>35</v>
      </c>
      <c r="W100" s="74" t="s">
        <v>1808</v>
      </c>
      <c r="X100" s="74" t="s">
        <v>1816</v>
      </c>
      <c r="Y100" s="74" t="s">
        <v>74</v>
      </c>
      <c r="Z100" s="74" t="s">
        <v>74</v>
      </c>
      <c r="AA100" s="75" t="s">
        <v>1830</v>
      </c>
      <c r="AB100" s="30">
        <f t="shared" si="1"/>
        <v>0.41666666666666669</v>
      </c>
    </row>
    <row r="101" spans="1:28" x14ac:dyDescent="0.3">
      <c r="A101" s="34" t="s">
        <v>1042</v>
      </c>
      <c r="B101" s="37" t="s">
        <v>25</v>
      </c>
      <c r="C101" s="34" t="s">
        <v>1777</v>
      </c>
      <c r="D101" s="33" t="s">
        <v>1775</v>
      </c>
      <c r="E101" s="34" t="s">
        <v>1043</v>
      </c>
      <c r="F101" s="34" t="s">
        <v>1044</v>
      </c>
      <c r="G101" s="34" t="s">
        <v>111</v>
      </c>
      <c r="H101" s="37">
        <v>1</v>
      </c>
      <c r="I101" s="34" t="s">
        <v>112</v>
      </c>
      <c r="J101" s="34" t="s">
        <v>31</v>
      </c>
      <c r="K101" s="34" t="s">
        <v>32</v>
      </c>
      <c r="L101" s="34" t="s">
        <v>1755</v>
      </c>
      <c r="M101" s="34" t="s">
        <v>33</v>
      </c>
      <c r="N101" s="49">
        <v>13</v>
      </c>
      <c r="O101" s="50">
        <v>4</v>
      </c>
      <c r="P101" s="51">
        <v>80</v>
      </c>
      <c r="Q101" s="52">
        <v>19.803249000000001</v>
      </c>
      <c r="R101" s="52">
        <v>-100.12938699999999</v>
      </c>
      <c r="S101" s="74" t="s">
        <v>34</v>
      </c>
      <c r="T101" s="74" t="s">
        <v>175</v>
      </c>
      <c r="U101" s="74" t="s">
        <v>35</v>
      </c>
      <c r="V101" s="74" t="s">
        <v>35</v>
      </c>
      <c r="W101" s="74" t="s">
        <v>175</v>
      </c>
      <c r="X101" s="74" t="s">
        <v>1816</v>
      </c>
      <c r="Y101" s="74" t="s">
        <v>74</v>
      </c>
      <c r="Z101" s="74" t="s">
        <v>74</v>
      </c>
      <c r="AA101" s="75" t="s">
        <v>1833</v>
      </c>
      <c r="AB101" s="30">
        <f t="shared" si="1"/>
        <v>0.45833333333333331</v>
      </c>
    </row>
    <row r="102" spans="1:28" x14ac:dyDescent="0.3">
      <c r="A102" s="34" t="s">
        <v>1048</v>
      </c>
      <c r="B102" s="37" t="s">
        <v>25</v>
      </c>
      <c r="C102" s="34" t="s">
        <v>1777</v>
      </c>
      <c r="D102" s="33" t="s">
        <v>1775</v>
      </c>
      <c r="E102" s="34" t="s">
        <v>1049</v>
      </c>
      <c r="F102" s="34" t="s">
        <v>1050</v>
      </c>
      <c r="G102" s="34" t="s">
        <v>111</v>
      </c>
      <c r="H102" s="37">
        <v>1</v>
      </c>
      <c r="I102" s="34" t="s">
        <v>112</v>
      </c>
      <c r="J102" s="34" t="s">
        <v>31</v>
      </c>
      <c r="K102" s="34" t="s">
        <v>32</v>
      </c>
      <c r="L102" s="34" t="s">
        <v>1756</v>
      </c>
      <c r="M102" s="34" t="s">
        <v>33</v>
      </c>
      <c r="N102" s="49">
        <v>14</v>
      </c>
      <c r="O102" s="50">
        <v>6</v>
      </c>
      <c r="P102" s="51">
        <v>194</v>
      </c>
      <c r="Q102" s="52">
        <v>19.702850000000002</v>
      </c>
      <c r="R102" s="52">
        <v>-98.763812999999999</v>
      </c>
      <c r="S102" s="74" t="s">
        <v>34</v>
      </c>
      <c r="T102" s="74" t="s">
        <v>175</v>
      </c>
      <c r="U102" s="74" t="s">
        <v>35</v>
      </c>
      <c r="V102" s="74" t="s">
        <v>35</v>
      </c>
      <c r="W102" s="74"/>
      <c r="X102" s="74"/>
      <c r="Y102" s="74" t="s">
        <v>74</v>
      </c>
      <c r="Z102" s="74" t="s">
        <v>74</v>
      </c>
      <c r="AA102" s="75" t="s">
        <v>1840</v>
      </c>
      <c r="AB102" s="30">
        <f t="shared" si="1"/>
        <v>0.375</v>
      </c>
    </row>
    <row r="103" spans="1:28" x14ac:dyDescent="0.3">
      <c r="A103" s="34" t="s">
        <v>1051</v>
      </c>
      <c r="B103" s="37" t="s">
        <v>25</v>
      </c>
      <c r="C103" s="34" t="s">
        <v>1777</v>
      </c>
      <c r="D103" s="33" t="s">
        <v>1775</v>
      </c>
      <c r="E103" s="34" t="s">
        <v>400</v>
      </c>
      <c r="F103" s="68" t="s">
        <v>1052</v>
      </c>
      <c r="G103" s="34" t="s">
        <v>111</v>
      </c>
      <c r="H103" s="37">
        <v>1</v>
      </c>
      <c r="I103" s="34" t="s">
        <v>112</v>
      </c>
      <c r="J103" s="34" t="s">
        <v>31</v>
      </c>
      <c r="K103" s="34" t="s">
        <v>32</v>
      </c>
      <c r="L103" s="34" t="s">
        <v>1755</v>
      </c>
      <c r="M103" s="34" t="s">
        <v>84</v>
      </c>
      <c r="N103" s="49">
        <v>19</v>
      </c>
      <c r="O103" s="50">
        <v>3</v>
      </c>
      <c r="P103" s="51">
        <v>79</v>
      </c>
      <c r="Q103" s="52">
        <v>18.858986000000002</v>
      </c>
      <c r="R103" s="52">
        <v>-99.967138000000006</v>
      </c>
      <c r="S103" s="74" t="s">
        <v>34</v>
      </c>
      <c r="T103" s="74" t="s">
        <v>175</v>
      </c>
      <c r="U103" s="74" t="s">
        <v>35</v>
      </c>
      <c r="V103" s="74" t="s">
        <v>35</v>
      </c>
      <c r="W103" s="74"/>
      <c r="X103" s="74"/>
      <c r="Y103" s="74"/>
      <c r="Z103" s="74"/>
      <c r="AA103" s="75" t="s">
        <v>1840</v>
      </c>
      <c r="AB103" s="30">
        <f t="shared" si="1"/>
        <v>0.375</v>
      </c>
    </row>
    <row r="104" spans="1:28" x14ac:dyDescent="0.3">
      <c r="A104" s="34" t="s">
        <v>1059</v>
      </c>
      <c r="B104" s="37" t="s">
        <v>25</v>
      </c>
      <c r="C104" s="34" t="s">
        <v>1777</v>
      </c>
      <c r="D104" s="33" t="s">
        <v>1775</v>
      </c>
      <c r="E104" s="34" t="s">
        <v>1060</v>
      </c>
      <c r="F104" s="34" t="s">
        <v>1061</v>
      </c>
      <c r="G104" s="34" t="s">
        <v>111</v>
      </c>
      <c r="H104" s="37">
        <v>1</v>
      </c>
      <c r="I104" s="34" t="s">
        <v>112</v>
      </c>
      <c r="J104" s="34" t="s">
        <v>31</v>
      </c>
      <c r="K104" s="34" t="s">
        <v>32</v>
      </c>
      <c r="L104" s="34" t="s">
        <v>1755</v>
      </c>
      <c r="M104" s="34" t="s">
        <v>33</v>
      </c>
      <c r="N104" s="49">
        <v>20</v>
      </c>
      <c r="O104" s="50">
        <v>4</v>
      </c>
      <c r="P104" s="51">
        <v>184</v>
      </c>
      <c r="Q104" s="52">
        <v>19.103750000000002</v>
      </c>
      <c r="R104" s="52">
        <v>-99.584969999999998</v>
      </c>
      <c r="S104" s="74" t="s">
        <v>34</v>
      </c>
      <c r="T104" s="74" t="s">
        <v>175</v>
      </c>
      <c r="U104" s="74" t="s">
        <v>35</v>
      </c>
      <c r="V104" s="74" t="s">
        <v>35</v>
      </c>
      <c r="W104" s="74"/>
      <c r="X104" s="74"/>
      <c r="Y104" s="74" t="s">
        <v>74</v>
      </c>
      <c r="Z104" s="74" t="s">
        <v>74</v>
      </c>
      <c r="AA104" s="75" t="s">
        <v>1840</v>
      </c>
      <c r="AB104" s="30">
        <f t="shared" si="1"/>
        <v>0.375</v>
      </c>
    </row>
    <row r="105" spans="1:28" x14ac:dyDescent="0.3">
      <c r="A105" s="34" t="s">
        <v>1077</v>
      </c>
      <c r="B105" s="37" t="s">
        <v>25</v>
      </c>
      <c r="C105" s="34" t="s">
        <v>1777</v>
      </c>
      <c r="D105" s="33" t="s">
        <v>1775</v>
      </c>
      <c r="E105" s="34" t="s">
        <v>1078</v>
      </c>
      <c r="F105" s="68" t="s">
        <v>1079</v>
      </c>
      <c r="G105" s="34" t="s">
        <v>111</v>
      </c>
      <c r="H105" s="37">
        <v>1</v>
      </c>
      <c r="I105" s="34" t="s">
        <v>112</v>
      </c>
      <c r="J105" s="34" t="s">
        <v>31</v>
      </c>
      <c r="K105" s="34" t="s">
        <v>32</v>
      </c>
      <c r="L105" s="34" t="s">
        <v>1755</v>
      </c>
      <c r="M105" s="34" t="s">
        <v>33</v>
      </c>
      <c r="N105" s="49">
        <v>9</v>
      </c>
      <c r="O105" s="50">
        <v>4</v>
      </c>
      <c r="P105" s="51">
        <v>132</v>
      </c>
      <c r="Q105" s="52">
        <v>19.029802</v>
      </c>
      <c r="R105" s="52">
        <v>-98.817108000000005</v>
      </c>
      <c r="S105" s="74" t="s">
        <v>34</v>
      </c>
      <c r="T105" s="74" t="s">
        <v>175</v>
      </c>
      <c r="U105" s="74" t="s">
        <v>35</v>
      </c>
      <c r="V105" s="74" t="s">
        <v>35</v>
      </c>
      <c r="W105" s="74"/>
      <c r="X105" s="74"/>
      <c r="Y105" s="74"/>
      <c r="Z105" s="74"/>
      <c r="AA105" s="75" t="s">
        <v>1840</v>
      </c>
      <c r="AB105" s="30">
        <f t="shared" si="1"/>
        <v>0.375</v>
      </c>
    </row>
    <row r="106" spans="1:28" x14ac:dyDescent="0.3">
      <c r="A106" s="34" t="s">
        <v>1091</v>
      </c>
      <c r="B106" s="37" t="s">
        <v>25</v>
      </c>
      <c r="C106" s="34" t="s">
        <v>1777</v>
      </c>
      <c r="D106" s="33" t="s">
        <v>1775</v>
      </c>
      <c r="E106" s="34" t="s">
        <v>1049</v>
      </c>
      <c r="F106" s="34" t="s">
        <v>1092</v>
      </c>
      <c r="G106" s="34" t="s">
        <v>111</v>
      </c>
      <c r="H106" s="37">
        <v>1</v>
      </c>
      <c r="I106" s="34" t="s">
        <v>112</v>
      </c>
      <c r="J106" s="34" t="s">
        <v>31</v>
      </c>
      <c r="K106" s="34" t="s">
        <v>32</v>
      </c>
      <c r="L106" s="34" t="s">
        <v>1756</v>
      </c>
      <c r="M106" s="34" t="s">
        <v>33</v>
      </c>
      <c r="N106" s="49">
        <v>18</v>
      </c>
      <c r="O106" s="50">
        <v>8</v>
      </c>
      <c r="P106" s="51">
        <v>246</v>
      </c>
      <c r="Q106" s="52">
        <v>18.925802999999998</v>
      </c>
      <c r="R106" s="52">
        <v>-99.942142000000004</v>
      </c>
      <c r="S106" s="74" t="s">
        <v>34</v>
      </c>
      <c r="T106" s="74" t="s">
        <v>175</v>
      </c>
      <c r="U106" s="74" t="s">
        <v>35</v>
      </c>
      <c r="V106" s="74" t="s">
        <v>35</v>
      </c>
      <c r="W106" s="74"/>
      <c r="X106" s="74"/>
      <c r="Y106" s="74" t="s">
        <v>74</v>
      </c>
      <c r="Z106" s="74" t="s">
        <v>74</v>
      </c>
      <c r="AA106" s="75" t="s">
        <v>1840</v>
      </c>
      <c r="AB106" s="30">
        <f t="shared" si="1"/>
        <v>0.375</v>
      </c>
    </row>
    <row r="107" spans="1:28" x14ac:dyDescent="0.3">
      <c r="A107" s="34" t="s">
        <v>1093</v>
      </c>
      <c r="B107" s="37" t="s">
        <v>25</v>
      </c>
      <c r="C107" s="34" t="s">
        <v>1777</v>
      </c>
      <c r="D107" s="33" t="s">
        <v>1775</v>
      </c>
      <c r="E107" s="34" t="s">
        <v>1060</v>
      </c>
      <c r="F107" s="34" t="s">
        <v>1094</v>
      </c>
      <c r="G107" s="34" t="s">
        <v>111</v>
      </c>
      <c r="H107" s="37">
        <v>1</v>
      </c>
      <c r="I107" s="34" t="s">
        <v>112</v>
      </c>
      <c r="J107" s="34" t="s">
        <v>31</v>
      </c>
      <c r="K107" s="34" t="s">
        <v>32</v>
      </c>
      <c r="L107" s="34" t="s">
        <v>1756</v>
      </c>
      <c r="M107" s="34" t="s">
        <v>33</v>
      </c>
      <c r="N107" s="49">
        <v>36</v>
      </c>
      <c r="O107" s="50">
        <v>9</v>
      </c>
      <c r="P107" s="51">
        <v>224</v>
      </c>
      <c r="Q107" s="52">
        <v>18.571224999999998</v>
      </c>
      <c r="R107" s="52">
        <v>-100.31328000000001</v>
      </c>
      <c r="S107" s="74" t="s">
        <v>34</v>
      </c>
      <c r="T107" s="74" t="s">
        <v>175</v>
      </c>
      <c r="U107" s="74" t="s">
        <v>35</v>
      </c>
      <c r="V107" s="74" t="s">
        <v>35</v>
      </c>
      <c r="W107" s="74"/>
      <c r="X107" s="74"/>
      <c r="Y107" s="74" t="s">
        <v>74</v>
      </c>
      <c r="Z107" s="74" t="s">
        <v>74</v>
      </c>
      <c r="AA107" s="75" t="s">
        <v>1840</v>
      </c>
      <c r="AB107" s="30">
        <f t="shared" si="1"/>
        <v>0.375</v>
      </c>
    </row>
    <row r="108" spans="1:28" x14ac:dyDescent="0.3">
      <c r="A108" s="34" t="s">
        <v>1098</v>
      </c>
      <c r="B108" s="37" t="s">
        <v>25</v>
      </c>
      <c r="C108" s="34" t="s">
        <v>1777</v>
      </c>
      <c r="D108" s="33" t="s">
        <v>1775</v>
      </c>
      <c r="E108" s="34" t="s">
        <v>1046</v>
      </c>
      <c r="F108" s="34" t="s">
        <v>1099</v>
      </c>
      <c r="G108" s="34" t="s">
        <v>111</v>
      </c>
      <c r="H108" s="37">
        <v>1</v>
      </c>
      <c r="I108" s="34" t="s">
        <v>112</v>
      </c>
      <c r="J108" s="34" t="s">
        <v>31</v>
      </c>
      <c r="K108" s="34" t="s">
        <v>32</v>
      </c>
      <c r="L108" s="34" t="s">
        <v>1755</v>
      </c>
      <c r="M108" s="34" t="s">
        <v>33</v>
      </c>
      <c r="N108" s="49">
        <v>7</v>
      </c>
      <c r="O108" s="50">
        <v>3</v>
      </c>
      <c r="P108" s="51">
        <v>66</v>
      </c>
      <c r="Q108" s="52">
        <v>18.957221000000001</v>
      </c>
      <c r="R108" s="52">
        <v>-99.640535</v>
      </c>
      <c r="S108" s="74" t="s">
        <v>34</v>
      </c>
      <c r="T108" s="74" t="s">
        <v>175</v>
      </c>
      <c r="U108" s="74" t="s">
        <v>35</v>
      </c>
      <c r="V108" s="74" t="s">
        <v>35</v>
      </c>
      <c r="W108" s="74" t="s">
        <v>175</v>
      </c>
      <c r="X108" s="74" t="s">
        <v>1816</v>
      </c>
      <c r="Y108" s="74" t="s">
        <v>74</v>
      </c>
      <c r="Z108" s="74" t="s">
        <v>74</v>
      </c>
      <c r="AA108" s="76" t="s">
        <v>1835</v>
      </c>
      <c r="AB108" s="30">
        <f t="shared" si="1"/>
        <v>0.45833333333333331</v>
      </c>
    </row>
    <row r="109" spans="1:28" x14ac:dyDescent="0.3">
      <c r="A109" s="34" t="s">
        <v>1105</v>
      </c>
      <c r="B109" s="37" t="s">
        <v>25</v>
      </c>
      <c r="C109" s="34" t="s">
        <v>1777</v>
      </c>
      <c r="D109" s="33" t="s">
        <v>1775</v>
      </c>
      <c r="E109" s="34" t="s">
        <v>1106</v>
      </c>
      <c r="F109" s="34" t="s">
        <v>1107</v>
      </c>
      <c r="G109" s="34" t="s">
        <v>111</v>
      </c>
      <c r="H109" s="37">
        <v>1</v>
      </c>
      <c r="I109" s="34" t="s">
        <v>112</v>
      </c>
      <c r="J109" s="34" t="s">
        <v>31</v>
      </c>
      <c r="K109" s="34" t="s">
        <v>32</v>
      </c>
      <c r="L109" s="34" t="s">
        <v>1755</v>
      </c>
      <c r="M109" s="34" t="s">
        <v>33</v>
      </c>
      <c r="N109" s="49">
        <v>12</v>
      </c>
      <c r="O109" s="50">
        <v>5</v>
      </c>
      <c r="P109" s="51">
        <v>126</v>
      </c>
      <c r="Q109" s="52">
        <v>19.440958999999999</v>
      </c>
      <c r="R109" s="52">
        <v>-99.996043</v>
      </c>
      <c r="S109" s="74" t="s">
        <v>34</v>
      </c>
      <c r="T109" s="74" t="s">
        <v>175</v>
      </c>
      <c r="U109" s="74" t="s">
        <v>35</v>
      </c>
      <c r="V109" s="74" t="s">
        <v>35</v>
      </c>
      <c r="W109" s="74" t="s">
        <v>175</v>
      </c>
      <c r="X109" s="74" t="s">
        <v>1816</v>
      </c>
      <c r="Y109" s="74" t="s">
        <v>74</v>
      </c>
      <c r="Z109" s="74" t="s">
        <v>74</v>
      </c>
      <c r="AA109" s="75" t="s">
        <v>1836</v>
      </c>
      <c r="AB109" s="30">
        <f t="shared" si="1"/>
        <v>0.45833333333333331</v>
      </c>
    </row>
    <row r="110" spans="1:28" x14ac:dyDescent="0.3">
      <c r="A110" s="34" t="s">
        <v>1111</v>
      </c>
      <c r="B110" s="37" t="s">
        <v>25</v>
      </c>
      <c r="C110" s="34" t="s">
        <v>1777</v>
      </c>
      <c r="D110" s="33" t="s">
        <v>1775</v>
      </c>
      <c r="E110" s="34" t="s">
        <v>1112</v>
      </c>
      <c r="F110" s="68" t="s">
        <v>1113</v>
      </c>
      <c r="G110" s="34" t="s">
        <v>111</v>
      </c>
      <c r="H110" s="37">
        <v>1</v>
      </c>
      <c r="I110" s="34" t="s">
        <v>112</v>
      </c>
      <c r="J110" s="34" t="s">
        <v>31</v>
      </c>
      <c r="K110" s="34" t="s">
        <v>32</v>
      </c>
      <c r="L110" s="34" t="s">
        <v>1755</v>
      </c>
      <c r="M110" s="34" t="s">
        <v>33</v>
      </c>
      <c r="N110" s="49">
        <v>8</v>
      </c>
      <c r="O110" s="50">
        <v>4</v>
      </c>
      <c r="P110" s="51">
        <v>105</v>
      </c>
      <c r="Q110" s="52">
        <v>19.815152999999999</v>
      </c>
      <c r="R110" s="52">
        <v>-99.135655</v>
      </c>
      <c r="S110" s="74" t="s">
        <v>34</v>
      </c>
      <c r="T110" s="74" t="s">
        <v>175</v>
      </c>
      <c r="U110" s="74" t="s">
        <v>35</v>
      </c>
      <c r="V110" s="74" t="s">
        <v>35</v>
      </c>
      <c r="W110" s="74"/>
      <c r="X110" s="74"/>
      <c r="Y110" s="74"/>
      <c r="Z110" s="74"/>
      <c r="AA110" s="75" t="s">
        <v>1840</v>
      </c>
      <c r="AB110" s="30">
        <f t="shared" si="1"/>
        <v>0.375</v>
      </c>
    </row>
    <row r="111" spans="1:28" x14ac:dyDescent="0.3">
      <c r="A111" s="34" t="s">
        <v>1117</v>
      </c>
      <c r="B111" s="37" t="s">
        <v>25</v>
      </c>
      <c r="C111" s="34" t="s">
        <v>1777</v>
      </c>
      <c r="D111" s="33" t="s">
        <v>1775</v>
      </c>
      <c r="E111" s="34" t="s">
        <v>1118</v>
      </c>
      <c r="F111" s="34" t="s">
        <v>1119</v>
      </c>
      <c r="G111" s="34" t="s">
        <v>111</v>
      </c>
      <c r="H111" s="37">
        <v>1</v>
      </c>
      <c r="I111" s="34" t="s">
        <v>112</v>
      </c>
      <c r="J111" s="34" t="s">
        <v>31</v>
      </c>
      <c r="K111" s="34" t="s">
        <v>32</v>
      </c>
      <c r="L111" s="34" t="s">
        <v>1755</v>
      </c>
      <c r="M111" s="34" t="s">
        <v>33</v>
      </c>
      <c r="N111" s="49">
        <v>20</v>
      </c>
      <c r="O111" s="50">
        <v>4</v>
      </c>
      <c r="P111" s="51">
        <v>95</v>
      </c>
      <c r="Q111" s="52">
        <v>18.921659999999999</v>
      </c>
      <c r="R111" s="52">
        <v>-100.29931000000001</v>
      </c>
      <c r="S111" s="74" t="s">
        <v>34</v>
      </c>
      <c r="T111" s="74" t="s">
        <v>175</v>
      </c>
      <c r="U111" s="74" t="s">
        <v>35</v>
      </c>
      <c r="V111" s="74" t="s">
        <v>35</v>
      </c>
      <c r="W111" s="74" t="s">
        <v>175</v>
      </c>
      <c r="X111" s="74" t="s">
        <v>1816</v>
      </c>
      <c r="Y111" s="74" t="s">
        <v>74</v>
      </c>
      <c r="Z111" s="74" t="s">
        <v>74</v>
      </c>
      <c r="AA111" s="75" t="s">
        <v>1837</v>
      </c>
      <c r="AB111" s="30">
        <f t="shared" si="1"/>
        <v>0.45833333333333331</v>
      </c>
    </row>
    <row r="112" spans="1:28" x14ac:dyDescent="0.3">
      <c r="A112" s="34" t="s">
        <v>1590</v>
      </c>
      <c r="B112" s="37" t="s">
        <v>25</v>
      </c>
      <c r="C112" s="34" t="s">
        <v>1777</v>
      </c>
      <c r="D112" s="33" t="s">
        <v>1775</v>
      </c>
      <c r="E112" s="34" t="s">
        <v>1106</v>
      </c>
      <c r="F112" s="68" t="s">
        <v>1591</v>
      </c>
      <c r="G112" s="34" t="s">
        <v>164</v>
      </c>
      <c r="H112" s="37">
        <v>2</v>
      </c>
      <c r="I112" s="34" t="s">
        <v>112</v>
      </c>
      <c r="J112" s="34" t="s">
        <v>31</v>
      </c>
      <c r="K112" s="34" t="s">
        <v>32</v>
      </c>
      <c r="L112" s="34" t="s">
        <v>1755</v>
      </c>
      <c r="M112" s="34" t="s">
        <v>33</v>
      </c>
      <c r="N112" s="49">
        <v>6</v>
      </c>
      <c r="O112" s="50">
        <v>2</v>
      </c>
      <c r="P112" s="51">
        <v>48</v>
      </c>
      <c r="Q112" s="52">
        <v>19.746403000000001</v>
      </c>
      <c r="R112" s="52">
        <v>-98.971474999999998</v>
      </c>
      <c r="S112" s="74" t="s">
        <v>34</v>
      </c>
      <c r="T112" s="74" t="s">
        <v>175</v>
      </c>
      <c r="U112" s="74" t="s">
        <v>35</v>
      </c>
      <c r="V112" s="74" t="s">
        <v>35</v>
      </c>
      <c r="W112" s="74" t="s">
        <v>175</v>
      </c>
      <c r="X112" s="74"/>
      <c r="Y112" s="74"/>
      <c r="Z112" s="74"/>
      <c r="AA112" s="76" t="s">
        <v>1817</v>
      </c>
      <c r="AB112" s="30">
        <f t="shared" si="1"/>
        <v>0.45833333333333331</v>
      </c>
    </row>
    <row r="113" spans="1:28" x14ac:dyDescent="0.3">
      <c r="A113" s="34" t="s">
        <v>1600</v>
      </c>
      <c r="B113" s="37" t="s">
        <v>25</v>
      </c>
      <c r="C113" s="34" t="s">
        <v>1777</v>
      </c>
      <c r="D113" s="33" t="s">
        <v>1775</v>
      </c>
      <c r="E113" s="34" t="s">
        <v>1043</v>
      </c>
      <c r="F113" s="68" t="s">
        <v>1601</v>
      </c>
      <c r="G113" s="34" t="s">
        <v>164</v>
      </c>
      <c r="H113" s="37">
        <v>2</v>
      </c>
      <c r="I113" s="34" t="s">
        <v>155</v>
      </c>
      <c r="J113" s="34" t="s">
        <v>31</v>
      </c>
      <c r="K113" s="34" t="s">
        <v>32</v>
      </c>
      <c r="L113" s="34" t="s">
        <v>1755</v>
      </c>
      <c r="M113" s="34" t="s">
        <v>33</v>
      </c>
      <c r="N113" s="49">
        <v>8</v>
      </c>
      <c r="O113" s="50">
        <v>5</v>
      </c>
      <c r="P113" s="51">
        <v>117</v>
      </c>
      <c r="Q113" s="52">
        <v>19.9436158</v>
      </c>
      <c r="R113" s="52">
        <v>-99.868368399999994</v>
      </c>
      <c r="S113" s="74" t="s">
        <v>34</v>
      </c>
      <c r="T113" s="74" t="s">
        <v>175</v>
      </c>
      <c r="U113" s="74" t="s">
        <v>35</v>
      </c>
      <c r="V113" s="74" t="s">
        <v>35</v>
      </c>
      <c r="W113" s="74" t="s">
        <v>35</v>
      </c>
      <c r="X113" s="74"/>
      <c r="Y113" s="74"/>
      <c r="Z113" s="74"/>
      <c r="AA113" s="76" t="s">
        <v>1818</v>
      </c>
      <c r="AB113" s="30">
        <f t="shared" si="1"/>
        <v>0.5</v>
      </c>
    </row>
    <row r="114" spans="1:28" x14ac:dyDescent="0.3">
      <c r="A114" s="34" t="s">
        <v>1627</v>
      </c>
      <c r="B114" s="37" t="s">
        <v>25</v>
      </c>
      <c r="C114" s="34" t="s">
        <v>1777</v>
      </c>
      <c r="D114" s="33" t="s">
        <v>1775</v>
      </c>
      <c r="E114" s="34" t="s">
        <v>895</v>
      </c>
      <c r="F114" s="68" t="s">
        <v>1628</v>
      </c>
      <c r="G114" s="34" t="s">
        <v>164</v>
      </c>
      <c r="H114" s="37">
        <v>2</v>
      </c>
      <c r="I114" s="34" t="s">
        <v>155</v>
      </c>
      <c r="J114" s="34" t="s">
        <v>31</v>
      </c>
      <c r="K114" s="34" t="s">
        <v>32</v>
      </c>
      <c r="L114" s="34" t="s">
        <v>1755</v>
      </c>
      <c r="M114" s="34" t="s">
        <v>33</v>
      </c>
      <c r="N114" s="49">
        <v>14</v>
      </c>
      <c r="O114" s="50">
        <v>2</v>
      </c>
      <c r="P114" s="51">
        <v>43</v>
      </c>
      <c r="Q114" s="52">
        <v>19.467863000000001</v>
      </c>
      <c r="R114" s="52">
        <v>-99.605931999999996</v>
      </c>
      <c r="S114" s="74" t="s">
        <v>34</v>
      </c>
      <c r="T114" s="74" t="s">
        <v>175</v>
      </c>
      <c r="U114" s="74" t="s">
        <v>35</v>
      </c>
      <c r="V114" s="74" t="s">
        <v>35</v>
      </c>
      <c r="W114" s="74"/>
      <c r="X114" s="74"/>
      <c r="Y114" s="74"/>
      <c r="Z114" s="74"/>
      <c r="AA114" s="76" t="s">
        <v>1819</v>
      </c>
      <c r="AB114" s="30">
        <f t="shared" si="1"/>
        <v>0.375</v>
      </c>
    </row>
    <row r="115" spans="1:28" x14ac:dyDescent="0.3">
      <c r="A115" s="34" t="s">
        <v>1633</v>
      </c>
      <c r="B115" s="37" t="s">
        <v>25</v>
      </c>
      <c r="C115" s="34" t="s">
        <v>1777</v>
      </c>
      <c r="D115" s="33" t="s">
        <v>1775</v>
      </c>
      <c r="E115" s="34" t="s">
        <v>1046</v>
      </c>
      <c r="F115" s="34" t="s">
        <v>1634</v>
      </c>
      <c r="G115" s="34" t="s">
        <v>164</v>
      </c>
      <c r="H115" s="37">
        <v>2</v>
      </c>
      <c r="I115" s="34" t="s">
        <v>155</v>
      </c>
      <c r="J115" s="34" t="s">
        <v>31</v>
      </c>
      <c r="K115" s="34" t="s">
        <v>32</v>
      </c>
      <c r="L115" s="34" t="s">
        <v>1756</v>
      </c>
      <c r="M115" s="34" t="s">
        <v>33</v>
      </c>
      <c r="N115" s="49">
        <v>6</v>
      </c>
      <c r="O115" s="50">
        <v>4</v>
      </c>
      <c r="P115" s="51">
        <v>112</v>
      </c>
      <c r="Q115" s="52">
        <v>18.720703</v>
      </c>
      <c r="R115" s="52">
        <v>-99.781158000000005</v>
      </c>
      <c r="S115" s="74" t="s">
        <v>34</v>
      </c>
      <c r="T115" s="74" t="s">
        <v>175</v>
      </c>
      <c r="U115" s="74" t="s">
        <v>35</v>
      </c>
      <c r="V115" s="74" t="s">
        <v>35</v>
      </c>
      <c r="W115" s="74"/>
      <c r="X115" s="74"/>
      <c r="Y115" s="74" t="s">
        <v>74</v>
      </c>
      <c r="Z115" s="74" t="s">
        <v>74</v>
      </c>
      <c r="AA115" s="75" t="s">
        <v>1840</v>
      </c>
      <c r="AB115" s="30">
        <f t="shared" si="1"/>
        <v>0.375</v>
      </c>
    </row>
    <row r="116" spans="1:28" x14ac:dyDescent="0.3">
      <c r="A116" s="34" t="s">
        <v>1686</v>
      </c>
      <c r="B116" s="37" t="s">
        <v>25</v>
      </c>
      <c r="C116" s="34" t="s">
        <v>1777</v>
      </c>
      <c r="D116" s="33" t="s">
        <v>1775</v>
      </c>
      <c r="E116" s="34" t="s">
        <v>1034</v>
      </c>
      <c r="F116" s="34" t="s">
        <v>1687</v>
      </c>
      <c r="G116" s="34" t="s">
        <v>169</v>
      </c>
      <c r="H116" s="37">
        <v>2</v>
      </c>
      <c r="I116" s="34" t="s">
        <v>170</v>
      </c>
      <c r="J116" s="34" t="s">
        <v>31</v>
      </c>
      <c r="K116" s="34" t="s">
        <v>32</v>
      </c>
      <c r="L116" s="34" t="s">
        <v>1755</v>
      </c>
      <c r="M116" s="34" t="s">
        <v>33</v>
      </c>
      <c r="N116" s="49">
        <v>15</v>
      </c>
      <c r="O116" s="50">
        <v>0</v>
      </c>
      <c r="P116" s="51">
        <v>237</v>
      </c>
      <c r="Q116" s="52">
        <v>19.326934999999999</v>
      </c>
      <c r="R116" s="52">
        <v>-99.476313000000005</v>
      </c>
      <c r="S116" s="74" t="s">
        <v>34</v>
      </c>
      <c r="T116" s="74" t="s">
        <v>175</v>
      </c>
      <c r="U116" s="74" t="s">
        <v>35</v>
      </c>
      <c r="V116" s="74" t="s">
        <v>35</v>
      </c>
      <c r="W116" s="74"/>
      <c r="X116" s="74"/>
      <c r="Y116" s="74" t="s">
        <v>74</v>
      </c>
      <c r="Z116" s="74" t="s">
        <v>74</v>
      </c>
      <c r="AA116" s="75" t="s">
        <v>1840</v>
      </c>
      <c r="AB116" s="30">
        <f t="shared" si="1"/>
        <v>0.375</v>
      </c>
    </row>
    <row r="117" spans="1:28" x14ac:dyDescent="0.3">
      <c r="A117" s="34" t="s">
        <v>1688</v>
      </c>
      <c r="B117" s="37" t="s">
        <v>25</v>
      </c>
      <c r="C117" s="34" t="s">
        <v>1777</v>
      </c>
      <c r="D117" s="33" t="s">
        <v>1775</v>
      </c>
      <c r="E117" s="34" t="s">
        <v>1034</v>
      </c>
      <c r="F117" s="34" t="s">
        <v>1689</v>
      </c>
      <c r="G117" s="34" t="s">
        <v>169</v>
      </c>
      <c r="H117" s="37">
        <v>2</v>
      </c>
      <c r="I117" s="34" t="s">
        <v>170</v>
      </c>
      <c r="J117" s="34" t="s">
        <v>31</v>
      </c>
      <c r="K117" s="34" t="s">
        <v>32</v>
      </c>
      <c r="L117" s="34" t="s">
        <v>1755</v>
      </c>
      <c r="M117" s="34" t="s">
        <v>33</v>
      </c>
      <c r="N117" s="49">
        <v>17</v>
      </c>
      <c r="O117" s="50">
        <v>0</v>
      </c>
      <c r="P117" s="51">
        <v>213</v>
      </c>
      <c r="Q117" s="52">
        <v>19.728026</v>
      </c>
      <c r="R117" s="52">
        <v>-99.479425000000006</v>
      </c>
      <c r="S117" s="74" t="s">
        <v>34</v>
      </c>
      <c r="T117" s="74" t="s">
        <v>175</v>
      </c>
      <c r="U117" s="74" t="s">
        <v>35</v>
      </c>
      <c r="V117" s="74" t="s">
        <v>35</v>
      </c>
      <c r="W117" s="74"/>
      <c r="X117" s="74"/>
      <c r="Y117" s="74" t="s">
        <v>74</v>
      </c>
      <c r="Z117" s="74" t="s">
        <v>74</v>
      </c>
      <c r="AA117" s="75" t="s">
        <v>1840</v>
      </c>
      <c r="AB117" s="30">
        <f t="shared" si="1"/>
        <v>0.375</v>
      </c>
    </row>
    <row r="118" spans="1:28" ht="15" x14ac:dyDescent="0.3">
      <c r="A118" s="34" t="s">
        <v>1690</v>
      </c>
      <c r="B118" s="37" t="s">
        <v>25</v>
      </c>
      <c r="C118" s="34" t="s">
        <v>1777</v>
      </c>
      <c r="D118" s="33" t="s">
        <v>1775</v>
      </c>
      <c r="E118" s="34" t="s">
        <v>400</v>
      </c>
      <c r="F118" s="87" t="s">
        <v>1691</v>
      </c>
      <c r="G118" s="34" t="s">
        <v>169</v>
      </c>
      <c r="H118" s="37">
        <v>2</v>
      </c>
      <c r="I118" s="34" t="s">
        <v>170</v>
      </c>
      <c r="J118" s="34" t="s">
        <v>31</v>
      </c>
      <c r="K118" s="34" t="s">
        <v>32</v>
      </c>
      <c r="L118" s="34" t="s">
        <v>1755</v>
      </c>
      <c r="M118" s="34" t="s">
        <v>84</v>
      </c>
      <c r="N118" s="49">
        <v>29</v>
      </c>
      <c r="O118" s="50">
        <v>0</v>
      </c>
      <c r="P118" s="51">
        <v>161</v>
      </c>
      <c r="Q118" s="52">
        <v>19.543561</v>
      </c>
      <c r="R118" s="52">
        <v>-98.897240999999994</v>
      </c>
      <c r="S118" s="74" t="s">
        <v>34</v>
      </c>
      <c r="T118" s="74" t="s">
        <v>175</v>
      </c>
      <c r="U118" s="74" t="s">
        <v>35</v>
      </c>
      <c r="V118" s="74" t="s">
        <v>35</v>
      </c>
      <c r="W118" s="74"/>
      <c r="X118" s="74"/>
      <c r="Y118" s="74" t="s">
        <v>74</v>
      </c>
      <c r="Z118" s="74" t="s">
        <v>74</v>
      </c>
      <c r="AA118" s="75" t="s">
        <v>1840</v>
      </c>
      <c r="AB118" s="30">
        <f t="shared" si="1"/>
        <v>0.375</v>
      </c>
    </row>
    <row r="119" spans="1:28" x14ac:dyDescent="0.3">
      <c r="A119" s="34" t="s">
        <v>1045</v>
      </c>
      <c r="B119" s="37" t="s">
        <v>25</v>
      </c>
      <c r="C119" s="34" t="s">
        <v>1777</v>
      </c>
      <c r="D119" s="33" t="s">
        <v>1775</v>
      </c>
      <c r="E119" s="34" t="s">
        <v>1046</v>
      </c>
      <c r="F119" s="34" t="s">
        <v>1047</v>
      </c>
      <c r="G119" s="34" t="s">
        <v>111</v>
      </c>
      <c r="H119" s="37">
        <v>1</v>
      </c>
      <c r="I119" s="34" t="s">
        <v>112</v>
      </c>
      <c r="J119" s="34" t="s">
        <v>31</v>
      </c>
      <c r="K119" s="34" t="s">
        <v>32</v>
      </c>
      <c r="L119" s="34" t="s">
        <v>1755</v>
      </c>
      <c r="M119" s="34" t="s">
        <v>33</v>
      </c>
      <c r="N119" s="49">
        <v>20</v>
      </c>
      <c r="O119" s="50">
        <v>7</v>
      </c>
      <c r="P119" s="51">
        <v>125</v>
      </c>
      <c r="Q119" s="52">
        <v>18.947174</v>
      </c>
      <c r="R119" s="52">
        <v>-99.491534000000001</v>
      </c>
      <c r="S119" s="74" t="s">
        <v>34</v>
      </c>
      <c r="T119" s="74" t="s">
        <v>175</v>
      </c>
      <c r="U119" s="74"/>
      <c r="V119" s="74" t="s">
        <v>213</v>
      </c>
      <c r="W119" s="74" t="s">
        <v>1808</v>
      </c>
      <c r="X119" s="74" t="s">
        <v>1816</v>
      </c>
      <c r="Y119" s="74" t="s">
        <v>74</v>
      </c>
      <c r="Z119" s="74" t="s">
        <v>74</v>
      </c>
      <c r="AA119" s="76" t="s">
        <v>1834</v>
      </c>
      <c r="AB119" s="30">
        <f t="shared" si="1"/>
        <v>0.24999999999999997</v>
      </c>
    </row>
    <row r="120" spans="1:28" x14ac:dyDescent="0.3">
      <c r="A120" s="34" t="s">
        <v>326</v>
      </c>
      <c r="B120" s="37" t="s">
        <v>25</v>
      </c>
      <c r="C120" s="34" t="s">
        <v>1777</v>
      </c>
      <c r="D120" s="33" t="s">
        <v>1775</v>
      </c>
      <c r="E120" s="34" t="s">
        <v>328</v>
      </c>
      <c r="F120" s="34" t="s">
        <v>329</v>
      </c>
      <c r="G120" s="34" t="s">
        <v>29</v>
      </c>
      <c r="H120" s="37">
        <v>1</v>
      </c>
      <c r="I120" s="34" t="s">
        <v>30</v>
      </c>
      <c r="J120" s="34" t="s">
        <v>31</v>
      </c>
      <c r="K120" s="34" t="s">
        <v>32</v>
      </c>
      <c r="L120" s="34" t="s">
        <v>1755</v>
      </c>
      <c r="M120" s="34" t="s">
        <v>33</v>
      </c>
      <c r="N120" s="49">
        <v>11</v>
      </c>
      <c r="O120" s="50">
        <v>2</v>
      </c>
      <c r="P120" s="51">
        <v>20</v>
      </c>
      <c r="Q120" s="52">
        <v>19.306515999999998</v>
      </c>
      <c r="R120" s="52">
        <v>-98.859460100000007</v>
      </c>
      <c r="S120" s="74" t="s">
        <v>34</v>
      </c>
      <c r="T120" s="74"/>
      <c r="U120" s="74"/>
      <c r="V120" s="74"/>
      <c r="W120" s="74"/>
      <c r="X120" s="74"/>
      <c r="Y120" s="74"/>
      <c r="Z120" s="74"/>
      <c r="AA120" s="75"/>
      <c r="AB120" s="30">
        <f t="shared" si="1"/>
        <v>0.125</v>
      </c>
    </row>
    <row r="121" spans="1:28" x14ac:dyDescent="0.3">
      <c r="A121" s="34" t="s">
        <v>330</v>
      </c>
      <c r="B121" s="37" t="s">
        <v>25</v>
      </c>
      <c r="C121" s="34" t="s">
        <v>1777</v>
      </c>
      <c r="D121" s="33" t="s">
        <v>1775</v>
      </c>
      <c r="E121" s="34" t="s">
        <v>331</v>
      </c>
      <c r="F121" s="34" t="s">
        <v>332</v>
      </c>
      <c r="G121" s="34" t="s">
        <v>29</v>
      </c>
      <c r="H121" s="37">
        <v>1</v>
      </c>
      <c r="I121" s="34" t="s">
        <v>30</v>
      </c>
      <c r="J121" s="34" t="s">
        <v>31</v>
      </c>
      <c r="K121" s="34" t="s">
        <v>32</v>
      </c>
      <c r="L121" s="34" t="s">
        <v>1755</v>
      </c>
      <c r="M121" s="34" t="s">
        <v>33</v>
      </c>
      <c r="N121" s="49">
        <v>11</v>
      </c>
      <c r="O121" s="50">
        <v>2</v>
      </c>
      <c r="P121" s="51">
        <v>22</v>
      </c>
      <c r="Q121" s="52">
        <v>19.421738999999999</v>
      </c>
      <c r="R121" s="52">
        <v>-99.556623999999999</v>
      </c>
      <c r="S121" s="74" t="s">
        <v>34</v>
      </c>
      <c r="T121" s="74"/>
      <c r="U121" s="74"/>
      <c r="V121" s="74"/>
      <c r="W121" s="74"/>
      <c r="X121" s="74"/>
      <c r="Y121" s="74"/>
      <c r="Z121" s="74"/>
      <c r="AA121" s="75"/>
      <c r="AB121" s="30">
        <f t="shared" si="1"/>
        <v>0.125</v>
      </c>
    </row>
    <row r="122" spans="1:28" x14ac:dyDescent="0.3">
      <c r="A122" s="34" t="s">
        <v>333</v>
      </c>
      <c r="B122" s="37" t="s">
        <v>25</v>
      </c>
      <c r="C122" s="34" t="s">
        <v>1777</v>
      </c>
      <c r="D122" s="33" t="s">
        <v>1775</v>
      </c>
      <c r="E122" s="34" t="s">
        <v>334</v>
      </c>
      <c r="F122" s="34" t="s">
        <v>335</v>
      </c>
      <c r="G122" s="34" t="s">
        <v>29</v>
      </c>
      <c r="H122" s="37">
        <v>1</v>
      </c>
      <c r="I122" s="34" t="s">
        <v>30</v>
      </c>
      <c r="J122" s="34" t="s">
        <v>31</v>
      </c>
      <c r="K122" s="34" t="s">
        <v>32</v>
      </c>
      <c r="L122" s="34" t="s">
        <v>1755</v>
      </c>
      <c r="M122" s="34" t="s">
        <v>33</v>
      </c>
      <c r="N122" s="49">
        <v>11</v>
      </c>
      <c r="O122" s="50">
        <v>2</v>
      </c>
      <c r="P122" s="51">
        <v>30</v>
      </c>
      <c r="Q122" s="52">
        <v>19.390063999999999</v>
      </c>
      <c r="R122" s="52">
        <v>-99.542540700000004</v>
      </c>
      <c r="S122" s="74" t="s">
        <v>34</v>
      </c>
      <c r="T122" s="74"/>
      <c r="U122" s="74"/>
      <c r="V122" s="74"/>
      <c r="W122" s="74"/>
      <c r="X122" s="74"/>
      <c r="Y122" s="74"/>
      <c r="Z122" s="74"/>
      <c r="AA122" s="75"/>
      <c r="AB122" s="30">
        <f t="shared" si="1"/>
        <v>0.125</v>
      </c>
    </row>
    <row r="123" spans="1:28" x14ac:dyDescent="0.3">
      <c r="A123" s="34" t="s">
        <v>336</v>
      </c>
      <c r="B123" s="37" t="s">
        <v>25</v>
      </c>
      <c r="C123" s="34" t="s">
        <v>1777</v>
      </c>
      <c r="D123" s="33" t="s">
        <v>1775</v>
      </c>
      <c r="E123" s="34" t="s">
        <v>337</v>
      </c>
      <c r="F123" s="34" t="s">
        <v>338</v>
      </c>
      <c r="G123" s="34" t="s">
        <v>29</v>
      </c>
      <c r="H123" s="37">
        <v>1</v>
      </c>
      <c r="I123" s="34" t="s">
        <v>30</v>
      </c>
      <c r="J123" s="34" t="s">
        <v>31</v>
      </c>
      <c r="K123" s="34" t="s">
        <v>32</v>
      </c>
      <c r="L123" s="34" t="s">
        <v>1755</v>
      </c>
      <c r="M123" s="34" t="s">
        <v>33</v>
      </c>
      <c r="N123" s="49">
        <v>9</v>
      </c>
      <c r="O123" s="50">
        <v>2</v>
      </c>
      <c r="P123" s="51">
        <v>18</v>
      </c>
      <c r="Q123" s="52">
        <v>19.051632000000001</v>
      </c>
      <c r="R123" s="52">
        <v>-100.020031</v>
      </c>
      <c r="S123" s="74" t="s">
        <v>34</v>
      </c>
      <c r="T123" s="74"/>
      <c r="U123" s="74"/>
      <c r="V123" s="74"/>
      <c r="W123" s="74"/>
      <c r="X123" s="74"/>
      <c r="Y123" s="74"/>
      <c r="Z123" s="74"/>
      <c r="AA123" s="75"/>
      <c r="AB123" s="30">
        <f t="shared" si="1"/>
        <v>0.125</v>
      </c>
    </row>
    <row r="124" spans="1:28" x14ac:dyDescent="0.3">
      <c r="A124" s="34" t="s">
        <v>339</v>
      </c>
      <c r="B124" s="37" t="s">
        <v>25</v>
      </c>
      <c r="C124" s="34" t="s">
        <v>1777</v>
      </c>
      <c r="D124" s="33" t="s">
        <v>1775</v>
      </c>
      <c r="E124" s="34" t="s">
        <v>340</v>
      </c>
      <c r="F124" s="34" t="s">
        <v>341</v>
      </c>
      <c r="G124" s="34" t="s">
        <v>29</v>
      </c>
      <c r="H124" s="37">
        <v>1</v>
      </c>
      <c r="I124" s="34" t="s">
        <v>30</v>
      </c>
      <c r="J124" s="34" t="s">
        <v>31</v>
      </c>
      <c r="K124" s="34" t="s">
        <v>32</v>
      </c>
      <c r="L124" s="34" t="s">
        <v>1755</v>
      </c>
      <c r="M124" s="34" t="s">
        <v>84</v>
      </c>
      <c r="N124" s="49">
        <v>6</v>
      </c>
      <c r="O124" s="50">
        <v>2</v>
      </c>
      <c r="P124" s="51">
        <v>25</v>
      </c>
      <c r="Q124" s="52">
        <v>19.567789000000001</v>
      </c>
      <c r="R124" s="52">
        <v>-99.630523999999994</v>
      </c>
      <c r="S124" s="74" t="s">
        <v>34</v>
      </c>
      <c r="T124" s="74"/>
      <c r="U124" s="74"/>
      <c r="V124" s="74"/>
      <c r="W124" s="74"/>
      <c r="X124" s="74"/>
      <c r="Y124" s="74"/>
      <c r="Z124" s="74"/>
      <c r="AA124" s="75"/>
      <c r="AB124" s="30">
        <f t="shared" si="1"/>
        <v>0.125</v>
      </c>
    </row>
    <row r="125" spans="1:28" x14ac:dyDescent="0.3">
      <c r="A125" s="34" t="s">
        <v>342</v>
      </c>
      <c r="B125" s="37" t="s">
        <v>25</v>
      </c>
      <c r="C125" s="34" t="s">
        <v>1777</v>
      </c>
      <c r="D125" s="33" t="s">
        <v>1775</v>
      </c>
      <c r="E125" s="34" t="s">
        <v>343</v>
      </c>
      <c r="F125" s="34" t="s">
        <v>344</v>
      </c>
      <c r="G125" s="34" t="s">
        <v>29</v>
      </c>
      <c r="H125" s="37">
        <v>1</v>
      </c>
      <c r="I125" s="34" t="s">
        <v>30</v>
      </c>
      <c r="J125" s="34" t="s">
        <v>31</v>
      </c>
      <c r="K125" s="34" t="s">
        <v>32</v>
      </c>
      <c r="L125" s="34" t="s">
        <v>1755</v>
      </c>
      <c r="M125" s="34" t="s">
        <v>33</v>
      </c>
      <c r="N125" s="49">
        <v>8</v>
      </c>
      <c r="O125" s="50">
        <v>2</v>
      </c>
      <c r="P125" s="51">
        <v>19</v>
      </c>
      <c r="Q125" s="52">
        <v>19.639880099999999</v>
      </c>
      <c r="R125" s="52">
        <v>-99.377540100000004</v>
      </c>
      <c r="S125" s="74" t="s">
        <v>34</v>
      </c>
      <c r="T125" s="74"/>
      <c r="U125" s="74"/>
      <c r="V125" s="74"/>
      <c r="W125" s="74"/>
      <c r="X125" s="74"/>
      <c r="Y125" s="74"/>
      <c r="Z125" s="74"/>
      <c r="AA125" s="75"/>
      <c r="AB125" s="30">
        <f t="shared" si="1"/>
        <v>0.125</v>
      </c>
    </row>
    <row r="126" spans="1:28"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74" t="s">
        <v>34</v>
      </c>
      <c r="T126" s="74"/>
      <c r="U126" s="74"/>
      <c r="V126" s="74"/>
      <c r="W126" s="74"/>
      <c r="X126" s="74"/>
      <c r="Y126" s="74"/>
      <c r="Z126" s="74"/>
      <c r="AA126" s="75"/>
      <c r="AB126" s="30">
        <f t="shared" si="1"/>
        <v>0.125</v>
      </c>
    </row>
    <row r="127" spans="1:28"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74" t="s">
        <v>34</v>
      </c>
      <c r="T127" s="74"/>
      <c r="U127" s="74"/>
      <c r="V127" s="74"/>
      <c r="W127" s="74"/>
      <c r="X127" s="74"/>
      <c r="Y127" s="74"/>
      <c r="Z127" s="74"/>
      <c r="AA127" s="75"/>
      <c r="AB127" s="30">
        <f t="shared" si="1"/>
        <v>0.125</v>
      </c>
    </row>
    <row r="128" spans="1:28"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74" t="s">
        <v>34</v>
      </c>
      <c r="T128" s="74"/>
      <c r="U128" s="74"/>
      <c r="V128" s="74"/>
      <c r="W128" s="74"/>
      <c r="X128" s="74"/>
      <c r="Y128" s="74"/>
      <c r="Z128" s="74"/>
      <c r="AA128" s="75"/>
      <c r="AB128" s="30">
        <f t="shared" si="1"/>
        <v>0.125</v>
      </c>
    </row>
    <row r="129" spans="1:28"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74" t="s">
        <v>34</v>
      </c>
      <c r="T129" s="74"/>
      <c r="U129" s="74"/>
      <c r="V129" s="74"/>
      <c r="W129" s="74"/>
      <c r="X129" s="74"/>
      <c r="Y129" s="74"/>
      <c r="Z129" s="74"/>
      <c r="AA129" s="75"/>
      <c r="AB129" s="30">
        <f t="shared" si="1"/>
        <v>0.125</v>
      </c>
    </row>
    <row r="130" spans="1:28"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74" t="s">
        <v>34</v>
      </c>
      <c r="T130" s="74"/>
      <c r="U130" s="74"/>
      <c r="V130" s="74"/>
      <c r="W130" s="74"/>
      <c r="X130" s="74"/>
      <c r="Y130" s="74"/>
      <c r="Z130" s="74"/>
      <c r="AA130" s="75"/>
      <c r="AB130" s="30">
        <f t="shared" ref="AB130:AB193" si="2">(
IF(S130="ENVIADO A LA CE/UM",1/3,IF(S130="ENTREGADO/REVISIÓN",2/3,IF(S130="ENVIADO A TICS",1,0)))+
IF(T130="EN PROCESO",0,IF(T130="CONCLUIDO",1,0))+
IF(U130="ENVIADO A LA CE/UM",1/3,IF(U130="EN REVISIÓN CENTRAL",2/3,IF(U130="CONCLUIDO",1,0)))+
IF(V130="ENVIADO A LA CE/UM",1/3,IF(V130="EN REVISIÓN CENTRAL",2/3,IF(V130="CONCLUIDO",1,0)))+
IF(W130="ENVIADO",1/3,IF(W130="EN PROCESO",2/3,IF(W130="CONCLUIDO",1,0)))+
IF(X130="PROGRAMADAS",0,IF(X130="CONCLUIDAS",1,0))+
IF(Y130="SI",1,IF(Y130="NO",0,0))+
IF(Z130="SI",1,IF(Z130="NO",0,0))
)/8</f>
        <v>0.125</v>
      </c>
    </row>
    <row r="131" spans="1:28"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74" t="s">
        <v>34</v>
      </c>
      <c r="T131" s="74"/>
      <c r="U131" s="74"/>
      <c r="V131" s="74"/>
      <c r="W131" s="74"/>
      <c r="X131" s="74"/>
      <c r="Y131" s="74"/>
      <c r="Z131" s="74"/>
      <c r="AA131" s="75"/>
      <c r="AB131" s="30">
        <f t="shared" si="2"/>
        <v>0.125</v>
      </c>
    </row>
    <row r="132" spans="1:28"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74" t="s">
        <v>34</v>
      </c>
      <c r="T132" s="74"/>
      <c r="U132" s="74"/>
      <c r="V132" s="74"/>
      <c r="W132" s="74"/>
      <c r="X132" s="74"/>
      <c r="Y132" s="74"/>
      <c r="Z132" s="74"/>
      <c r="AA132" s="75"/>
      <c r="AB132" s="30">
        <f t="shared" si="2"/>
        <v>0.125</v>
      </c>
    </row>
    <row r="133" spans="1:28"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74" t="s">
        <v>34</v>
      </c>
      <c r="T133" s="74"/>
      <c r="U133" s="74" t="s">
        <v>213</v>
      </c>
      <c r="V133" s="74" t="s">
        <v>213</v>
      </c>
      <c r="W133" s="74"/>
      <c r="X133" s="74"/>
      <c r="Y133" s="74"/>
      <c r="Z133" s="74"/>
      <c r="AA133" s="75"/>
      <c r="AB133" s="30">
        <f t="shared" si="2"/>
        <v>0.29166666666666663</v>
      </c>
    </row>
    <row r="134" spans="1:28" x14ac:dyDescent="0.3">
      <c r="A134" s="34" t="s">
        <v>446</v>
      </c>
      <c r="B134" s="37" t="s">
        <v>25</v>
      </c>
      <c r="C134" s="34" t="s">
        <v>440</v>
      </c>
      <c r="D134" s="33" t="s">
        <v>1775</v>
      </c>
      <c r="E134" s="34" t="s">
        <v>447</v>
      </c>
      <c r="F134" s="34" t="s">
        <v>448</v>
      </c>
      <c r="G134" s="63" t="s">
        <v>29</v>
      </c>
      <c r="H134" s="37">
        <v>1</v>
      </c>
      <c r="I134" s="32" t="s">
        <v>30</v>
      </c>
      <c r="J134" s="63" t="s">
        <v>31</v>
      </c>
      <c r="K134" s="63" t="s">
        <v>32</v>
      </c>
      <c r="L134" s="63" t="s">
        <v>1755</v>
      </c>
      <c r="M134" s="63" t="s">
        <v>33</v>
      </c>
      <c r="N134" s="49">
        <v>9</v>
      </c>
      <c r="O134" s="50">
        <v>2</v>
      </c>
      <c r="P134" s="51">
        <v>28</v>
      </c>
      <c r="Q134" s="52">
        <v>18.8759753</v>
      </c>
      <c r="R134" s="52">
        <v>-99.169342700000001</v>
      </c>
      <c r="S134" s="74" t="s">
        <v>34</v>
      </c>
      <c r="T134" s="74"/>
      <c r="U134" s="74" t="s">
        <v>213</v>
      </c>
      <c r="V134" s="74" t="s">
        <v>213</v>
      </c>
      <c r="W134" s="74"/>
      <c r="X134" s="74"/>
      <c r="Y134" s="74"/>
      <c r="Z134" s="74"/>
      <c r="AA134" s="75"/>
      <c r="AB134" s="30">
        <f t="shared" si="2"/>
        <v>0.29166666666666663</v>
      </c>
    </row>
    <row r="135" spans="1:28" x14ac:dyDescent="0.3">
      <c r="A135" s="34" t="s">
        <v>1180</v>
      </c>
      <c r="B135" s="37" t="s">
        <v>25</v>
      </c>
      <c r="C135" s="34" t="s">
        <v>440</v>
      </c>
      <c r="D135" s="33" t="s">
        <v>1775</v>
      </c>
      <c r="E135" s="34" t="s">
        <v>1181</v>
      </c>
      <c r="F135" s="34" t="s">
        <v>1182</v>
      </c>
      <c r="G135" s="34" t="s">
        <v>111</v>
      </c>
      <c r="H135" s="37">
        <v>1</v>
      </c>
      <c r="I135" s="34" t="s">
        <v>112</v>
      </c>
      <c r="J135" s="34" t="s">
        <v>31</v>
      </c>
      <c r="K135" s="34" t="s">
        <v>32</v>
      </c>
      <c r="L135" s="34" t="s">
        <v>1755</v>
      </c>
      <c r="M135" s="34" t="s">
        <v>33</v>
      </c>
      <c r="N135" s="49">
        <v>12</v>
      </c>
      <c r="O135" s="50">
        <v>3</v>
      </c>
      <c r="P135" s="51">
        <v>48</v>
      </c>
      <c r="Q135" s="52">
        <v>18.881989799999999</v>
      </c>
      <c r="R135" s="52">
        <v>-98.784947299999999</v>
      </c>
      <c r="S135" s="74" t="s">
        <v>34</v>
      </c>
      <c r="T135" s="74"/>
      <c r="U135" s="74" t="s">
        <v>213</v>
      </c>
      <c r="V135" s="74" t="s">
        <v>213</v>
      </c>
      <c r="W135" s="74"/>
      <c r="X135" s="74"/>
      <c r="Y135" s="74"/>
      <c r="Z135" s="74"/>
      <c r="AA135" s="75"/>
      <c r="AB135" s="30">
        <f t="shared" si="2"/>
        <v>0.29166666666666663</v>
      </c>
    </row>
    <row r="136" spans="1:28" x14ac:dyDescent="0.3">
      <c r="A136" s="34" t="s">
        <v>443</v>
      </c>
      <c r="B136" s="37" t="s">
        <v>25</v>
      </c>
      <c r="C136" s="34" t="s">
        <v>440</v>
      </c>
      <c r="D136" s="33" t="s">
        <v>1775</v>
      </c>
      <c r="E136" s="34" t="s">
        <v>444</v>
      </c>
      <c r="F136" s="34" t="s">
        <v>445</v>
      </c>
      <c r="G136" s="34" t="s">
        <v>29</v>
      </c>
      <c r="H136" s="37">
        <v>1</v>
      </c>
      <c r="I136" s="34" t="s">
        <v>30</v>
      </c>
      <c r="J136" s="34" t="s">
        <v>31</v>
      </c>
      <c r="K136" s="34" t="s">
        <v>32</v>
      </c>
      <c r="L136" s="34" t="s">
        <v>1755</v>
      </c>
      <c r="M136" s="34" t="s">
        <v>33</v>
      </c>
      <c r="N136" s="49">
        <v>10</v>
      </c>
      <c r="O136" s="50">
        <v>3</v>
      </c>
      <c r="P136" s="51">
        <v>51</v>
      </c>
      <c r="Q136" s="52">
        <v>18.670223700000001</v>
      </c>
      <c r="R136" s="52">
        <v>-98.8065608</v>
      </c>
      <c r="S136" s="74" t="s">
        <v>34</v>
      </c>
      <c r="T136" s="74"/>
      <c r="U136" s="74" t="s">
        <v>213</v>
      </c>
      <c r="V136" s="74" t="s">
        <v>213</v>
      </c>
      <c r="W136" s="74"/>
      <c r="X136" s="74"/>
      <c r="Y136" s="74"/>
      <c r="Z136" s="74"/>
      <c r="AA136" s="75"/>
      <c r="AB136" s="30">
        <f t="shared" si="2"/>
        <v>0.29166666666666663</v>
      </c>
    </row>
    <row r="137" spans="1:28"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13">
        <v>22.4898682</v>
      </c>
      <c r="R137" s="52">
        <v>-105.3677335</v>
      </c>
      <c r="S137" s="74" t="s">
        <v>34</v>
      </c>
      <c r="T137" s="74"/>
      <c r="U137" s="74" t="s">
        <v>213</v>
      </c>
      <c r="V137" s="74" t="s">
        <v>213</v>
      </c>
      <c r="W137" s="74"/>
      <c r="X137" s="74"/>
      <c r="Y137" s="74"/>
      <c r="Z137" s="74"/>
      <c r="AA137" s="75"/>
      <c r="AB137" s="30">
        <f t="shared" si="2"/>
        <v>0.29166666666666663</v>
      </c>
    </row>
    <row r="138" spans="1:28"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74" t="s">
        <v>34</v>
      </c>
      <c r="T138" s="74"/>
      <c r="U138" s="74" t="s">
        <v>213</v>
      </c>
      <c r="V138" s="74" t="s">
        <v>213</v>
      </c>
      <c r="W138" s="74"/>
      <c r="X138" s="74"/>
      <c r="Y138" s="74"/>
      <c r="Z138" s="74"/>
      <c r="AA138" s="75"/>
      <c r="AB138" s="30">
        <f t="shared" si="2"/>
        <v>0.29166666666666663</v>
      </c>
    </row>
    <row r="139" spans="1:28"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74" t="s">
        <v>34</v>
      </c>
      <c r="T139" s="74"/>
      <c r="U139" s="74" t="s">
        <v>213</v>
      </c>
      <c r="V139" s="74" t="s">
        <v>213</v>
      </c>
      <c r="W139" s="74"/>
      <c r="X139" s="74"/>
      <c r="Y139" s="74"/>
      <c r="Z139" s="74"/>
      <c r="AA139" s="75"/>
      <c r="AB139" s="30">
        <f t="shared" si="2"/>
        <v>0.29166666666666663</v>
      </c>
    </row>
    <row r="140" spans="1:28"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74" t="s">
        <v>34</v>
      </c>
      <c r="T140" s="74"/>
      <c r="U140" s="74" t="s">
        <v>213</v>
      </c>
      <c r="V140" s="74" t="s">
        <v>213</v>
      </c>
      <c r="W140" s="74"/>
      <c r="X140" s="74"/>
      <c r="Y140" s="74"/>
      <c r="Z140" s="74"/>
      <c r="AA140" s="75"/>
      <c r="AB140" s="30">
        <f t="shared" si="2"/>
        <v>0.29166666666666663</v>
      </c>
    </row>
    <row r="141" spans="1:28"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74" t="s">
        <v>34</v>
      </c>
      <c r="T141" s="74"/>
      <c r="U141" s="74" t="s">
        <v>213</v>
      </c>
      <c r="V141" s="74" t="s">
        <v>213</v>
      </c>
      <c r="W141" s="74"/>
      <c r="X141" s="74"/>
      <c r="Y141" s="74"/>
      <c r="Z141" s="74"/>
      <c r="AA141" s="75"/>
      <c r="AB141" s="30">
        <f t="shared" si="2"/>
        <v>0.29166666666666663</v>
      </c>
    </row>
    <row r="142" spans="1:28"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74" t="s">
        <v>34</v>
      </c>
      <c r="T142" s="74"/>
      <c r="U142" s="74" t="s">
        <v>213</v>
      </c>
      <c r="V142" s="74" t="s">
        <v>213</v>
      </c>
      <c r="W142" s="74"/>
      <c r="X142" s="74"/>
      <c r="Y142" s="74"/>
      <c r="Z142" s="74"/>
      <c r="AA142" s="75"/>
      <c r="AB142" s="30">
        <f t="shared" si="2"/>
        <v>0.29166666666666663</v>
      </c>
    </row>
    <row r="143" spans="1:28"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74" t="s">
        <v>34</v>
      </c>
      <c r="T143" s="74"/>
      <c r="U143" s="74" t="s">
        <v>213</v>
      </c>
      <c r="V143" s="74" t="s">
        <v>213</v>
      </c>
      <c r="W143" s="74"/>
      <c r="X143" s="74"/>
      <c r="Y143" s="74"/>
      <c r="Z143" s="74"/>
      <c r="AA143" s="75"/>
      <c r="AB143" s="30">
        <f t="shared" si="2"/>
        <v>0.29166666666666663</v>
      </c>
    </row>
    <row r="144" spans="1:28"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74" t="s">
        <v>34</v>
      </c>
      <c r="T144" s="74"/>
      <c r="U144" s="74" t="s">
        <v>213</v>
      </c>
      <c r="V144" s="74" t="s">
        <v>213</v>
      </c>
      <c r="W144" s="74"/>
      <c r="X144" s="74"/>
      <c r="Y144" s="74"/>
      <c r="Z144" s="74"/>
      <c r="AA144" s="75"/>
      <c r="AB144" s="30">
        <f t="shared" si="2"/>
        <v>0.29166666666666663</v>
      </c>
    </row>
    <row r="145" spans="1:28"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74" t="s">
        <v>34</v>
      </c>
      <c r="T145" s="74"/>
      <c r="U145" s="74" t="s">
        <v>213</v>
      </c>
      <c r="V145" s="74" t="s">
        <v>213</v>
      </c>
      <c r="W145" s="74"/>
      <c r="X145" s="74"/>
      <c r="Y145" s="74"/>
      <c r="Z145" s="74"/>
      <c r="AA145" s="75"/>
      <c r="AB145" s="30">
        <f t="shared" si="2"/>
        <v>0.29166666666666663</v>
      </c>
    </row>
    <row r="146" spans="1:28"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74" t="s">
        <v>34</v>
      </c>
      <c r="T146" s="74"/>
      <c r="U146" s="74"/>
      <c r="V146" s="74"/>
      <c r="W146" s="74"/>
      <c r="X146" s="74"/>
      <c r="Y146" s="74"/>
      <c r="Z146" s="74"/>
      <c r="AA146" s="75"/>
      <c r="AB146" s="30">
        <f t="shared" si="2"/>
        <v>0.125</v>
      </c>
    </row>
    <row r="147" spans="1:28"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74" t="s">
        <v>34</v>
      </c>
      <c r="T147" s="74"/>
      <c r="U147" s="74"/>
      <c r="V147" s="74"/>
      <c r="W147" s="74"/>
      <c r="X147" s="74"/>
      <c r="Y147" s="74"/>
      <c r="Z147" s="74"/>
      <c r="AA147" s="75"/>
      <c r="AB147" s="30">
        <f t="shared" si="2"/>
        <v>0.125</v>
      </c>
    </row>
    <row r="148" spans="1:28"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74" t="s">
        <v>34</v>
      </c>
      <c r="T148" s="74"/>
      <c r="U148" s="74"/>
      <c r="V148" s="74"/>
      <c r="W148" s="74"/>
      <c r="X148" s="74"/>
      <c r="Y148" s="74"/>
      <c r="Z148" s="74"/>
      <c r="AA148" s="75"/>
      <c r="AB148" s="30">
        <f t="shared" si="2"/>
        <v>0.125</v>
      </c>
    </row>
    <row r="149" spans="1:28"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74" t="s">
        <v>34</v>
      </c>
      <c r="T149" s="74"/>
      <c r="U149" s="74"/>
      <c r="V149" s="74"/>
      <c r="W149" s="74"/>
      <c r="X149" s="74"/>
      <c r="Y149" s="74"/>
      <c r="Z149" s="74"/>
      <c r="AA149" s="75"/>
      <c r="AB149" s="30">
        <f t="shared" si="2"/>
        <v>0.125</v>
      </c>
    </row>
    <row r="150" spans="1:28"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74" t="s">
        <v>34</v>
      </c>
      <c r="T150" s="74"/>
      <c r="U150" s="74"/>
      <c r="V150" s="74"/>
      <c r="W150" s="74"/>
      <c r="X150" s="74"/>
      <c r="Y150" s="74"/>
      <c r="Z150" s="74"/>
      <c r="AA150" s="75"/>
      <c r="AB150" s="30">
        <f t="shared" si="2"/>
        <v>0.125</v>
      </c>
    </row>
    <row r="151" spans="1:28"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74" t="s">
        <v>34</v>
      </c>
      <c r="T151" s="74"/>
      <c r="U151" s="74"/>
      <c r="V151" s="74"/>
      <c r="W151" s="74"/>
      <c r="X151" s="74"/>
      <c r="Y151" s="74"/>
      <c r="Z151" s="74"/>
      <c r="AA151" s="75"/>
      <c r="AB151" s="30">
        <f t="shared" si="2"/>
        <v>0.125</v>
      </c>
    </row>
    <row r="152" spans="1:28"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74" t="s">
        <v>34</v>
      </c>
      <c r="T152" s="74"/>
      <c r="U152" s="74"/>
      <c r="V152" s="74"/>
      <c r="W152" s="74"/>
      <c r="X152" s="74"/>
      <c r="Y152" s="74"/>
      <c r="Z152" s="74"/>
      <c r="AA152" s="75"/>
      <c r="AB152" s="30">
        <f t="shared" si="2"/>
        <v>0.125</v>
      </c>
    </row>
    <row r="153" spans="1:28"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74" t="s">
        <v>34</v>
      </c>
      <c r="T153" s="74"/>
      <c r="U153" s="74"/>
      <c r="V153" s="74"/>
      <c r="W153" s="74"/>
      <c r="X153" s="74"/>
      <c r="Y153" s="74"/>
      <c r="Z153" s="74"/>
      <c r="AA153" s="75"/>
      <c r="AB153" s="30">
        <f t="shared" si="2"/>
        <v>0.125</v>
      </c>
    </row>
    <row r="154" spans="1:28"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74" t="s">
        <v>34</v>
      </c>
      <c r="T154" s="74"/>
      <c r="U154" s="74"/>
      <c r="V154" s="74"/>
      <c r="W154" s="74"/>
      <c r="X154" s="74"/>
      <c r="Y154" s="74"/>
      <c r="Z154" s="74"/>
      <c r="AA154" s="75"/>
      <c r="AB154" s="30">
        <f t="shared" si="2"/>
        <v>0.125</v>
      </c>
    </row>
    <row r="155" spans="1:28"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74" t="s">
        <v>34</v>
      </c>
      <c r="T155" s="74"/>
      <c r="U155" s="74"/>
      <c r="V155" s="74"/>
      <c r="W155" s="74"/>
      <c r="X155" s="74"/>
      <c r="Y155" s="74"/>
      <c r="Z155" s="74"/>
      <c r="AA155" s="75"/>
      <c r="AB155" s="30">
        <f t="shared" si="2"/>
        <v>0.125</v>
      </c>
    </row>
    <row r="156" spans="1:28"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74" t="s">
        <v>34</v>
      </c>
      <c r="T156" s="74"/>
      <c r="U156" s="74"/>
      <c r="V156" s="74"/>
      <c r="W156" s="74"/>
      <c r="X156" s="74"/>
      <c r="Y156" s="74"/>
      <c r="Z156" s="74"/>
      <c r="AA156" s="75"/>
      <c r="AB156" s="30">
        <f t="shared" si="2"/>
        <v>0.125</v>
      </c>
    </row>
    <row r="157" spans="1:28"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74" t="s">
        <v>34</v>
      </c>
      <c r="T157" s="74"/>
      <c r="U157" s="74"/>
      <c r="V157" s="74"/>
      <c r="W157" s="74"/>
      <c r="X157" s="74"/>
      <c r="Y157" s="74"/>
      <c r="Z157" s="74"/>
      <c r="AA157" s="75"/>
      <c r="AB157" s="30">
        <f t="shared" si="2"/>
        <v>0.125</v>
      </c>
    </row>
    <row r="158" spans="1:28"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74" t="s">
        <v>34</v>
      </c>
      <c r="T158" s="74"/>
      <c r="U158" s="74"/>
      <c r="V158" s="74"/>
      <c r="W158" s="74"/>
      <c r="X158" s="74"/>
      <c r="Y158" s="74"/>
      <c r="Z158" s="74"/>
      <c r="AA158" s="75"/>
      <c r="AB158" s="30">
        <f t="shared" si="2"/>
        <v>0.125</v>
      </c>
    </row>
    <row r="159" spans="1:28"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74" t="s">
        <v>34</v>
      </c>
      <c r="T159" s="74"/>
      <c r="U159" s="74"/>
      <c r="V159" s="74"/>
      <c r="W159" s="74"/>
      <c r="X159" s="74"/>
      <c r="Y159" s="74"/>
      <c r="Z159" s="74"/>
      <c r="AA159" s="75"/>
      <c r="AB159" s="30">
        <f t="shared" si="2"/>
        <v>0.125</v>
      </c>
    </row>
    <row r="160" spans="1:28"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74" t="s">
        <v>34</v>
      </c>
      <c r="T160" s="74"/>
      <c r="U160" s="74"/>
      <c r="V160" s="74"/>
      <c r="W160" s="74"/>
      <c r="X160" s="74"/>
      <c r="Y160" s="74"/>
      <c r="Z160" s="74"/>
      <c r="AA160" s="75"/>
      <c r="AB160" s="30">
        <f t="shared" si="2"/>
        <v>0.125</v>
      </c>
    </row>
    <row r="161" spans="1:28"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74" t="s">
        <v>34</v>
      </c>
      <c r="T161" s="74"/>
      <c r="U161" s="74"/>
      <c r="V161" s="74"/>
      <c r="W161" s="74"/>
      <c r="X161" s="74"/>
      <c r="Y161" s="74"/>
      <c r="Z161" s="74"/>
      <c r="AA161" s="75"/>
      <c r="AB161" s="30">
        <f t="shared" si="2"/>
        <v>0.125</v>
      </c>
    </row>
    <row r="162" spans="1:28"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74" t="s">
        <v>34</v>
      </c>
      <c r="T162" s="74"/>
      <c r="U162" s="74"/>
      <c r="V162" s="74"/>
      <c r="W162" s="74"/>
      <c r="X162" s="74"/>
      <c r="Y162" s="74"/>
      <c r="Z162" s="74"/>
      <c r="AA162" s="75"/>
      <c r="AB162" s="30">
        <f t="shared" si="2"/>
        <v>0.125</v>
      </c>
    </row>
    <row r="163" spans="1:28"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74" t="s">
        <v>34</v>
      </c>
      <c r="T163" s="74"/>
      <c r="U163" s="74"/>
      <c r="V163" s="74"/>
      <c r="W163" s="74"/>
      <c r="X163" s="74"/>
      <c r="Y163" s="74"/>
      <c r="Z163" s="74"/>
      <c r="AA163" s="75"/>
      <c r="AB163" s="30">
        <f t="shared" si="2"/>
        <v>0.125</v>
      </c>
    </row>
    <row r="164" spans="1:28"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74" t="s">
        <v>34</v>
      </c>
      <c r="T164" s="74"/>
      <c r="U164" s="74"/>
      <c r="V164" s="74"/>
      <c r="W164" s="74"/>
      <c r="X164" s="74"/>
      <c r="Y164" s="74"/>
      <c r="Z164" s="74"/>
      <c r="AA164" s="75"/>
      <c r="AB164" s="30">
        <f t="shared" si="2"/>
        <v>0.125</v>
      </c>
    </row>
    <row r="165" spans="1:28"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74" t="s">
        <v>34</v>
      </c>
      <c r="T165" s="74"/>
      <c r="U165" s="74"/>
      <c r="V165" s="74"/>
      <c r="W165" s="74"/>
      <c r="X165" s="74"/>
      <c r="Y165" s="74"/>
      <c r="Z165" s="74"/>
      <c r="AA165" s="75"/>
      <c r="AB165" s="30">
        <f t="shared" si="2"/>
        <v>0.125</v>
      </c>
    </row>
    <row r="166" spans="1:28"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74" t="s">
        <v>34</v>
      </c>
      <c r="T166" s="74"/>
      <c r="U166" s="74"/>
      <c r="V166" s="74"/>
      <c r="W166" s="74"/>
      <c r="X166" s="74"/>
      <c r="Y166" s="74"/>
      <c r="Z166" s="74"/>
      <c r="AA166" s="75"/>
      <c r="AB166" s="30">
        <f t="shared" si="2"/>
        <v>0.125</v>
      </c>
    </row>
    <row r="167" spans="1:28"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74" t="s">
        <v>34</v>
      </c>
      <c r="T167" s="74"/>
      <c r="U167" s="74"/>
      <c r="V167" s="74"/>
      <c r="W167" s="74"/>
      <c r="X167" s="74"/>
      <c r="Y167" s="74"/>
      <c r="Z167" s="74"/>
      <c r="AA167" s="75"/>
      <c r="AB167" s="30">
        <f t="shared" si="2"/>
        <v>0.125</v>
      </c>
    </row>
    <row r="168" spans="1:28"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74" t="s">
        <v>34</v>
      </c>
      <c r="T168" s="74"/>
      <c r="U168" s="74"/>
      <c r="V168" s="74"/>
      <c r="W168" s="74"/>
      <c r="X168" s="74"/>
      <c r="Y168" s="74"/>
      <c r="Z168" s="74"/>
      <c r="AA168" s="75"/>
      <c r="AB168" s="30">
        <f t="shared" si="2"/>
        <v>0.125</v>
      </c>
    </row>
    <row r="169" spans="1:28"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74" t="s">
        <v>34</v>
      </c>
      <c r="T169" s="74"/>
      <c r="U169" s="74"/>
      <c r="V169" s="74"/>
      <c r="W169" s="74"/>
      <c r="X169" s="74"/>
      <c r="Y169" s="74"/>
      <c r="Z169" s="74"/>
      <c r="AA169" s="75"/>
      <c r="AB169" s="30">
        <f t="shared" si="2"/>
        <v>0.125</v>
      </c>
    </row>
    <row r="170" spans="1:28"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74" t="s">
        <v>34</v>
      </c>
      <c r="T170" s="74"/>
      <c r="U170" s="74"/>
      <c r="V170" s="74"/>
      <c r="W170" s="74"/>
      <c r="X170" s="74"/>
      <c r="Y170" s="74"/>
      <c r="Z170" s="74"/>
      <c r="AA170" s="75"/>
      <c r="AB170" s="30">
        <f t="shared" si="2"/>
        <v>0.125</v>
      </c>
    </row>
    <row r="171" spans="1:28"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74" t="s">
        <v>34</v>
      </c>
      <c r="T171" s="74"/>
      <c r="U171" s="74"/>
      <c r="V171" s="74"/>
      <c r="W171" s="74"/>
      <c r="X171" s="74"/>
      <c r="Y171" s="74"/>
      <c r="Z171" s="74"/>
      <c r="AA171" s="75"/>
      <c r="AB171" s="30">
        <f t="shared" si="2"/>
        <v>0.125</v>
      </c>
    </row>
    <row r="172" spans="1:28"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74" t="s">
        <v>34</v>
      </c>
      <c r="T172" s="74"/>
      <c r="U172" s="74"/>
      <c r="V172" s="74"/>
      <c r="W172" s="74"/>
      <c r="X172" s="74"/>
      <c r="Y172" s="74"/>
      <c r="Z172" s="74"/>
      <c r="AA172" s="75"/>
      <c r="AB172" s="30">
        <f t="shared" si="2"/>
        <v>0.125</v>
      </c>
    </row>
    <row r="173" spans="1:28"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74" t="s">
        <v>34</v>
      </c>
      <c r="T173" s="74"/>
      <c r="U173" s="74"/>
      <c r="V173" s="74"/>
      <c r="W173" s="74"/>
      <c r="X173" s="74"/>
      <c r="Y173" s="74"/>
      <c r="Z173" s="74"/>
      <c r="AA173" s="75"/>
      <c r="AB173" s="30">
        <f t="shared" si="2"/>
        <v>0.125</v>
      </c>
    </row>
    <row r="174" spans="1:28"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74" t="s">
        <v>34</v>
      </c>
      <c r="T174" s="74"/>
      <c r="U174" s="74"/>
      <c r="V174" s="74"/>
      <c r="W174" s="74"/>
      <c r="X174" s="74"/>
      <c r="Y174" s="74"/>
      <c r="Z174" s="74"/>
      <c r="AA174" s="75"/>
      <c r="AB174" s="30">
        <f t="shared" si="2"/>
        <v>0.125</v>
      </c>
    </row>
    <row r="175" spans="1:28"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74" t="s">
        <v>34</v>
      </c>
      <c r="T175" s="74"/>
      <c r="U175" s="74"/>
      <c r="V175" s="74"/>
      <c r="W175" s="74"/>
      <c r="X175" s="74"/>
      <c r="Y175" s="74"/>
      <c r="Z175" s="74"/>
      <c r="AA175" s="75"/>
      <c r="AB175" s="30">
        <f t="shared" si="2"/>
        <v>0.125</v>
      </c>
    </row>
    <row r="176" spans="1:28"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74" t="s">
        <v>34</v>
      </c>
      <c r="T176" s="74"/>
      <c r="U176" s="74"/>
      <c r="V176" s="74"/>
      <c r="W176" s="74"/>
      <c r="X176" s="74"/>
      <c r="Y176" s="74"/>
      <c r="Z176" s="74"/>
      <c r="AA176" s="75"/>
      <c r="AB176" s="30">
        <f t="shared" si="2"/>
        <v>0.125</v>
      </c>
    </row>
    <row r="177" spans="1:28"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74" t="s">
        <v>34</v>
      </c>
      <c r="T177" s="74"/>
      <c r="U177" s="74"/>
      <c r="V177" s="74"/>
      <c r="W177" s="74"/>
      <c r="X177" s="74"/>
      <c r="Y177" s="74"/>
      <c r="Z177" s="74"/>
      <c r="AA177" s="75"/>
      <c r="AB177" s="30">
        <f t="shared" si="2"/>
        <v>0.125</v>
      </c>
    </row>
    <row r="178" spans="1:28"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74" t="s">
        <v>34</v>
      </c>
      <c r="T178" s="74"/>
      <c r="U178" s="74"/>
      <c r="V178" s="74"/>
      <c r="W178" s="74"/>
      <c r="X178" s="74"/>
      <c r="Y178" s="74"/>
      <c r="Z178" s="74"/>
      <c r="AA178" s="75"/>
      <c r="AB178" s="30">
        <f t="shared" si="2"/>
        <v>0.125</v>
      </c>
    </row>
    <row r="179" spans="1:28"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74" t="s">
        <v>34</v>
      </c>
      <c r="T179" s="74"/>
      <c r="U179" s="74"/>
      <c r="V179" s="74"/>
      <c r="W179" s="74"/>
      <c r="X179" s="74"/>
      <c r="Y179" s="74"/>
      <c r="Z179" s="74"/>
      <c r="AA179" s="75"/>
      <c r="AB179" s="30">
        <f t="shared" si="2"/>
        <v>0.125</v>
      </c>
    </row>
    <row r="180" spans="1:28"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74" t="s">
        <v>34</v>
      </c>
      <c r="T180" s="74"/>
      <c r="U180" s="74"/>
      <c r="V180" s="74"/>
      <c r="W180" s="74"/>
      <c r="X180" s="74"/>
      <c r="Y180" s="74"/>
      <c r="Z180" s="74"/>
      <c r="AA180" s="75"/>
      <c r="AB180" s="30">
        <f t="shared" si="2"/>
        <v>0.125</v>
      </c>
    </row>
    <row r="181" spans="1:28"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74" t="s">
        <v>34</v>
      </c>
      <c r="T181" s="74"/>
      <c r="U181" s="74"/>
      <c r="V181" s="74"/>
      <c r="W181" s="74"/>
      <c r="X181" s="74"/>
      <c r="Y181" s="74"/>
      <c r="Z181" s="74"/>
      <c r="AA181" s="75"/>
      <c r="AB181" s="30">
        <f t="shared" si="2"/>
        <v>0.125</v>
      </c>
    </row>
    <row r="182" spans="1:28"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74" t="s">
        <v>34</v>
      </c>
      <c r="T182" s="74"/>
      <c r="U182" s="74"/>
      <c r="V182" s="74"/>
      <c r="W182" s="74"/>
      <c r="X182" s="74"/>
      <c r="Y182" s="74"/>
      <c r="Z182" s="74"/>
      <c r="AA182" s="75"/>
      <c r="AB182" s="30">
        <f t="shared" si="2"/>
        <v>0.125</v>
      </c>
    </row>
    <row r="183" spans="1:28"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74" t="s">
        <v>34</v>
      </c>
      <c r="T183" s="74"/>
      <c r="U183" s="74"/>
      <c r="V183" s="74"/>
      <c r="W183" s="74"/>
      <c r="X183" s="74"/>
      <c r="Y183" s="74"/>
      <c r="Z183" s="74"/>
      <c r="AA183" s="75"/>
      <c r="AB183" s="30">
        <f t="shared" si="2"/>
        <v>0.125</v>
      </c>
    </row>
    <row r="184" spans="1:28"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74" t="s">
        <v>34</v>
      </c>
      <c r="T184" s="74"/>
      <c r="U184" s="74"/>
      <c r="V184" s="74"/>
      <c r="W184" s="74"/>
      <c r="X184" s="74"/>
      <c r="Y184" s="74"/>
      <c r="Z184" s="74"/>
      <c r="AA184" s="75"/>
      <c r="AB184" s="30">
        <f t="shared" si="2"/>
        <v>0.125</v>
      </c>
    </row>
    <row r="185" spans="1:28"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74" t="s">
        <v>34</v>
      </c>
      <c r="T185" s="74"/>
      <c r="U185" s="74"/>
      <c r="V185" s="74"/>
      <c r="W185" s="74"/>
      <c r="X185" s="74"/>
      <c r="Y185" s="74"/>
      <c r="Z185" s="74"/>
      <c r="AA185" s="75"/>
      <c r="AB185" s="30">
        <f t="shared" si="2"/>
        <v>0.125</v>
      </c>
    </row>
    <row r="186" spans="1:28"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74" t="s">
        <v>34</v>
      </c>
      <c r="T186" s="74"/>
      <c r="U186" s="74"/>
      <c r="V186" s="74"/>
      <c r="W186" s="74"/>
      <c r="X186" s="74"/>
      <c r="Y186" s="74"/>
      <c r="Z186" s="74"/>
      <c r="AA186" s="75"/>
      <c r="AB186" s="30">
        <f t="shared" si="2"/>
        <v>0.125</v>
      </c>
    </row>
    <row r="187" spans="1:28"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74" t="s">
        <v>34</v>
      </c>
      <c r="T187" s="74"/>
      <c r="U187" s="74"/>
      <c r="V187" s="74"/>
      <c r="W187" s="74"/>
      <c r="X187" s="74"/>
      <c r="Y187" s="74"/>
      <c r="Z187" s="74"/>
      <c r="AA187" s="75"/>
      <c r="AB187" s="30">
        <f t="shared" si="2"/>
        <v>0.125</v>
      </c>
    </row>
    <row r="188" spans="1:28"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74" t="s">
        <v>34</v>
      </c>
      <c r="T188" s="74"/>
      <c r="U188" s="74"/>
      <c r="V188" s="74"/>
      <c r="W188" s="74"/>
      <c r="X188" s="74"/>
      <c r="Y188" s="74"/>
      <c r="Z188" s="74"/>
      <c r="AA188" s="75"/>
      <c r="AB188" s="30">
        <f t="shared" si="2"/>
        <v>0.125</v>
      </c>
    </row>
    <row r="189" spans="1:28"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74" t="s">
        <v>34</v>
      </c>
      <c r="T189" s="74"/>
      <c r="U189" s="74"/>
      <c r="V189" s="74"/>
      <c r="W189" s="74"/>
      <c r="X189" s="74"/>
      <c r="Y189" s="74"/>
      <c r="Z189" s="74"/>
      <c r="AA189" s="75"/>
      <c r="AB189" s="30">
        <f t="shared" si="2"/>
        <v>0.125</v>
      </c>
    </row>
    <row r="190" spans="1:28"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74" t="s">
        <v>34</v>
      </c>
      <c r="T190" s="74"/>
      <c r="U190" s="74"/>
      <c r="V190" s="74"/>
      <c r="W190" s="74"/>
      <c r="X190" s="74"/>
      <c r="Y190" s="74"/>
      <c r="Z190" s="74"/>
      <c r="AA190" s="75"/>
      <c r="AB190" s="30">
        <f t="shared" si="2"/>
        <v>0.125</v>
      </c>
    </row>
    <row r="191" spans="1:28"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74" t="s">
        <v>34</v>
      </c>
      <c r="T191" s="74"/>
      <c r="U191" s="74"/>
      <c r="V191" s="74"/>
      <c r="W191" s="74"/>
      <c r="X191" s="74"/>
      <c r="Y191" s="74"/>
      <c r="Z191" s="74"/>
      <c r="AA191" s="75"/>
      <c r="AB191" s="30">
        <f t="shared" si="2"/>
        <v>0.125</v>
      </c>
    </row>
    <row r="192" spans="1:28"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74" t="s">
        <v>34</v>
      </c>
      <c r="T192" s="74"/>
      <c r="U192" s="74"/>
      <c r="V192" s="74"/>
      <c r="W192" s="74"/>
      <c r="X192" s="74"/>
      <c r="Y192" s="74"/>
      <c r="Z192" s="74"/>
      <c r="AA192" s="75"/>
      <c r="AB192" s="30">
        <f t="shared" si="2"/>
        <v>0.125</v>
      </c>
    </row>
    <row r="193" spans="1:28"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74" t="s">
        <v>34</v>
      </c>
      <c r="T193" s="74"/>
      <c r="U193" s="74"/>
      <c r="V193" s="74"/>
      <c r="W193" s="74"/>
      <c r="X193" s="74"/>
      <c r="Y193" s="74"/>
      <c r="Z193" s="74"/>
      <c r="AA193" s="75"/>
      <c r="AB193" s="30">
        <f t="shared" si="2"/>
        <v>0.125</v>
      </c>
    </row>
    <row r="194" spans="1:28"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74" t="s">
        <v>34</v>
      </c>
      <c r="T194" s="74"/>
      <c r="U194" s="74"/>
      <c r="V194" s="74"/>
      <c r="W194" s="74"/>
      <c r="X194" s="74"/>
      <c r="Y194" s="74"/>
      <c r="Z194" s="74"/>
      <c r="AA194" s="75"/>
      <c r="AB194" s="30">
        <f t="shared" ref="AB194:AB257" si="3">(
IF(S194="ENVIADO A LA CE/UM",1/3,IF(S194="ENTREGADO/REVISIÓN",2/3,IF(S194="ENVIADO A TICS",1,0)))+
IF(T194="EN PROCESO",0,IF(T194="CONCLUIDO",1,0))+
IF(U194="ENVIADO A LA CE/UM",1/3,IF(U194="EN REVISIÓN CENTRAL",2/3,IF(U194="CONCLUIDO",1,0)))+
IF(V194="ENVIADO A LA CE/UM",1/3,IF(V194="EN REVISIÓN CENTRAL",2/3,IF(V194="CONCLUIDO",1,0)))+
IF(W194="ENVIADO",1/3,IF(W194="EN PROCESO",2/3,IF(W194="CONCLUIDO",1,0)))+
IF(X194="PROGRAMADAS",0,IF(X194="CONCLUIDAS",1,0))+
IF(Y194="SI",1,IF(Y194="NO",0,0))+
IF(Z194="SI",1,IF(Z194="NO",0,0))
)/8</f>
        <v>0.125</v>
      </c>
    </row>
    <row r="195" spans="1:28"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74" t="s">
        <v>34</v>
      </c>
      <c r="T195" s="74"/>
      <c r="U195" s="74"/>
      <c r="V195" s="74"/>
      <c r="W195" s="74"/>
      <c r="X195" s="74"/>
      <c r="Y195" s="74"/>
      <c r="Z195" s="74"/>
      <c r="AA195" s="75"/>
      <c r="AB195" s="30">
        <f t="shared" si="3"/>
        <v>0.125</v>
      </c>
    </row>
    <row r="196" spans="1:28"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74" t="s">
        <v>176</v>
      </c>
      <c r="T196" s="74"/>
      <c r="U196" s="74"/>
      <c r="V196" s="74"/>
      <c r="W196" s="74"/>
      <c r="X196" s="74"/>
      <c r="Y196" s="74"/>
      <c r="Z196" s="74"/>
      <c r="AA196" s="75"/>
      <c r="AB196" s="30">
        <f t="shared" si="3"/>
        <v>4.1666666666666664E-2</v>
      </c>
    </row>
    <row r="197" spans="1:28"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74" t="s">
        <v>176</v>
      </c>
      <c r="T197" s="74"/>
      <c r="U197" s="74"/>
      <c r="V197" s="74"/>
      <c r="W197" s="74"/>
      <c r="X197" s="74"/>
      <c r="Y197" s="74"/>
      <c r="Z197" s="74"/>
      <c r="AA197" s="75"/>
      <c r="AB197" s="30">
        <f t="shared" si="3"/>
        <v>4.1666666666666664E-2</v>
      </c>
    </row>
    <row r="198" spans="1:28"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74" t="s">
        <v>176</v>
      </c>
      <c r="T198" s="74"/>
      <c r="U198" s="74"/>
      <c r="V198" s="74"/>
      <c r="W198" s="74"/>
      <c r="X198" s="74"/>
      <c r="Y198" s="74"/>
      <c r="Z198" s="74"/>
      <c r="AA198" s="75"/>
      <c r="AB198" s="30">
        <f t="shared" si="3"/>
        <v>4.1666666666666664E-2</v>
      </c>
    </row>
    <row r="199" spans="1:28"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74" t="s">
        <v>176</v>
      </c>
      <c r="T199" s="74"/>
      <c r="U199" s="74"/>
      <c r="V199" s="74"/>
      <c r="W199" s="74"/>
      <c r="X199" s="74"/>
      <c r="Y199" s="74"/>
      <c r="Z199" s="74"/>
      <c r="AA199" s="75"/>
      <c r="AB199" s="30">
        <f t="shared" si="3"/>
        <v>4.1666666666666664E-2</v>
      </c>
    </row>
    <row r="200" spans="1:28"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74" t="s">
        <v>176</v>
      </c>
      <c r="T200" s="74"/>
      <c r="U200" s="74"/>
      <c r="V200" s="74"/>
      <c r="W200" s="74"/>
      <c r="X200" s="74"/>
      <c r="Y200" s="74"/>
      <c r="Z200" s="74"/>
      <c r="AA200" s="75"/>
      <c r="AB200" s="30">
        <f t="shared" si="3"/>
        <v>4.1666666666666664E-2</v>
      </c>
    </row>
    <row r="201" spans="1:28"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74" t="s">
        <v>176</v>
      </c>
      <c r="T201" s="74"/>
      <c r="U201" s="74"/>
      <c r="V201" s="74"/>
      <c r="W201" s="74"/>
      <c r="X201" s="74"/>
      <c r="Y201" s="74"/>
      <c r="Z201" s="74"/>
      <c r="AA201" s="75"/>
      <c r="AB201" s="30">
        <f t="shared" si="3"/>
        <v>4.1666666666666664E-2</v>
      </c>
    </row>
    <row r="202" spans="1:28"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74" t="s">
        <v>34</v>
      </c>
      <c r="T202" s="74"/>
      <c r="U202" s="74"/>
      <c r="V202" s="74"/>
      <c r="W202" s="74"/>
      <c r="X202" s="74"/>
      <c r="Y202" s="74"/>
      <c r="Z202" s="74"/>
      <c r="AA202" s="75"/>
      <c r="AB202" s="30">
        <f t="shared" si="3"/>
        <v>0.125</v>
      </c>
    </row>
    <row r="203" spans="1:28"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74" t="s">
        <v>34</v>
      </c>
      <c r="T203" s="74"/>
      <c r="U203" s="74"/>
      <c r="V203" s="74"/>
      <c r="W203" s="74"/>
      <c r="X203" s="74"/>
      <c r="Y203" s="74"/>
      <c r="Z203" s="74"/>
      <c r="AA203" s="75"/>
      <c r="AB203" s="30">
        <f t="shared" si="3"/>
        <v>0.125</v>
      </c>
    </row>
    <row r="204" spans="1:28"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74" t="s">
        <v>34</v>
      </c>
      <c r="T204" s="74"/>
      <c r="U204" s="74"/>
      <c r="V204" s="74"/>
      <c r="W204" s="74"/>
      <c r="X204" s="74"/>
      <c r="Y204" s="74"/>
      <c r="Z204" s="74"/>
      <c r="AA204" s="75"/>
      <c r="AB204" s="30">
        <f t="shared" si="3"/>
        <v>0.125</v>
      </c>
    </row>
    <row r="205" spans="1:28"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74" t="s">
        <v>34</v>
      </c>
      <c r="T205" s="74"/>
      <c r="U205" s="74"/>
      <c r="V205" s="74"/>
      <c r="W205" s="74"/>
      <c r="X205" s="74"/>
      <c r="Y205" s="74"/>
      <c r="Z205" s="74"/>
      <c r="AA205" s="75"/>
      <c r="AB205" s="30">
        <f t="shared" si="3"/>
        <v>0.125</v>
      </c>
    </row>
    <row r="206" spans="1:28"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74" t="s">
        <v>34</v>
      </c>
      <c r="T206" s="74"/>
      <c r="U206" s="74"/>
      <c r="V206" s="74"/>
      <c r="W206" s="74"/>
      <c r="X206" s="74"/>
      <c r="Y206" s="74"/>
      <c r="Z206" s="74"/>
      <c r="AA206" s="75"/>
      <c r="AB206" s="30">
        <f t="shared" si="3"/>
        <v>0.125</v>
      </c>
    </row>
    <row r="207" spans="1:28"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74" t="s">
        <v>34</v>
      </c>
      <c r="T207" s="74"/>
      <c r="U207" s="74"/>
      <c r="V207" s="74"/>
      <c r="W207" s="74"/>
      <c r="X207" s="74"/>
      <c r="Y207" s="74"/>
      <c r="Z207" s="74"/>
      <c r="AA207" s="75"/>
      <c r="AB207" s="30">
        <f t="shared" si="3"/>
        <v>0.125</v>
      </c>
    </row>
    <row r="208" spans="1:28"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74" t="s">
        <v>34</v>
      </c>
      <c r="T208" s="74"/>
      <c r="U208" s="74"/>
      <c r="V208" s="74"/>
      <c r="W208" s="74"/>
      <c r="X208" s="74"/>
      <c r="Y208" s="74"/>
      <c r="Z208" s="74"/>
      <c r="AA208" s="75"/>
      <c r="AB208" s="30">
        <f t="shared" si="3"/>
        <v>0.125</v>
      </c>
    </row>
    <row r="209" spans="1:28"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74" t="s">
        <v>34</v>
      </c>
      <c r="T209" s="74"/>
      <c r="U209" s="74"/>
      <c r="V209" s="74"/>
      <c r="W209" s="74"/>
      <c r="X209" s="74"/>
      <c r="Y209" s="74"/>
      <c r="Z209" s="74"/>
      <c r="AA209" s="75"/>
      <c r="AB209" s="30">
        <f t="shared" si="3"/>
        <v>0.125</v>
      </c>
    </row>
    <row r="210" spans="1:28"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74" t="s">
        <v>34</v>
      </c>
      <c r="T210" s="74"/>
      <c r="U210" s="74"/>
      <c r="V210" s="74"/>
      <c r="W210" s="74"/>
      <c r="X210" s="74"/>
      <c r="Y210" s="74"/>
      <c r="Z210" s="74"/>
      <c r="AA210" s="75"/>
      <c r="AB210" s="30">
        <f t="shared" si="3"/>
        <v>0.125</v>
      </c>
    </row>
    <row r="211" spans="1:28"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74" t="s">
        <v>34</v>
      </c>
      <c r="T211" s="74"/>
      <c r="U211" s="74"/>
      <c r="V211" s="74"/>
      <c r="W211" s="74"/>
      <c r="X211" s="74"/>
      <c r="Y211" s="74"/>
      <c r="Z211" s="74"/>
      <c r="AA211" s="75"/>
      <c r="AB211" s="30">
        <f t="shared" si="3"/>
        <v>0.125</v>
      </c>
    </row>
    <row r="212" spans="1:28"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74" t="s">
        <v>34</v>
      </c>
      <c r="T212" s="74"/>
      <c r="U212" s="74"/>
      <c r="V212" s="74"/>
      <c r="W212" s="74"/>
      <c r="X212" s="74"/>
      <c r="Y212" s="74"/>
      <c r="Z212" s="74"/>
      <c r="AA212" s="75"/>
      <c r="AB212" s="30">
        <f t="shared" si="3"/>
        <v>0.125</v>
      </c>
    </row>
    <row r="213" spans="1:28"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74" t="s">
        <v>34</v>
      </c>
      <c r="T213" s="74"/>
      <c r="U213" s="74"/>
      <c r="V213" s="74"/>
      <c r="W213" s="74"/>
      <c r="X213" s="74"/>
      <c r="Y213" s="74"/>
      <c r="Z213" s="74"/>
      <c r="AA213" s="75"/>
      <c r="AB213" s="30">
        <f t="shared" si="3"/>
        <v>0.125</v>
      </c>
    </row>
    <row r="214" spans="1:28"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74" t="s">
        <v>34</v>
      </c>
      <c r="T214" s="74"/>
      <c r="U214" s="74"/>
      <c r="V214" s="74"/>
      <c r="W214" s="74"/>
      <c r="X214" s="74"/>
      <c r="Y214" s="74"/>
      <c r="Z214" s="74"/>
      <c r="AA214" s="75"/>
      <c r="AB214" s="30">
        <f t="shared" si="3"/>
        <v>0.125</v>
      </c>
    </row>
    <row r="215" spans="1:28"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74" t="s">
        <v>34</v>
      </c>
      <c r="T215" s="74"/>
      <c r="U215" s="74"/>
      <c r="V215" s="74"/>
      <c r="W215" s="74"/>
      <c r="X215" s="74"/>
      <c r="Y215" s="74"/>
      <c r="Z215" s="74"/>
      <c r="AA215" s="75"/>
      <c r="AB215" s="30">
        <f t="shared" si="3"/>
        <v>0.125</v>
      </c>
    </row>
    <row r="216" spans="1:28"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74" t="s">
        <v>34</v>
      </c>
      <c r="T216" s="74"/>
      <c r="U216" s="74"/>
      <c r="V216" s="74"/>
      <c r="W216" s="74"/>
      <c r="X216" s="74"/>
      <c r="Y216" s="74"/>
      <c r="Z216" s="74"/>
      <c r="AA216" s="75"/>
      <c r="AB216" s="30">
        <f t="shared" si="3"/>
        <v>0.125</v>
      </c>
    </row>
    <row r="217" spans="1:28"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74" t="s">
        <v>34</v>
      </c>
      <c r="T217" s="74"/>
      <c r="U217" s="74"/>
      <c r="V217" s="74"/>
      <c r="W217" s="74"/>
      <c r="X217" s="74"/>
      <c r="Y217" s="74"/>
      <c r="Z217" s="74"/>
      <c r="AA217" s="75"/>
      <c r="AB217" s="30">
        <f t="shared" si="3"/>
        <v>0.125</v>
      </c>
    </row>
    <row r="218" spans="1:28"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74" t="s">
        <v>34</v>
      </c>
      <c r="T218" s="74"/>
      <c r="U218" s="74"/>
      <c r="V218" s="74"/>
      <c r="W218" s="74"/>
      <c r="X218" s="74"/>
      <c r="Y218" s="74"/>
      <c r="Z218" s="74"/>
      <c r="AA218" s="75"/>
      <c r="AB218" s="30">
        <f t="shared" si="3"/>
        <v>0.125</v>
      </c>
    </row>
    <row r="219" spans="1:28"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74" t="s">
        <v>34</v>
      </c>
      <c r="T219" s="74"/>
      <c r="U219" s="74"/>
      <c r="V219" s="74"/>
      <c r="W219" s="74"/>
      <c r="X219" s="74"/>
      <c r="Y219" s="74"/>
      <c r="Z219" s="74"/>
      <c r="AA219" s="75"/>
      <c r="AB219" s="30">
        <f t="shared" si="3"/>
        <v>0.125</v>
      </c>
    </row>
    <row r="220" spans="1:28"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74" t="s">
        <v>34</v>
      </c>
      <c r="T220" s="74"/>
      <c r="U220" s="74"/>
      <c r="V220" s="74"/>
      <c r="W220" s="74"/>
      <c r="X220" s="74"/>
      <c r="Y220" s="74"/>
      <c r="Z220" s="74"/>
      <c r="AA220" s="75"/>
      <c r="AB220" s="30">
        <f t="shared" si="3"/>
        <v>0.125</v>
      </c>
    </row>
    <row r="221" spans="1:28"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74" t="s">
        <v>34</v>
      </c>
      <c r="T221" s="74"/>
      <c r="U221" s="74"/>
      <c r="V221" s="74"/>
      <c r="W221" s="74"/>
      <c r="X221" s="74"/>
      <c r="Y221" s="74"/>
      <c r="Z221" s="74"/>
      <c r="AA221" s="75"/>
      <c r="AB221" s="30">
        <f t="shared" si="3"/>
        <v>0.125</v>
      </c>
    </row>
    <row r="222" spans="1:28" x14ac:dyDescent="0.3">
      <c r="A222" s="34" t="s">
        <v>707</v>
      </c>
      <c r="B222" s="37" t="s">
        <v>25</v>
      </c>
      <c r="C222" s="34" t="s">
        <v>708</v>
      </c>
      <c r="D222" s="33" t="s">
        <v>1775</v>
      </c>
      <c r="E222" s="59"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74" t="s">
        <v>34</v>
      </c>
      <c r="T222" s="74" t="s">
        <v>175</v>
      </c>
      <c r="U222" s="74" t="s">
        <v>35</v>
      </c>
      <c r="V222" s="74" t="s">
        <v>35</v>
      </c>
      <c r="W222" s="74" t="s">
        <v>35</v>
      </c>
      <c r="X222" s="74"/>
      <c r="Y222" s="74"/>
      <c r="Z222" s="74"/>
      <c r="AA222" s="75"/>
      <c r="AB222" s="30">
        <f t="shared" si="3"/>
        <v>0.5</v>
      </c>
    </row>
    <row r="223" spans="1:28" x14ac:dyDescent="0.3">
      <c r="A223" s="34" t="s">
        <v>710</v>
      </c>
      <c r="B223" s="37" t="s">
        <v>25</v>
      </c>
      <c r="C223" s="34" t="s">
        <v>708</v>
      </c>
      <c r="D223" s="33" t="s">
        <v>1775</v>
      </c>
      <c r="E223" s="59"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74" t="s">
        <v>34</v>
      </c>
      <c r="T223" s="74" t="s">
        <v>175</v>
      </c>
      <c r="U223" s="74" t="s">
        <v>35</v>
      </c>
      <c r="V223" s="74" t="s">
        <v>35</v>
      </c>
      <c r="W223" s="74" t="s">
        <v>35</v>
      </c>
      <c r="X223" s="74"/>
      <c r="Y223" s="74"/>
      <c r="Z223" s="74"/>
      <c r="AA223" s="75"/>
      <c r="AB223" s="30">
        <f t="shared" si="3"/>
        <v>0.5</v>
      </c>
    </row>
    <row r="224" spans="1:28" x14ac:dyDescent="0.3">
      <c r="A224" s="34" t="s">
        <v>713</v>
      </c>
      <c r="B224" s="37" t="s">
        <v>25</v>
      </c>
      <c r="C224" s="34" t="s">
        <v>708</v>
      </c>
      <c r="D224" s="33" t="s">
        <v>1775</v>
      </c>
      <c r="E224" s="59"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74" t="s">
        <v>34</v>
      </c>
      <c r="T224" s="74" t="s">
        <v>175</v>
      </c>
      <c r="U224" s="74" t="s">
        <v>35</v>
      </c>
      <c r="V224" s="74" t="s">
        <v>35</v>
      </c>
      <c r="W224" s="74" t="s">
        <v>35</v>
      </c>
      <c r="X224" s="74"/>
      <c r="Y224" s="74"/>
      <c r="Z224" s="74"/>
      <c r="AA224" s="75"/>
      <c r="AB224" s="30">
        <f t="shared" si="3"/>
        <v>0.5</v>
      </c>
    </row>
    <row r="225" spans="1:28" x14ac:dyDescent="0.3">
      <c r="A225" s="34" t="s">
        <v>716</v>
      </c>
      <c r="B225" s="37" t="s">
        <v>25</v>
      </c>
      <c r="C225" s="34" t="s">
        <v>708</v>
      </c>
      <c r="D225" s="33" t="s">
        <v>1775</v>
      </c>
      <c r="E225" s="59"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74" t="s">
        <v>34</v>
      </c>
      <c r="T225" s="74" t="s">
        <v>175</v>
      </c>
      <c r="U225" s="74" t="s">
        <v>35</v>
      </c>
      <c r="V225" s="74" t="s">
        <v>35</v>
      </c>
      <c r="W225" s="74" t="s">
        <v>35</v>
      </c>
      <c r="X225" s="74"/>
      <c r="Y225" s="74"/>
      <c r="Z225" s="74"/>
      <c r="AA225" s="75"/>
      <c r="AB225" s="30">
        <f t="shared" si="3"/>
        <v>0.5</v>
      </c>
    </row>
    <row r="226" spans="1:28" x14ac:dyDescent="0.3">
      <c r="A226" s="34" t="s">
        <v>719</v>
      </c>
      <c r="B226" s="37" t="s">
        <v>25</v>
      </c>
      <c r="C226" s="34" t="s">
        <v>708</v>
      </c>
      <c r="D226" s="33" t="s">
        <v>1775</v>
      </c>
      <c r="E226" s="59"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74" t="s">
        <v>34</v>
      </c>
      <c r="T226" s="74" t="s">
        <v>175</v>
      </c>
      <c r="U226" s="74" t="s">
        <v>35</v>
      </c>
      <c r="V226" s="74" t="s">
        <v>35</v>
      </c>
      <c r="W226" s="74" t="s">
        <v>35</v>
      </c>
      <c r="X226" s="74"/>
      <c r="Y226" s="74"/>
      <c r="Z226" s="74"/>
      <c r="AA226" s="75"/>
      <c r="AB226" s="30">
        <f t="shared" si="3"/>
        <v>0.5</v>
      </c>
    </row>
    <row r="227" spans="1:28" x14ac:dyDescent="0.3">
      <c r="A227" s="34" t="s">
        <v>721</v>
      </c>
      <c r="B227" s="37" t="s">
        <v>25</v>
      </c>
      <c r="C227" s="34" t="s">
        <v>708</v>
      </c>
      <c r="D227" s="33" t="s">
        <v>1775</v>
      </c>
      <c r="E227" s="59"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74" t="s">
        <v>34</v>
      </c>
      <c r="T227" s="74" t="s">
        <v>175</v>
      </c>
      <c r="U227" s="74" t="s">
        <v>35</v>
      </c>
      <c r="V227" s="74" t="s">
        <v>35</v>
      </c>
      <c r="W227" s="74" t="s">
        <v>35</v>
      </c>
      <c r="X227" s="74"/>
      <c r="Y227" s="74"/>
      <c r="Z227" s="74"/>
      <c r="AA227" s="75"/>
      <c r="AB227" s="30">
        <f t="shared" si="3"/>
        <v>0.5</v>
      </c>
    </row>
    <row r="228" spans="1:28"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74" t="s">
        <v>34</v>
      </c>
      <c r="T228" s="74"/>
      <c r="U228" s="74"/>
      <c r="V228" s="74"/>
      <c r="W228" s="74"/>
      <c r="X228" s="74"/>
      <c r="Y228" s="74"/>
      <c r="Z228" s="74"/>
      <c r="AA228" s="75"/>
      <c r="AB228" s="30">
        <f t="shared" si="3"/>
        <v>0.125</v>
      </c>
    </row>
    <row r="229" spans="1:28"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74" t="s">
        <v>34</v>
      </c>
      <c r="T229" s="74"/>
      <c r="U229" s="74"/>
      <c r="V229" s="74"/>
      <c r="W229" s="74"/>
      <c r="X229" s="74"/>
      <c r="Y229" s="74"/>
      <c r="Z229" s="74"/>
      <c r="AA229" s="75"/>
      <c r="AB229" s="30">
        <f t="shared" si="3"/>
        <v>0.125</v>
      </c>
    </row>
    <row r="230" spans="1:28"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74" t="s">
        <v>34</v>
      </c>
      <c r="T230" s="74"/>
      <c r="U230" s="74"/>
      <c r="V230" s="74"/>
      <c r="W230" s="74"/>
      <c r="X230" s="74"/>
      <c r="Y230" s="74"/>
      <c r="Z230" s="74"/>
      <c r="AA230" s="75"/>
      <c r="AB230" s="30">
        <f t="shared" si="3"/>
        <v>0.125</v>
      </c>
    </row>
    <row r="231" spans="1:28"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74" t="s">
        <v>34</v>
      </c>
      <c r="T231" s="74"/>
      <c r="U231" s="74"/>
      <c r="V231" s="74"/>
      <c r="W231" s="74"/>
      <c r="X231" s="74"/>
      <c r="Y231" s="74"/>
      <c r="Z231" s="74"/>
      <c r="AA231" s="75"/>
      <c r="AB231" s="30">
        <f t="shared" si="3"/>
        <v>0.125</v>
      </c>
    </row>
    <row r="232" spans="1:28"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74" t="s">
        <v>34</v>
      </c>
      <c r="T232" s="74"/>
      <c r="U232" s="74"/>
      <c r="V232" s="74"/>
      <c r="W232" s="74"/>
      <c r="X232" s="74"/>
      <c r="Y232" s="74"/>
      <c r="Z232" s="74"/>
      <c r="AA232" s="75"/>
      <c r="AB232" s="30">
        <f t="shared" si="3"/>
        <v>0.125</v>
      </c>
    </row>
    <row r="233" spans="1:28"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74" t="s">
        <v>34</v>
      </c>
      <c r="T233" s="74"/>
      <c r="U233" s="74"/>
      <c r="V233" s="74"/>
      <c r="W233" s="74"/>
      <c r="X233" s="74"/>
      <c r="Y233" s="74"/>
      <c r="Z233" s="74"/>
      <c r="AA233" s="75"/>
      <c r="AB233" s="30">
        <f t="shared" si="3"/>
        <v>0.125</v>
      </c>
    </row>
    <row r="234" spans="1:28"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74" t="s">
        <v>34</v>
      </c>
      <c r="T234" s="74"/>
      <c r="U234" s="74"/>
      <c r="V234" s="74"/>
      <c r="W234" s="74"/>
      <c r="X234" s="74"/>
      <c r="Y234" s="74"/>
      <c r="Z234" s="74"/>
      <c r="AA234" s="75"/>
      <c r="AB234" s="30">
        <f t="shared" si="3"/>
        <v>0.125</v>
      </c>
    </row>
    <row r="235" spans="1:28"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74" t="s">
        <v>34</v>
      </c>
      <c r="T235" s="74"/>
      <c r="U235" s="74"/>
      <c r="V235" s="74"/>
      <c r="W235" s="74"/>
      <c r="X235" s="74"/>
      <c r="Y235" s="74"/>
      <c r="Z235" s="74"/>
      <c r="AA235" s="75"/>
      <c r="AB235" s="30">
        <f t="shared" si="3"/>
        <v>0.125</v>
      </c>
    </row>
    <row r="236" spans="1:28"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74" t="s">
        <v>34</v>
      </c>
      <c r="T236" s="74"/>
      <c r="U236" s="74"/>
      <c r="V236" s="74"/>
      <c r="W236" s="74"/>
      <c r="X236" s="74"/>
      <c r="Y236" s="74"/>
      <c r="Z236" s="74"/>
      <c r="AA236" s="75"/>
      <c r="AB236" s="30">
        <f t="shared" si="3"/>
        <v>0.125</v>
      </c>
    </row>
    <row r="237" spans="1:28"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74" t="s">
        <v>34</v>
      </c>
      <c r="T237" s="74"/>
      <c r="U237" s="74"/>
      <c r="V237" s="74"/>
      <c r="W237" s="74"/>
      <c r="X237" s="74"/>
      <c r="Y237" s="74"/>
      <c r="Z237" s="74"/>
      <c r="AA237" s="75"/>
      <c r="AB237" s="30">
        <f t="shared" si="3"/>
        <v>0.125</v>
      </c>
    </row>
    <row r="238" spans="1:28"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74" t="s">
        <v>34</v>
      </c>
      <c r="T238" s="74" t="s">
        <v>35</v>
      </c>
      <c r="U238" s="74" t="s">
        <v>213</v>
      </c>
      <c r="V238" s="74" t="s">
        <v>213</v>
      </c>
      <c r="W238" s="74"/>
      <c r="X238" s="74"/>
      <c r="Y238" s="74"/>
      <c r="Z238" s="74"/>
      <c r="AA238" s="75"/>
      <c r="AB238" s="30">
        <f t="shared" si="3"/>
        <v>0.41666666666666663</v>
      </c>
    </row>
    <row r="239" spans="1:28"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74" t="s">
        <v>34</v>
      </c>
      <c r="T239" s="74" t="s">
        <v>35</v>
      </c>
      <c r="U239" s="74" t="s">
        <v>213</v>
      </c>
      <c r="V239" s="74" t="s">
        <v>213</v>
      </c>
      <c r="W239" s="74"/>
      <c r="X239" s="74"/>
      <c r="Y239" s="74"/>
      <c r="Z239" s="74"/>
      <c r="AA239" s="75"/>
      <c r="AB239" s="30">
        <f t="shared" si="3"/>
        <v>0.41666666666666663</v>
      </c>
    </row>
    <row r="240" spans="1:28"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74" t="s">
        <v>34</v>
      </c>
      <c r="T240" s="74" t="s">
        <v>35</v>
      </c>
      <c r="U240" s="74" t="s">
        <v>213</v>
      </c>
      <c r="V240" s="74" t="s">
        <v>213</v>
      </c>
      <c r="W240" s="74"/>
      <c r="X240" s="74"/>
      <c r="Y240" s="74"/>
      <c r="Z240" s="74"/>
      <c r="AA240" s="75"/>
      <c r="AB240" s="30">
        <f t="shared" si="3"/>
        <v>0.41666666666666663</v>
      </c>
    </row>
    <row r="241" spans="1:28"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74" t="s">
        <v>34</v>
      </c>
      <c r="T241" s="74" t="s">
        <v>35</v>
      </c>
      <c r="U241" s="74" t="s">
        <v>213</v>
      </c>
      <c r="V241" s="74" t="s">
        <v>213</v>
      </c>
      <c r="W241" s="74"/>
      <c r="X241" s="74"/>
      <c r="Y241" s="74"/>
      <c r="Z241" s="74"/>
      <c r="AA241" s="75"/>
      <c r="AB241" s="30">
        <f t="shared" si="3"/>
        <v>0.41666666666666663</v>
      </c>
    </row>
    <row r="242" spans="1:28"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74" t="s">
        <v>34</v>
      </c>
      <c r="T242" s="74" t="s">
        <v>175</v>
      </c>
      <c r="U242" s="74"/>
      <c r="V242" s="74"/>
      <c r="W242" s="74"/>
      <c r="X242" s="74"/>
      <c r="Y242" s="74"/>
      <c r="Z242" s="74"/>
      <c r="AA242" s="75"/>
      <c r="AB242" s="30">
        <f t="shared" si="3"/>
        <v>0.125</v>
      </c>
    </row>
    <row r="243" spans="1:28"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74" t="s">
        <v>34</v>
      </c>
      <c r="T243" s="74" t="s">
        <v>175</v>
      </c>
      <c r="U243" s="74"/>
      <c r="V243" s="74"/>
      <c r="W243" s="74"/>
      <c r="X243" s="74"/>
      <c r="Y243" s="74"/>
      <c r="Z243" s="74"/>
      <c r="AA243" s="75"/>
      <c r="AB243" s="30">
        <f t="shared" si="3"/>
        <v>0.125</v>
      </c>
    </row>
    <row r="244" spans="1:28"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74" t="s">
        <v>34</v>
      </c>
      <c r="T244" s="74" t="s">
        <v>175</v>
      </c>
      <c r="U244" s="74"/>
      <c r="V244" s="74"/>
      <c r="W244" s="74"/>
      <c r="X244" s="74"/>
      <c r="Y244" s="74"/>
      <c r="Z244" s="74"/>
      <c r="AA244" s="75"/>
      <c r="AB244" s="30">
        <f t="shared" si="3"/>
        <v>0.125</v>
      </c>
    </row>
    <row r="245" spans="1:28"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74" t="s">
        <v>34</v>
      </c>
      <c r="T245" s="74" t="s">
        <v>175</v>
      </c>
      <c r="U245" s="74"/>
      <c r="V245" s="74"/>
      <c r="W245" s="74"/>
      <c r="X245" s="74"/>
      <c r="Y245" s="74"/>
      <c r="Z245" s="74"/>
      <c r="AA245" s="75"/>
      <c r="AB245" s="30">
        <f t="shared" si="3"/>
        <v>0.125</v>
      </c>
    </row>
    <row r="246" spans="1:28"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74" t="s">
        <v>34</v>
      </c>
      <c r="T246" s="74" t="s">
        <v>175</v>
      </c>
      <c r="U246" s="74"/>
      <c r="V246" s="74"/>
      <c r="W246" s="74"/>
      <c r="X246" s="74"/>
      <c r="Y246" s="74"/>
      <c r="Z246" s="74"/>
      <c r="AA246" s="75"/>
      <c r="AB246" s="30">
        <f t="shared" si="3"/>
        <v>0.125</v>
      </c>
    </row>
    <row r="247" spans="1:28"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74" t="s">
        <v>34</v>
      </c>
      <c r="T247" s="74" t="s">
        <v>175</v>
      </c>
      <c r="U247" s="74"/>
      <c r="V247" s="74"/>
      <c r="W247" s="74"/>
      <c r="X247" s="74"/>
      <c r="Y247" s="74"/>
      <c r="Z247" s="74"/>
      <c r="AA247" s="75"/>
      <c r="AB247" s="30">
        <f t="shared" si="3"/>
        <v>0.125</v>
      </c>
    </row>
    <row r="248" spans="1:28"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74" t="s">
        <v>34</v>
      </c>
      <c r="T248" s="74" t="s">
        <v>175</v>
      </c>
      <c r="U248" s="74"/>
      <c r="V248" s="74"/>
      <c r="W248" s="74"/>
      <c r="X248" s="74"/>
      <c r="Y248" s="74"/>
      <c r="Z248" s="74"/>
      <c r="AA248" s="75"/>
      <c r="AB248" s="30">
        <f t="shared" si="3"/>
        <v>0.125</v>
      </c>
    </row>
    <row r="249" spans="1:28"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74" t="s">
        <v>34</v>
      </c>
      <c r="T249" s="74" t="s">
        <v>175</v>
      </c>
      <c r="U249" s="74"/>
      <c r="V249" s="74"/>
      <c r="W249" s="74"/>
      <c r="X249" s="74"/>
      <c r="Y249" s="74"/>
      <c r="Z249" s="74"/>
      <c r="AA249" s="75"/>
      <c r="AB249" s="30">
        <f t="shared" si="3"/>
        <v>0.125</v>
      </c>
    </row>
    <row r="250" spans="1:28"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74" t="s">
        <v>34</v>
      </c>
      <c r="T250" s="74" t="s">
        <v>175</v>
      </c>
      <c r="U250" s="74"/>
      <c r="V250" s="74"/>
      <c r="W250" s="74"/>
      <c r="X250" s="74"/>
      <c r="Y250" s="74"/>
      <c r="Z250" s="74"/>
      <c r="AA250" s="75"/>
      <c r="AB250" s="30">
        <f t="shared" si="3"/>
        <v>0.125</v>
      </c>
    </row>
    <row r="251" spans="1:28"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74" t="s">
        <v>34</v>
      </c>
      <c r="T251" s="74" t="s">
        <v>175</v>
      </c>
      <c r="U251" s="74"/>
      <c r="V251" s="74"/>
      <c r="W251" s="74"/>
      <c r="X251" s="74"/>
      <c r="Y251" s="74"/>
      <c r="Z251" s="74"/>
      <c r="AA251" s="75"/>
      <c r="AB251" s="30">
        <f t="shared" si="3"/>
        <v>0.125</v>
      </c>
    </row>
    <row r="252" spans="1:28"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74" t="s">
        <v>34</v>
      </c>
      <c r="T252" s="74" t="s">
        <v>175</v>
      </c>
      <c r="U252" s="74"/>
      <c r="V252" s="74"/>
      <c r="W252" s="74"/>
      <c r="X252" s="74"/>
      <c r="Y252" s="74"/>
      <c r="Z252" s="74"/>
      <c r="AA252" s="75"/>
      <c r="AB252" s="30">
        <f t="shared" si="3"/>
        <v>0.125</v>
      </c>
    </row>
    <row r="253" spans="1:28"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74" t="s">
        <v>34</v>
      </c>
      <c r="T253" s="74" t="s">
        <v>175</v>
      </c>
      <c r="U253" s="74"/>
      <c r="V253" s="74"/>
      <c r="W253" s="74"/>
      <c r="X253" s="74"/>
      <c r="Y253" s="74"/>
      <c r="Z253" s="74"/>
      <c r="AA253" s="75"/>
      <c r="AB253" s="30">
        <f t="shared" si="3"/>
        <v>0.125</v>
      </c>
    </row>
    <row r="254" spans="1:28"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74" t="s">
        <v>34</v>
      </c>
      <c r="T254" s="74" t="s">
        <v>175</v>
      </c>
      <c r="U254" s="74"/>
      <c r="V254" s="74"/>
      <c r="W254" s="74"/>
      <c r="X254" s="74"/>
      <c r="Y254" s="74"/>
      <c r="Z254" s="74"/>
      <c r="AA254" s="75"/>
      <c r="AB254" s="30">
        <f t="shared" si="3"/>
        <v>0.125</v>
      </c>
    </row>
    <row r="255" spans="1:28"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74" t="s">
        <v>34</v>
      </c>
      <c r="T255" s="74" t="s">
        <v>175</v>
      </c>
      <c r="U255" s="74"/>
      <c r="V255" s="74"/>
      <c r="W255" s="74"/>
      <c r="X255" s="74"/>
      <c r="Y255" s="74"/>
      <c r="Z255" s="74"/>
      <c r="AA255" s="75"/>
      <c r="AB255" s="30">
        <f t="shared" si="3"/>
        <v>0.125</v>
      </c>
    </row>
    <row r="256" spans="1:28"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74" t="s">
        <v>34</v>
      </c>
      <c r="T256" s="74" t="s">
        <v>175</v>
      </c>
      <c r="U256" s="74"/>
      <c r="V256" s="74"/>
      <c r="W256" s="74"/>
      <c r="X256" s="74"/>
      <c r="Y256" s="74"/>
      <c r="Z256" s="74"/>
      <c r="AA256" s="75"/>
      <c r="AB256" s="30">
        <f t="shared" si="3"/>
        <v>0.125</v>
      </c>
    </row>
    <row r="257" spans="1:28"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74" t="s">
        <v>34</v>
      </c>
      <c r="T257" s="74" t="s">
        <v>175</v>
      </c>
      <c r="U257" s="74"/>
      <c r="V257" s="74"/>
      <c r="W257" s="74"/>
      <c r="X257" s="74"/>
      <c r="Y257" s="74"/>
      <c r="Z257" s="74"/>
      <c r="AA257" s="75"/>
      <c r="AB257" s="30">
        <f t="shared" si="3"/>
        <v>0.125</v>
      </c>
    </row>
    <row r="258" spans="1:28"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74" t="s">
        <v>34</v>
      </c>
      <c r="T258" s="74" t="s">
        <v>175</v>
      </c>
      <c r="U258" s="74"/>
      <c r="V258" s="74"/>
      <c r="W258" s="74"/>
      <c r="X258" s="74"/>
      <c r="Y258" s="74"/>
      <c r="Z258" s="74"/>
      <c r="AA258" s="75"/>
      <c r="AB258" s="30">
        <f t="shared" ref="AB258:AB321" si="4">(
IF(S258="ENVIADO A LA CE/UM",1/3,IF(S258="ENTREGADO/REVISIÓN",2/3,IF(S258="ENVIADO A TICS",1,0)))+
IF(T258="EN PROCESO",0,IF(T258="CONCLUIDO",1,0))+
IF(U258="ENVIADO A LA CE/UM",1/3,IF(U258="EN REVISIÓN CENTRAL",2/3,IF(U258="CONCLUIDO",1,0)))+
IF(V258="ENVIADO A LA CE/UM",1/3,IF(V258="EN REVISIÓN CENTRAL",2/3,IF(V258="CONCLUIDO",1,0)))+
IF(W258="ENVIADO",1/3,IF(W258="EN PROCESO",2/3,IF(W258="CONCLUIDO",1,0)))+
IF(X258="PROGRAMADAS",0,IF(X258="CONCLUIDAS",1,0))+
IF(Y258="SI",1,IF(Y258="NO",0,0))+
IF(Z258="SI",1,IF(Z258="NO",0,0))
)/8</f>
        <v>0.125</v>
      </c>
    </row>
    <row r="259" spans="1:28"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74" t="s">
        <v>34</v>
      </c>
      <c r="T259" s="74" t="s">
        <v>175</v>
      </c>
      <c r="U259" s="74"/>
      <c r="V259" s="74"/>
      <c r="W259" s="74"/>
      <c r="X259" s="74"/>
      <c r="Y259" s="74"/>
      <c r="Z259" s="74"/>
      <c r="AA259" s="75"/>
      <c r="AB259" s="30">
        <f t="shared" si="4"/>
        <v>0.125</v>
      </c>
    </row>
    <row r="260" spans="1:28"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74" t="s">
        <v>34</v>
      </c>
      <c r="T260" s="74" t="s">
        <v>175</v>
      </c>
      <c r="U260" s="74"/>
      <c r="V260" s="74"/>
      <c r="W260" s="74"/>
      <c r="X260" s="74"/>
      <c r="Y260" s="74"/>
      <c r="Z260" s="74"/>
      <c r="AA260" s="75"/>
      <c r="AB260" s="30">
        <f t="shared" si="4"/>
        <v>0.125</v>
      </c>
    </row>
    <row r="261" spans="1:28"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74" t="s">
        <v>34</v>
      </c>
      <c r="T261" s="74" t="s">
        <v>175</v>
      </c>
      <c r="U261" s="74"/>
      <c r="V261" s="74"/>
      <c r="W261" s="74"/>
      <c r="X261" s="74"/>
      <c r="Y261" s="74"/>
      <c r="Z261" s="74"/>
      <c r="AA261" s="75"/>
      <c r="AB261" s="30">
        <f t="shared" si="4"/>
        <v>0.125</v>
      </c>
    </row>
    <row r="262" spans="1:28"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74" t="s">
        <v>34</v>
      </c>
      <c r="T262" s="74" t="s">
        <v>175</v>
      </c>
      <c r="U262" s="74"/>
      <c r="V262" s="74"/>
      <c r="W262" s="74"/>
      <c r="X262" s="74"/>
      <c r="Y262" s="74"/>
      <c r="Z262" s="74"/>
      <c r="AA262" s="75"/>
      <c r="AB262" s="30">
        <f t="shared" si="4"/>
        <v>0.125</v>
      </c>
    </row>
    <row r="263" spans="1:28"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74" t="s">
        <v>34</v>
      </c>
      <c r="T263" s="74" t="s">
        <v>175</v>
      </c>
      <c r="U263" s="74"/>
      <c r="V263" s="74"/>
      <c r="W263" s="74"/>
      <c r="X263" s="74"/>
      <c r="Y263" s="74"/>
      <c r="Z263" s="74"/>
      <c r="AA263" s="75"/>
      <c r="AB263" s="30">
        <f t="shared" si="4"/>
        <v>0.125</v>
      </c>
    </row>
    <row r="264" spans="1:28"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74" t="s">
        <v>34</v>
      </c>
      <c r="T264" s="74" t="s">
        <v>175</v>
      </c>
      <c r="U264" s="74"/>
      <c r="V264" s="74"/>
      <c r="W264" s="74"/>
      <c r="X264" s="74"/>
      <c r="Y264" s="74"/>
      <c r="Z264" s="74"/>
      <c r="AA264" s="75"/>
      <c r="AB264" s="30">
        <f t="shared" si="4"/>
        <v>0.125</v>
      </c>
    </row>
    <row r="265" spans="1:28"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74" t="s">
        <v>34</v>
      </c>
      <c r="T265" s="74" t="s">
        <v>175</v>
      </c>
      <c r="U265" s="74" t="s">
        <v>213</v>
      </c>
      <c r="V265" s="74" t="s">
        <v>213</v>
      </c>
      <c r="W265" s="74"/>
      <c r="X265" s="74"/>
      <c r="Y265" s="74"/>
      <c r="Z265" s="74"/>
      <c r="AA265" s="75"/>
      <c r="AB265" s="30">
        <f t="shared" si="4"/>
        <v>0.29166666666666663</v>
      </c>
    </row>
    <row r="266" spans="1:28"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74" t="s">
        <v>34</v>
      </c>
      <c r="T266" s="74" t="s">
        <v>175</v>
      </c>
      <c r="U266" s="74" t="s">
        <v>213</v>
      </c>
      <c r="V266" s="74" t="s">
        <v>213</v>
      </c>
      <c r="W266" s="74"/>
      <c r="X266" s="74"/>
      <c r="Y266" s="74"/>
      <c r="Z266" s="74"/>
      <c r="AA266" s="75"/>
      <c r="AB266" s="30">
        <f t="shared" si="4"/>
        <v>0.29166666666666663</v>
      </c>
    </row>
    <row r="267" spans="1:28"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74" t="s">
        <v>34</v>
      </c>
      <c r="T267" s="74" t="s">
        <v>175</v>
      </c>
      <c r="U267" s="74" t="s">
        <v>213</v>
      </c>
      <c r="V267" s="74" t="s">
        <v>213</v>
      </c>
      <c r="W267" s="74"/>
      <c r="X267" s="74"/>
      <c r="Y267" s="74"/>
      <c r="Z267" s="74"/>
      <c r="AA267" s="75"/>
      <c r="AB267" s="30">
        <f t="shared" si="4"/>
        <v>0.29166666666666663</v>
      </c>
    </row>
    <row r="268" spans="1:28"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74" t="s">
        <v>34</v>
      </c>
      <c r="T268" s="74" t="s">
        <v>175</v>
      </c>
      <c r="U268" s="74" t="s">
        <v>213</v>
      </c>
      <c r="V268" s="74" t="s">
        <v>213</v>
      </c>
      <c r="W268" s="74"/>
      <c r="X268" s="74"/>
      <c r="Y268" s="74"/>
      <c r="Z268" s="74"/>
      <c r="AA268" s="75"/>
      <c r="AB268" s="30">
        <f t="shared" si="4"/>
        <v>0.29166666666666663</v>
      </c>
    </row>
    <row r="269" spans="1:28"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74" t="s">
        <v>34</v>
      </c>
      <c r="T269" s="74" t="s">
        <v>175</v>
      </c>
      <c r="U269" s="74" t="s">
        <v>213</v>
      </c>
      <c r="V269" s="74" t="s">
        <v>213</v>
      </c>
      <c r="W269" s="74"/>
      <c r="X269" s="74"/>
      <c r="Y269" s="74"/>
      <c r="Z269" s="74"/>
      <c r="AA269" s="75"/>
      <c r="AB269" s="30">
        <f t="shared" si="4"/>
        <v>0.29166666666666663</v>
      </c>
    </row>
    <row r="270" spans="1:28"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74" t="s">
        <v>34</v>
      </c>
      <c r="T270" s="74" t="s">
        <v>175</v>
      </c>
      <c r="U270" s="74" t="s">
        <v>213</v>
      </c>
      <c r="V270" s="74" t="s">
        <v>213</v>
      </c>
      <c r="W270" s="74"/>
      <c r="X270" s="74"/>
      <c r="Y270" s="74"/>
      <c r="Z270" s="74"/>
      <c r="AA270" s="75"/>
      <c r="AB270" s="30">
        <f t="shared" si="4"/>
        <v>0.29166666666666663</v>
      </c>
    </row>
    <row r="271" spans="1:28"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74" t="s">
        <v>34</v>
      </c>
      <c r="T271" s="74" t="s">
        <v>175</v>
      </c>
      <c r="U271" s="74" t="s">
        <v>213</v>
      </c>
      <c r="V271" s="74" t="s">
        <v>213</v>
      </c>
      <c r="W271" s="74"/>
      <c r="X271" s="74"/>
      <c r="Y271" s="74"/>
      <c r="Z271" s="74"/>
      <c r="AA271" s="75"/>
      <c r="AB271" s="30">
        <f t="shared" si="4"/>
        <v>0.29166666666666663</v>
      </c>
    </row>
    <row r="272" spans="1:28"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74" t="s">
        <v>34</v>
      </c>
      <c r="T272" s="74" t="s">
        <v>175</v>
      </c>
      <c r="U272" s="74" t="s">
        <v>213</v>
      </c>
      <c r="V272" s="74" t="s">
        <v>213</v>
      </c>
      <c r="W272" s="74"/>
      <c r="X272" s="74"/>
      <c r="Y272" s="74"/>
      <c r="Z272" s="74"/>
      <c r="AA272" s="75"/>
      <c r="AB272" s="30">
        <f t="shared" si="4"/>
        <v>0.29166666666666663</v>
      </c>
    </row>
    <row r="273" spans="1:28"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74" t="s">
        <v>34</v>
      </c>
      <c r="T273" s="74" t="s">
        <v>175</v>
      </c>
      <c r="U273" s="74" t="s">
        <v>213</v>
      </c>
      <c r="V273" s="74" t="s">
        <v>213</v>
      </c>
      <c r="W273" s="74"/>
      <c r="X273" s="74"/>
      <c r="Y273" s="74"/>
      <c r="Z273" s="74"/>
      <c r="AA273" s="75"/>
      <c r="AB273" s="30">
        <f t="shared" si="4"/>
        <v>0.29166666666666663</v>
      </c>
    </row>
    <row r="274" spans="1:28"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74" t="s">
        <v>34</v>
      </c>
      <c r="T274" s="74" t="s">
        <v>175</v>
      </c>
      <c r="U274" s="74" t="s">
        <v>213</v>
      </c>
      <c r="V274" s="74" t="s">
        <v>213</v>
      </c>
      <c r="W274" s="74"/>
      <c r="X274" s="74"/>
      <c r="Y274" s="74"/>
      <c r="Z274" s="74"/>
      <c r="AA274" s="75"/>
      <c r="AB274" s="30">
        <f t="shared" si="4"/>
        <v>0.29166666666666663</v>
      </c>
    </row>
    <row r="275" spans="1:28"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74" t="s">
        <v>34</v>
      </c>
      <c r="T275" s="74" t="s">
        <v>175</v>
      </c>
      <c r="U275" s="74" t="s">
        <v>213</v>
      </c>
      <c r="V275" s="74" t="s">
        <v>213</v>
      </c>
      <c r="W275" s="74"/>
      <c r="X275" s="74"/>
      <c r="Y275" s="74"/>
      <c r="Z275" s="74"/>
      <c r="AA275" s="75"/>
      <c r="AB275" s="30">
        <f t="shared" si="4"/>
        <v>0.29166666666666663</v>
      </c>
    </row>
    <row r="276" spans="1:28" x14ac:dyDescent="0.3">
      <c r="A276" s="34" t="s">
        <v>869</v>
      </c>
      <c r="B276" s="37" t="s">
        <v>25</v>
      </c>
      <c r="C276" s="34" t="s">
        <v>172</v>
      </c>
      <c r="D276" s="33" t="s">
        <v>1775</v>
      </c>
      <c r="E276" s="34" t="s">
        <v>178</v>
      </c>
      <c r="F276" s="59"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74" t="s">
        <v>34</v>
      </c>
      <c r="T276" s="74" t="s">
        <v>175</v>
      </c>
      <c r="U276" s="74" t="s">
        <v>176</v>
      </c>
      <c r="V276" s="74" t="s">
        <v>176</v>
      </c>
      <c r="W276" s="74"/>
      <c r="X276" s="74"/>
      <c r="Y276" s="74"/>
      <c r="Z276" s="74"/>
      <c r="AA276" s="75"/>
      <c r="AB276" s="30">
        <f t="shared" si="4"/>
        <v>0.20833333333333331</v>
      </c>
    </row>
    <row r="277" spans="1:28" x14ac:dyDescent="0.3">
      <c r="A277" s="34" t="s">
        <v>871</v>
      </c>
      <c r="B277" s="37" t="s">
        <v>25</v>
      </c>
      <c r="C277" s="34" t="s">
        <v>172</v>
      </c>
      <c r="D277" s="33" t="s">
        <v>1775</v>
      </c>
      <c r="E277" s="34" t="s">
        <v>872</v>
      </c>
      <c r="F277" s="59"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74" t="s">
        <v>34</v>
      </c>
      <c r="T277" s="74" t="s">
        <v>175</v>
      </c>
      <c r="U277" s="74" t="s">
        <v>213</v>
      </c>
      <c r="V277" s="74" t="s">
        <v>213</v>
      </c>
      <c r="W277" s="74"/>
      <c r="X277" s="74"/>
      <c r="Y277" s="74"/>
      <c r="Z277" s="74"/>
      <c r="AA277" s="75"/>
      <c r="AB277" s="30">
        <f t="shared" si="4"/>
        <v>0.29166666666666663</v>
      </c>
    </row>
    <row r="278" spans="1:28" x14ac:dyDescent="0.3">
      <c r="A278" s="34" t="s">
        <v>874</v>
      </c>
      <c r="B278" s="37" t="s">
        <v>25</v>
      </c>
      <c r="C278" s="34" t="s">
        <v>172</v>
      </c>
      <c r="D278" s="33" t="s">
        <v>1775</v>
      </c>
      <c r="E278" s="34" t="s">
        <v>875</v>
      </c>
      <c r="F278" s="59"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74" t="s">
        <v>34</v>
      </c>
      <c r="T278" s="74" t="s">
        <v>175</v>
      </c>
      <c r="U278" s="74" t="s">
        <v>213</v>
      </c>
      <c r="V278" s="74" t="s">
        <v>213</v>
      </c>
      <c r="W278" s="74"/>
      <c r="X278" s="74"/>
      <c r="Y278" s="74"/>
      <c r="Z278" s="74"/>
      <c r="AA278" s="75"/>
      <c r="AB278" s="30">
        <f t="shared" si="4"/>
        <v>0.29166666666666663</v>
      </c>
    </row>
    <row r="279" spans="1:28" x14ac:dyDescent="0.3">
      <c r="A279" s="34" t="s">
        <v>877</v>
      </c>
      <c r="B279" s="37" t="s">
        <v>25</v>
      </c>
      <c r="C279" s="34" t="s">
        <v>172</v>
      </c>
      <c r="D279" s="33" t="s">
        <v>1775</v>
      </c>
      <c r="E279" s="34" t="s">
        <v>878</v>
      </c>
      <c r="F279" s="59"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74" t="s">
        <v>34</v>
      </c>
      <c r="T279" s="74" t="s">
        <v>175</v>
      </c>
      <c r="U279" s="74" t="s">
        <v>213</v>
      </c>
      <c r="V279" s="74" t="s">
        <v>213</v>
      </c>
      <c r="W279" s="74"/>
      <c r="X279" s="74"/>
      <c r="Y279" s="74"/>
      <c r="Z279" s="74"/>
      <c r="AA279" s="75"/>
      <c r="AB279" s="30">
        <f t="shared" si="4"/>
        <v>0.29166666666666663</v>
      </c>
    </row>
    <row r="280" spans="1:28" x14ac:dyDescent="0.3">
      <c r="A280" s="34" t="s">
        <v>880</v>
      </c>
      <c r="B280" s="37" t="s">
        <v>25</v>
      </c>
      <c r="C280" s="34" t="s">
        <v>172</v>
      </c>
      <c r="D280" s="33" t="s">
        <v>1775</v>
      </c>
      <c r="E280" s="34" t="s">
        <v>875</v>
      </c>
      <c r="F280" s="59"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74" t="s">
        <v>34</v>
      </c>
      <c r="T280" s="74" t="s">
        <v>175</v>
      </c>
      <c r="U280" s="74" t="s">
        <v>213</v>
      </c>
      <c r="V280" s="74" t="s">
        <v>213</v>
      </c>
      <c r="W280" s="74"/>
      <c r="X280" s="74"/>
      <c r="Y280" s="74"/>
      <c r="Z280" s="74"/>
      <c r="AA280" s="75"/>
      <c r="AB280" s="30">
        <f t="shared" si="4"/>
        <v>0.29166666666666663</v>
      </c>
    </row>
    <row r="281" spans="1:28" x14ac:dyDescent="0.3">
      <c r="A281" s="34" t="s">
        <v>882</v>
      </c>
      <c r="B281" s="37" t="s">
        <v>25</v>
      </c>
      <c r="C281" s="34" t="s">
        <v>172</v>
      </c>
      <c r="D281" s="33" t="s">
        <v>1775</v>
      </c>
      <c r="E281" s="34" t="s">
        <v>178</v>
      </c>
      <c r="F281" s="59"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74" t="s">
        <v>34</v>
      </c>
      <c r="T281" s="74" t="s">
        <v>175</v>
      </c>
      <c r="U281" s="74" t="s">
        <v>213</v>
      </c>
      <c r="V281" s="74" t="s">
        <v>213</v>
      </c>
      <c r="W281" s="74"/>
      <c r="X281" s="74"/>
      <c r="Y281" s="74"/>
      <c r="Z281" s="74"/>
      <c r="AA281" s="75"/>
      <c r="AB281" s="30">
        <f t="shared" si="4"/>
        <v>0.29166666666666663</v>
      </c>
    </row>
    <row r="282" spans="1:28" x14ac:dyDescent="0.3">
      <c r="A282" s="34" t="s">
        <v>883</v>
      </c>
      <c r="B282" s="37" t="s">
        <v>25</v>
      </c>
      <c r="C282" s="34" t="s">
        <v>172</v>
      </c>
      <c r="D282" s="33" t="s">
        <v>1775</v>
      </c>
      <c r="E282" s="34" t="s">
        <v>875</v>
      </c>
      <c r="F282" s="59"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74" t="s">
        <v>34</v>
      </c>
      <c r="T282" s="74" t="s">
        <v>175</v>
      </c>
      <c r="U282" s="74" t="s">
        <v>213</v>
      </c>
      <c r="V282" s="74" t="s">
        <v>213</v>
      </c>
      <c r="W282" s="74"/>
      <c r="X282" s="74"/>
      <c r="Y282" s="74"/>
      <c r="Z282" s="74"/>
      <c r="AA282" s="75"/>
      <c r="AB282" s="30">
        <f t="shared" si="4"/>
        <v>0.29166666666666663</v>
      </c>
    </row>
    <row r="283" spans="1:28"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74" t="s">
        <v>34</v>
      </c>
      <c r="T283" s="74" t="s">
        <v>175</v>
      </c>
      <c r="U283" s="74" t="s">
        <v>213</v>
      </c>
      <c r="V283" s="74" t="s">
        <v>213</v>
      </c>
      <c r="W283" s="74"/>
      <c r="X283" s="74"/>
      <c r="Y283" s="74"/>
      <c r="Z283" s="74"/>
      <c r="AA283" s="75"/>
      <c r="AB283" s="30">
        <f t="shared" si="4"/>
        <v>0.29166666666666663</v>
      </c>
    </row>
    <row r="284" spans="1:28"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74" t="s">
        <v>34</v>
      </c>
      <c r="T284" s="74" t="s">
        <v>175</v>
      </c>
      <c r="U284" s="74" t="s">
        <v>213</v>
      </c>
      <c r="V284" s="74" t="s">
        <v>213</v>
      </c>
      <c r="W284" s="74"/>
      <c r="X284" s="74"/>
      <c r="Y284" s="74"/>
      <c r="Z284" s="74"/>
      <c r="AA284" s="75"/>
      <c r="AB284" s="30">
        <f t="shared" si="4"/>
        <v>0.29166666666666663</v>
      </c>
    </row>
    <row r="285" spans="1:28"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74" t="s">
        <v>34</v>
      </c>
      <c r="T285" s="74" t="s">
        <v>175</v>
      </c>
      <c r="U285" s="74" t="s">
        <v>176</v>
      </c>
      <c r="V285" s="74" t="s">
        <v>176</v>
      </c>
      <c r="W285" s="74"/>
      <c r="X285" s="74"/>
      <c r="Y285" s="74"/>
      <c r="Z285" s="74"/>
      <c r="AA285" s="75"/>
      <c r="AB285" s="30">
        <f t="shared" si="4"/>
        <v>0.20833333333333331</v>
      </c>
    </row>
    <row r="286" spans="1:28"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74" t="s">
        <v>34</v>
      </c>
      <c r="T286" s="74" t="s">
        <v>175</v>
      </c>
      <c r="U286" s="74" t="s">
        <v>176</v>
      </c>
      <c r="V286" s="74" t="s">
        <v>176</v>
      </c>
      <c r="W286" s="74"/>
      <c r="X286" s="74"/>
      <c r="Y286" s="74"/>
      <c r="Z286" s="74"/>
      <c r="AA286" s="75"/>
      <c r="AB286" s="30">
        <f t="shared" si="4"/>
        <v>0.20833333333333331</v>
      </c>
    </row>
    <row r="287" spans="1:28"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74" t="s">
        <v>34</v>
      </c>
      <c r="T287" s="74" t="s">
        <v>175</v>
      </c>
      <c r="U287" s="74" t="s">
        <v>176</v>
      </c>
      <c r="V287" s="74" t="s">
        <v>176</v>
      </c>
      <c r="W287" s="74"/>
      <c r="X287" s="74"/>
      <c r="Y287" s="74"/>
      <c r="Z287" s="74"/>
      <c r="AA287" s="75"/>
      <c r="AB287" s="30">
        <f t="shared" si="4"/>
        <v>0.20833333333333331</v>
      </c>
    </row>
    <row r="288" spans="1:28"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74" t="s">
        <v>34</v>
      </c>
      <c r="T288" s="74" t="s">
        <v>175</v>
      </c>
      <c r="U288" s="74" t="s">
        <v>176</v>
      </c>
      <c r="V288" s="74" t="s">
        <v>176</v>
      </c>
      <c r="W288" s="74"/>
      <c r="X288" s="74"/>
      <c r="Y288" s="74"/>
      <c r="Z288" s="74"/>
      <c r="AA288" s="75"/>
      <c r="AB288" s="30">
        <f t="shared" si="4"/>
        <v>0.20833333333333331</v>
      </c>
    </row>
    <row r="289" spans="1:28"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74" t="s">
        <v>34</v>
      </c>
      <c r="T289" s="74" t="s">
        <v>175</v>
      </c>
      <c r="U289" s="74" t="s">
        <v>176</v>
      </c>
      <c r="V289" s="74" t="s">
        <v>176</v>
      </c>
      <c r="W289" s="74"/>
      <c r="X289" s="74"/>
      <c r="Y289" s="74"/>
      <c r="Z289" s="74"/>
      <c r="AA289" s="75"/>
      <c r="AB289" s="30">
        <f t="shared" si="4"/>
        <v>0.20833333333333331</v>
      </c>
    </row>
    <row r="290" spans="1:28"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74" t="s">
        <v>34</v>
      </c>
      <c r="T290" s="74" t="s">
        <v>175</v>
      </c>
      <c r="U290" s="74" t="s">
        <v>176</v>
      </c>
      <c r="V290" s="74" t="s">
        <v>176</v>
      </c>
      <c r="W290" s="74"/>
      <c r="X290" s="74"/>
      <c r="Y290" s="74"/>
      <c r="Z290" s="74"/>
      <c r="AA290" s="75"/>
      <c r="AB290" s="30">
        <f t="shared" si="4"/>
        <v>0.20833333333333331</v>
      </c>
    </row>
    <row r="291" spans="1:28" x14ac:dyDescent="0.3">
      <c r="A291" s="34" t="s">
        <v>1656</v>
      </c>
      <c r="B291" s="37" t="s">
        <v>25</v>
      </c>
      <c r="C291" s="34" t="s">
        <v>1776</v>
      </c>
      <c r="D291" s="33" t="s">
        <v>1775</v>
      </c>
      <c r="E291" s="34" t="s">
        <v>915</v>
      </c>
      <c r="F291" s="38" t="s">
        <v>1657</v>
      </c>
      <c r="G291" s="34" t="s">
        <v>164</v>
      </c>
      <c r="H291" s="37">
        <v>2</v>
      </c>
      <c r="I291" s="34" t="s">
        <v>155</v>
      </c>
      <c r="J291" s="34" t="s">
        <v>31</v>
      </c>
      <c r="K291" s="34" t="s">
        <v>32</v>
      </c>
      <c r="L291" s="34" t="s">
        <v>1755</v>
      </c>
      <c r="M291" s="34" t="s">
        <v>33</v>
      </c>
      <c r="N291" s="49">
        <v>9</v>
      </c>
      <c r="O291" s="50">
        <v>2</v>
      </c>
      <c r="P291" s="51">
        <v>56</v>
      </c>
      <c r="Q291" s="52">
        <v>19.424221800000002</v>
      </c>
      <c r="R291" s="52">
        <v>-99.117046400000007</v>
      </c>
      <c r="S291" s="74" t="s">
        <v>34</v>
      </c>
      <c r="T291" s="74" t="s">
        <v>175</v>
      </c>
      <c r="U291" s="74" t="s">
        <v>35</v>
      </c>
      <c r="V291" s="74" t="s">
        <v>213</v>
      </c>
      <c r="W291" s="74" t="s">
        <v>175</v>
      </c>
      <c r="X291" s="74" t="s">
        <v>1816</v>
      </c>
      <c r="Y291" s="74" t="s">
        <v>74</v>
      </c>
      <c r="Z291" s="74" t="s">
        <v>74</v>
      </c>
      <c r="AA291" s="75" t="s">
        <v>1807</v>
      </c>
      <c r="AB291" s="30">
        <f t="shared" si="4"/>
        <v>0.41666666666666663</v>
      </c>
    </row>
    <row r="292" spans="1:28" x14ac:dyDescent="0.3">
      <c r="A292" s="38" t="s">
        <v>906</v>
      </c>
      <c r="B292" s="69" t="s">
        <v>25</v>
      </c>
      <c r="C292" s="38" t="s">
        <v>1776</v>
      </c>
      <c r="D292" s="33" t="s">
        <v>1775</v>
      </c>
      <c r="E292" s="38" t="s">
        <v>625</v>
      </c>
      <c r="F292" s="38" t="s">
        <v>907</v>
      </c>
      <c r="G292" s="38" t="s">
        <v>111</v>
      </c>
      <c r="H292" s="69">
        <v>1</v>
      </c>
      <c r="I292" s="38" t="s">
        <v>112</v>
      </c>
      <c r="J292" s="38" t="s">
        <v>31</v>
      </c>
      <c r="K292" s="38" t="s">
        <v>32</v>
      </c>
      <c r="L292" s="38" t="s">
        <v>1755</v>
      </c>
      <c r="M292" s="38" t="s">
        <v>33</v>
      </c>
      <c r="N292" s="69">
        <v>23</v>
      </c>
      <c r="O292" s="69">
        <v>7</v>
      </c>
      <c r="P292" s="69">
        <v>218</v>
      </c>
      <c r="Q292" s="52">
        <v>19.271812400000002</v>
      </c>
      <c r="R292" s="52">
        <v>-99.207489600000002</v>
      </c>
      <c r="S292" s="77" t="s">
        <v>34</v>
      </c>
      <c r="T292" s="77" t="s">
        <v>175</v>
      </c>
      <c r="U292" s="77" t="s">
        <v>35</v>
      </c>
      <c r="V292" s="77" t="s">
        <v>35</v>
      </c>
      <c r="W292" s="77" t="s">
        <v>175</v>
      </c>
      <c r="X292" s="77" t="s">
        <v>36</v>
      </c>
      <c r="Y292" s="77" t="s">
        <v>74</v>
      </c>
      <c r="Z292" s="77" t="s">
        <v>74</v>
      </c>
      <c r="AA292" s="78" t="s">
        <v>1807</v>
      </c>
      <c r="AB292" s="85">
        <f t="shared" si="4"/>
        <v>0.58333333333333326</v>
      </c>
    </row>
    <row r="293" spans="1:28" x14ac:dyDescent="0.3">
      <c r="A293" s="34" t="s">
        <v>908</v>
      </c>
      <c r="B293" s="37" t="s">
        <v>25</v>
      </c>
      <c r="C293" s="34" t="s">
        <v>1776</v>
      </c>
      <c r="D293" s="33" t="s">
        <v>1775</v>
      </c>
      <c r="E293" s="34" t="s">
        <v>909</v>
      </c>
      <c r="F293" s="38" t="s">
        <v>910</v>
      </c>
      <c r="G293" s="34" t="s">
        <v>111</v>
      </c>
      <c r="H293" s="37">
        <v>1</v>
      </c>
      <c r="I293" s="34" t="s">
        <v>112</v>
      </c>
      <c r="J293" s="34" t="s">
        <v>31</v>
      </c>
      <c r="K293" s="34" t="s">
        <v>32</v>
      </c>
      <c r="L293" s="34" t="s">
        <v>1755</v>
      </c>
      <c r="M293" s="34" t="s">
        <v>33</v>
      </c>
      <c r="N293" s="49">
        <v>21</v>
      </c>
      <c r="O293" s="50">
        <v>8</v>
      </c>
      <c r="P293" s="51">
        <v>203</v>
      </c>
      <c r="Q293" s="52">
        <v>19.344315300000002</v>
      </c>
      <c r="R293" s="52">
        <v>-99.027428599999993</v>
      </c>
      <c r="S293" s="74" t="s">
        <v>34</v>
      </c>
      <c r="T293" s="74" t="s">
        <v>175</v>
      </c>
      <c r="U293" s="74" t="s">
        <v>213</v>
      </c>
      <c r="V293" s="74" t="s">
        <v>213</v>
      </c>
      <c r="W293" s="74" t="s">
        <v>175</v>
      </c>
      <c r="X293" s="74" t="s">
        <v>1816</v>
      </c>
      <c r="Y293" s="74" t="s">
        <v>74</v>
      </c>
      <c r="Z293" s="74" t="s">
        <v>74</v>
      </c>
      <c r="AA293" s="75" t="s">
        <v>1807</v>
      </c>
      <c r="AB293" s="30">
        <f t="shared" si="4"/>
        <v>0.37499999999999994</v>
      </c>
    </row>
    <row r="294" spans="1:28" x14ac:dyDescent="0.3">
      <c r="A294" s="34" t="s">
        <v>920</v>
      </c>
      <c r="B294" s="37" t="s">
        <v>25</v>
      </c>
      <c r="C294" s="34" t="s">
        <v>1776</v>
      </c>
      <c r="D294" s="33" t="s">
        <v>1775</v>
      </c>
      <c r="E294" s="34" t="s">
        <v>921</v>
      </c>
      <c r="F294" s="38" t="s">
        <v>922</v>
      </c>
      <c r="G294" s="34" t="s">
        <v>111</v>
      </c>
      <c r="H294" s="37">
        <v>1</v>
      </c>
      <c r="I294" s="34" t="s">
        <v>112</v>
      </c>
      <c r="J294" s="34" t="s">
        <v>31</v>
      </c>
      <c r="K294" s="34" t="s">
        <v>32</v>
      </c>
      <c r="L294" s="34" t="s">
        <v>1755</v>
      </c>
      <c r="M294" s="34" t="s">
        <v>33</v>
      </c>
      <c r="N294" s="49">
        <v>25</v>
      </c>
      <c r="O294" s="50">
        <v>8</v>
      </c>
      <c r="P294" s="51">
        <v>184</v>
      </c>
      <c r="Q294" s="52">
        <v>19.287391</v>
      </c>
      <c r="R294" s="52">
        <v>-99.052743000000007</v>
      </c>
      <c r="S294" s="74" t="s">
        <v>34</v>
      </c>
      <c r="T294" s="74" t="s">
        <v>175</v>
      </c>
      <c r="U294" s="74" t="s">
        <v>35</v>
      </c>
      <c r="V294" s="74" t="s">
        <v>35</v>
      </c>
      <c r="W294" s="74" t="s">
        <v>175</v>
      </c>
      <c r="X294" s="74" t="s">
        <v>36</v>
      </c>
      <c r="Y294" s="74" t="s">
        <v>74</v>
      </c>
      <c r="Z294" s="74" t="s">
        <v>74</v>
      </c>
      <c r="AA294" s="75" t="s">
        <v>1807</v>
      </c>
      <c r="AB294" s="30">
        <f t="shared" si="4"/>
        <v>0.58333333333333326</v>
      </c>
    </row>
    <row r="295" spans="1:28" x14ac:dyDescent="0.3">
      <c r="A295" s="34" t="s">
        <v>928</v>
      </c>
      <c r="B295" s="37" t="s">
        <v>25</v>
      </c>
      <c r="C295" s="34" t="s">
        <v>1776</v>
      </c>
      <c r="D295" s="33" t="s">
        <v>1775</v>
      </c>
      <c r="E295" s="34" t="s">
        <v>929</v>
      </c>
      <c r="F295" s="38" t="s">
        <v>930</v>
      </c>
      <c r="G295" s="34" t="s">
        <v>164</v>
      </c>
      <c r="H295" s="37">
        <v>2</v>
      </c>
      <c r="I295" s="34" t="s">
        <v>155</v>
      </c>
      <c r="J295" s="34" t="s">
        <v>31</v>
      </c>
      <c r="K295" s="34" t="s">
        <v>32</v>
      </c>
      <c r="L295" s="34" t="s">
        <v>1755</v>
      </c>
      <c r="M295" s="34" t="s">
        <v>33</v>
      </c>
      <c r="N295" s="49">
        <v>21</v>
      </c>
      <c r="O295" s="50">
        <v>3</v>
      </c>
      <c r="P295" s="51">
        <v>110</v>
      </c>
      <c r="Q295" s="52">
        <v>19.361883599999999</v>
      </c>
      <c r="R295" s="52">
        <v>-99.224065899999999</v>
      </c>
      <c r="S295" s="74" t="s">
        <v>34</v>
      </c>
      <c r="T295" s="74" t="s">
        <v>175</v>
      </c>
      <c r="U295" s="74" t="s">
        <v>213</v>
      </c>
      <c r="V295" s="74" t="s">
        <v>213</v>
      </c>
      <c r="W295" s="74" t="s">
        <v>35</v>
      </c>
      <c r="X295" s="74" t="s">
        <v>1816</v>
      </c>
      <c r="Y295" s="74" t="s">
        <v>74</v>
      </c>
      <c r="Z295" s="74" t="s">
        <v>74</v>
      </c>
      <c r="AA295" s="75" t="s">
        <v>1807</v>
      </c>
      <c r="AB295" s="30">
        <f t="shared" si="4"/>
        <v>0.41666666666666663</v>
      </c>
    </row>
    <row r="296" spans="1:28" x14ac:dyDescent="0.3">
      <c r="A296" s="34" t="s">
        <v>934</v>
      </c>
      <c r="B296" s="37" t="s">
        <v>25</v>
      </c>
      <c r="C296" s="34" t="s">
        <v>1776</v>
      </c>
      <c r="D296" s="33" t="s">
        <v>1775</v>
      </c>
      <c r="E296" s="34" t="s">
        <v>909</v>
      </c>
      <c r="F296" s="38" t="s">
        <v>935</v>
      </c>
      <c r="G296" s="34" t="s">
        <v>111</v>
      </c>
      <c r="H296" s="37">
        <v>1</v>
      </c>
      <c r="I296" s="34" t="s">
        <v>112</v>
      </c>
      <c r="J296" s="34" t="s">
        <v>31</v>
      </c>
      <c r="K296" s="34" t="s">
        <v>32</v>
      </c>
      <c r="L296" s="34" t="s">
        <v>1755</v>
      </c>
      <c r="M296" s="34" t="s">
        <v>33</v>
      </c>
      <c r="N296" s="49">
        <v>18</v>
      </c>
      <c r="O296" s="50">
        <v>5</v>
      </c>
      <c r="P296" s="51">
        <v>109</v>
      </c>
      <c r="Q296" s="52">
        <v>19.480621599999999</v>
      </c>
      <c r="R296" s="52">
        <v>-99.103144700000001</v>
      </c>
      <c r="S296" s="74" t="s">
        <v>34</v>
      </c>
      <c r="T296" s="74" t="s">
        <v>175</v>
      </c>
      <c r="U296" s="74" t="s">
        <v>35</v>
      </c>
      <c r="V296" s="74" t="s">
        <v>213</v>
      </c>
      <c r="W296" s="74" t="s">
        <v>35</v>
      </c>
      <c r="X296" s="74" t="s">
        <v>36</v>
      </c>
      <c r="Y296" s="74" t="s">
        <v>37</v>
      </c>
      <c r="Z296" s="74" t="s">
        <v>37</v>
      </c>
      <c r="AA296" s="75" t="s">
        <v>1807</v>
      </c>
      <c r="AB296" s="30">
        <f t="shared" si="4"/>
        <v>0.83333333333333326</v>
      </c>
    </row>
    <row r="297" spans="1:28" x14ac:dyDescent="0.3">
      <c r="A297" s="34" t="s">
        <v>942</v>
      </c>
      <c r="B297" s="37" t="s">
        <v>25</v>
      </c>
      <c r="C297" s="34" t="s">
        <v>1776</v>
      </c>
      <c r="D297" s="33" t="s">
        <v>1775</v>
      </c>
      <c r="E297" s="34" t="s">
        <v>625</v>
      </c>
      <c r="F297" s="38" t="s">
        <v>943</v>
      </c>
      <c r="G297" s="34" t="s">
        <v>164</v>
      </c>
      <c r="H297" s="37">
        <v>2</v>
      </c>
      <c r="I297" s="34" t="s">
        <v>155</v>
      </c>
      <c r="J297" s="34" t="s">
        <v>31</v>
      </c>
      <c r="K297" s="34" t="s">
        <v>32</v>
      </c>
      <c r="L297" s="34" t="s">
        <v>1756</v>
      </c>
      <c r="M297" s="34" t="s">
        <v>33</v>
      </c>
      <c r="N297" s="49">
        <v>21</v>
      </c>
      <c r="O297" s="50">
        <v>5</v>
      </c>
      <c r="P297" s="51">
        <v>99</v>
      </c>
      <c r="Q297" s="52">
        <v>19.3066411</v>
      </c>
      <c r="R297" s="52">
        <v>-99.066098400000001</v>
      </c>
      <c r="S297" s="74" t="s">
        <v>34</v>
      </c>
      <c r="T297" s="74" t="s">
        <v>175</v>
      </c>
      <c r="U297" s="74" t="s">
        <v>35</v>
      </c>
      <c r="V297" s="74" t="s">
        <v>35</v>
      </c>
      <c r="W297" s="74" t="s">
        <v>35</v>
      </c>
      <c r="X297" s="74" t="s">
        <v>36</v>
      </c>
      <c r="Y297" s="74" t="s">
        <v>74</v>
      </c>
      <c r="Z297" s="74" t="s">
        <v>74</v>
      </c>
      <c r="AA297" s="75" t="s">
        <v>1807</v>
      </c>
      <c r="AB297" s="30">
        <f t="shared" si="4"/>
        <v>0.625</v>
      </c>
    </row>
    <row r="298" spans="1:28" x14ac:dyDescent="0.3">
      <c r="A298" s="34" t="s">
        <v>224</v>
      </c>
      <c r="B298" s="37" t="s">
        <v>25</v>
      </c>
      <c r="C298" s="34" t="s">
        <v>1776</v>
      </c>
      <c r="D298" s="33" t="s">
        <v>1775</v>
      </c>
      <c r="E298" s="34" t="s">
        <v>226</v>
      </c>
      <c r="F298" s="38" t="s">
        <v>227</v>
      </c>
      <c r="G298" s="34" t="s">
        <v>111</v>
      </c>
      <c r="H298" s="37">
        <v>1</v>
      </c>
      <c r="I298" s="34" t="s">
        <v>112</v>
      </c>
      <c r="J298" s="34" t="s">
        <v>31</v>
      </c>
      <c r="K298" s="34" t="s">
        <v>32</v>
      </c>
      <c r="L298" s="34" t="s">
        <v>1756</v>
      </c>
      <c r="M298" s="34" t="s">
        <v>33</v>
      </c>
      <c r="N298" s="49">
        <v>29</v>
      </c>
      <c r="O298" s="50">
        <v>8</v>
      </c>
      <c r="P298" s="51">
        <v>253</v>
      </c>
      <c r="Q298" s="52">
        <v>19.45112</v>
      </c>
      <c r="R298" s="52">
        <v>-99.169314999999997</v>
      </c>
      <c r="S298" s="74" t="s">
        <v>34</v>
      </c>
      <c r="T298" s="74" t="s">
        <v>175</v>
      </c>
      <c r="U298" s="74" t="s">
        <v>35</v>
      </c>
      <c r="V298" s="74" t="s">
        <v>35</v>
      </c>
      <c r="W298" s="74" t="s">
        <v>35</v>
      </c>
      <c r="X298" s="74" t="s">
        <v>36</v>
      </c>
      <c r="Y298" s="74" t="s">
        <v>37</v>
      </c>
      <c r="Z298" s="74" t="s">
        <v>74</v>
      </c>
      <c r="AA298" s="75" t="s">
        <v>1807</v>
      </c>
      <c r="AB298" s="30">
        <f t="shared" si="4"/>
        <v>0.75</v>
      </c>
    </row>
    <row r="299" spans="1:28" x14ac:dyDescent="0.3">
      <c r="A299" s="34" t="s">
        <v>911</v>
      </c>
      <c r="B299" s="37" t="s">
        <v>25</v>
      </c>
      <c r="C299" s="34" t="s">
        <v>1776</v>
      </c>
      <c r="D299" s="33" t="s">
        <v>1775</v>
      </c>
      <c r="E299" s="34" t="s">
        <v>912</v>
      </c>
      <c r="F299" s="38" t="s">
        <v>913</v>
      </c>
      <c r="G299" s="34" t="s">
        <v>111</v>
      </c>
      <c r="H299" s="37">
        <v>1</v>
      </c>
      <c r="I299" s="34" t="s">
        <v>112</v>
      </c>
      <c r="J299" s="34" t="s">
        <v>31</v>
      </c>
      <c r="K299" s="34" t="s">
        <v>32</v>
      </c>
      <c r="L299" s="34" t="s">
        <v>1755</v>
      </c>
      <c r="M299" s="34" t="s">
        <v>33</v>
      </c>
      <c r="N299" s="49">
        <v>26</v>
      </c>
      <c r="O299" s="50">
        <v>9</v>
      </c>
      <c r="P299" s="51">
        <v>200</v>
      </c>
      <c r="Q299" s="52">
        <v>19.254965899999998</v>
      </c>
      <c r="R299" s="52">
        <v>-99.104500000000002</v>
      </c>
      <c r="S299" s="74" t="s">
        <v>34</v>
      </c>
      <c r="T299" s="74" t="s">
        <v>175</v>
      </c>
      <c r="U299" s="74" t="s">
        <v>35</v>
      </c>
      <c r="V299" s="74" t="s">
        <v>35</v>
      </c>
      <c r="W299" s="74" t="s">
        <v>175</v>
      </c>
      <c r="X299" s="74" t="s">
        <v>1816</v>
      </c>
      <c r="Y299" s="74" t="s">
        <v>74</v>
      </c>
      <c r="Z299" s="74" t="s">
        <v>74</v>
      </c>
      <c r="AA299" s="75" t="s">
        <v>1807</v>
      </c>
      <c r="AB299" s="30">
        <f t="shared" si="4"/>
        <v>0.45833333333333331</v>
      </c>
    </row>
    <row r="300" spans="1:28" x14ac:dyDescent="0.3">
      <c r="A300" s="39" t="s">
        <v>931</v>
      </c>
      <c r="B300" s="37" t="s">
        <v>210</v>
      </c>
      <c r="C300" s="34" t="s">
        <v>1774</v>
      </c>
      <c r="D300" s="33" t="s">
        <v>1775</v>
      </c>
      <c r="E300" s="34"/>
      <c r="F300" s="38"/>
      <c r="G300" s="34"/>
      <c r="H300" s="37"/>
      <c r="I300" s="34"/>
      <c r="J300" s="34"/>
      <c r="K300" s="34"/>
      <c r="L300" s="34"/>
      <c r="M300" s="34"/>
      <c r="N300" s="49"/>
      <c r="O300" s="50"/>
      <c r="P300" s="51"/>
      <c r="Q300" s="60">
        <v>20.708888699999999</v>
      </c>
      <c r="R300" s="60">
        <v>-88.189583900000002</v>
      </c>
      <c r="S300" s="74" t="s">
        <v>34</v>
      </c>
      <c r="T300" s="74" t="s">
        <v>175</v>
      </c>
      <c r="U300" s="74" t="s">
        <v>213</v>
      </c>
      <c r="V300" s="74" t="s">
        <v>213</v>
      </c>
      <c r="W300" s="74"/>
      <c r="X300" s="74"/>
      <c r="Y300" s="74"/>
      <c r="Z300" s="74"/>
      <c r="AA300" s="75"/>
      <c r="AB300" s="30">
        <f t="shared" si="4"/>
        <v>0.29166666666666663</v>
      </c>
    </row>
    <row r="301" spans="1:28" x14ac:dyDescent="0.3">
      <c r="A301" s="38" t="s">
        <v>925</v>
      </c>
      <c r="B301" s="69" t="s">
        <v>25</v>
      </c>
      <c r="C301" s="38" t="s">
        <v>1776</v>
      </c>
      <c r="D301" s="33" t="s">
        <v>1775</v>
      </c>
      <c r="E301" s="34" t="s">
        <v>932</v>
      </c>
      <c r="F301" s="34" t="s">
        <v>933</v>
      </c>
      <c r="G301" s="34" t="s">
        <v>111</v>
      </c>
      <c r="H301" s="37">
        <v>1</v>
      </c>
      <c r="I301" s="34" t="s">
        <v>112</v>
      </c>
      <c r="J301" s="34" t="s">
        <v>31</v>
      </c>
      <c r="K301" s="34" t="s">
        <v>32</v>
      </c>
      <c r="L301" s="34" t="s">
        <v>1755</v>
      </c>
      <c r="M301" s="34" t="s">
        <v>33</v>
      </c>
      <c r="N301" s="49">
        <v>15</v>
      </c>
      <c r="O301" s="50">
        <v>5</v>
      </c>
      <c r="P301" s="51">
        <v>123</v>
      </c>
      <c r="Q301" s="52">
        <v>19.199019400000001</v>
      </c>
      <c r="R301" s="52">
        <v>-99.141540300000003</v>
      </c>
      <c r="S301" s="77" t="s">
        <v>34</v>
      </c>
      <c r="T301" s="77" t="s">
        <v>175</v>
      </c>
      <c r="U301" s="77" t="s">
        <v>35</v>
      </c>
      <c r="V301" s="77" t="s">
        <v>35</v>
      </c>
      <c r="W301" s="77" t="s">
        <v>35</v>
      </c>
      <c r="X301" s="77" t="s">
        <v>36</v>
      </c>
      <c r="Y301" s="77" t="s">
        <v>74</v>
      </c>
      <c r="Z301" s="77" t="s">
        <v>74</v>
      </c>
      <c r="AA301" s="78" t="s">
        <v>1807</v>
      </c>
      <c r="AB301" s="85">
        <f t="shared" si="4"/>
        <v>0.625</v>
      </c>
    </row>
    <row r="302" spans="1:28" x14ac:dyDescent="0.3">
      <c r="A302" s="38" t="s">
        <v>938</v>
      </c>
      <c r="B302" s="69" t="s">
        <v>25</v>
      </c>
      <c r="C302" s="38" t="s">
        <v>1776</v>
      </c>
      <c r="D302" s="33" t="s">
        <v>1775</v>
      </c>
      <c r="E302" s="34"/>
      <c r="F302" s="34"/>
      <c r="G302" s="34"/>
      <c r="H302" s="37"/>
      <c r="I302" s="34"/>
      <c r="J302" s="34"/>
      <c r="K302" s="34"/>
      <c r="L302" s="34"/>
      <c r="M302" s="34"/>
      <c r="N302" s="49"/>
      <c r="O302" s="50"/>
      <c r="P302" s="51"/>
      <c r="Q302" s="52">
        <v>19.514513300000001</v>
      </c>
      <c r="R302" s="52">
        <v>-99.1378196</v>
      </c>
      <c r="S302" s="77" t="s">
        <v>34</v>
      </c>
      <c r="T302" s="77" t="s">
        <v>175</v>
      </c>
      <c r="U302" s="77" t="s">
        <v>35</v>
      </c>
      <c r="V302" s="77" t="s">
        <v>35</v>
      </c>
      <c r="W302" s="77" t="s">
        <v>35</v>
      </c>
      <c r="X302" s="77" t="s">
        <v>36</v>
      </c>
      <c r="Y302" s="77" t="s">
        <v>74</v>
      </c>
      <c r="Z302" s="77" t="s">
        <v>74</v>
      </c>
      <c r="AA302" s="78" t="s">
        <v>1807</v>
      </c>
      <c r="AB302" s="85">
        <f t="shared" si="4"/>
        <v>0.625</v>
      </c>
    </row>
    <row r="303" spans="1:28" x14ac:dyDescent="0.3">
      <c r="A303" s="38" t="s">
        <v>944</v>
      </c>
      <c r="B303" s="69" t="s">
        <v>25</v>
      </c>
      <c r="C303" s="38" t="s">
        <v>1776</v>
      </c>
      <c r="D303" s="33" t="s">
        <v>1775</v>
      </c>
      <c r="E303" s="38" t="s">
        <v>926</v>
      </c>
      <c r="F303" s="38" t="s">
        <v>927</v>
      </c>
      <c r="G303" s="38" t="s">
        <v>111</v>
      </c>
      <c r="H303" s="69">
        <v>1</v>
      </c>
      <c r="I303" s="38" t="s">
        <v>112</v>
      </c>
      <c r="J303" s="38" t="s">
        <v>31</v>
      </c>
      <c r="K303" s="38" t="s">
        <v>32</v>
      </c>
      <c r="L303" s="38" t="s">
        <v>1755</v>
      </c>
      <c r="M303" s="38" t="s">
        <v>33</v>
      </c>
      <c r="N303" s="69">
        <v>27</v>
      </c>
      <c r="O303" s="69">
        <v>9</v>
      </c>
      <c r="P303" s="69">
        <v>173</v>
      </c>
      <c r="Q303" s="52">
        <v>19.459708500000001</v>
      </c>
      <c r="R303" s="52">
        <v>-99.141313400000001</v>
      </c>
      <c r="S303" s="77" t="s">
        <v>34</v>
      </c>
      <c r="T303" s="77" t="s">
        <v>175</v>
      </c>
      <c r="U303" s="77" t="s">
        <v>35</v>
      </c>
      <c r="V303" s="77" t="s">
        <v>35</v>
      </c>
      <c r="W303" s="77" t="s">
        <v>35</v>
      </c>
      <c r="X303" s="77" t="s">
        <v>36</v>
      </c>
      <c r="Y303" s="77" t="s">
        <v>74</v>
      </c>
      <c r="Z303" s="77" t="s">
        <v>74</v>
      </c>
      <c r="AA303" s="78" t="s">
        <v>1807</v>
      </c>
      <c r="AB303" s="85">
        <f t="shared" si="4"/>
        <v>0.625</v>
      </c>
    </row>
    <row r="304" spans="1:28" x14ac:dyDescent="0.3">
      <c r="A304" s="34" t="s">
        <v>1605</v>
      </c>
      <c r="B304" s="37" t="s">
        <v>25</v>
      </c>
      <c r="C304" s="34" t="s">
        <v>1776</v>
      </c>
      <c r="D304" s="33" t="s">
        <v>1775</v>
      </c>
      <c r="E304" s="38" t="s">
        <v>939</v>
      </c>
      <c r="F304" s="38" t="s">
        <v>940</v>
      </c>
      <c r="G304" s="38" t="s">
        <v>941</v>
      </c>
      <c r="H304" s="69">
        <v>2</v>
      </c>
      <c r="I304" s="38" t="s">
        <v>155</v>
      </c>
      <c r="J304" s="38" t="s">
        <v>31</v>
      </c>
      <c r="K304" s="38" t="s">
        <v>32</v>
      </c>
      <c r="L304" s="38" t="s">
        <v>1756</v>
      </c>
      <c r="M304" s="38" t="s">
        <v>33</v>
      </c>
      <c r="N304" s="69">
        <v>22</v>
      </c>
      <c r="O304" s="69">
        <v>2</v>
      </c>
      <c r="P304" s="69">
        <v>105</v>
      </c>
      <c r="Q304" s="52">
        <v>19.480653799999999</v>
      </c>
      <c r="R304" s="52">
        <v>-99.124137099999999</v>
      </c>
      <c r="S304" s="74" t="s">
        <v>34</v>
      </c>
      <c r="T304" s="74" t="s">
        <v>175</v>
      </c>
      <c r="U304" s="74" t="s">
        <v>35</v>
      </c>
      <c r="V304" s="74" t="s">
        <v>35</v>
      </c>
      <c r="W304" s="74" t="s">
        <v>35</v>
      </c>
      <c r="X304" s="74" t="s">
        <v>1816</v>
      </c>
      <c r="Y304" s="74" t="s">
        <v>74</v>
      </c>
      <c r="Z304" s="74" t="s">
        <v>74</v>
      </c>
      <c r="AA304" s="75" t="s">
        <v>1807</v>
      </c>
      <c r="AB304" s="30">
        <f t="shared" si="4"/>
        <v>0.5</v>
      </c>
    </row>
    <row r="305" spans="1:28" x14ac:dyDescent="0.3">
      <c r="A305" s="38" t="s">
        <v>1615</v>
      </c>
      <c r="B305" s="69" t="s">
        <v>25</v>
      </c>
      <c r="C305" s="38" t="s">
        <v>1776</v>
      </c>
      <c r="D305" s="33" t="s">
        <v>1775</v>
      </c>
      <c r="E305" s="38" t="s">
        <v>926</v>
      </c>
      <c r="F305" s="38" t="s">
        <v>945</v>
      </c>
      <c r="G305" s="38" t="s">
        <v>941</v>
      </c>
      <c r="H305" s="69">
        <v>2</v>
      </c>
      <c r="I305" s="38" t="s">
        <v>155</v>
      </c>
      <c r="J305" s="38" t="s">
        <v>31</v>
      </c>
      <c r="K305" s="38" t="s">
        <v>32</v>
      </c>
      <c r="L305" s="38" t="s">
        <v>1756</v>
      </c>
      <c r="M305" s="38" t="s">
        <v>33</v>
      </c>
      <c r="N305" s="69">
        <v>21</v>
      </c>
      <c r="O305" s="69">
        <v>3</v>
      </c>
      <c r="P305" s="69">
        <v>99</v>
      </c>
      <c r="Q305" s="52">
        <v>19.402548299999999</v>
      </c>
      <c r="R305" s="52">
        <v>-99.190810900000002</v>
      </c>
      <c r="S305" s="77" t="s">
        <v>34</v>
      </c>
      <c r="T305" s="77" t="s">
        <v>175</v>
      </c>
      <c r="U305" s="77" t="s">
        <v>35</v>
      </c>
      <c r="V305" s="77" t="s">
        <v>35</v>
      </c>
      <c r="W305" s="77" t="s">
        <v>35</v>
      </c>
      <c r="X305" s="77" t="s">
        <v>36</v>
      </c>
      <c r="Y305" s="77" t="s">
        <v>74</v>
      </c>
      <c r="Z305" s="77" t="s">
        <v>74</v>
      </c>
      <c r="AA305" s="78" t="s">
        <v>1807</v>
      </c>
      <c r="AB305" s="85">
        <f t="shared" si="4"/>
        <v>0.625</v>
      </c>
    </row>
    <row r="306" spans="1:28" x14ac:dyDescent="0.3">
      <c r="A306" s="38" t="s">
        <v>1625</v>
      </c>
      <c r="B306" s="69" t="s">
        <v>25</v>
      </c>
      <c r="C306" s="38" t="s">
        <v>1776</v>
      </c>
      <c r="D306" s="33" t="s">
        <v>1775</v>
      </c>
      <c r="E306" s="34" t="s">
        <v>1606</v>
      </c>
      <c r="F306" s="38" t="s">
        <v>1607</v>
      </c>
      <c r="G306" s="34" t="s">
        <v>941</v>
      </c>
      <c r="H306" s="37">
        <v>2</v>
      </c>
      <c r="I306" s="34" t="s">
        <v>155</v>
      </c>
      <c r="J306" s="34" t="s">
        <v>31</v>
      </c>
      <c r="K306" s="34" t="s">
        <v>32</v>
      </c>
      <c r="L306" s="34" t="s">
        <v>1756</v>
      </c>
      <c r="M306" s="34" t="s">
        <v>33</v>
      </c>
      <c r="N306" s="49">
        <v>15</v>
      </c>
      <c r="O306" s="50">
        <v>2</v>
      </c>
      <c r="P306" s="51">
        <v>84</v>
      </c>
      <c r="Q306" s="52">
        <v>19.356541799999999</v>
      </c>
      <c r="R306" s="52">
        <v>-99.107591799999994</v>
      </c>
      <c r="S306" s="77" t="s">
        <v>34</v>
      </c>
      <c r="T306" s="77" t="s">
        <v>175</v>
      </c>
      <c r="U306" s="77" t="s">
        <v>35</v>
      </c>
      <c r="V306" s="77" t="s">
        <v>35</v>
      </c>
      <c r="W306" s="77" t="s">
        <v>35</v>
      </c>
      <c r="X306" s="77" t="s">
        <v>1816</v>
      </c>
      <c r="Y306" s="77" t="s">
        <v>74</v>
      </c>
      <c r="Z306" s="77" t="s">
        <v>74</v>
      </c>
      <c r="AA306" s="78" t="s">
        <v>1807</v>
      </c>
      <c r="AB306" s="85">
        <f t="shared" si="4"/>
        <v>0.5</v>
      </c>
    </row>
    <row r="307" spans="1:28" x14ac:dyDescent="0.3">
      <c r="A307" s="38" t="s">
        <v>1666</v>
      </c>
      <c r="B307" s="69" t="s">
        <v>25</v>
      </c>
      <c r="C307" s="38" t="s">
        <v>1776</v>
      </c>
      <c r="D307" s="33" t="s">
        <v>1775</v>
      </c>
      <c r="E307" s="38" t="s">
        <v>926</v>
      </c>
      <c r="F307" s="38" t="s">
        <v>1616</v>
      </c>
      <c r="G307" s="38" t="s">
        <v>941</v>
      </c>
      <c r="H307" s="69">
        <v>2</v>
      </c>
      <c r="I307" s="38" t="s">
        <v>155</v>
      </c>
      <c r="J307" s="38" t="s">
        <v>31</v>
      </c>
      <c r="K307" s="38" t="s">
        <v>32</v>
      </c>
      <c r="L307" s="38" t="s">
        <v>1756</v>
      </c>
      <c r="M307" s="38" t="s">
        <v>33</v>
      </c>
      <c r="N307" s="69">
        <v>27</v>
      </c>
      <c r="O307" s="69">
        <v>2</v>
      </c>
      <c r="P307" s="69">
        <v>82</v>
      </c>
      <c r="Q307" s="52">
        <v>19.347417400000001</v>
      </c>
      <c r="R307" s="52">
        <v>-99.300905799999995</v>
      </c>
      <c r="S307" s="77" t="s">
        <v>34</v>
      </c>
      <c r="T307" s="77" t="s">
        <v>175</v>
      </c>
      <c r="U307" s="77" t="s">
        <v>35</v>
      </c>
      <c r="V307" s="77" t="s">
        <v>35</v>
      </c>
      <c r="W307" s="77" t="s">
        <v>35</v>
      </c>
      <c r="X307" s="77" t="s">
        <v>1816</v>
      </c>
      <c r="Y307" s="77" t="s">
        <v>74</v>
      </c>
      <c r="Z307" s="77" t="s">
        <v>74</v>
      </c>
      <c r="AA307" s="78" t="s">
        <v>1807</v>
      </c>
      <c r="AB307" s="85">
        <f t="shared" si="4"/>
        <v>0.5</v>
      </c>
    </row>
    <row r="308" spans="1:28" x14ac:dyDescent="0.3">
      <c r="A308" s="34" t="s">
        <v>1670</v>
      </c>
      <c r="B308" s="37" t="s">
        <v>25</v>
      </c>
      <c r="C308" s="34" t="s">
        <v>1776</v>
      </c>
      <c r="D308" s="33" t="s">
        <v>1775</v>
      </c>
      <c r="E308" s="38" t="s">
        <v>921</v>
      </c>
      <c r="F308" s="38" t="s">
        <v>1626</v>
      </c>
      <c r="G308" s="38" t="s">
        <v>941</v>
      </c>
      <c r="H308" s="69">
        <v>2</v>
      </c>
      <c r="I308" s="38" t="s">
        <v>155</v>
      </c>
      <c r="J308" s="38" t="s">
        <v>31</v>
      </c>
      <c r="K308" s="38" t="s">
        <v>32</v>
      </c>
      <c r="L308" s="38" t="s">
        <v>1756</v>
      </c>
      <c r="M308" s="38" t="s">
        <v>33</v>
      </c>
      <c r="N308" s="69">
        <v>23</v>
      </c>
      <c r="O308" s="69">
        <v>2</v>
      </c>
      <c r="P308" s="69">
        <v>70</v>
      </c>
      <c r="Q308" s="52">
        <v>19.432896800000002</v>
      </c>
      <c r="R308" s="52">
        <v>-99.098230999999998</v>
      </c>
      <c r="S308" s="74" t="s">
        <v>34</v>
      </c>
      <c r="T308" s="74" t="s">
        <v>35</v>
      </c>
      <c r="U308" s="74" t="s">
        <v>35</v>
      </c>
      <c r="V308" s="74" t="s">
        <v>35</v>
      </c>
      <c r="W308" s="74" t="s">
        <v>35</v>
      </c>
      <c r="X308" s="74" t="s">
        <v>36</v>
      </c>
      <c r="Y308" s="74" t="s">
        <v>37</v>
      </c>
      <c r="Z308" s="74" t="s">
        <v>37</v>
      </c>
      <c r="AA308" s="75"/>
      <c r="AB308" s="30">
        <f t="shared" si="4"/>
        <v>1</v>
      </c>
    </row>
    <row r="309" spans="1:28" x14ac:dyDescent="0.3">
      <c r="A309" s="34" t="s">
        <v>953</v>
      </c>
      <c r="B309" s="37" t="s">
        <v>25</v>
      </c>
      <c r="C309" s="34" t="s">
        <v>954</v>
      </c>
      <c r="D309" s="33" t="s">
        <v>1775</v>
      </c>
      <c r="E309" s="38" t="s">
        <v>1662</v>
      </c>
      <c r="F309" s="38" t="s">
        <v>1667</v>
      </c>
      <c r="G309" s="38" t="s">
        <v>941</v>
      </c>
      <c r="H309" s="69">
        <v>2</v>
      </c>
      <c r="I309" s="38" t="s">
        <v>155</v>
      </c>
      <c r="J309" s="38" t="s">
        <v>31</v>
      </c>
      <c r="K309" s="38" t="s">
        <v>32</v>
      </c>
      <c r="L309" s="38" t="s">
        <v>1756</v>
      </c>
      <c r="M309" s="38" t="s">
        <v>33</v>
      </c>
      <c r="N309" s="69">
        <v>13</v>
      </c>
      <c r="O309" s="69">
        <v>1</v>
      </c>
      <c r="P309" s="69">
        <v>27</v>
      </c>
      <c r="Q309" s="52">
        <v>27.647220000000001</v>
      </c>
      <c r="R309" s="52">
        <v>-110.29603</v>
      </c>
      <c r="S309" s="74" t="s">
        <v>34</v>
      </c>
      <c r="T309" s="74" t="s">
        <v>35</v>
      </c>
      <c r="U309" s="74" t="s">
        <v>35</v>
      </c>
      <c r="V309" s="74" t="s">
        <v>35</v>
      </c>
      <c r="W309" s="74" t="s">
        <v>1808</v>
      </c>
      <c r="X309" s="74"/>
      <c r="Y309" s="74"/>
      <c r="Z309" s="74"/>
      <c r="AA309" s="75"/>
      <c r="AB309" s="30">
        <f t="shared" si="4"/>
        <v>0.54166666666666663</v>
      </c>
    </row>
    <row r="310" spans="1:28" x14ac:dyDescent="0.3">
      <c r="A310" s="34" t="s">
        <v>957</v>
      </c>
      <c r="B310" s="37" t="s">
        <v>25</v>
      </c>
      <c r="C310" s="34" t="s">
        <v>954</v>
      </c>
      <c r="D310" s="33" t="s">
        <v>1775</v>
      </c>
      <c r="E310" s="34" t="s">
        <v>921</v>
      </c>
      <c r="F310" s="34" t="s">
        <v>1671</v>
      </c>
      <c r="G310" s="34" t="s">
        <v>111</v>
      </c>
      <c r="H310" s="37">
        <v>1</v>
      </c>
      <c r="I310" s="34" t="s">
        <v>112</v>
      </c>
      <c r="J310" s="34" t="s">
        <v>31</v>
      </c>
      <c r="K310" s="34" t="s">
        <v>32</v>
      </c>
      <c r="L310" s="34" t="s">
        <v>1755</v>
      </c>
      <c r="M310" s="34" t="s">
        <v>33</v>
      </c>
      <c r="N310" s="49">
        <v>6</v>
      </c>
      <c r="O310" s="50">
        <v>0</v>
      </c>
      <c r="P310" s="51">
        <v>15</v>
      </c>
      <c r="Q310" s="52">
        <v>27.0263353</v>
      </c>
      <c r="R310" s="52">
        <v>-108.943254</v>
      </c>
      <c r="S310" s="74" t="s">
        <v>34</v>
      </c>
      <c r="T310" s="74" t="s">
        <v>35</v>
      </c>
      <c r="U310" s="74" t="s">
        <v>35</v>
      </c>
      <c r="V310" s="74" t="s">
        <v>35</v>
      </c>
      <c r="W310" s="74" t="s">
        <v>1808</v>
      </c>
      <c r="X310" s="74"/>
      <c r="Y310" s="74"/>
      <c r="Z310" s="74"/>
      <c r="AA310" s="75"/>
      <c r="AB310" s="30">
        <f t="shared" si="4"/>
        <v>0.54166666666666663</v>
      </c>
    </row>
    <row r="311" spans="1:28" x14ac:dyDescent="0.3">
      <c r="A311" s="34" t="s">
        <v>960</v>
      </c>
      <c r="B311" s="37" t="s">
        <v>25</v>
      </c>
      <c r="C311" s="34" t="s">
        <v>954</v>
      </c>
      <c r="D311" s="33" t="s">
        <v>1775</v>
      </c>
      <c r="E311" s="34" t="s">
        <v>955</v>
      </c>
      <c r="F311" s="34" t="s">
        <v>956</v>
      </c>
      <c r="G311" s="34" t="s">
        <v>29</v>
      </c>
      <c r="H311" s="37">
        <v>1</v>
      </c>
      <c r="I311" s="34" t="s">
        <v>30</v>
      </c>
      <c r="J311" s="34" t="s">
        <v>31</v>
      </c>
      <c r="K311" s="34" t="s">
        <v>32</v>
      </c>
      <c r="L311" s="34" t="s">
        <v>1755</v>
      </c>
      <c r="M311" s="34" t="s">
        <v>33</v>
      </c>
      <c r="N311" s="49">
        <v>17</v>
      </c>
      <c r="O311" s="50">
        <v>0</v>
      </c>
      <c r="P311" s="51">
        <v>0</v>
      </c>
      <c r="Q311" s="52">
        <v>29.802230000000002</v>
      </c>
      <c r="R311" s="52">
        <v>-109.6813356</v>
      </c>
      <c r="S311" s="74" t="s">
        <v>34</v>
      </c>
      <c r="T311" s="74" t="s">
        <v>35</v>
      </c>
      <c r="U311" s="74" t="s">
        <v>35</v>
      </c>
      <c r="V311" s="74" t="s">
        <v>35</v>
      </c>
      <c r="W311" s="74" t="s">
        <v>1808</v>
      </c>
      <c r="X311" s="74"/>
      <c r="Y311" s="74"/>
      <c r="Z311" s="74"/>
      <c r="AA311" s="75"/>
      <c r="AB311" s="30">
        <f t="shared" si="4"/>
        <v>0.54166666666666663</v>
      </c>
    </row>
    <row r="312" spans="1:28" x14ac:dyDescent="0.3">
      <c r="A312" s="34" t="s">
        <v>963</v>
      </c>
      <c r="B312" s="37" t="s">
        <v>25</v>
      </c>
      <c r="C312" s="34" t="s">
        <v>954</v>
      </c>
      <c r="D312" s="33" t="s">
        <v>1775</v>
      </c>
      <c r="E312" s="34" t="s">
        <v>958</v>
      </c>
      <c r="F312" s="34" t="s">
        <v>959</v>
      </c>
      <c r="G312" s="34" t="s">
        <v>29</v>
      </c>
      <c r="H312" s="37">
        <v>1</v>
      </c>
      <c r="I312" s="34" t="s">
        <v>30</v>
      </c>
      <c r="J312" s="34" t="s">
        <v>31</v>
      </c>
      <c r="K312" s="34" t="s">
        <v>32</v>
      </c>
      <c r="L312" s="34" t="s">
        <v>1755</v>
      </c>
      <c r="M312" s="34" t="s">
        <v>33</v>
      </c>
      <c r="N312" s="49">
        <v>7</v>
      </c>
      <c r="O312" s="50">
        <v>1</v>
      </c>
      <c r="P312" s="51">
        <v>45</v>
      </c>
      <c r="Q312" s="52">
        <v>29.424952000000001</v>
      </c>
      <c r="R312" s="52">
        <v>-110.391015</v>
      </c>
      <c r="S312" s="74" t="s">
        <v>34</v>
      </c>
      <c r="T312" s="74" t="s">
        <v>35</v>
      </c>
      <c r="U312" s="74" t="s">
        <v>35</v>
      </c>
      <c r="V312" s="74" t="s">
        <v>35</v>
      </c>
      <c r="W312" s="74" t="s">
        <v>1808</v>
      </c>
      <c r="X312" s="74"/>
      <c r="Y312" s="74"/>
      <c r="Z312" s="74"/>
      <c r="AA312" s="75"/>
      <c r="AB312" s="30">
        <f t="shared" si="4"/>
        <v>0.54166666666666663</v>
      </c>
    </row>
    <row r="313" spans="1:28" x14ac:dyDescent="0.3">
      <c r="A313" s="34" t="s">
        <v>966</v>
      </c>
      <c r="B313" s="37" t="s">
        <v>25</v>
      </c>
      <c r="C313" s="34" t="s">
        <v>954</v>
      </c>
      <c r="D313" s="33" t="s">
        <v>1775</v>
      </c>
      <c r="E313" s="59" t="s">
        <v>961</v>
      </c>
      <c r="F313" s="34" t="s">
        <v>962</v>
      </c>
      <c r="G313" s="34" t="s">
        <v>29</v>
      </c>
      <c r="H313" s="37">
        <v>1</v>
      </c>
      <c r="I313" s="34" t="s">
        <v>30</v>
      </c>
      <c r="J313" s="34" t="s">
        <v>31</v>
      </c>
      <c r="K313" s="34" t="s">
        <v>32</v>
      </c>
      <c r="L313" s="34" t="s">
        <v>1755</v>
      </c>
      <c r="M313" s="34" t="s">
        <v>33</v>
      </c>
      <c r="N313" s="49">
        <v>9</v>
      </c>
      <c r="O313" s="50">
        <v>2</v>
      </c>
      <c r="P313" s="51">
        <v>26</v>
      </c>
      <c r="Q313" s="52">
        <v>27.483370300000001</v>
      </c>
      <c r="R313" s="52">
        <v>-109.9548751</v>
      </c>
      <c r="S313" s="74" t="s">
        <v>34</v>
      </c>
      <c r="T313" s="74" t="s">
        <v>35</v>
      </c>
      <c r="U313" s="74" t="s">
        <v>35</v>
      </c>
      <c r="V313" s="74" t="s">
        <v>35</v>
      </c>
      <c r="W313" s="74" t="s">
        <v>1808</v>
      </c>
      <c r="X313" s="74"/>
      <c r="Y313" s="74"/>
      <c r="Z313" s="74"/>
      <c r="AA313" s="75"/>
      <c r="AB313" s="30">
        <f t="shared" si="4"/>
        <v>0.54166666666666663</v>
      </c>
    </row>
    <row r="314" spans="1:28" x14ac:dyDescent="0.3">
      <c r="A314" s="34" t="s">
        <v>969</v>
      </c>
      <c r="B314" s="37" t="s">
        <v>25</v>
      </c>
      <c r="C314" s="34" t="s">
        <v>229</v>
      </c>
      <c r="D314" s="33" t="s">
        <v>1775</v>
      </c>
      <c r="E314" s="59" t="s">
        <v>964</v>
      </c>
      <c r="F314" s="34" t="s">
        <v>965</v>
      </c>
      <c r="G314" s="34" t="s">
        <v>29</v>
      </c>
      <c r="H314" s="37">
        <v>1</v>
      </c>
      <c r="I314" s="34" t="s">
        <v>30</v>
      </c>
      <c r="J314" s="34" t="s">
        <v>31</v>
      </c>
      <c r="K314" s="34" t="s">
        <v>32</v>
      </c>
      <c r="L314" s="34" t="s">
        <v>1755</v>
      </c>
      <c r="M314" s="34" t="s">
        <v>33</v>
      </c>
      <c r="N314" s="49">
        <v>10</v>
      </c>
      <c r="O314" s="50">
        <v>2</v>
      </c>
      <c r="P314" s="51">
        <v>19</v>
      </c>
      <c r="Q314" s="52">
        <v>16.899609999999999</v>
      </c>
      <c r="R314" s="52">
        <v>-99.827545999999998</v>
      </c>
      <c r="S314" s="74" t="s">
        <v>176</v>
      </c>
      <c r="T314" s="74"/>
      <c r="U314" s="74"/>
      <c r="V314" s="74"/>
      <c r="W314" s="74"/>
      <c r="X314" s="74"/>
      <c r="Y314" s="74"/>
      <c r="Z314" s="74"/>
      <c r="AA314" s="75"/>
      <c r="AB314" s="30">
        <f t="shared" si="4"/>
        <v>4.1666666666666664E-2</v>
      </c>
    </row>
    <row r="315" spans="1:28" x14ac:dyDescent="0.3">
      <c r="A315" s="34" t="s">
        <v>972</v>
      </c>
      <c r="B315" s="37" t="s">
        <v>25</v>
      </c>
      <c r="C315" s="34" t="s">
        <v>229</v>
      </c>
      <c r="D315" s="33" t="s">
        <v>1775</v>
      </c>
      <c r="E315" s="34" t="s">
        <v>967</v>
      </c>
      <c r="F315" s="34" t="s">
        <v>968</v>
      </c>
      <c r="G315" s="34" t="s">
        <v>111</v>
      </c>
      <c r="H315" s="37">
        <v>1</v>
      </c>
      <c r="I315" s="34" t="s">
        <v>112</v>
      </c>
      <c r="J315" s="34" t="s">
        <v>31</v>
      </c>
      <c r="K315" s="34" t="s">
        <v>32</v>
      </c>
      <c r="L315" s="34" t="s">
        <v>1755</v>
      </c>
      <c r="M315" s="34" t="s">
        <v>33</v>
      </c>
      <c r="N315" s="49">
        <v>33</v>
      </c>
      <c r="O315" s="50">
        <v>5</v>
      </c>
      <c r="P315" s="51">
        <v>278</v>
      </c>
      <c r="Q315" s="52">
        <v>17.203735999999999</v>
      </c>
      <c r="R315" s="52">
        <v>-100.44002399999999</v>
      </c>
      <c r="S315" s="74" t="s">
        <v>176</v>
      </c>
      <c r="T315" s="74"/>
      <c r="U315" s="74"/>
      <c r="V315" s="74"/>
      <c r="W315" s="74"/>
      <c r="X315" s="74"/>
      <c r="Y315" s="74"/>
      <c r="Z315" s="74"/>
      <c r="AA315" s="75"/>
      <c r="AB315" s="30">
        <f t="shared" si="4"/>
        <v>4.1666666666666664E-2</v>
      </c>
    </row>
    <row r="316" spans="1:28" x14ac:dyDescent="0.3">
      <c r="A316" s="34" t="s">
        <v>975</v>
      </c>
      <c r="B316" s="37" t="s">
        <v>25</v>
      </c>
      <c r="C316" s="34" t="s">
        <v>229</v>
      </c>
      <c r="D316" s="33" t="s">
        <v>1775</v>
      </c>
      <c r="E316" s="34" t="s">
        <v>970</v>
      </c>
      <c r="F316" s="34" t="s">
        <v>971</v>
      </c>
      <c r="G316" s="34" t="s">
        <v>111</v>
      </c>
      <c r="H316" s="37">
        <v>1</v>
      </c>
      <c r="I316" s="34" t="s">
        <v>112</v>
      </c>
      <c r="J316" s="34" t="s">
        <v>31</v>
      </c>
      <c r="K316" s="34" t="s">
        <v>32</v>
      </c>
      <c r="L316" s="34" t="s">
        <v>1755</v>
      </c>
      <c r="M316" s="34" t="s">
        <v>33</v>
      </c>
      <c r="N316" s="49">
        <v>18</v>
      </c>
      <c r="O316" s="50">
        <v>3</v>
      </c>
      <c r="P316" s="51">
        <v>114</v>
      </c>
      <c r="Q316" s="52">
        <v>18.296510000000001</v>
      </c>
      <c r="R316" s="52">
        <v>-99.330506</v>
      </c>
      <c r="S316" s="74" t="s">
        <v>176</v>
      </c>
      <c r="T316" s="74"/>
      <c r="U316" s="74"/>
      <c r="V316" s="74"/>
      <c r="W316" s="74"/>
      <c r="X316" s="74"/>
      <c r="Y316" s="74"/>
      <c r="Z316" s="74"/>
      <c r="AA316" s="75"/>
      <c r="AB316" s="30">
        <f t="shared" si="4"/>
        <v>4.1666666666666664E-2</v>
      </c>
    </row>
    <row r="317" spans="1:28" x14ac:dyDescent="0.3">
      <c r="A317" s="34" t="s">
        <v>978</v>
      </c>
      <c r="B317" s="37" t="s">
        <v>25</v>
      </c>
      <c r="C317" s="34" t="s">
        <v>229</v>
      </c>
      <c r="D317" s="33" t="s">
        <v>1775</v>
      </c>
      <c r="E317" s="34" t="s">
        <v>973</v>
      </c>
      <c r="F317" s="34" t="s">
        <v>974</v>
      </c>
      <c r="G317" s="34" t="s">
        <v>111</v>
      </c>
      <c r="H317" s="37">
        <v>1</v>
      </c>
      <c r="I317" s="34" t="s">
        <v>112</v>
      </c>
      <c r="J317" s="34" t="s">
        <v>31</v>
      </c>
      <c r="K317" s="34" t="s">
        <v>32</v>
      </c>
      <c r="L317" s="34" t="s">
        <v>1755</v>
      </c>
      <c r="M317" s="34" t="s">
        <v>33</v>
      </c>
      <c r="N317" s="49">
        <v>8</v>
      </c>
      <c r="O317" s="50">
        <v>2</v>
      </c>
      <c r="P317" s="51">
        <v>55</v>
      </c>
      <c r="Q317" s="52">
        <v>18.344546000000001</v>
      </c>
      <c r="R317" s="52">
        <v>-99.523602999999994</v>
      </c>
      <c r="S317" s="74" t="s">
        <v>176</v>
      </c>
      <c r="T317" s="74"/>
      <c r="U317" s="74"/>
      <c r="V317" s="74"/>
      <c r="W317" s="74"/>
      <c r="X317" s="74"/>
      <c r="Y317" s="74"/>
      <c r="Z317" s="74"/>
      <c r="AA317" s="75"/>
      <c r="AB317" s="30">
        <f t="shared" si="4"/>
        <v>4.1666666666666664E-2</v>
      </c>
    </row>
    <row r="318" spans="1:28" x14ac:dyDescent="0.3">
      <c r="A318" s="34" t="s">
        <v>981</v>
      </c>
      <c r="B318" s="37" t="s">
        <v>25</v>
      </c>
      <c r="C318" s="34" t="s">
        <v>229</v>
      </c>
      <c r="D318" s="33" t="s">
        <v>1775</v>
      </c>
      <c r="E318" s="34" t="s">
        <v>976</v>
      </c>
      <c r="F318" s="34" t="s">
        <v>977</v>
      </c>
      <c r="G318" s="34" t="s">
        <v>111</v>
      </c>
      <c r="H318" s="37">
        <v>1</v>
      </c>
      <c r="I318" s="34" t="s">
        <v>112</v>
      </c>
      <c r="J318" s="34" t="s">
        <v>31</v>
      </c>
      <c r="K318" s="34" t="s">
        <v>32</v>
      </c>
      <c r="L318" s="34" t="s">
        <v>1755</v>
      </c>
      <c r="M318" s="34" t="s">
        <v>33</v>
      </c>
      <c r="N318" s="49">
        <v>14</v>
      </c>
      <c r="O318" s="50">
        <v>2</v>
      </c>
      <c r="P318" s="51">
        <v>60</v>
      </c>
      <c r="Q318" s="52">
        <v>17.648613000000001</v>
      </c>
      <c r="R318" s="52">
        <v>-101.549035</v>
      </c>
      <c r="S318" s="74" t="s">
        <v>176</v>
      </c>
      <c r="T318" s="74"/>
      <c r="U318" s="74"/>
      <c r="V318" s="74"/>
      <c r="W318" s="74"/>
      <c r="X318" s="74"/>
      <c r="Y318" s="74"/>
      <c r="Z318" s="74"/>
      <c r="AA318" s="75"/>
      <c r="AB318" s="30">
        <f t="shared" si="4"/>
        <v>4.1666666666666664E-2</v>
      </c>
    </row>
    <row r="319" spans="1:28" x14ac:dyDescent="0.3">
      <c r="A319" s="34" t="s">
        <v>984</v>
      </c>
      <c r="B319" s="37" t="s">
        <v>25</v>
      </c>
      <c r="C319" s="34" t="s">
        <v>229</v>
      </c>
      <c r="D319" s="33" t="s">
        <v>1775</v>
      </c>
      <c r="E319" s="34" t="s">
        <v>979</v>
      </c>
      <c r="F319" s="34" t="s">
        <v>980</v>
      </c>
      <c r="G319" s="34" t="s">
        <v>111</v>
      </c>
      <c r="H319" s="37">
        <v>1</v>
      </c>
      <c r="I319" s="34" t="s">
        <v>112</v>
      </c>
      <c r="J319" s="34" t="s">
        <v>31</v>
      </c>
      <c r="K319" s="34" t="s">
        <v>32</v>
      </c>
      <c r="L319" s="34" t="s">
        <v>1755</v>
      </c>
      <c r="M319" s="34" t="s">
        <v>33</v>
      </c>
      <c r="N319" s="49">
        <v>26</v>
      </c>
      <c r="O319" s="50">
        <v>4</v>
      </c>
      <c r="P319" s="51">
        <v>135</v>
      </c>
      <c r="Q319" s="52">
        <v>16.689240999999999</v>
      </c>
      <c r="R319" s="52">
        <v>-98.433141000000006</v>
      </c>
      <c r="S319" s="74" t="s">
        <v>176</v>
      </c>
      <c r="T319" s="74"/>
      <c r="U319" s="74"/>
      <c r="V319" s="74"/>
      <c r="W319" s="74"/>
      <c r="X319" s="74"/>
      <c r="Y319" s="74"/>
      <c r="Z319" s="74"/>
      <c r="AA319" s="75"/>
      <c r="AB319" s="30">
        <f t="shared" si="4"/>
        <v>4.1666666666666664E-2</v>
      </c>
    </row>
    <row r="320" spans="1:28" x14ac:dyDescent="0.3">
      <c r="A320" s="34" t="s">
        <v>987</v>
      </c>
      <c r="B320" s="37" t="s">
        <v>25</v>
      </c>
      <c r="C320" s="34" t="s">
        <v>229</v>
      </c>
      <c r="D320" s="33" t="s">
        <v>1775</v>
      </c>
      <c r="E320" s="34" t="s">
        <v>982</v>
      </c>
      <c r="F320" s="34" t="s">
        <v>983</v>
      </c>
      <c r="G320" s="34" t="s">
        <v>111</v>
      </c>
      <c r="H320" s="37">
        <v>1</v>
      </c>
      <c r="I320" s="34" t="s">
        <v>112</v>
      </c>
      <c r="J320" s="34" t="s">
        <v>31</v>
      </c>
      <c r="K320" s="34" t="s">
        <v>32</v>
      </c>
      <c r="L320" s="34" t="s">
        <v>1755</v>
      </c>
      <c r="M320" s="34" t="s">
        <v>33</v>
      </c>
      <c r="N320" s="49">
        <v>22</v>
      </c>
      <c r="O320" s="50">
        <v>4</v>
      </c>
      <c r="P320" s="51">
        <v>104</v>
      </c>
      <c r="Q320" s="52">
        <v>16.930872000000001</v>
      </c>
      <c r="R320" s="52">
        <v>-99.820639999999997</v>
      </c>
      <c r="S320" s="74" t="s">
        <v>176</v>
      </c>
      <c r="T320" s="74"/>
      <c r="U320" s="74"/>
      <c r="V320" s="74"/>
      <c r="W320" s="74"/>
      <c r="X320" s="74"/>
      <c r="Y320" s="74"/>
      <c r="Z320" s="74"/>
      <c r="AA320" s="75"/>
      <c r="AB320" s="30">
        <f t="shared" si="4"/>
        <v>4.1666666666666664E-2</v>
      </c>
    </row>
    <row r="321" spans="1:28" x14ac:dyDescent="0.3">
      <c r="A321" s="34" t="s">
        <v>989</v>
      </c>
      <c r="B321" s="37" t="s">
        <v>25</v>
      </c>
      <c r="C321" s="34" t="s">
        <v>229</v>
      </c>
      <c r="D321" s="33" t="s">
        <v>1775</v>
      </c>
      <c r="E321" s="34" t="s">
        <v>985</v>
      </c>
      <c r="F321" s="34" t="s">
        <v>986</v>
      </c>
      <c r="G321" s="34" t="s">
        <v>111</v>
      </c>
      <c r="H321" s="37">
        <v>1</v>
      </c>
      <c r="I321" s="34" t="s">
        <v>112</v>
      </c>
      <c r="J321" s="34" t="s">
        <v>31</v>
      </c>
      <c r="K321" s="34" t="s">
        <v>32</v>
      </c>
      <c r="L321" s="34" t="s">
        <v>1755</v>
      </c>
      <c r="M321" s="34" t="s">
        <v>33</v>
      </c>
      <c r="N321" s="49">
        <v>19</v>
      </c>
      <c r="O321" s="50">
        <v>2</v>
      </c>
      <c r="P321" s="51">
        <v>83</v>
      </c>
      <c r="Q321" s="52">
        <v>17.605384000000001</v>
      </c>
      <c r="R321" s="52">
        <v>-99.520921000000001</v>
      </c>
      <c r="S321" s="74" t="s">
        <v>176</v>
      </c>
      <c r="T321" s="74"/>
      <c r="U321" s="74"/>
      <c r="V321" s="74"/>
      <c r="W321" s="74"/>
      <c r="X321" s="74"/>
      <c r="Y321" s="74"/>
      <c r="Z321" s="74"/>
      <c r="AA321" s="75"/>
      <c r="AB321" s="30">
        <f t="shared" si="4"/>
        <v>4.1666666666666664E-2</v>
      </c>
    </row>
    <row r="322" spans="1:28" x14ac:dyDescent="0.3">
      <c r="A322" s="34" t="s">
        <v>991</v>
      </c>
      <c r="B322" s="37" t="s">
        <v>25</v>
      </c>
      <c r="C322" s="34" t="s">
        <v>229</v>
      </c>
      <c r="D322" s="33" t="s">
        <v>1775</v>
      </c>
      <c r="E322" s="34" t="s">
        <v>970</v>
      </c>
      <c r="F322" s="34" t="s">
        <v>988</v>
      </c>
      <c r="G322" s="34" t="s">
        <v>111</v>
      </c>
      <c r="H322" s="37">
        <v>1</v>
      </c>
      <c r="I322" s="34" t="s">
        <v>112</v>
      </c>
      <c r="J322" s="34" t="s">
        <v>31</v>
      </c>
      <c r="K322" s="34" t="s">
        <v>32</v>
      </c>
      <c r="L322" s="34" t="s">
        <v>1755</v>
      </c>
      <c r="M322" s="34" t="s">
        <v>84</v>
      </c>
      <c r="N322" s="49">
        <v>22</v>
      </c>
      <c r="O322" s="50">
        <v>3</v>
      </c>
      <c r="P322" s="51">
        <v>101</v>
      </c>
      <c r="Q322" s="52">
        <v>18.334645999999999</v>
      </c>
      <c r="R322" s="52">
        <v>-100.712317</v>
      </c>
      <c r="S322" s="74" t="s">
        <v>176</v>
      </c>
      <c r="T322" s="74"/>
      <c r="U322" s="74"/>
      <c r="V322" s="74"/>
      <c r="W322" s="74"/>
      <c r="X322" s="74"/>
      <c r="Y322" s="74"/>
      <c r="Z322" s="74"/>
      <c r="AA322" s="75"/>
      <c r="AB322" s="30">
        <f t="shared" ref="AB322:AB385" si="5">(
IF(S322="ENVIADO A LA CE/UM",1/3,IF(S322="ENTREGADO/REVISIÓN",2/3,IF(S322="ENVIADO A TICS",1,0)))+
IF(T322="EN PROCESO",0,IF(T322="CONCLUIDO",1,0))+
IF(U322="ENVIADO A LA CE/UM",1/3,IF(U322="EN REVISIÓN CENTRAL",2/3,IF(U322="CONCLUIDO",1,0)))+
IF(V322="ENVIADO A LA CE/UM",1/3,IF(V322="EN REVISIÓN CENTRAL",2/3,IF(V322="CONCLUIDO",1,0)))+
IF(W322="ENVIADO",1/3,IF(W322="EN PROCESO",2/3,IF(W322="CONCLUIDO",1,0)))+
IF(X322="PROGRAMADAS",0,IF(X322="CONCLUIDAS",1,0))+
IF(Y322="SI",1,IF(Y322="NO",0,0))+
IF(Z322="SI",1,IF(Z322="NO",0,0))
)/8</f>
        <v>4.1666666666666664E-2</v>
      </c>
    </row>
    <row r="323" spans="1:28" x14ac:dyDescent="0.3">
      <c r="A323" s="34" t="s">
        <v>994</v>
      </c>
      <c r="B323" s="37" t="s">
        <v>25</v>
      </c>
      <c r="C323" s="34" t="s">
        <v>229</v>
      </c>
      <c r="D323" s="33" t="s">
        <v>1775</v>
      </c>
      <c r="E323" s="34" t="s">
        <v>275</v>
      </c>
      <c r="F323" s="34" t="s">
        <v>990</v>
      </c>
      <c r="G323" s="34" t="s">
        <v>111</v>
      </c>
      <c r="H323" s="37">
        <v>1</v>
      </c>
      <c r="I323" s="34" t="s">
        <v>112</v>
      </c>
      <c r="J323" s="34" t="s">
        <v>31</v>
      </c>
      <c r="K323" s="34" t="s">
        <v>32</v>
      </c>
      <c r="L323" s="34" t="s">
        <v>1756</v>
      </c>
      <c r="M323" s="34" t="s">
        <v>33</v>
      </c>
      <c r="N323" s="49">
        <v>41</v>
      </c>
      <c r="O323" s="50">
        <v>6</v>
      </c>
      <c r="P323" s="51">
        <v>192</v>
      </c>
      <c r="Q323" s="52">
        <v>17.616917999999998</v>
      </c>
      <c r="R323" s="52">
        <v>-99.170370000000005</v>
      </c>
      <c r="S323" s="74" t="s">
        <v>176</v>
      </c>
      <c r="T323" s="74"/>
      <c r="U323" s="74"/>
      <c r="V323" s="74"/>
      <c r="W323" s="74"/>
      <c r="X323" s="74"/>
      <c r="Y323" s="74"/>
      <c r="Z323" s="74"/>
      <c r="AA323" s="75"/>
      <c r="AB323" s="30">
        <f t="shared" si="5"/>
        <v>4.1666666666666664E-2</v>
      </c>
    </row>
    <row r="324" spans="1:28" x14ac:dyDescent="0.3">
      <c r="A324" s="34" t="s">
        <v>997</v>
      </c>
      <c r="B324" s="37" t="s">
        <v>25</v>
      </c>
      <c r="C324" s="34" t="s">
        <v>229</v>
      </c>
      <c r="D324" s="33" t="s">
        <v>1775</v>
      </c>
      <c r="E324" s="34" t="s">
        <v>992</v>
      </c>
      <c r="F324" s="34" t="s">
        <v>993</v>
      </c>
      <c r="G324" s="34" t="s">
        <v>111</v>
      </c>
      <c r="H324" s="37">
        <v>1</v>
      </c>
      <c r="I324" s="34" t="s">
        <v>112</v>
      </c>
      <c r="J324" s="34" t="s">
        <v>31</v>
      </c>
      <c r="K324" s="34" t="s">
        <v>32</v>
      </c>
      <c r="L324" s="34" t="s">
        <v>1755</v>
      </c>
      <c r="M324" s="34" t="s">
        <v>33</v>
      </c>
      <c r="N324" s="49">
        <v>26</v>
      </c>
      <c r="O324" s="50">
        <v>5</v>
      </c>
      <c r="P324" s="51">
        <v>111</v>
      </c>
      <c r="Q324" s="52">
        <v>16.873562</v>
      </c>
      <c r="R324" s="52">
        <v>-99.886387999999997</v>
      </c>
      <c r="S324" s="74" t="s">
        <v>176</v>
      </c>
      <c r="T324" s="74"/>
      <c r="U324" s="74"/>
      <c r="V324" s="74"/>
      <c r="W324" s="74"/>
      <c r="X324" s="74"/>
      <c r="Y324" s="74"/>
      <c r="Z324" s="74"/>
      <c r="AA324" s="75"/>
      <c r="AB324" s="30">
        <f t="shared" si="5"/>
        <v>4.1666666666666664E-2</v>
      </c>
    </row>
    <row r="325" spans="1:28" x14ac:dyDescent="0.3">
      <c r="A325" s="34" t="s">
        <v>999</v>
      </c>
      <c r="B325" s="37" t="s">
        <v>25</v>
      </c>
      <c r="C325" s="34" t="s">
        <v>229</v>
      </c>
      <c r="D325" s="33" t="s">
        <v>1775</v>
      </c>
      <c r="E325" s="34" t="s">
        <v>995</v>
      </c>
      <c r="F325" s="34" t="s">
        <v>996</v>
      </c>
      <c r="G325" s="34" t="s">
        <v>111</v>
      </c>
      <c r="H325" s="37">
        <v>1</v>
      </c>
      <c r="I325" s="34" t="s">
        <v>112</v>
      </c>
      <c r="J325" s="34" t="s">
        <v>31</v>
      </c>
      <c r="K325" s="34" t="s">
        <v>32</v>
      </c>
      <c r="L325" s="34" t="s">
        <v>1755</v>
      </c>
      <c r="M325" s="34" t="s">
        <v>33</v>
      </c>
      <c r="N325" s="49">
        <v>14</v>
      </c>
      <c r="O325" s="50">
        <v>3</v>
      </c>
      <c r="P325" s="51">
        <v>116</v>
      </c>
      <c r="Q325" s="52">
        <v>18.566140999999998</v>
      </c>
      <c r="R325" s="52">
        <v>-99.605098600000005</v>
      </c>
      <c r="S325" s="74" t="s">
        <v>176</v>
      </c>
      <c r="T325" s="74"/>
      <c r="U325" s="74"/>
      <c r="V325" s="74"/>
      <c r="W325" s="74"/>
      <c r="X325" s="74"/>
      <c r="Y325" s="74"/>
      <c r="Z325" s="74"/>
      <c r="AA325" s="75"/>
      <c r="AB325" s="30">
        <f t="shared" si="5"/>
        <v>4.1666666666666664E-2</v>
      </c>
    </row>
    <row r="326" spans="1:28" x14ac:dyDescent="0.3">
      <c r="A326" s="34" t="s">
        <v>1002</v>
      </c>
      <c r="B326" s="37" t="s">
        <v>25</v>
      </c>
      <c r="C326" s="34" t="s">
        <v>229</v>
      </c>
      <c r="D326" s="33" t="s">
        <v>1775</v>
      </c>
      <c r="E326" s="34" t="s">
        <v>970</v>
      </c>
      <c r="F326" s="34" t="s">
        <v>998</v>
      </c>
      <c r="G326" s="34" t="s">
        <v>111</v>
      </c>
      <c r="H326" s="37">
        <v>1</v>
      </c>
      <c r="I326" s="34" t="s">
        <v>155</v>
      </c>
      <c r="J326" s="34" t="s">
        <v>31</v>
      </c>
      <c r="K326" s="34" t="s">
        <v>32</v>
      </c>
      <c r="L326" s="34" t="s">
        <v>1756</v>
      </c>
      <c r="M326" s="34" t="s">
        <v>33</v>
      </c>
      <c r="N326" s="49">
        <v>34</v>
      </c>
      <c r="O326" s="50">
        <v>1</v>
      </c>
      <c r="P326" s="51">
        <v>31</v>
      </c>
      <c r="Q326" s="52">
        <v>16.983177000000001</v>
      </c>
      <c r="R326" s="52">
        <v>-99.1272716</v>
      </c>
      <c r="S326" s="74" t="s">
        <v>176</v>
      </c>
      <c r="T326" s="74"/>
      <c r="U326" s="74"/>
      <c r="V326" s="74"/>
      <c r="W326" s="74"/>
      <c r="X326" s="74"/>
      <c r="Y326" s="74"/>
      <c r="Z326" s="74"/>
      <c r="AA326" s="75"/>
      <c r="AB326" s="30">
        <f t="shared" si="5"/>
        <v>4.1666666666666664E-2</v>
      </c>
    </row>
    <row r="327" spans="1:28" x14ac:dyDescent="0.3">
      <c r="A327" s="34" t="s">
        <v>1005</v>
      </c>
      <c r="B327" s="37" t="s">
        <v>25</v>
      </c>
      <c r="C327" s="34" t="s">
        <v>229</v>
      </c>
      <c r="D327" s="33" t="s">
        <v>1775</v>
      </c>
      <c r="E327" s="34" t="s">
        <v>1000</v>
      </c>
      <c r="F327" s="34" t="s">
        <v>1001</v>
      </c>
      <c r="G327" s="34" t="s">
        <v>111</v>
      </c>
      <c r="H327" s="37">
        <v>1</v>
      </c>
      <c r="I327" s="34" t="s">
        <v>112</v>
      </c>
      <c r="J327" s="34" t="s">
        <v>31</v>
      </c>
      <c r="K327" s="34" t="s">
        <v>32</v>
      </c>
      <c r="L327" s="34" t="s">
        <v>1755</v>
      </c>
      <c r="M327" s="34" t="s">
        <v>33</v>
      </c>
      <c r="N327" s="49">
        <v>20</v>
      </c>
      <c r="O327" s="50">
        <v>4</v>
      </c>
      <c r="P327" s="51">
        <v>93</v>
      </c>
      <c r="Q327" s="52">
        <v>17.564036000000002</v>
      </c>
      <c r="R327" s="52">
        <v>-98.554659999999998</v>
      </c>
      <c r="S327" s="74" t="s">
        <v>176</v>
      </c>
      <c r="T327" s="74"/>
      <c r="U327" s="74"/>
      <c r="V327" s="74"/>
      <c r="W327" s="74"/>
      <c r="X327" s="74"/>
      <c r="Y327" s="74"/>
      <c r="Z327" s="74"/>
      <c r="AA327" s="75"/>
      <c r="AB327" s="30">
        <f t="shared" si="5"/>
        <v>4.1666666666666664E-2</v>
      </c>
    </row>
    <row r="328" spans="1:28" x14ac:dyDescent="0.3">
      <c r="A328" s="34" t="s">
        <v>1008</v>
      </c>
      <c r="B328" s="37" t="s">
        <v>25</v>
      </c>
      <c r="C328" s="34" t="s">
        <v>305</v>
      </c>
      <c r="D328" s="33" t="s">
        <v>1775</v>
      </c>
      <c r="E328" s="34" t="s">
        <v>1003</v>
      </c>
      <c r="F328" s="34" t="s">
        <v>1004</v>
      </c>
      <c r="G328" s="34" t="s">
        <v>111</v>
      </c>
      <c r="H328" s="37">
        <v>1</v>
      </c>
      <c r="I328" s="34" t="s">
        <v>112</v>
      </c>
      <c r="J328" s="34" t="s">
        <v>31</v>
      </c>
      <c r="K328" s="34" t="s">
        <v>32</v>
      </c>
      <c r="L328" s="34" t="s">
        <v>1755</v>
      </c>
      <c r="M328" s="34" t="s">
        <v>84</v>
      </c>
      <c r="N328" s="49">
        <v>14</v>
      </c>
      <c r="O328" s="50">
        <v>3</v>
      </c>
      <c r="P328" s="51">
        <v>82</v>
      </c>
      <c r="Q328" s="52">
        <v>20.998835</v>
      </c>
      <c r="R328" s="52">
        <v>-98.653301999999996</v>
      </c>
      <c r="S328" s="74" t="s">
        <v>34</v>
      </c>
      <c r="T328" s="74" t="s">
        <v>35</v>
      </c>
      <c r="U328" s="74" t="s">
        <v>35</v>
      </c>
      <c r="V328" s="74" t="s">
        <v>35</v>
      </c>
      <c r="W328" s="74" t="s">
        <v>35</v>
      </c>
      <c r="X328" s="74" t="s">
        <v>36</v>
      </c>
      <c r="Y328" s="74" t="s">
        <v>37</v>
      </c>
      <c r="Z328" s="74" t="s">
        <v>37</v>
      </c>
      <c r="AA328" s="75"/>
      <c r="AB328" s="30">
        <f t="shared" si="5"/>
        <v>1</v>
      </c>
    </row>
    <row r="329" spans="1:28" x14ac:dyDescent="0.3">
      <c r="A329" s="34" t="s">
        <v>1011</v>
      </c>
      <c r="B329" s="37" t="s">
        <v>25</v>
      </c>
      <c r="C329" s="34" t="s">
        <v>305</v>
      </c>
      <c r="D329" s="33" t="s">
        <v>1775</v>
      </c>
      <c r="E329" s="34" t="s">
        <v>1006</v>
      </c>
      <c r="F329" s="34" t="s">
        <v>1007</v>
      </c>
      <c r="G329" s="34" t="s">
        <v>111</v>
      </c>
      <c r="H329" s="37">
        <v>1</v>
      </c>
      <c r="I329" s="34" t="s">
        <v>112</v>
      </c>
      <c r="J329" s="34" t="s">
        <v>31</v>
      </c>
      <c r="K329" s="34" t="s">
        <v>32</v>
      </c>
      <c r="L329" s="34" t="s">
        <v>1755</v>
      </c>
      <c r="M329" s="34" t="s">
        <v>33</v>
      </c>
      <c r="N329" s="49">
        <v>45</v>
      </c>
      <c r="O329" s="50">
        <v>3</v>
      </c>
      <c r="P329" s="51">
        <v>121</v>
      </c>
      <c r="Q329" s="52">
        <v>20.461625999999999</v>
      </c>
      <c r="R329" s="52">
        <v>-98.068826000000001</v>
      </c>
      <c r="S329" s="74" t="s">
        <v>34</v>
      </c>
      <c r="T329" s="74" t="s">
        <v>35</v>
      </c>
      <c r="U329" s="74" t="s">
        <v>35</v>
      </c>
      <c r="V329" s="74" t="s">
        <v>35</v>
      </c>
      <c r="W329" s="74" t="s">
        <v>35</v>
      </c>
      <c r="X329" s="74" t="s">
        <v>36</v>
      </c>
      <c r="Y329" s="74"/>
      <c r="Z329" s="74"/>
      <c r="AA329" s="75"/>
      <c r="AB329" s="30">
        <f t="shared" si="5"/>
        <v>0.75</v>
      </c>
    </row>
    <row r="330" spans="1:28" x14ac:dyDescent="0.3">
      <c r="A330" s="34" t="s">
        <v>1013</v>
      </c>
      <c r="B330" s="37" t="s">
        <v>25</v>
      </c>
      <c r="C330" s="34" t="s">
        <v>305</v>
      </c>
      <c r="D330" s="33" t="s">
        <v>1775</v>
      </c>
      <c r="E330" s="34" t="s">
        <v>1009</v>
      </c>
      <c r="F330" s="34" t="s">
        <v>1010</v>
      </c>
      <c r="G330" s="34" t="s">
        <v>29</v>
      </c>
      <c r="H330" s="37">
        <v>1</v>
      </c>
      <c r="I330" s="34" t="s">
        <v>30</v>
      </c>
      <c r="J330" s="34" t="s">
        <v>31</v>
      </c>
      <c r="K330" s="34" t="s">
        <v>32</v>
      </c>
      <c r="L330" s="34" t="s">
        <v>1755</v>
      </c>
      <c r="M330" s="34" t="s">
        <v>33</v>
      </c>
      <c r="N330" s="49">
        <v>11</v>
      </c>
      <c r="O330" s="50">
        <v>2</v>
      </c>
      <c r="P330" s="51">
        <v>28</v>
      </c>
      <c r="Q330" s="33">
        <v>20.262789000000001</v>
      </c>
      <c r="R330" s="33">
        <v>-98.939826999999994</v>
      </c>
      <c r="S330" s="74" t="s">
        <v>34</v>
      </c>
      <c r="T330" s="74" t="s">
        <v>35</v>
      </c>
      <c r="U330" s="74" t="s">
        <v>35</v>
      </c>
      <c r="V330" s="74" t="s">
        <v>35</v>
      </c>
      <c r="W330" s="74" t="s">
        <v>35</v>
      </c>
      <c r="X330" s="74" t="s">
        <v>36</v>
      </c>
      <c r="Y330" s="74" t="s">
        <v>37</v>
      </c>
      <c r="Z330" s="74" t="s">
        <v>37</v>
      </c>
      <c r="AA330" s="75"/>
      <c r="AB330" s="30">
        <f t="shared" si="5"/>
        <v>1</v>
      </c>
    </row>
    <row r="331" spans="1:28" x14ac:dyDescent="0.3">
      <c r="A331" s="34" t="s">
        <v>1016</v>
      </c>
      <c r="B331" s="37" t="s">
        <v>25</v>
      </c>
      <c r="C331" s="34" t="s">
        <v>305</v>
      </c>
      <c r="D331" s="33" t="s">
        <v>1775</v>
      </c>
      <c r="E331" s="34" t="s">
        <v>548</v>
      </c>
      <c r="F331" s="34" t="s">
        <v>1012</v>
      </c>
      <c r="G331" s="34" t="s">
        <v>29</v>
      </c>
      <c r="H331" s="37">
        <v>1</v>
      </c>
      <c r="I331" s="34" t="s">
        <v>30</v>
      </c>
      <c r="J331" s="34" t="s">
        <v>31</v>
      </c>
      <c r="K331" s="34" t="s">
        <v>32</v>
      </c>
      <c r="L331" s="34" t="s">
        <v>1755</v>
      </c>
      <c r="M331" s="34" t="s">
        <v>84</v>
      </c>
      <c r="N331" s="49">
        <v>6</v>
      </c>
      <c r="O331" s="50">
        <v>0</v>
      </c>
      <c r="P331" s="51">
        <v>16</v>
      </c>
      <c r="Q331" s="52">
        <v>21.104600000000001</v>
      </c>
      <c r="R331" s="52">
        <v>-98.423699999999997</v>
      </c>
      <c r="S331" s="74" t="s">
        <v>34</v>
      </c>
      <c r="T331" s="74" t="s">
        <v>35</v>
      </c>
      <c r="U331" s="74" t="s">
        <v>35</v>
      </c>
      <c r="V331" s="74" t="s">
        <v>35</v>
      </c>
      <c r="W331" s="74" t="s">
        <v>35</v>
      </c>
      <c r="X331" s="74" t="s">
        <v>36</v>
      </c>
      <c r="Y331" s="74"/>
      <c r="Z331" s="74"/>
      <c r="AA331" s="75"/>
      <c r="AB331" s="30">
        <f t="shared" si="5"/>
        <v>0.75</v>
      </c>
    </row>
    <row r="332" spans="1:28" x14ac:dyDescent="0.3">
      <c r="A332" s="34" t="s">
        <v>1019</v>
      </c>
      <c r="B332" s="37" t="s">
        <v>25</v>
      </c>
      <c r="C332" s="34" t="s">
        <v>305</v>
      </c>
      <c r="D332" s="33" t="s">
        <v>1775</v>
      </c>
      <c r="E332" s="34" t="s">
        <v>1014</v>
      </c>
      <c r="F332" s="34" t="s">
        <v>1015</v>
      </c>
      <c r="G332" s="34" t="s">
        <v>111</v>
      </c>
      <c r="H332" s="37">
        <v>1</v>
      </c>
      <c r="I332" s="34" t="s">
        <v>112</v>
      </c>
      <c r="J332" s="34" t="s">
        <v>31</v>
      </c>
      <c r="K332" s="34" t="s">
        <v>32</v>
      </c>
      <c r="L332" s="34" t="s">
        <v>1755</v>
      </c>
      <c r="M332" s="34" t="s">
        <v>33</v>
      </c>
      <c r="N332" s="49">
        <v>8</v>
      </c>
      <c r="O332" s="50">
        <v>2</v>
      </c>
      <c r="P332" s="51">
        <v>48</v>
      </c>
      <c r="Q332" s="52">
        <v>20.395194</v>
      </c>
      <c r="R332" s="52">
        <v>-98.203421000000006</v>
      </c>
      <c r="S332" s="74" t="s">
        <v>34</v>
      </c>
      <c r="T332" s="74" t="s">
        <v>35</v>
      </c>
      <c r="U332" s="74" t="s">
        <v>35</v>
      </c>
      <c r="V332" s="74" t="s">
        <v>35</v>
      </c>
      <c r="W332" s="74" t="s">
        <v>35</v>
      </c>
      <c r="X332" s="74" t="s">
        <v>36</v>
      </c>
      <c r="Y332" s="74" t="s">
        <v>37</v>
      </c>
      <c r="Z332" s="74" t="s">
        <v>37</v>
      </c>
      <c r="AA332" s="75"/>
      <c r="AB332" s="30">
        <f t="shared" si="5"/>
        <v>1</v>
      </c>
    </row>
    <row r="333" spans="1:28" x14ac:dyDescent="0.3">
      <c r="A333" s="34" t="s">
        <v>1022</v>
      </c>
      <c r="B333" s="37" t="s">
        <v>25</v>
      </c>
      <c r="C333" s="34" t="s">
        <v>305</v>
      </c>
      <c r="D333" s="33" t="s">
        <v>1775</v>
      </c>
      <c r="E333" s="34" t="s">
        <v>1017</v>
      </c>
      <c r="F333" s="34" t="s">
        <v>1018</v>
      </c>
      <c r="G333" s="34" t="s">
        <v>111</v>
      </c>
      <c r="H333" s="37">
        <v>1</v>
      </c>
      <c r="I333" s="34" t="s">
        <v>112</v>
      </c>
      <c r="J333" s="34" t="s">
        <v>31</v>
      </c>
      <c r="K333" s="34" t="s">
        <v>32</v>
      </c>
      <c r="L333" s="34" t="s">
        <v>1755</v>
      </c>
      <c r="M333" s="34" t="s">
        <v>33</v>
      </c>
      <c r="N333" s="49">
        <v>12</v>
      </c>
      <c r="O333" s="50">
        <v>3</v>
      </c>
      <c r="P333" s="51">
        <v>58</v>
      </c>
      <c r="Q333" s="33">
        <v>20.113759999999999</v>
      </c>
      <c r="R333" s="33">
        <v>-98.722854999999996</v>
      </c>
      <c r="S333" s="74" t="s">
        <v>34</v>
      </c>
      <c r="T333" s="74" t="s">
        <v>35</v>
      </c>
      <c r="U333" s="74" t="s">
        <v>35</v>
      </c>
      <c r="V333" s="74" t="s">
        <v>35</v>
      </c>
      <c r="W333" s="74" t="s">
        <v>35</v>
      </c>
      <c r="X333" s="74" t="s">
        <v>36</v>
      </c>
      <c r="Y333" s="74" t="s">
        <v>37</v>
      </c>
      <c r="Z333" s="74" t="s">
        <v>37</v>
      </c>
      <c r="AA333" s="75"/>
      <c r="AB333" s="30">
        <f t="shared" si="5"/>
        <v>1</v>
      </c>
    </row>
    <row r="334" spans="1:28" x14ac:dyDescent="0.3">
      <c r="A334" s="34" t="s">
        <v>1024</v>
      </c>
      <c r="B334" s="37" t="s">
        <v>25</v>
      </c>
      <c r="C334" s="34" t="s">
        <v>305</v>
      </c>
      <c r="D334" s="33" t="s">
        <v>1775</v>
      </c>
      <c r="E334" s="34" t="s">
        <v>1020</v>
      </c>
      <c r="F334" s="34" t="s">
        <v>1021</v>
      </c>
      <c r="G334" s="34" t="s">
        <v>29</v>
      </c>
      <c r="H334" s="37">
        <v>1</v>
      </c>
      <c r="I334" s="34" t="s">
        <v>30</v>
      </c>
      <c r="J334" s="34" t="s">
        <v>31</v>
      </c>
      <c r="K334" s="34" t="s">
        <v>32</v>
      </c>
      <c r="L334" s="34" t="s">
        <v>1755</v>
      </c>
      <c r="M334" s="34" t="s">
        <v>33</v>
      </c>
      <c r="N334" s="49">
        <v>8</v>
      </c>
      <c r="O334" s="50">
        <v>2</v>
      </c>
      <c r="P334" s="51">
        <v>33</v>
      </c>
      <c r="Q334" s="52">
        <v>19.901111</v>
      </c>
      <c r="R334" s="52">
        <v>-98.909166999999997</v>
      </c>
      <c r="S334" s="74" t="s">
        <v>34</v>
      </c>
      <c r="T334" s="74" t="s">
        <v>35</v>
      </c>
      <c r="U334" s="74" t="s">
        <v>35</v>
      </c>
      <c r="V334" s="74" t="s">
        <v>35</v>
      </c>
      <c r="W334" s="74" t="s">
        <v>35</v>
      </c>
      <c r="X334" s="74" t="s">
        <v>36</v>
      </c>
      <c r="Y334" s="74"/>
      <c r="Z334" s="74"/>
      <c r="AA334" s="75"/>
      <c r="AB334" s="30">
        <f t="shared" si="5"/>
        <v>0.75</v>
      </c>
    </row>
    <row r="335" spans="1:28" x14ac:dyDescent="0.3">
      <c r="A335" s="34" t="s">
        <v>1027</v>
      </c>
      <c r="B335" s="37" t="s">
        <v>25</v>
      </c>
      <c r="C335" s="34" t="s">
        <v>305</v>
      </c>
      <c r="D335" s="33" t="s">
        <v>1775</v>
      </c>
      <c r="E335" s="34" t="s">
        <v>315</v>
      </c>
      <c r="F335" s="34" t="s">
        <v>1023</v>
      </c>
      <c r="G335" s="34" t="s">
        <v>111</v>
      </c>
      <c r="H335" s="37">
        <v>1</v>
      </c>
      <c r="I335" s="34" t="s">
        <v>112</v>
      </c>
      <c r="J335" s="34" t="s">
        <v>31</v>
      </c>
      <c r="K335" s="34" t="s">
        <v>32</v>
      </c>
      <c r="L335" s="34" t="s">
        <v>1756</v>
      </c>
      <c r="M335" s="34" t="s">
        <v>33</v>
      </c>
      <c r="N335" s="49">
        <v>39</v>
      </c>
      <c r="O335" s="50">
        <v>10</v>
      </c>
      <c r="P335" s="51">
        <v>289</v>
      </c>
      <c r="Q335" s="52">
        <v>20.189067999999999</v>
      </c>
      <c r="R335" s="52">
        <v>-99.224940000000004</v>
      </c>
      <c r="S335" s="74" t="s">
        <v>34</v>
      </c>
      <c r="T335" s="74" t="s">
        <v>35</v>
      </c>
      <c r="U335" s="74" t="s">
        <v>35</v>
      </c>
      <c r="V335" s="74" t="s">
        <v>35</v>
      </c>
      <c r="W335" s="74" t="s">
        <v>35</v>
      </c>
      <c r="X335" s="74" t="s">
        <v>36</v>
      </c>
      <c r="Y335" s="74"/>
      <c r="Z335" s="74"/>
      <c r="AA335" s="75"/>
      <c r="AB335" s="30">
        <f t="shared" si="5"/>
        <v>0.75</v>
      </c>
    </row>
    <row r="336" spans="1:28" x14ac:dyDescent="0.3">
      <c r="A336" s="34" t="s">
        <v>1030</v>
      </c>
      <c r="B336" s="37" t="s">
        <v>25</v>
      </c>
      <c r="C336" s="34" t="s">
        <v>305</v>
      </c>
      <c r="D336" s="33" t="s">
        <v>1775</v>
      </c>
      <c r="E336" s="34" t="s">
        <v>1025</v>
      </c>
      <c r="F336" s="34" t="s">
        <v>1026</v>
      </c>
      <c r="G336" s="34" t="s">
        <v>169</v>
      </c>
      <c r="H336" s="37">
        <v>2</v>
      </c>
      <c r="I336" s="34" t="s">
        <v>170</v>
      </c>
      <c r="J336" s="34" t="s">
        <v>31</v>
      </c>
      <c r="K336" s="34" t="s">
        <v>32</v>
      </c>
      <c r="L336" s="34" t="s">
        <v>1755</v>
      </c>
      <c r="M336" s="34" t="s">
        <v>84</v>
      </c>
      <c r="N336" s="49">
        <v>15</v>
      </c>
      <c r="O336" s="50">
        <v>0</v>
      </c>
      <c r="P336" s="51">
        <v>20</v>
      </c>
      <c r="Q336" s="52">
        <v>20.375712799999999</v>
      </c>
      <c r="R336" s="52">
        <v>-99.654173999999998</v>
      </c>
      <c r="S336" s="74" t="s">
        <v>34</v>
      </c>
      <c r="T336" s="74" t="s">
        <v>35</v>
      </c>
      <c r="U336" s="74" t="s">
        <v>35</v>
      </c>
      <c r="V336" s="74" t="s">
        <v>35</v>
      </c>
      <c r="W336" s="74" t="s">
        <v>35</v>
      </c>
      <c r="X336" s="74" t="s">
        <v>36</v>
      </c>
      <c r="Y336" s="74" t="s">
        <v>37</v>
      </c>
      <c r="Z336" s="74" t="s">
        <v>37</v>
      </c>
      <c r="AA336" s="75"/>
      <c r="AB336" s="30">
        <f t="shared" si="5"/>
        <v>1</v>
      </c>
    </row>
    <row r="337" spans="1:28" x14ac:dyDescent="0.3">
      <c r="A337" s="34" t="s">
        <v>345</v>
      </c>
      <c r="B337" s="37" t="s">
        <v>25</v>
      </c>
      <c r="C337" s="34" t="s">
        <v>1777</v>
      </c>
      <c r="D337" s="33" t="s">
        <v>1775</v>
      </c>
      <c r="E337" s="34" t="s">
        <v>1028</v>
      </c>
      <c r="F337" s="34" t="s">
        <v>1029</v>
      </c>
      <c r="G337" s="34" t="s">
        <v>29</v>
      </c>
      <c r="H337" s="37">
        <v>1</v>
      </c>
      <c r="I337" s="34" t="s">
        <v>30</v>
      </c>
      <c r="J337" s="34" t="s">
        <v>31</v>
      </c>
      <c r="K337" s="34" t="s">
        <v>32</v>
      </c>
      <c r="L337" s="34" t="s">
        <v>1755</v>
      </c>
      <c r="M337" s="34" t="s">
        <v>84</v>
      </c>
      <c r="N337" s="49">
        <v>11</v>
      </c>
      <c r="O337" s="50">
        <v>2</v>
      </c>
      <c r="P337" s="51">
        <v>46</v>
      </c>
      <c r="Q337" s="52">
        <v>19.611498000000001</v>
      </c>
      <c r="R337" s="52">
        <v>-98.941027500000004</v>
      </c>
      <c r="S337" s="74" t="s">
        <v>34</v>
      </c>
      <c r="T337" s="74"/>
      <c r="U337" s="74"/>
      <c r="V337" s="74"/>
      <c r="W337" s="74"/>
      <c r="X337" s="74"/>
      <c r="Y337" s="74"/>
      <c r="Z337" s="74"/>
      <c r="AA337" s="75"/>
      <c r="AB337" s="30">
        <f t="shared" si="5"/>
        <v>0.125</v>
      </c>
    </row>
    <row r="338" spans="1:28" x14ac:dyDescent="0.3">
      <c r="A338" s="34" t="s">
        <v>348</v>
      </c>
      <c r="B338" s="37" t="s">
        <v>25</v>
      </c>
      <c r="C338" s="34" t="s">
        <v>1777</v>
      </c>
      <c r="D338" s="33" t="s">
        <v>1775</v>
      </c>
      <c r="E338" s="34" t="s">
        <v>1031</v>
      </c>
      <c r="F338" s="34" t="s">
        <v>1032</v>
      </c>
      <c r="G338" s="34" t="s">
        <v>111</v>
      </c>
      <c r="H338" s="37">
        <v>1</v>
      </c>
      <c r="I338" s="34" t="s">
        <v>112</v>
      </c>
      <c r="J338" s="34" t="s">
        <v>31</v>
      </c>
      <c r="K338" s="34" t="s">
        <v>32</v>
      </c>
      <c r="L338" s="34" t="s">
        <v>1755</v>
      </c>
      <c r="M338" s="34" t="s">
        <v>33</v>
      </c>
      <c r="N338" s="49">
        <v>6</v>
      </c>
      <c r="O338" s="50">
        <v>3</v>
      </c>
      <c r="P338" s="51">
        <v>42</v>
      </c>
      <c r="Q338" s="52">
        <v>19.546222</v>
      </c>
      <c r="R338" s="52">
        <v>-99.237508000000005</v>
      </c>
      <c r="S338" s="74" t="s">
        <v>34</v>
      </c>
      <c r="T338" s="74"/>
      <c r="U338" s="74"/>
      <c r="V338" s="74"/>
      <c r="W338" s="74"/>
      <c r="X338" s="74"/>
      <c r="Y338" s="74"/>
      <c r="Z338" s="74"/>
      <c r="AA338" s="75"/>
      <c r="AB338" s="30">
        <f t="shared" si="5"/>
        <v>0.125</v>
      </c>
    </row>
    <row r="339" spans="1:28" x14ac:dyDescent="0.3">
      <c r="A339" s="34" t="s">
        <v>351</v>
      </c>
      <c r="B339" s="37" t="s">
        <v>25</v>
      </c>
      <c r="C339" s="34" t="s">
        <v>1777</v>
      </c>
      <c r="D339" s="33" t="s">
        <v>1775</v>
      </c>
      <c r="E339" s="34" t="s">
        <v>346</v>
      </c>
      <c r="F339" s="34" t="s">
        <v>347</v>
      </c>
      <c r="G339" s="34" t="s">
        <v>29</v>
      </c>
      <c r="H339" s="37">
        <v>1</v>
      </c>
      <c r="I339" s="34" t="s">
        <v>30</v>
      </c>
      <c r="J339" s="34" t="s">
        <v>31</v>
      </c>
      <c r="K339" s="34" t="s">
        <v>32</v>
      </c>
      <c r="L339" s="34" t="s">
        <v>1755</v>
      </c>
      <c r="M339" s="34" t="s">
        <v>33</v>
      </c>
      <c r="N339" s="49">
        <v>9</v>
      </c>
      <c r="O339" s="50">
        <v>2</v>
      </c>
      <c r="P339" s="51">
        <v>26</v>
      </c>
      <c r="Q339" s="52">
        <v>19.664501000000001</v>
      </c>
      <c r="R339" s="52">
        <v>-99.178701000000004</v>
      </c>
      <c r="S339" s="74" t="s">
        <v>34</v>
      </c>
      <c r="T339" s="74"/>
      <c r="U339" s="74"/>
      <c r="V339" s="74"/>
      <c r="W339" s="74"/>
      <c r="X339" s="74"/>
      <c r="Y339" s="74"/>
      <c r="Z339" s="74"/>
      <c r="AA339" s="75"/>
      <c r="AB339" s="30">
        <f t="shared" si="5"/>
        <v>0.125</v>
      </c>
    </row>
    <row r="340" spans="1:28" x14ac:dyDescent="0.3">
      <c r="A340" s="34" t="s">
        <v>357</v>
      </c>
      <c r="B340" s="37" t="s">
        <v>25</v>
      </c>
      <c r="C340" s="34" t="s">
        <v>1777</v>
      </c>
      <c r="D340" s="33" t="s">
        <v>1775</v>
      </c>
      <c r="E340" s="34" t="s">
        <v>349</v>
      </c>
      <c r="F340" s="34" t="s">
        <v>350</v>
      </c>
      <c r="G340" s="34" t="s">
        <v>29</v>
      </c>
      <c r="H340" s="37">
        <v>1</v>
      </c>
      <c r="I340" s="34" t="s">
        <v>30</v>
      </c>
      <c r="J340" s="34" t="s">
        <v>31</v>
      </c>
      <c r="K340" s="34" t="s">
        <v>32</v>
      </c>
      <c r="L340" s="34" t="s">
        <v>1755</v>
      </c>
      <c r="M340" s="34" t="s">
        <v>33</v>
      </c>
      <c r="N340" s="49">
        <v>8</v>
      </c>
      <c r="O340" s="50">
        <v>2</v>
      </c>
      <c r="P340" s="51">
        <v>16</v>
      </c>
      <c r="Q340" s="52">
        <v>19.268018699999999</v>
      </c>
      <c r="R340" s="52">
        <v>-98.893699100000006</v>
      </c>
      <c r="S340" s="74" t="s">
        <v>34</v>
      </c>
      <c r="T340" s="74"/>
      <c r="U340" s="74"/>
      <c r="V340" s="74"/>
      <c r="W340" s="74"/>
      <c r="X340" s="74"/>
      <c r="Y340" s="74"/>
      <c r="Z340" s="74"/>
      <c r="AA340" s="75"/>
      <c r="AB340" s="30">
        <f t="shared" si="5"/>
        <v>0.125</v>
      </c>
    </row>
    <row r="341" spans="1:28" x14ac:dyDescent="0.3">
      <c r="A341" s="34" t="s">
        <v>360</v>
      </c>
      <c r="B341" s="37" t="s">
        <v>25</v>
      </c>
      <c r="C341" s="34" t="s">
        <v>1777</v>
      </c>
      <c r="D341" s="33" t="s">
        <v>1775</v>
      </c>
      <c r="E341" s="34" t="s">
        <v>352</v>
      </c>
      <c r="F341" s="34" t="s">
        <v>353</v>
      </c>
      <c r="G341" s="34" t="s">
        <v>29</v>
      </c>
      <c r="H341" s="37">
        <v>1</v>
      </c>
      <c r="I341" s="34" t="s">
        <v>30</v>
      </c>
      <c r="J341" s="34" t="s">
        <v>31</v>
      </c>
      <c r="K341" s="34" t="s">
        <v>32</v>
      </c>
      <c r="L341" s="34" t="s">
        <v>1755</v>
      </c>
      <c r="M341" s="34" t="s">
        <v>33</v>
      </c>
      <c r="N341" s="49">
        <v>10</v>
      </c>
      <c r="O341" s="50">
        <v>2</v>
      </c>
      <c r="P341" s="51">
        <v>24</v>
      </c>
      <c r="Q341" s="52">
        <v>19.419660100000002</v>
      </c>
      <c r="R341" s="52">
        <v>-98.975180100000003</v>
      </c>
      <c r="S341" s="74" t="s">
        <v>34</v>
      </c>
      <c r="T341" s="74"/>
      <c r="U341" s="74"/>
      <c r="V341" s="74"/>
      <c r="W341" s="74"/>
      <c r="X341" s="74"/>
      <c r="Y341" s="74"/>
      <c r="Z341" s="74"/>
      <c r="AA341" s="75"/>
      <c r="AB341" s="30">
        <f t="shared" si="5"/>
        <v>0.125</v>
      </c>
    </row>
    <row r="342" spans="1:28" x14ac:dyDescent="0.3">
      <c r="A342" s="34" t="s">
        <v>363</v>
      </c>
      <c r="B342" s="37" t="s">
        <v>25</v>
      </c>
      <c r="C342" s="34" t="s">
        <v>1777</v>
      </c>
      <c r="D342" s="33" t="s">
        <v>1775</v>
      </c>
      <c r="E342" s="34" t="s">
        <v>358</v>
      </c>
      <c r="F342" s="34" t="s">
        <v>359</v>
      </c>
      <c r="G342" s="34" t="s">
        <v>29</v>
      </c>
      <c r="H342" s="37">
        <v>1</v>
      </c>
      <c r="I342" s="34" t="s">
        <v>30</v>
      </c>
      <c r="J342" s="34" t="s">
        <v>31</v>
      </c>
      <c r="K342" s="34" t="s">
        <v>32</v>
      </c>
      <c r="L342" s="34" t="s">
        <v>1755</v>
      </c>
      <c r="M342" s="34" t="s">
        <v>84</v>
      </c>
      <c r="N342" s="49">
        <v>8</v>
      </c>
      <c r="O342" s="50">
        <v>2</v>
      </c>
      <c r="P342" s="51">
        <v>22</v>
      </c>
      <c r="Q342" s="52">
        <v>19.514533100000001</v>
      </c>
      <c r="R342" s="52">
        <v>-99.038108300000005</v>
      </c>
      <c r="S342" s="74" t="s">
        <v>34</v>
      </c>
      <c r="T342" s="74"/>
      <c r="U342" s="74"/>
      <c r="V342" s="74"/>
      <c r="W342" s="74"/>
      <c r="X342" s="74"/>
      <c r="Y342" s="74"/>
      <c r="Z342" s="74"/>
      <c r="AA342" s="75"/>
      <c r="AB342" s="30">
        <f t="shared" si="5"/>
        <v>0.125</v>
      </c>
    </row>
    <row r="343" spans="1:28" x14ac:dyDescent="0.3">
      <c r="A343" s="34" t="s">
        <v>366</v>
      </c>
      <c r="B343" s="37" t="s">
        <v>25</v>
      </c>
      <c r="C343" s="34" t="s">
        <v>1777</v>
      </c>
      <c r="D343" s="33" t="s">
        <v>1775</v>
      </c>
      <c r="E343" s="34" t="s">
        <v>361</v>
      </c>
      <c r="F343" s="34" t="s">
        <v>362</v>
      </c>
      <c r="G343" s="34" t="s">
        <v>29</v>
      </c>
      <c r="H343" s="37">
        <v>1</v>
      </c>
      <c r="I343" s="34" t="s">
        <v>30</v>
      </c>
      <c r="J343" s="34" t="s">
        <v>31</v>
      </c>
      <c r="K343" s="34" t="s">
        <v>32</v>
      </c>
      <c r="L343" s="34" t="s">
        <v>1755</v>
      </c>
      <c r="M343" s="34" t="s">
        <v>33</v>
      </c>
      <c r="N343" s="49">
        <v>8</v>
      </c>
      <c r="O343" s="50">
        <v>2</v>
      </c>
      <c r="P343" s="51">
        <v>30</v>
      </c>
      <c r="Q343" s="52">
        <v>19.319448000000001</v>
      </c>
      <c r="R343" s="52">
        <v>-98.852671000000001</v>
      </c>
      <c r="S343" s="74" t="s">
        <v>34</v>
      </c>
      <c r="T343" s="74"/>
      <c r="U343" s="74"/>
      <c r="V343" s="74"/>
      <c r="W343" s="74"/>
      <c r="X343" s="74"/>
      <c r="Y343" s="74"/>
      <c r="Z343" s="74"/>
      <c r="AA343" s="75"/>
      <c r="AB343" s="30">
        <f t="shared" si="5"/>
        <v>0.125</v>
      </c>
    </row>
    <row r="344" spans="1:28" x14ac:dyDescent="0.3">
      <c r="A344" s="34" t="s">
        <v>369</v>
      </c>
      <c r="B344" s="37" t="s">
        <v>25</v>
      </c>
      <c r="C344" s="34" t="s">
        <v>1777</v>
      </c>
      <c r="D344" s="33" t="s">
        <v>1775</v>
      </c>
      <c r="E344" s="34" t="s">
        <v>364</v>
      </c>
      <c r="F344" s="34" t="s">
        <v>365</v>
      </c>
      <c r="G344" s="34" t="s">
        <v>29</v>
      </c>
      <c r="H344" s="37">
        <v>1</v>
      </c>
      <c r="I344" s="34" t="s">
        <v>30</v>
      </c>
      <c r="J344" s="34" t="s">
        <v>31</v>
      </c>
      <c r="K344" s="34" t="s">
        <v>32</v>
      </c>
      <c r="L344" s="34" t="s">
        <v>1755</v>
      </c>
      <c r="M344" s="34" t="s">
        <v>33</v>
      </c>
      <c r="N344" s="49">
        <v>7</v>
      </c>
      <c r="O344" s="50">
        <v>2</v>
      </c>
      <c r="P344" s="51">
        <v>16</v>
      </c>
      <c r="Q344" s="52">
        <v>19.569960999999999</v>
      </c>
      <c r="R344" s="52">
        <v>-99.755819000000002</v>
      </c>
      <c r="S344" s="74" t="s">
        <v>34</v>
      </c>
      <c r="T344" s="74"/>
      <c r="U344" s="74"/>
      <c r="V344" s="74"/>
      <c r="W344" s="74"/>
      <c r="X344" s="74"/>
      <c r="Y344" s="74"/>
      <c r="Z344" s="74"/>
      <c r="AA344" s="75"/>
      <c r="AB344" s="30">
        <f t="shared" si="5"/>
        <v>0.125</v>
      </c>
    </row>
    <row r="345" spans="1:28" x14ac:dyDescent="0.3">
      <c r="A345" s="34" t="s">
        <v>372</v>
      </c>
      <c r="B345" s="37" t="s">
        <v>25</v>
      </c>
      <c r="C345" s="34" t="s">
        <v>1777</v>
      </c>
      <c r="D345" s="33" t="s">
        <v>1775</v>
      </c>
      <c r="E345" s="34" t="s">
        <v>367</v>
      </c>
      <c r="F345" s="34" t="s">
        <v>368</v>
      </c>
      <c r="G345" s="34" t="s">
        <v>29</v>
      </c>
      <c r="H345" s="37">
        <v>1</v>
      </c>
      <c r="I345" s="34" t="s">
        <v>30</v>
      </c>
      <c r="J345" s="34" t="s">
        <v>31</v>
      </c>
      <c r="K345" s="34" t="s">
        <v>32</v>
      </c>
      <c r="L345" s="34" t="s">
        <v>1755</v>
      </c>
      <c r="M345" s="34" t="s">
        <v>33</v>
      </c>
      <c r="N345" s="49">
        <v>11</v>
      </c>
      <c r="O345" s="50">
        <v>2</v>
      </c>
      <c r="P345" s="51">
        <v>24</v>
      </c>
      <c r="Q345" s="52">
        <v>19.468121</v>
      </c>
      <c r="R345" s="52">
        <v>-99.234601999999995</v>
      </c>
      <c r="S345" s="74" t="s">
        <v>34</v>
      </c>
      <c r="T345" s="74"/>
      <c r="U345" s="74"/>
      <c r="V345" s="74"/>
      <c r="W345" s="74"/>
      <c r="X345" s="74"/>
      <c r="Y345" s="74"/>
      <c r="Z345" s="74"/>
      <c r="AA345" s="75"/>
      <c r="AB345" s="30">
        <f t="shared" si="5"/>
        <v>0.125</v>
      </c>
    </row>
    <row r="346" spans="1:28" x14ac:dyDescent="0.3">
      <c r="A346" s="34" t="s">
        <v>378</v>
      </c>
      <c r="B346" s="37" t="s">
        <v>25</v>
      </c>
      <c r="C346" s="34" t="s">
        <v>1777</v>
      </c>
      <c r="D346" s="33" t="s">
        <v>1775</v>
      </c>
      <c r="E346" s="34" t="s">
        <v>370</v>
      </c>
      <c r="F346" s="34" t="s">
        <v>371</v>
      </c>
      <c r="G346" s="34" t="s">
        <v>29</v>
      </c>
      <c r="H346" s="37">
        <v>1</v>
      </c>
      <c r="I346" s="34" t="s">
        <v>30</v>
      </c>
      <c r="J346" s="34" t="s">
        <v>31</v>
      </c>
      <c r="K346" s="34" t="s">
        <v>32</v>
      </c>
      <c r="L346" s="34" t="s">
        <v>1755</v>
      </c>
      <c r="M346" s="34" t="s">
        <v>33</v>
      </c>
      <c r="N346" s="49">
        <v>9</v>
      </c>
      <c r="O346" s="50">
        <v>2</v>
      </c>
      <c r="P346" s="51">
        <v>25</v>
      </c>
      <c r="Q346" s="52">
        <v>19.422298000000001</v>
      </c>
      <c r="R346" s="52">
        <v>-99.014920099999998</v>
      </c>
      <c r="S346" s="74" t="s">
        <v>34</v>
      </c>
      <c r="T346" s="74"/>
      <c r="U346" s="74"/>
      <c r="V346" s="74"/>
      <c r="W346" s="74"/>
      <c r="X346" s="74"/>
      <c r="Y346" s="74"/>
      <c r="Z346" s="74"/>
      <c r="AA346" s="75"/>
      <c r="AB346" s="30">
        <f t="shared" si="5"/>
        <v>0.125</v>
      </c>
    </row>
    <row r="347" spans="1:28" x14ac:dyDescent="0.3">
      <c r="A347" s="34" t="s">
        <v>381</v>
      </c>
      <c r="B347" s="37" t="s">
        <v>25</v>
      </c>
      <c r="C347" s="34" t="s">
        <v>1777</v>
      </c>
      <c r="D347" s="33" t="s">
        <v>1775</v>
      </c>
      <c r="E347" s="34" t="s">
        <v>373</v>
      </c>
      <c r="F347" s="34" t="s">
        <v>374</v>
      </c>
      <c r="G347" s="34" t="s">
        <v>29</v>
      </c>
      <c r="H347" s="37">
        <v>1</v>
      </c>
      <c r="I347" s="34" t="s">
        <v>30</v>
      </c>
      <c r="J347" s="34" t="s">
        <v>31</v>
      </c>
      <c r="K347" s="34" t="s">
        <v>32</v>
      </c>
      <c r="L347" s="34" t="s">
        <v>1755</v>
      </c>
      <c r="M347" s="34" t="s">
        <v>33</v>
      </c>
      <c r="N347" s="49">
        <v>10</v>
      </c>
      <c r="O347" s="50">
        <v>2</v>
      </c>
      <c r="P347" s="51">
        <v>33</v>
      </c>
      <c r="Q347" s="52">
        <v>19.717727</v>
      </c>
      <c r="R347" s="52">
        <v>-99.953699999999998</v>
      </c>
      <c r="S347" s="74" t="s">
        <v>34</v>
      </c>
      <c r="T347" s="74"/>
      <c r="U347" s="74"/>
      <c r="V347" s="74"/>
      <c r="W347" s="74"/>
      <c r="X347" s="74"/>
      <c r="Y347" s="74"/>
      <c r="Z347" s="74"/>
      <c r="AA347" s="75"/>
      <c r="AB347" s="30">
        <f t="shared" si="5"/>
        <v>0.125</v>
      </c>
    </row>
    <row r="348" spans="1:28" x14ac:dyDescent="0.3">
      <c r="A348" s="34" t="s">
        <v>384</v>
      </c>
      <c r="B348" s="37" t="s">
        <v>25</v>
      </c>
      <c r="C348" s="34" t="s">
        <v>1777</v>
      </c>
      <c r="D348" s="33" t="s">
        <v>1775</v>
      </c>
      <c r="E348" s="34" t="s">
        <v>379</v>
      </c>
      <c r="F348" s="34" t="s">
        <v>380</v>
      </c>
      <c r="G348" s="34" t="s">
        <v>29</v>
      </c>
      <c r="H348" s="37">
        <v>1</v>
      </c>
      <c r="I348" s="34" t="s">
        <v>30</v>
      </c>
      <c r="J348" s="34" t="s">
        <v>31</v>
      </c>
      <c r="K348" s="34" t="s">
        <v>32</v>
      </c>
      <c r="L348" s="34" t="s">
        <v>1755</v>
      </c>
      <c r="M348" s="34" t="s">
        <v>33</v>
      </c>
      <c r="N348" s="49">
        <v>7</v>
      </c>
      <c r="O348" s="50">
        <v>2</v>
      </c>
      <c r="P348" s="51">
        <v>28</v>
      </c>
      <c r="Q348" s="52">
        <v>18.903510000000001</v>
      </c>
      <c r="R348" s="52">
        <v>-100.15848</v>
      </c>
      <c r="S348" s="74" t="s">
        <v>34</v>
      </c>
      <c r="T348" s="74"/>
      <c r="U348" s="74"/>
      <c r="V348" s="74"/>
      <c r="W348" s="74"/>
      <c r="X348" s="74"/>
      <c r="Y348" s="74"/>
      <c r="Z348" s="74"/>
      <c r="AA348" s="75"/>
      <c r="AB348" s="30">
        <f t="shared" si="5"/>
        <v>0.125</v>
      </c>
    </row>
    <row r="349" spans="1:28" x14ac:dyDescent="0.3">
      <c r="A349" s="34" t="s">
        <v>387</v>
      </c>
      <c r="B349" s="37" t="s">
        <v>25</v>
      </c>
      <c r="C349" s="34" t="s">
        <v>1777</v>
      </c>
      <c r="D349" s="33" t="s">
        <v>1775</v>
      </c>
      <c r="E349" s="34" t="s">
        <v>382</v>
      </c>
      <c r="F349" s="34" t="s">
        <v>383</v>
      </c>
      <c r="G349" s="34" t="s">
        <v>29</v>
      </c>
      <c r="H349" s="37">
        <v>1</v>
      </c>
      <c r="I349" s="34" t="s">
        <v>30</v>
      </c>
      <c r="J349" s="34" t="s">
        <v>31</v>
      </c>
      <c r="K349" s="34" t="s">
        <v>32</v>
      </c>
      <c r="L349" s="34" t="s">
        <v>1755</v>
      </c>
      <c r="M349" s="34" t="s">
        <v>84</v>
      </c>
      <c r="N349" s="49">
        <v>6</v>
      </c>
      <c r="O349" s="50">
        <v>2</v>
      </c>
      <c r="P349" s="51">
        <v>31</v>
      </c>
      <c r="Q349" s="52">
        <v>18.961404999999999</v>
      </c>
      <c r="R349" s="52">
        <v>-99.585693000000006</v>
      </c>
      <c r="S349" s="74" t="s">
        <v>34</v>
      </c>
      <c r="T349" s="74"/>
      <c r="U349" s="74"/>
      <c r="V349" s="74"/>
      <c r="W349" s="74"/>
      <c r="X349" s="74"/>
      <c r="Y349" s="74"/>
      <c r="Z349" s="74"/>
      <c r="AA349" s="75"/>
      <c r="AB349" s="30">
        <f t="shared" si="5"/>
        <v>0.125</v>
      </c>
    </row>
    <row r="350" spans="1:28" x14ac:dyDescent="0.3">
      <c r="A350" s="34" t="s">
        <v>390</v>
      </c>
      <c r="B350" s="37" t="s">
        <v>25</v>
      </c>
      <c r="C350" s="34" t="s">
        <v>1777</v>
      </c>
      <c r="D350" s="33" t="s">
        <v>1775</v>
      </c>
      <c r="E350" s="34" t="s">
        <v>385</v>
      </c>
      <c r="F350" s="34" t="s">
        <v>386</v>
      </c>
      <c r="G350" s="34" t="s">
        <v>29</v>
      </c>
      <c r="H350" s="37">
        <v>1</v>
      </c>
      <c r="I350" s="34" t="s">
        <v>30</v>
      </c>
      <c r="J350" s="34" t="s">
        <v>31</v>
      </c>
      <c r="K350" s="34" t="s">
        <v>32</v>
      </c>
      <c r="L350" s="34" t="s">
        <v>1755</v>
      </c>
      <c r="M350" s="34" t="s">
        <v>33</v>
      </c>
      <c r="N350" s="49">
        <v>6</v>
      </c>
      <c r="O350" s="50">
        <v>2</v>
      </c>
      <c r="P350" s="51">
        <v>22</v>
      </c>
      <c r="Q350" s="52">
        <v>19.316095000000001</v>
      </c>
      <c r="R350" s="52">
        <v>-99.636674999999997</v>
      </c>
      <c r="S350" s="74" t="s">
        <v>34</v>
      </c>
      <c r="T350" s="74"/>
      <c r="U350" s="74"/>
      <c r="V350" s="74"/>
      <c r="W350" s="74"/>
      <c r="X350" s="74"/>
      <c r="Y350" s="74"/>
      <c r="Z350" s="74"/>
      <c r="AA350" s="75"/>
      <c r="AB350" s="30">
        <f t="shared" si="5"/>
        <v>0.125</v>
      </c>
    </row>
    <row r="351" spans="1:28" x14ac:dyDescent="0.3">
      <c r="A351" s="34" t="s">
        <v>396</v>
      </c>
      <c r="B351" s="37" t="s">
        <v>25</v>
      </c>
      <c r="C351" s="34" t="s">
        <v>1777</v>
      </c>
      <c r="D351" s="33" t="s">
        <v>1775</v>
      </c>
      <c r="E351" s="34" t="s">
        <v>388</v>
      </c>
      <c r="F351" s="34" t="s">
        <v>389</v>
      </c>
      <c r="G351" s="34" t="s">
        <v>29</v>
      </c>
      <c r="H351" s="37">
        <v>1</v>
      </c>
      <c r="I351" s="34" t="s">
        <v>30</v>
      </c>
      <c r="J351" s="34" t="s">
        <v>31</v>
      </c>
      <c r="K351" s="34" t="s">
        <v>32</v>
      </c>
      <c r="L351" s="34" t="s">
        <v>1755</v>
      </c>
      <c r="M351" s="34" t="s">
        <v>33</v>
      </c>
      <c r="N351" s="49">
        <v>11</v>
      </c>
      <c r="O351" s="50">
        <v>2</v>
      </c>
      <c r="P351" s="51">
        <v>38</v>
      </c>
      <c r="Q351" s="52">
        <v>19.203205000000001</v>
      </c>
      <c r="R351" s="52">
        <v>-100.13526</v>
      </c>
      <c r="S351" s="74" t="s">
        <v>34</v>
      </c>
      <c r="T351" s="74"/>
      <c r="U351" s="74"/>
      <c r="V351" s="74"/>
      <c r="W351" s="74"/>
      <c r="X351" s="74"/>
      <c r="Y351" s="74"/>
      <c r="Z351" s="74"/>
      <c r="AA351" s="75" t="s">
        <v>1828</v>
      </c>
      <c r="AB351" s="30">
        <f t="shared" si="5"/>
        <v>0.125</v>
      </c>
    </row>
    <row r="352" spans="1:28" x14ac:dyDescent="0.3">
      <c r="A352" s="34" t="s">
        <v>402</v>
      </c>
      <c r="B352" s="37" t="s">
        <v>25</v>
      </c>
      <c r="C352" s="34" t="s">
        <v>1777</v>
      </c>
      <c r="D352" s="33" t="s">
        <v>1775</v>
      </c>
      <c r="E352" s="34" t="s">
        <v>391</v>
      </c>
      <c r="F352" s="34" t="s">
        <v>392</v>
      </c>
      <c r="G352" s="34" t="s">
        <v>29</v>
      </c>
      <c r="H352" s="37">
        <v>1</v>
      </c>
      <c r="I352" s="34" t="s">
        <v>30</v>
      </c>
      <c r="J352" s="34" t="s">
        <v>31</v>
      </c>
      <c r="K352" s="34" t="s">
        <v>32</v>
      </c>
      <c r="L352" s="34" t="s">
        <v>1755</v>
      </c>
      <c r="M352" s="34" t="s">
        <v>33</v>
      </c>
      <c r="N352" s="49">
        <v>10</v>
      </c>
      <c r="O352" s="50">
        <v>2</v>
      </c>
      <c r="P352" s="51">
        <v>37</v>
      </c>
      <c r="Q352" s="52">
        <v>19.273453</v>
      </c>
      <c r="R352" s="52">
        <v>-98.941742000000005</v>
      </c>
      <c r="S352" s="74" t="s">
        <v>34</v>
      </c>
      <c r="T352" s="74"/>
      <c r="U352" s="74"/>
      <c r="V352" s="74"/>
      <c r="W352" s="74"/>
      <c r="X352" s="74"/>
      <c r="Y352" s="74"/>
      <c r="Z352" s="74"/>
      <c r="AA352" s="75"/>
      <c r="AB352" s="30">
        <f t="shared" si="5"/>
        <v>0.125</v>
      </c>
    </row>
    <row r="353" spans="1:28" x14ac:dyDescent="0.3">
      <c r="A353" s="34" t="s">
        <v>405</v>
      </c>
      <c r="B353" s="37" t="s">
        <v>25</v>
      </c>
      <c r="C353" s="34" t="s">
        <v>1777</v>
      </c>
      <c r="D353" s="33" t="s">
        <v>1775</v>
      </c>
      <c r="E353" s="34" t="s">
        <v>397</v>
      </c>
      <c r="F353" s="34" t="s">
        <v>398</v>
      </c>
      <c r="G353" s="34" t="s">
        <v>29</v>
      </c>
      <c r="H353" s="37">
        <v>1</v>
      </c>
      <c r="I353" s="34" t="s">
        <v>30</v>
      </c>
      <c r="J353" s="34" t="s">
        <v>31</v>
      </c>
      <c r="K353" s="34" t="s">
        <v>32</v>
      </c>
      <c r="L353" s="34" t="s">
        <v>1755</v>
      </c>
      <c r="M353" s="34" t="s">
        <v>33</v>
      </c>
      <c r="N353" s="49">
        <v>6</v>
      </c>
      <c r="O353" s="50">
        <v>2</v>
      </c>
      <c r="P353" s="51">
        <v>31</v>
      </c>
      <c r="Q353" s="52">
        <v>19.954758999999999</v>
      </c>
      <c r="R353" s="52">
        <v>-99.547045999999995</v>
      </c>
      <c r="S353" s="74" t="s">
        <v>34</v>
      </c>
      <c r="T353" s="74"/>
      <c r="U353" s="74"/>
      <c r="V353" s="74"/>
      <c r="W353" s="74"/>
      <c r="X353" s="74"/>
      <c r="Y353" s="74"/>
      <c r="Z353" s="74"/>
      <c r="AA353" s="75"/>
      <c r="AB353" s="30">
        <f t="shared" si="5"/>
        <v>0.125</v>
      </c>
    </row>
    <row r="354" spans="1:28" x14ac:dyDescent="0.3">
      <c r="A354" s="34" t="s">
        <v>408</v>
      </c>
      <c r="B354" s="37" t="s">
        <v>25</v>
      </c>
      <c r="C354" s="34" t="s">
        <v>1777</v>
      </c>
      <c r="D354" s="33" t="s">
        <v>1775</v>
      </c>
      <c r="E354" s="34" t="s">
        <v>403</v>
      </c>
      <c r="F354" s="34" t="s">
        <v>404</v>
      </c>
      <c r="G354" s="34" t="s">
        <v>29</v>
      </c>
      <c r="H354" s="37">
        <v>1</v>
      </c>
      <c r="I354" s="34" t="s">
        <v>30</v>
      </c>
      <c r="J354" s="34" t="s">
        <v>31</v>
      </c>
      <c r="K354" s="34" t="s">
        <v>32</v>
      </c>
      <c r="L354" s="34" t="s">
        <v>1755</v>
      </c>
      <c r="M354" s="34" t="s">
        <v>33</v>
      </c>
      <c r="N354" s="49">
        <v>6</v>
      </c>
      <c r="O354" s="50">
        <v>2</v>
      </c>
      <c r="P354" s="51">
        <v>14</v>
      </c>
      <c r="Q354" s="52">
        <v>19.789366000000001</v>
      </c>
      <c r="R354" s="52">
        <v>-99.882701999999995</v>
      </c>
      <c r="S354" s="74" t="s">
        <v>34</v>
      </c>
      <c r="T354" s="74"/>
      <c r="U354" s="74"/>
      <c r="V354" s="74"/>
      <c r="W354" s="74"/>
      <c r="X354" s="74"/>
      <c r="Y354" s="74"/>
      <c r="Z354" s="74"/>
      <c r="AA354" s="75"/>
      <c r="AB354" s="30">
        <f t="shared" si="5"/>
        <v>0.125</v>
      </c>
    </row>
    <row r="355" spans="1:28" x14ac:dyDescent="0.3">
      <c r="A355" s="34" t="s">
        <v>411</v>
      </c>
      <c r="B355" s="37" t="s">
        <v>1838</v>
      </c>
      <c r="C355" s="34" t="s">
        <v>1777</v>
      </c>
      <c r="D355" s="33" t="s">
        <v>1775</v>
      </c>
      <c r="E355" s="34" t="s">
        <v>406</v>
      </c>
      <c r="F355" s="34" t="s">
        <v>407</v>
      </c>
      <c r="G355" s="34" t="s">
        <v>29</v>
      </c>
      <c r="H355" s="37">
        <v>1</v>
      </c>
      <c r="I355" s="34" t="s">
        <v>30</v>
      </c>
      <c r="J355" s="34" t="s">
        <v>31</v>
      </c>
      <c r="K355" s="34" t="s">
        <v>32</v>
      </c>
      <c r="L355" s="34" t="s">
        <v>1755</v>
      </c>
      <c r="M355" s="34" t="s">
        <v>33</v>
      </c>
      <c r="N355" s="49">
        <v>13</v>
      </c>
      <c r="O355" s="50">
        <v>2</v>
      </c>
      <c r="P355" s="51">
        <v>36</v>
      </c>
      <c r="Q355" s="52">
        <v>19.319683999999999</v>
      </c>
      <c r="R355" s="52">
        <v>-99.633145999999996</v>
      </c>
      <c r="S355" s="74" t="s">
        <v>34</v>
      </c>
      <c r="T355" s="74"/>
      <c r="U355" s="74"/>
      <c r="V355" s="74"/>
      <c r="W355" s="74"/>
      <c r="X355" s="74"/>
      <c r="Y355" s="74"/>
      <c r="Z355" s="74"/>
      <c r="AA355" s="75"/>
      <c r="AB355" s="30">
        <f t="shared" si="5"/>
        <v>0.125</v>
      </c>
    </row>
    <row r="356" spans="1:28" x14ac:dyDescent="0.3">
      <c r="A356" s="34" t="s">
        <v>414</v>
      </c>
      <c r="B356" s="37" t="s">
        <v>25</v>
      </c>
      <c r="C356" s="34" t="s">
        <v>1777</v>
      </c>
      <c r="D356" s="33" t="s">
        <v>1775</v>
      </c>
      <c r="E356" s="34" t="s">
        <v>409</v>
      </c>
      <c r="F356" s="34" t="s">
        <v>410</v>
      </c>
      <c r="G356" s="34" t="s">
        <v>29</v>
      </c>
      <c r="H356" s="37">
        <v>1</v>
      </c>
      <c r="I356" s="34" t="s">
        <v>30</v>
      </c>
      <c r="J356" s="34" t="s">
        <v>31</v>
      </c>
      <c r="K356" s="34" t="s">
        <v>32</v>
      </c>
      <c r="L356" s="34" t="s">
        <v>1755</v>
      </c>
      <c r="M356" s="34" t="s">
        <v>84</v>
      </c>
      <c r="N356" s="49">
        <v>9</v>
      </c>
      <c r="O356" s="50">
        <v>2</v>
      </c>
      <c r="P356" s="51">
        <v>34</v>
      </c>
      <c r="Q356" s="52">
        <v>18.81888</v>
      </c>
      <c r="R356" s="52">
        <v>-99.668328000000002</v>
      </c>
      <c r="S356" s="74" t="s">
        <v>34</v>
      </c>
      <c r="T356" s="74"/>
      <c r="U356" s="74"/>
      <c r="V356" s="74"/>
      <c r="W356" s="74"/>
      <c r="X356" s="74"/>
      <c r="Y356" s="74"/>
      <c r="Z356" s="74"/>
      <c r="AA356" s="75"/>
      <c r="AB356" s="30">
        <f t="shared" si="5"/>
        <v>0.125</v>
      </c>
    </row>
    <row r="357" spans="1:28" x14ac:dyDescent="0.3">
      <c r="A357" s="34" t="s">
        <v>1036</v>
      </c>
      <c r="B357" s="37" t="s">
        <v>25</v>
      </c>
      <c r="C357" s="34" t="s">
        <v>1777</v>
      </c>
      <c r="D357" s="33" t="s">
        <v>1775</v>
      </c>
      <c r="E357" s="34" t="s">
        <v>412</v>
      </c>
      <c r="F357" s="34" t="s">
        <v>413</v>
      </c>
      <c r="G357" s="34" t="s">
        <v>29</v>
      </c>
      <c r="H357" s="37">
        <v>1</v>
      </c>
      <c r="I357" s="34" t="s">
        <v>30</v>
      </c>
      <c r="J357" s="34" t="s">
        <v>31</v>
      </c>
      <c r="K357" s="34" t="s">
        <v>32</v>
      </c>
      <c r="L357" s="34" t="s">
        <v>1755</v>
      </c>
      <c r="M357" s="34" t="s">
        <v>84</v>
      </c>
      <c r="N357" s="49">
        <v>10</v>
      </c>
      <c r="O357" s="50">
        <v>2</v>
      </c>
      <c r="P357" s="51">
        <v>47</v>
      </c>
      <c r="Q357" s="52">
        <v>19.5936922</v>
      </c>
      <c r="R357" s="52">
        <v>-99.018878299999997</v>
      </c>
      <c r="S357" s="74" t="s">
        <v>34</v>
      </c>
      <c r="T357" s="74"/>
      <c r="U357" s="74"/>
      <c r="V357" s="74"/>
      <c r="W357" s="74"/>
      <c r="X357" s="74"/>
      <c r="Y357" s="74"/>
      <c r="Z357" s="74"/>
      <c r="AA357" s="75" t="s">
        <v>1831</v>
      </c>
      <c r="AB357" s="30">
        <f t="shared" si="5"/>
        <v>0.125</v>
      </c>
    </row>
    <row r="358" spans="1:28" x14ac:dyDescent="0.3">
      <c r="A358" s="34" t="s">
        <v>1039</v>
      </c>
      <c r="B358" s="37" t="s">
        <v>25</v>
      </c>
      <c r="C358" s="34" t="s">
        <v>1777</v>
      </c>
      <c r="D358" s="33" t="s">
        <v>1775</v>
      </c>
      <c r="E358" s="34" t="s">
        <v>415</v>
      </c>
      <c r="F358" s="34" t="s">
        <v>416</v>
      </c>
      <c r="G358" s="34" t="s">
        <v>29</v>
      </c>
      <c r="H358" s="37">
        <v>1</v>
      </c>
      <c r="I358" s="34" t="s">
        <v>30</v>
      </c>
      <c r="J358" s="34" t="s">
        <v>31</v>
      </c>
      <c r="K358" s="34" t="s">
        <v>32</v>
      </c>
      <c r="L358" s="34" t="s">
        <v>1755</v>
      </c>
      <c r="M358" s="34" t="s">
        <v>84</v>
      </c>
      <c r="N358" s="49">
        <v>10</v>
      </c>
      <c r="O358" s="50">
        <v>2</v>
      </c>
      <c r="P358" s="51">
        <v>45</v>
      </c>
      <c r="Q358" s="52">
        <v>19.387644000000002</v>
      </c>
      <c r="R358" s="52">
        <v>-98.989264000000006</v>
      </c>
      <c r="S358" s="74" t="s">
        <v>34</v>
      </c>
      <c r="T358" s="74"/>
      <c r="U358" s="74"/>
      <c r="V358" s="74"/>
      <c r="W358" s="74"/>
      <c r="X358" s="74"/>
      <c r="Y358" s="74"/>
      <c r="Z358" s="74"/>
      <c r="AA358" s="75" t="s">
        <v>1832</v>
      </c>
      <c r="AB358" s="30">
        <f t="shared" si="5"/>
        <v>0.125</v>
      </c>
    </row>
    <row r="359" spans="1:28" x14ac:dyDescent="0.3">
      <c r="A359" s="34" t="s">
        <v>1053</v>
      </c>
      <c r="B359" s="37" t="s">
        <v>25</v>
      </c>
      <c r="C359" s="34" t="s">
        <v>1777</v>
      </c>
      <c r="D359" s="33" t="s">
        <v>1775</v>
      </c>
      <c r="E359" s="34" t="s">
        <v>1037</v>
      </c>
      <c r="F359" s="34" t="s">
        <v>1038</v>
      </c>
      <c r="G359" s="34" t="s">
        <v>111</v>
      </c>
      <c r="H359" s="37">
        <v>1</v>
      </c>
      <c r="I359" s="34" t="s">
        <v>112</v>
      </c>
      <c r="J359" s="34" t="s">
        <v>31</v>
      </c>
      <c r="K359" s="34" t="s">
        <v>32</v>
      </c>
      <c r="L359" s="34" t="s">
        <v>1755</v>
      </c>
      <c r="M359" s="34" t="s">
        <v>33</v>
      </c>
      <c r="N359" s="49">
        <v>31</v>
      </c>
      <c r="O359" s="50">
        <v>6</v>
      </c>
      <c r="P359" s="51">
        <v>185</v>
      </c>
      <c r="Q359" s="52">
        <v>19.676850099999999</v>
      </c>
      <c r="R359" s="52">
        <v>-99.092760100000007</v>
      </c>
      <c r="S359" s="74" t="s">
        <v>34</v>
      </c>
      <c r="T359" s="74"/>
      <c r="U359" s="74"/>
      <c r="V359" s="74"/>
      <c r="W359" s="74"/>
      <c r="X359" s="74"/>
      <c r="Y359" s="74"/>
      <c r="Z359" s="74"/>
      <c r="AA359" s="75"/>
      <c r="AB359" s="30">
        <f t="shared" si="5"/>
        <v>0.125</v>
      </c>
    </row>
    <row r="360" spans="1:28" x14ac:dyDescent="0.3">
      <c r="A360" s="34" t="s">
        <v>1056</v>
      </c>
      <c r="B360" s="37" t="s">
        <v>25</v>
      </c>
      <c r="C360" s="34" t="s">
        <v>1777</v>
      </c>
      <c r="D360" s="33" t="s">
        <v>1775</v>
      </c>
      <c r="E360" s="34" t="s">
        <v>1040</v>
      </c>
      <c r="F360" s="34" t="s">
        <v>1041</v>
      </c>
      <c r="G360" s="34" t="s">
        <v>111</v>
      </c>
      <c r="H360" s="37">
        <v>1</v>
      </c>
      <c r="I360" s="34" t="s">
        <v>112</v>
      </c>
      <c r="J360" s="34" t="s">
        <v>31</v>
      </c>
      <c r="K360" s="34" t="s">
        <v>32</v>
      </c>
      <c r="L360" s="34" t="s">
        <v>1755</v>
      </c>
      <c r="M360" s="34" t="s">
        <v>33</v>
      </c>
      <c r="N360" s="49">
        <v>20</v>
      </c>
      <c r="O360" s="50">
        <v>7</v>
      </c>
      <c r="P360" s="51">
        <v>229</v>
      </c>
      <c r="Q360" s="52">
        <v>19.3870401</v>
      </c>
      <c r="R360" s="52">
        <v>-98.960401000000005</v>
      </c>
      <c r="S360" s="74" t="s">
        <v>34</v>
      </c>
      <c r="T360" s="74"/>
      <c r="U360" s="74"/>
      <c r="V360" s="74"/>
      <c r="W360" s="74"/>
      <c r="X360" s="74"/>
      <c r="Y360" s="74"/>
      <c r="Z360" s="74"/>
      <c r="AA360" s="75"/>
      <c r="AB360" s="30">
        <f t="shared" si="5"/>
        <v>0.125</v>
      </c>
    </row>
    <row r="361" spans="1:28" x14ac:dyDescent="0.3">
      <c r="A361" s="34" t="s">
        <v>1062</v>
      </c>
      <c r="B361" s="37" t="s">
        <v>25</v>
      </c>
      <c r="C361" s="34" t="s">
        <v>1777</v>
      </c>
      <c r="D361" s="33" t="s">
        <v>1775</v>
      </c>
      <c r="E361" s="34" t="s">
        <v>1054</v>
      </c>
      <c r="F361" s="34" t="s">
        <v>1055</v>
      </c>
      <c r="G361" s="34" t="s">
        <v>111</v>
      </c>
      <c r="H361" s="37">
        <v>1</v>
      </c>
      <c r="I361" s="34" t="s">
        <v>112</v>
      </c>
      <c r="J361" s="34" t="s">
        <v>31</v>
      </c>
      <c r="K361" s="34" t="s">
        <v>32</v>
      </c>
      <c r="L361" s="34" t="s">
        <v>1755</v>
      </c>
      <c r="M361" s="34" t="s">
        <v>33</v>
      </c>
      <c r="N361" s="49">
        <v>11</v>
      </c>
      <c r="O361" s="50">
        <v>3</v>
      </c>
      <c r="P361" s="51">
        <v>50</v>
      </c>
      <c r="Q361" s="52">
        <v>19.733024</v>
      </c>
      <c r="R361" s="52">
        <v>-98.769851000000003</v>
      </c>
      <c r="S361" s="74" t="s">
        <v>34</v>
      </c>
      <c r="T361" s="74"/>
      <c r="U361" s="74"/>
      <c r="V361" s="74"/>
      <c r="W361" s="74"/>
      <c r="X361" s="74"/>
      <c r="Y361" s="74"/>
      <c r="Z361" s="74"/>
      <c r="AA361" s="75"/>
      <c r="AB361" s="30">
        <f t="shared" si="5"/>
        <v>0.125</v>
      </c>
    </row>
    <row r="362" spans="1:28" x14ac:dyDescent="0.3">
      <c r="A362" s="34" t="s">
        <v>1065</v>
      </c>
      <c r="B362" s="37" t="s">
        <v>25</v>
      </c>
      <c r="C362" s="34" t="s">
        <v>1777</v>
      </c>
      <c r="D362" s="33" t="s">
        <v>1775</v>
      </c>
      <c r="E362" s="34" t="s">
        <v>1057</v>
      </c>
      <c r="F362" s="34" t="s">
        <v>1058</v>
      </c>
      <c r="G362" s="34" t="s">
        <v>111</v>
      </c>
      <c r="H362" s="37">
        <v>1</v>
      </c>
      <c r="I362" s="34" t="s">
        <v>112</v>
      </c>
      <c r="J362" s="34" t="s">
        <v>31</v>
      </c>
      <c r="K362" s="34" t="s">
        <v>32</v>
      </c>
      <c r="L362" s="34" t="s">
        <v>1755</v>
      </c>
      <c r="M362" s="34" t="s">
        <v>33</v>
      </c>
      <c r="N362" s="49">
        <v>18</v>
      </c>
      <c r="O362" s="50">
        <v>6</v>
      </c>
      <c r="P362" s="51">
        <v>196</v>
      </c>
      <c r="Q362" s="52">
        <v>19.470444000000001</v>
      </c>
      <c r="R362" s="52">
        <v>-99.239058999999997</v>
      </c>
      <c r="S362" s="74" t="s">
        <v>34</v>
      </c>
      <c r="T362" s="74"/>
      <c r="U362" s="74"/>
      <c r="V362" s="74"/>
      <c r="W362" s="74"/>
      <c r="X362" s="74"/>
      <c r="Y362" s="74"/>
      <c r="Z362" s="74"/>
      <c r="AA362" s="75"/>
      <c r="AB362" s="30">
        <f t="shared" si="5"/>
        <v>0.125</v>
      </c>
    </row>
    <row r="363" spans="1:28" x14ac:dyDescent="0.3">
      <c r="A363" s="34" t="s">
        <v>1068</v>
      </c>
      <c r="B363" s="37" t="s">
        <v>25</v>
      </c>
      <c r="C363" s="34" t="s">
        <v>1777</v>
      </c>
      <c r="D363" s="33" t="s">
        <v>1775</v>
      </c>
      <c r="E363" s="34" t="s">
        <v>1063</v>
      </c>
      <c r="F363" s="34" t="s">
        <v>1064</v>
      </c>
      <c r="G363" s="34" t="s">
        <v>111</v>
      </c>
      <c r="H363" s="37">
        <v>1</v>
      </c>
      <c r="I363" s="34" t="s">
        <v>112</v>
      </c>
      <c r="J363" s="34" t="s">
        <v>31</v>
      </c>
      <c r="K363" s="34" t="s">
        <v>32</v>
      </c>
      <c r="L363" s="34" t="s">
        <v>1755</v>
      </c>
      <c r="M363" s="34" t="s">
        <v>33</v>
      </c>
      <c r="N363" s="49">
        <v>12</v>
      </c>
      <c r="O363" s="50">
        <v>2</v>
      </c>
      <c r="P363" s="51">
        <v>81</v>
      </c>
      <c r="Q363" s="52">
        <v>19.514057000000001</v>
      </c>
      <c r="R363" s="52">
        <v>-98.871977000000001</v>
      </c>
      <c r="S363" s="74" t="s">
        <v>34</v>
      </c>
      <c r="T363" s="74"/>
      <c r="U363" s="74"/>
      <c r="V363" s="74"/>
      <c r="W363" s="74"/>
      <c r="X363" s="74"/>
      <c r="Y363" s="74"/>
      <c r="Z363" s="74"/>
      <c r="AA363" s="75"/>
      <c r="AB363" s="30">
        <f t="shared" si="5"/>
        <v>0.125</v>
      </c>
    </row>
    <row r="364" spans="1:28" x14ac:dyDescent="0.3">
      <c r="A364" s="34" t="s">
        <v>1071</v>
      </c>
      <c r="B364" s="37" t="s">
        <v>25</v>
      </c>
      <c r="C364" s="34" t="s">
        <v>1777</v>
      </c>
      <c r="D364" s="33" t="s">
        <v>1775</v>
      </c>
      <c r="E364" s="34" t="s">
        <v>1066</v>
      </c>
      <c r="F364" s="34" t="s">
        <v>1067</v>
      </c>
      <c r="G364" s="34" t="s">
        <v>111</v>
      </c>
      <c r="H364" s="37">
        <v>1</v>
      </c>
      <c r="I364" s="34" t="s">
        <v>112</v>
      </c>
      <c r="J364" s="34" t="s">
        <v>31</v>
      </c>
      <c r="K364" s="34" t="s">
        <v>32</v>
      </c>
      <c r="L364" s="34" t="s">
        <v>1755</v>
      </c>
      <c r="M364" s="34" t="s">
        <v>33</v>
      </c>
      <c r="N364" s="49">
        <v>8</v>
      </c>
      <c r="O364" s="50">
        <v>0</v>
      </c>
      <c r="P364" s="51">
        <v>82</v>
      </c>
      <c r="Q364" s="52">
        <v>19.919259</v>
      </c>
      <c r="R364" s="52">
        <v>-99.069467000000003</v>
      </c>
      <c r="S364" s="74" t="s">
        <v>34</v>
      </c>
      <c r="T364" s="74"/>
      <c r="U364" s="74"/>
      <c r="V364" s="74"/>
      <c r="W364" s="74"/>
      <c r="X364" s="74"/>
      <c r="Y364" s="74"/>
      <c r="Z364" s="74"/>
      <c r="AA364" s="75"/>
      <c r="AB364" s="30">
        <f t="shared" si="5"/>
        <v>0.125</v>
      </c>
    </row>
    <row r="365" spans="1:28" x14ac:dyDescent="0.3">
      <c r="A365" s="34" t="s">
        <v>1074</v>
      </c>
      <c r="B365" s="37" t="s">
        <v>25</v>
      </c>
      <c r="C365" s="34" t="s">
        <v>1777</v>
      </c>
      <c r="D365" s="33" t="s">
        <v>1775</v>
      </c>
      <c r="E365" s="34" t="s">
        <v>1069</v>
      </c>
      <c r="F365" s="34" t="s">
        <v>1070</v>
      </c>
      <c r="G365" s="34" t="s">
        <v>111</v>
      </c>
      <c r="H365" s="37">
        <v>1</v>
      </c>
      <c r="I365" s="34" t="s">
        <v>112</v>
      </c>
      <c r="J365" s="34" t="s">
        <v>31</v>
      </c>
      <c r="K365" s="34" t="s">
        <v>32</v>
      </c>
      <c r="L365" s="34" t="s">
        <v>1755</v>
      </c>
      <c r="M365" s="34" t="s">
        <v>33</v>
      </c>
      <c r="N365" s="49">
        <v>11</v>
      </c>
      <c r="O365" s="50">
        <v>3</v>
      </c>
      <c r="P365" s="51">
        <v>91</v>
      </c>
      <c r="Q365" s="52">
        <v>19.144895000000002</v>
      </c>
      <c r="R365" s="52">
        <v>-98.785050999999996</v>
      </c>
      <c r="S365" s="74" t="s">
        <v>34</v>
      </c>
      <c r="T365" s="74"/>
      <c r="U365" s="74"/>
      <c r="V365" s="74"/>
      <c r="W365" s="74"/>
      <c r="X365" s="74"/>
      <c r="Y365" s="74"/>
      <c r="Z365" s="74"/>
      <c r="AA365" s="75"/>
      <c r="AB365" s="30">
        <f t="shared" si="5"/>
        <v>0.125</v>
      </c>
    </row>
    <row r="366" spans="1:28" x14ac:dyDescent="0.3">
      <c r="A366" s="39" t="s">
        <v>1114</v>
      </c>
      <c r="B366" s="37" t="s">
        <v>210</v>
      </c>
      <c r="C366" s="34" t="s">
        <v>1774</v>
      </c>
      <c r="D366" s="33" t="s">
        <v>1775</v>
      </c>
      <c r="E366" s="34" t="s">
        <v>1072</v>
      </c>
      <c r="F366" s="34" t="s">
        <v>1073</v>
      </c>
      <c r="G366" s="34" t="s">
        <v>111</v>
      </c>
      <c r="H366" s="37">
        <v>1</v>
      </c>
      <c r="I366" s="34" t="s">
        <v>112</v>
      </c>
      <c r="J366" s="34" t="s">
        <v>31</v>
      </c>
      <c r="K366" s="34" t="s">
        <v>32</v>
      </c>
      <c r="L366" s="34" t="s">
        <v>1756</v>
      </c>
      <c r="M366" s="34" t="s">
        <v>33</v>
      </c>
      <c r="N366" s="49">
        <v>21</v>
      </c>
      <c r="O366" s="50">
        <v>6</v>
      </c>
      <c r="P366" s="51">
        <v>210</v>
      </c>
      <c r="Q366" s="60">
        <v>21.1340346</v>
      </c>
      <c r="R366" s="60">
        <v>-88.150637500000002</v>
      </c>
      <c r="S366" s="74" t="s">
        <v>34</v>
      </c>
      <c r="T366" s="74" t="s">
        <v>175</v>
      </c>
      <c r="U366" s="74" t="s">
        <v>213</v>
      </c>
      <c r="V366" s="74" t="s">
        <v>213</v>
      </c>
      <c r="W366" s="74"/>
      <c r="X366" s="74"/>
      <c r="Y366" s="74"/>
      <c r="Z366" s="74"/>
      <c r="AA366" s="75"/>
      <c r="AB366" s="30">
        <f t="shared" si="5"/>
        <v>0.29166666666666663</v>
      </c>
    </row>
    <row r="367" spans="1:28" x14ac:dyDescent="0.3">
      <c r="A367" s="34" t="s">
        <v>1080</v>
      </c>
      <c r="B367" s="37" t="s">
        <v>25</v>
      </c>
      <c r="C367" s="34" t="s">
        <v>1777</v>
      </c>
      <c r="D367" s="33" t="s">
        <v>1775</v>
      </c>
      <c r="E367" s="34" t="s">
        <v>1075</v>
      </c>
      <c r="F367" s="34" t="s">
        <v>1076</v>
      </c>
      <c r="G367" s="34" t="s">
        <v>111</v>
      </c>
      <c r="H367" s="37">
        <v>1</v>
      </c>
      <c r="I367" s="34" t="s">
        <v>112</v>
      </c>
      <c r="J367" s="34" t="s">
        <v>31</v>
      </c>
      <c r="K367" s="34" t="s">
        <v>32</v>
      </c>
      <c r="L367" s="34" t="s">
        <v>1755</v>
      </c>
      <c r="M367" s="34" t="s">
        <v>33</v>
      </c>
      <c r="N367" s="49">
        <v>11</v>
      </c>
      <c r="O367" s="50">
        <v>2</v>
      </c>
      <c r="P367" s="51">
        <v>66</v>
      </c>
      <c r="Q367" s="52">
        <v>19.543790000000001</v>
      </c>
      <c r="R367" s="52">
        <v>-98.913809999999998</v>
      </c>
      <c r="S367" s="74" t="s">
        <v>34</v>
      </c>
      <c r="T367" s="74"/>
      <c r="U367" s="74"/>
      <c r="V367" s="74"/>
      <c r="W367" s="74"/>
      <c r="X367" s="74"/>
      <c r="Y367" s="74"/>
      <c r="Z367" s="74"/>
      <c r="AA367" s="75"/>
      <c r="AB367" s="30">
        <f t="shared" si="5"/>
        <v>0.125</v>
      </c>
    </row>
    <row r="368" spans="1:28" x14ac:dyDescent="0.3">
      <c r="A368" s="34" t="s">
        <v>1120</v>
      </c>
      <c r="B368" s="37" t="s">
        <v>25</v>
      </c>
      <c r="C368" s="34" t="s">
        <v>1778</v>
      </c>
      <c r="D368" s="33" t="s">
        <v>1775</v>
      </c>
      <c r="E368" s="34" t="s">
        <v>1115</v>
      </c>
      <c r="F368" s="34" t="s">
        <v>1116</v>
      </c>
      <c r="G368" s="34" t="s">
        <v>111</v>
      </c>
      <c r="H368" s="37">
        <v>1</v>
      </c>
      <c r="I368" s="34" t="s">
        <v>112</v>
      </c>
      <c r="J368" s="34" t="s">
        <v>31</v>
      </c>
      <c r="K368" s="34" t="s">
        <v>32</v>
      </c>
      <c r="L368" s="34" t="s">
        <v>1755</v>
      </c>
      <c r="M368" s="34" t="s">
        <v>33</v>
      </c>
      <c r="N368" s="49">
        <v>12</v>
      </c>
      <c r="O368" s="50">
        <v>6</v>
      </c>
      <c r="P368" s="51">
        <v>51</v>
      </c>
      <c r="Q368" s="52">
        <v>19.677040000000002</v>
      </c>
      <c r="R368" s="52">
        <v>-101.95326</v>
      </c>
      <c r="S368" s="74" t="s">
        <v>34</v>
      </c>
      <c r="T368" s="74"/>
      <c r="U368" s="74"/>
      <c r="V368" s="74"/>
      <c r="W368" s="74"/>
      <c r="X368" s="74"/>
      <c r="Y368" s="74"/>
      <c r="Z368" s="74"/>
      <c r="AA368" s="75"/>
      <c r="AB368" s="30">
        <f t="shared" si="5"/>
        <v>0.125</v>
      </c>
    </row>
    <row r="369" spans="1:28" x14ac:dyDescent="0.3">
      <c r="A369" s="34" t="s">
        <v>1123</v>
      </c>
      <c r="B369" s="37" t="s">
        <v>25</v>
      </c>
      <c r="C369" s="34" t="s">
        <v>1778</v>
      </c>
      <c r="D369" s="33" t="s">
        <v>1775</v>
      </c>
      <c r="E369" s="34" t="s">
        <v>1081</v>
      </c>
      <c r="F369" s="34" t="s">
        <v>1082</v>
      </c>
      <c r="G369" s="34" t="s">
        <v>111</v>
      </c>
      <c r="H369" s="37">
        <v>1</v>
      </c>
      <c r="I369" s="34" t="s">
        <v>112</v>
      </c>
      <c r="J369" s="34" t="s">
        <v>31</v>
      </c>
      <c r="K369" s="34" t="s">
        <v>32</v>
      </c>
      <c r="L369" s="34" t="s">
        <v>1755</v>
      </c>
      <c r="M369" s="34" t="s">
        <v>33</v>
      </c>
      <c r="N369" s="49">
        <v>9</v>
      </c>
      <c r="O369" s="50">
        <v>3</v>
      </c>
      <c r="P369" s="51">
        <v>47</v>
      </c>
      <c r="Q369" s="52">
        <v>17.96696</v>
      </c>
      <c r="R369" s="52">
        <v>-102.20205</v>
      </c>
      <c r="S369" s="74" t="s">
        <v>34</v>
      </c>
      <c r="T369" s="74"/>
      <c r="U369" s="74"/>
      <c r="V369" s="74"/>
      <c r="W369" s="74"/>
      <c r="X369" s="74"/>
      <c r="Y369" s="74"/>
      <c r="Z369" s="74"/>
      <c r="AA369" s="75"/>
      <c r="AB369" s="30">
        <f t="shared" si="5"/>
        <v>0.125</v>
      </c>
    </row>
    <row r="370" spans="1:28" x14ac:dyDescent="0.3">
      <c r="A370" s="34" t="s">
        <v>1125</v>
      </c>
      <c r="B370" s="37" t="s">
        <v>25</v>
      </c>
      <c r="C370" s="34" t="s">
        <v>1778</v>
      </c>
      <c r="D370" s="33" t="s">
        <v>1775</v>
      </c>
      <c r="E370" s="34" t="s">
        <v>1121</v>
      </c>
      <c r="F370" s="34" t="s">
        <v>1122</v>
      </c>
      <c r="G370" s="34" t="s">
        <v>111</v>
      </c>
      <c r="H370" s="37">
        <v>1</v>
      </c>
      <c r="I370" s="34" t="s">
        <v>112</v>
      </c>
      <c r="J370" s="34" t="s">
        <v>31</v>
      </c>
      <c r="K370" s="34" t="s">
        <v>32</v>
      </c>
      <c r="L370" s="34" t="s">
        <v>1755</v>
      </c>
      <c r="M370" s="34" t="s">
        <v>33</v>
      </c>
      <c r="N370" s="49">
        <v>12</v>
      </c>
      <c r="O370" s="50">
        <v>3</v>
      </c>
      <c r="P370" s="51">
        <v>43</v>
      </c>
      <c r="Q370" s="52">
        <v>19.6999058</v>
      </c>
      <c r="R370" s="52">
        <v>-101.1825135</v>
      </c>
      <c r="S370" s="74" t="s">
        <v>34</v>
      </c>
      <c r="T370" s="74"/>
      <c r="U370" s="74"/>
      <c r="V370" s="74"/>
      <c r="W370" s="74"/>
      <c r="X370" s="74"/>
      <c r="Y370" s="74"/>
      <c r="Z370" s="74"/>
      <c r="AA370" s="75"/>
      <c r="AB370" s="30">
        <f t="shared" si="5"/>
        <v>0.125</v>
      </c>
    </row>
    <row r="371" spans="1:28" x14ac:dyDescent="0.3">
      <c r="A371" s="34" t="s">
        <v>1128</v>
      </c>
      <c r="B371" s="37" t="s">
        <v>25</v>
      </c>
      <c r="C371" s="34" t="s">
        <v>1778</v>
      </c>
      <c r="D371" s="33" t="s">
        <v>1775</v>
      </c>
      <c r="E371" s="34" t="s">
        <v>635</v>
      </c>
      <c r="F371" s="34" t="s">
        <v>1124</v>
      </c>
      <c r="G371" s="34" t="s">
        <v>111</v>
      </c>
      <c r="H371" s="37">
        <v>1</v>
      </c>
      <c r="I371" s="34" t="s">
        <v>112</v>
      </c>
      <c r="J371" s="34" t="s">
        <v>31</v>
      </c>
      <c r="K371" s="34" t="s">
        <v>32</v>
      </c>
      <c r="L371" s="34" t="s">
        <v>1755</v>
      </c>
      <c r="M371" s="34" t="s">
        <v>33</v>
      </c>
      <c r="N371" s="49">
        <v>15</v>
      </c>
      <c r="O371" s="50">
        <v>3</v>
      </c>
      <c r="P371" s="51">
        <v>82</v>
      </c>
      <c r="Q371" s="52">
        <v>20.039826999999999</v>
      </c>
      <c r="R371" s="52">
        <v>-102.718266</v>
      </c>
      <c r="S371" s="74" t="s">
        <v>34</v>
      </c>
      <c r="T371" s="74"/>
      <c r="U371" s="74"/>
      <c r="V371" s="74"/>
      <c r="W371" s="74"/>
      <c r="X371" s="74"/>
      <c r="Y371" s="74"/>
      <c r="Z371" s="74"/>
      <c r="AA371" s="75"/>
      <c r="AB371" s="30">
        <f t="shared" si="5"/>
        <v>0.125</v>
      </c>
    </row>
    <row r="372" spans="1:28" x14ac:dyDescent="0.3">
      <c r="A372" s="34" t="s">
        <v>1131</v>
      </c>
      <c r="B372" s="37" t="s">
        <v>25</v>
      </c>
      <c r="C372" s="34" t="s">
        <v>1778</v>
      </c>
      <c r="D372" s="33" t="s">
        <v>1775</v>
      </c>
      <c r="E372" s="34" t="s">
        <v>1126</v>
      </c>
      <c r="F372" s="34" t="s">
        <v>1127</v>
      </c>
      <c r="G372" s="34" t="s">
        <v>111</v>
      </c>
      <c r="H372" s="37">
        <v>1</v>
      </c>
      <c r="I372" s="34" t="s">
        <v>155</v>
      </c>
      <c r="J372" s="34" t="s">
        <v>31</v>
      </c>
      <c r="K372" s="34" t="s">
        <v>32</v>
      </c>
      <c r="L372" s="34" t="s">
        <v>1755</v>
      </c>
      <c r="M372" s="34" t="s">
        <v>33</v>
      </c>
      <c r="N372" s="49">
        <v>18</v>
      </c>
      <c r="O372" s="50">
        <v>3</v>
      </c>
      <c r="P372" s="51">
        <v>26</v>
      </c>
      <c r="Q372" s="52">
        <v>19.237169000000002</v>
      </c>
      <c r="R372" s="52">
        <v>-101.455314</v>
      </c>
      <c r="S372" s="74" t="s">
        <v>34</v>
      </c>
      <c r="T372" s="74"/>
      <c r="U372" s="74"/>
      <c r="V372" s="74"/>
      <c r="W372" s="74"/>
      <c r="X372" s="74"/>
      <c r="Y372" s="74"/>
      <c r="Z372" s="74"/>
      <c r="AA372" s="75"/>
      <c r="AB372" s="30">
        <f t="shared" si="5"/>
        <v>0.125</v>
      </c>
    </row>
    <row r="373" spans="1:28" x14ac:dyDescent="0.3">
      <c r="A373" s="34" t="s">
        <v>1134</v>
      </c>
      <c r="B373" s="37" t="s">
        <v>25</v>
      </c>
      <c r="C373" s="34" t="s">
        <v>1778</v>
      </c>
      <c r="D373" s="33" t="s">
        <v>1775</v>
      </c>
      <c r="E373" s="34" t="s">
        <v>1129</v>
      </c>
      <c r="F373" s="34" t="s">
        <v>1130</v>
      </c>
      <c r="G373" s="34" t="s">
        <v>111</v>
      </c>
      <c r="H373" s="37">
        <v>1</v>
      </c>
      <c r="I373" s="34" t="s">
        <v>112</v>
      </c>
      <c r="J373" s="34" t="s">
        <v>31</v>
      </c>
      <c r="K373" s="34" t="s">
        <v>32</v>
      </c>
      <c r="L373" s="34" t="s">
        <v>1755</v>
      </c>
      <c r="M373" s="34" t="s">
        <v>33</v>
      </c>
      <c r="N373" s="49">
        <v>16</v>
      </c>
      <c r="O373" s="50">
        <v>2</v>
      </c>
      <c r="P373" s="51">
        <v>47</v>
      </c>
      <c r="Q373" s="52">
        <v>19.390540999999999</v>
      </c>
      <c r="R373" s="52">
        <v>-102.024055</v>
      </c>
      <c r="S373" s="74" t="s">
        <v>34</v>
      </c>
      <c r="T373" s="74"/>
      <c r="U373" s="74"/>
      <c r="V373" s="74"/>
      <c r="W373" s="74"/>
      <c r="X373" s="74"/>
      <c r="Y373" s="74"/>
      <c r="Z373" s="74"/>
      <c r="AA373" s="75"/>
      <c r="AB373" s="30">
        <f t="shared" si="5"/>
        <v>0.125</v>
      </c>
    </row>
    <row r="374" spans="1:28" x14ac:dyDescent="0.3">
      <c r="A374" s="34" t="s">
        <v>1137</v>
      </c>
      <c r="B374" s="37" t="s">
        <v>25</v>
      </c>
      <c r="C374" s="34" t="s">
        <v>1778</v>
      </c>
      <c r="D374" s="33" t="s">
        <v>1775</v>
      </c>
      <c r="E374" s="34" t="s">
        <v>1132</v>
      </c>
      <c r="F374" s="34" t="s">
        <v>1133</v>
      </c>
      <c r="G374" s="34" t="s">
        <v>111</v>
      </c>
      <c r="H374" s="37">
        <v>1</v>
      </c>
      <c r="I374" s="34" t="s">
        <v>112</v>
      </c>
      <c r="J374" s="34" t="s">
        <v>31</v>
      </c>
      <c r="K374" s="34" t="s">
        <v>32</v>
      </c>
      <c r="L374" s="34" t="s">
        <v>1755</v>
      </c>
      <c r="M374" s="34" t="s">
        <v>33</v>
      </c>
      <c r="N374" s="49">
        <v>7</v>
      </c>
      <c r="O374" s="50">
        <v>2</v>
      </c>
      <c r="P374" s="51">
        <v>44</v>
      </c>
      <c r="Q374" s="52">
        <v>19.989744000000002</v>
      </c>
      <c r="R374" s="52">
        <v>-102.279183</v>
      </c>
      <c r="S374" s="74" t="s">
        <v>34</v>
      </c>
      <c r="T374" s="74"/>
      <c r="U374" s="74"/>
      <c r="V374" s="74"/>
      <c r="W374" s="74"/>
      <c r="X374" s="74"/>
      <c r="Y374" s="74"/>
      <c r="Z374" s="74"/>
      <c r="AA374" s="75"/>
      <c r="AB374" s="30">
        <f t="shared" si="5"/>
        <v>0.125</v>
      </c>
    </row>
    <row r="375" spans="1:28" x14ac:dyDescent="0.3">
      <c r="A375" s="34" t="s">
        <v>1140</v>
      </c>
      <c r="B375" s="37" t="s">
        <v>25</v>
      </c>
      <c r="C375" s="34" t="s">
        <v>1778</v>
      </c>
      <c r="D375" s="33" t="s">
        <v>1775</v>
      </c>
      <c r="E375" s="34" t="s">
        <v>1135</v>
      </c>
      <c r="F375" s="34" t="s">
        <v>1136</v>
      </c>
      <c r="G375" s="34" t="s">
        <v>111</v>
      </c>
      <c r="H375" s="37">
        <v>1</v>
      </c>
      <c r="I375" s="34" t="s">
        <v>112</v>
      </c>
      <c r="J375" s="34" t="s">
        <v>31</v>
      </c>
      <c r="K375" s="34" t="s">
        <v>32</v>
      </c>
      <c r="L375" s="34" t="s">
        <v>1755</v>
      </c>
      <c r="M375" s="34" t="s">
        <v>33</v>
      </c>
      <c r="N375" s="49">
        <v>20</v>
      </c>
      <c r="O375" s="50">
        <v>7</v>
      </c>
      <c r="P375" s="51">
        <v>138</v>
      </c>
      <c r="Q375" s="52">
        <v>19.432554</v>
      </c>
      <c r="R375" s="52">
        <v>-100.36944269999999</v>
      </c>
      <c r="S375" s="74" t="s">
        <v>34</v>
      </c>
      <c r="T375" s="74"/>
      <c r="U375" s="74"/>
      <c r="V375" s="74"/>
      <c r="W375" s="74"/>
      <c r="X375" s="74"/>
      <c r="Y375" s="74"/>
      <c r="Z375" s="74"/>
      <c r="AA375" s="75"/>
      <c r="AB375" s="30">
        <f t="shared" si="5"/>
        <v>0.125</v>
      </c>
    </row>
    <row r="376" spans="1:28" x14ac:dyDescent="0.3">
      <c r="A376" s="34" t="s">
        <v>1143</v>
      </c>
      <c r="B376" s="37" t="s">
        <v>25</v>
      </c>
      <c r="C376" s="34" t="s">
        <v>1778</v>
      </c>
      <c r="D376" s="33" t="s">
        <v>1775</v>
      </c>
      <c r="E376" s="34" t="s">
        <v>1138</v>
      </c>
      <c r="F376" s="34" t="s">
        <v>1139</v>
      </c>
      <c r="G376" s="34" t="s">
        <v>111</v>
      </c>
      <c r="H376" s="37">
        <v>1</v>
      </c>
      <c r="I376" s="34" t="s">
        <v>112</v>
      </c>
      <c r="J376" s="34" t="s">
        <v>31</v>
      </c>
      <c r="K376" s="34" t="s">
        <v>32</v>
      </c>
      <c r="L376" s="34" t="s">
        <v>1755</v>
      </c>
      <c r="M376" s="34" t="s">
        <v>33</v>
      </c>
      <c r="N376" s="49">
        <v>18</v>
      </c>
      <c r="O376" s="50">
        <v>5</v>
      </c>
      <c r="P376" s="51">
        <v>92</v>
      </c>
      <c r="Q376" s="52">
        <v>19.771175700000001</v>
      </c>
      <c r="R376" s="52">
        <v>-101.752934</v>
      </c>
      <c r="S376" s="74" t="s">
        <v>34</v>
      </c>
      <c r="T376" s="74"/>
      <c r="U376" s="74"/>
      <c r="V376" s="74"/>
      <c r="W376" s="74"/>
      <c r="X376" s="74"/>
      <c r="Y376" s="74"/>
      <c r="Z376" s="74"/>
      <c r="AA376" s="75"/>
      <c r="AB376" s="30">
        <f t="shared" si="5"/>
        <v>0.125</v>
      </c>
    </row>
    <row r="377" spans="1:28" x14ac:dyDescent="0.3">
      <c r="A377" s="34" t="s">
        <v>1146</v>
      </c>
      <c r="B377" s="37" t="s">
        <v>25</v>
      </c>
      <c r="C377" s="34" t="s">
        <v>1778</v>
      </c>
      <c r="D377" s="33" t="s">
        <v>1775</v>
      </c>
      <c r="E377" s="34" t="s">
        <v>1141</v>
      </c>
      <c r="F377" s="34" t="s">
        <v>1142</v>
      </c>
      <c r="G377" s="34" t="s">
        <v>111</v>
      </c>
      <c r="H377" s="37">
        <v>1</v>
      </c>
      <c r="I377" s="34" t="s">
        <v>112</v>
      </c>
      <c r="J377" s="34" t="s">
        <v>31</v>
      </c>
      <c r="K377" s="34" t="s">
        <v>32</v>
      </c>
      <c r="L377" s="34" t="s">
        <v>1755</v>
      </c>
      <c r="M377" s="34" t="s">
        <v>33</v>
      </c>
      <c r="N377" s="49">
        <v>24</v>
      </c>
      <c r="O377" s="50">
        <v>3</v>
      </c>
      <c r="P377" s="51">
        <v>101</v>
      </c>
      <c r="Q377" s="52">
        <v>19.530024999999998</v>
      </c>
      <c r="R377" s="52">
        <v>-101.577988</v>
      </c>
      <c r="S377" s="74" t="s">
        <v>34</v>
      </c>
      <c r="T377" s="74"/>
      <c r="U377" s="74"/>
      <c r="V377" s="74"/>
      <c r="W377" s="74"/>
      <c r="X377" s="74"/>
      <c r="Y377" s="74"/>
      <c r="Z377" s="74"/>
      <c r="AA377" s="75"/>
      <c r="AB377" s="30">
        <f t="shared" si="5"/>
        <v>0.125</v>
      </c>
    </row>
    <row r="378" spans="1:28" x14ac:dyDescent="0.3">
      <c r="A378" s="34" t="s">
        <v>1149</v>
      </c>
      <c r="B378" s="37" t="s">
        <v>25</v>
      </c>
      <c r="C378" s="34" t="s">
        <v>1778</v>
      </c>
      <c r="D378" s="33" t="s">
        <v>1775</v>
      </c>
      <c r="E378" s="34" t="s">
        <v>1144</v>
      </c>
      <c r="F378" s="34" t="s">
        <v>1145</v>
      </c>
      <c r="G378" s="34" t="s">
        <v>111</v>
      </c>
      <c r="H378" s="37">
        <v>1</v>
      </c>
      <c r="I378" s="34" t="s">
        <v>112</v>
      </c>
      <c r="J378" s="34" t="s">
        <v>31</v>
      </c>
      <c r="K378" s="34" t="s">
        <v>32</v>
      </c>
      <c r="L378" s="34" t="s">
        <v>1755</v>
      </c>
      <c r="M378" s="34" t="s">
        <v>33</v>
      </c>
      <c r="N378" s="49">
        <v>12</v>
      </c>
      <c r="O378" s="50">
        <v>3</v>
      </c>
      <c r="P378" s="51">
        <v>55</v>
      </c>
      <c r="Q378" s="52">
        <v>19.731490999999998</v>
      </c>
      <c r="R378" s="52">
        <v>-101.105271</v>
      </c>
      <c r="S378" s="74" t="s">
        <v>34</v>
      </c>
      <c r="T378" s="74"/>
      <c r="U378" s="74"/>
      <c r="V378" s="74"/>
      <c r="W378" s="74"/>
      <c r="X378" s="74"/>
      <c r="Y378" s="74"/>
      <c r="Z378" s="74"/>
      <c r="AA378" s="75"/>
      <c r="AB378" s="30">
        <f t="shared" si="5"/>
        <v>0.125</v>
      </c>
    </row>
    <row r="379" spans="1:28" x14ac:dyDescent="0.3">
      <c r="A379" s="34" t="s">
        <v>1151</v>
      </c>
      <c r="B379" s="37" t="s">
        <v>25</v>
      </c>
      <c r="C379" s="34" t="s">
        <v>1778</v>
      </c>
      <c r="D379" s="33" t="s">
        <v>1775</v>
      </c>
      <c r="E379" s="34" t="s">
        <v>1147</v>
      </c>
      <c r="F379" s="34" t="s">
        <v>1148</v>
      </c>
      <c r="G379" s="34" t="s">
        <v>111</v>
      </c>
      <c r="H379" s="37">
        <v>1</v>
      </c>
      <c r="I379" s="34" t="s">
        <v>112</v>
      </c>
      <c r="J379" s="34" t="s">
        <v>31</v>
      </c>
      <c r="K379" s="34" t="s">
        <v>32</v>
      </c>
      <c r="L379" s="34" t="s">
        <v>1755</v>
      </c>
      <c r="M379" s="34" t="s">
        <v>84</v>
      </c>
      <c r="N379" s="49">
        <v>15</v>
      </c>
      <c r="O379" s="50">
        <v>3</v>
      </c>
      <c r="P379" s="51">
        <v>52</v>
      </c>
      <c r="Q379" s="52">
        <v>19.908397999999998</v>
      </c>
      <c r="R379" s="52">
        <v>-100.4513</v>
      </c>
      <c r="S379" s="74" t="s">
        <v>34</v>
      </c>
      <c r="T379" s="74"/>
      <c r="U379" s="74"/>
      <c r="V379" s="74"/>
      <c r="W379" s="74"/>
      <c r="X379" s="74"/>
      <c r="Y379" s="74"/>
      <c r="Z379" s="74"/>
      <c r="AA379" s="75"/>
      <c r="AB379" s="30">
        <f t="shared" si="5"/>
        <v>0.125</v>
      </c>
    </row>
    <row r="380" spans="1:28" x14ac:dyDescent="0.3">
      <c r="A380" s="34" t="s">
        <v>1154</v>
      </c>
      <c r="B380" s="37" t="s">
        <v>25</v>
      </c>
      <c r="C380" s="34" t="s">
        <v>1778</v>
      </c>
      <c r="D380" s="33" t="s">
        <v>1775</v>
      </c>
      <c r="E380" s="34" t="s">
        <v>1126</v>
      </c>
      <c r="F380" s="34" t="s">
        <v>1150</v>
      </c>
      <c r="G380" s="34" t="s">
        <v>111</v>
      </c>
      <c r="H380" s="37">
        <v>1</v>
      </c>
      <c r="I380" s="34" t="s">
        <v>155</v>
      </c>
      <c r="J380" s="34" t="s">
        <v>31</v>
      </c>
      <c r="K380" s="34" t="s">
        <v>32</v>
      </c>
      <c r="L380" s="34" t="s">
        <v>1756</v>
      </c>
      <c r="M380" s="34" t="s">
        <v>84</v>
      </c>
      <c r="N380" s="49">
        <v>52</v>
      </c>
      <c r="O380" s="50">
        <v>16</v>
      </c>
      <c r="P380" s="51">
        <v>386</v>
      </c>
      <c r="Q380" s="52">
        <v>20.127882</v>
      </c>
      <c r="R380" s="52">
        <v>-101.52354800000001</v>
      </c>
      <c r="S380" s="74" t="s">
        <v>34</v>
      </c>
      <c r="T380" s="74"/>
      <c r="U380" s="74"/>
      <c r="V380" s="74"/>
      <c r="W380" s="74"/>
      <c r="X380" s="74"/>
      <c r="Y380" s="74"/>
      <c r="Z380" s="74"/>
      <c r="AA380" s="75"/>
      <c r="AB380" s="30">
        <f t="shared" si="5"/>
        <v>0.125</v>
      </c>
    </row>
    <row r="381" spans="1:28" x14ac:dyDescent="0.3">
      <c r="A381" s="34" t="s">
        <v>1157</v>
      </c>
      <c r="B381" s="37" t="s">
        <v>25</v>
      </c>
      <c r="C381" s="34" t="s">
        <v>1778</v>
      </c>
      <c r="D381" s="33" t="s">
        <v>1775</v>
      </c>
      <c r="E381" s="34" t="s">
        <v>1152</v>
      </c>
      <c r="F381" s="34" t="s">
        <v>1153</v>
      </c>
      <c r="G381" s="34" t="s">
        <v>111</v>
      </c>
      <c r="H381" s="37">
        <v>1</v>
      </c>
      <c r="I381" s="34" t="s">
        <v>112</v>
      </c>
      <c r="J381" s="34" t="s">
        <v>31</v>
      </c>
      <c r="K381" s="34" t="s">
        <v>32</v>
      </c>
      <c r="L381" s="34" t="s">
        <v>1755</v>
      </c>
      <c r="M381" s="34" t="s">
        <v>33</v>
      </c>
      <c r="N381" s="49">
        <v>15</v>
      </c>
      <c r="O381" s="50">
        <v>3</v>
      </c>
      <c r="P381" s="51">
        <v>52</v>
      </c>
      <c r="Q381" s="52">
        <v>19.677021</v>
      </c>
      <c r="R381" s="52">
        <v>-100.517276</v>
      </c>
      <c r="S381" s="74" t="s">
        <v>34</v>
      </c>
      <c r="T381" s="74"/>
      <c r="U381" s="74"/>
      <c r="V381" s="74"/>
      <c r="W381" s="74"/>
      <c r="X381" s="74"/>
      <c r="Y381" s="74"/>
      <c r="Z381" s="74"/>
      <c r="AA381" s="75"/>
      <c r="AB381" s="30">
        <f t="shared" si="5"/>
        <v>0.125</v>
      </c>
    </row>
    <row r="382" spans="1:28" x14ac:dyDescent="0.3">
      <c r="A382" s="34" t="s">
        <v>1159</v>
      </c>
      <c r="B382" s="37" t="s">
        <v>25</v>
      </c>
      <c r="C382" s="34" t="s">
        <v>1778</v>
      </c>
      <c r="D382" s="33" t="s">
        <v>1775</v>
      </c>
      <c r="E382" s="34" t="s">
        <v>1155</v>
      </c>
      <c r="F382" s="34" t="s">
        <v>1156</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74" t="s">
        <v>34</v>
      </c>
      <c r="T382" s="74"/>
      <c r="U382" s="74"/>
      <c r="V382" s="74"/>
      <c r="W382" s="74"/>
      <c r="X382" s="74"/>
      <c r="Y382" s="74"/>
      <c r="Z382" s="74"/>
      <c r="AA382" s="75"/>
      <c r="AB382" s="30">
        <f t="shared" si="5"/>
        <v>0.125</v>
      </c>
    </row>
    <row r="383" spans="1:28" x14ac:dyDescent="0.3">
      <c r="A383" s="34" t="s">
        <v>1162</v>
      </c>
      <c r="B383" s="37" t="s">
        <v>25</v>
      </c>
      <c r="C383" s="34" t="s">
        <v>1778</v>
      </c>
      <c r="D383" s="33" t="s">
        <v>1775</v>
      </c>
      <c r="E383" s="34" t="s">
        <v>305</v>
      </c>
      <c r="F383" s="34" t="s">
        <v>1158</v>
      </c>
      <c r="G383" s="34" t="s">
        <v>111</v>
      </c>
      <c r="H383" s="37">
        <v>1</v>
      </c>
      <c r="I383" s="34" t="s">
        <v>112</v>
      </c>
      <c r="J383" s="34" t="s">
        <v>31</v>
      </c>
      <c r="K383" s="34" t="s">
        <v>32</v>
      </c>
      <c r="L383" s="34" t="s">
        <v>1755</v>
      </c>
      <c r="M383" s="34" t="s">
        <v>33</v>
      </c>
      <c r="N383" s="49">
        <v>19</v>
      </c>
      <c r="O383" s="50">
        <v>3</v>
      </c>
      <c r="P383" s="51">
        <v>53</v>
      </c>
      <c r="Q383" s="52">
        <v>20.319358999999999</v>
      </c>
      <c r="R383" s="52">
        <v>-102.018441</v>
      </c>
      <c r="S383" s="74" t="s">
        <v>34</v>
      </c>
      <c r="T383" s="74"/>
      <c r="U383" s="74"/>
      <c r="V383" s="74"/>
      <c r="W383" s="74"/>
      <c r="X383" s="74"/>
      <c r="Y383" s="74"/>
      <c r="Z383" s="74"/>
      <c r="AA383" s="75"/>
      <c r="AB383" s="30">
        <f t="shared" si="5"/>
        <v>0.125</v>
      </c>
    </row>
    <row r="384" spans="1:28" x14ac:dyDescent="0.3">
      <c r="A384" s="34" t="s">
        <v>1165</v>
      </c>
      <c r="B384" s="37" t="s">
        <v>25</v>
      </c>
      <c r="C384" s="34" t="s">
        <v>1778</v>
      </c>
      <c r="D384" s="33" t="s">
        <v>1775</v>
      </c>
      <c r="E384" s="34" t="s">
        <v>1160</v>
      </c>
      <c r="F384" s="34" t="s">
        <v>1161</v>
      </c>
      <c r="G384" s="34" t="s">
        <v>111</v>
      </c>
      <c r="H384" s="37">
        <v>1</v>
      </c>
      <c r="I384" s="34" t="s">
        <v>112</v>
      </c>
      <c r="J384" s="34" t="s">
        <v>31</v>
      </c>
      <c r="K384" s="34" t="s">
        <v>32</v>
      </c>
      <c r="L384" s="34" t="s">
        <v>1755</v>
      </c>
      <c r="M384" s="34" t="s">
        <v>33</v>
      </c>
      <c r="N384" s="49">
        <v>11</v>
      </c>
      <c r="O384" s="50">
        <v>3</v>
      </c>
      <c r="P384" s="51">
        <v>47</v>
      </c>
      <c r="Q384" s="52">
        <v>19.064997999999999</v>
      </c>
      <c r="R384" s="52">
        <v>-102.325361</v>
      </c>
      <c r="S384" s="74" t="s">
        <v>34</v>
      </c>
      <c r="T384" s="74"/>
      <c r="U384" s="74"/>
      <c r="V384" s="74"/>
      <c r="W384" s="74"/>
      <c r="X384" s="74"/>
      <c r="Y384" s="74"/>
      <c r="Z384" s="74"/>
      <c r="AA384" s="75"/>
      <c r="AB384" s="30">
        <f t="shared" si="5"/>
        <v>0.125</v>
      </c>
    </row>
    <row r="385" spans="1:28" x14ac:dyDescent="0.3">
      <c r="A385" s="34" t="s">
        <v>1177</v>
      </c>
      <c r="B385" s="37" t="s">
        <v>25</v>
      </c>
      <c r="C385" s="34" t="s">
        <v>440</v>
      </c>
      <c r="D385" s="33" t="s">
        <v>1775</v>
      </c>
      <c r="E385" s="34" t="s">
        <v>1163</v>
      </c>
      <c r="F385" s="34" t="s">
        <v>1164</v>
      </c>
      <c r="G385" s="34" t="s">
        <v>111</v>
      </c>
      <c r="H385" s="37">
        <v>1</v>
      </c>
      <c r="I385" s="34" t="s">
        <v>112</v>
      </c>
      <c r="J385" s="34" t="s">
        <v>31</v>
      </c>
      <c r="K385" s="34" t="s">
        <v>32</v>
      </c>
      <c r="L385" s="34" t="s">
        <v>1755</v>
      </c>
      <c r="M385" s="34" t="s">
        <v>33</v>
      </c>
      <c r="N385" s="49">
        <v>19</v>
      </c>
      <c r="O385" s="50">
        <v>5</v>
      </c>
      <c r="P385" s="51">
        <v>85</v>
      </c>
      <c r="Q385" s="52">
        <v>18.845500000000001</v>
      </c>
      <c r="R385" s="52">
        <v>-98.939099999999996</v>
      </c>
      <c r="S385" s="74" t="s">
        <v>34</v>
      </c>
      <c r="T385" s="74"/>
      <c r="U385" s="74" t="s">
        <v>213</v>
      </c>
      <c r="V385" s="74" t="s">
        <v>213</v>
      </c>
      <c r="W385" s="74"/>
      <c r="X385" s="74"/>
      <c r="Y385" s="74"/>
      <c r="Z385" s="74"/>
      <c r="AA385" s="75"/>
      <c r="AB385" s="30">
        <f t="shared" si="5"/>
        <v>0.29166666666666663</v>
      </c>
    </row>
    <row r="386" spans="1:28" x14ac:dyDescent="0.3">
      <c r="A386" s="34" t="s">
        <v>1565</v>
      </c>
      <c r="B386" s="37" t="s">
        <v>25</v>
      </c>
      <c r="C386" s="34" t="s">
        <v>440</v>
      </c>
      <c r="D386" s="33" t="s">
        <v>1775</v>
      </c>
      <c r="E386" s="34" t="s">
        <v>1166</v>
      </c>
      <c r="F386" s="34" t="s">
        <v>1167</v>
      </c>
      <c r="G386" s="34" t="s">
        <v>111</v>
      </c>
      <c r="H386" s="37">
        <v>1</v>
      </c>
      <c r="I386" s="34" t="s">
        <v>112</v>
      </c>
      <c r="J386" s="34" t="s">
        <v>31</v>
      </c>
      <c r="K386" s="34" t="s">
        <v>32</v>
      </c>
      <c r="L386" s="34" t="s">
        <v>1755</v>
      </c>
      <c r="M386" s="34" t="s">
        <v>33</v>
      </c>
      <c r="N386" s="49">
        <v>18</v>
      </c>
      <c r="O386" s="50">
        <v>6</v>
      </c>
      <c r="P386" s="51">
        <v>93</v>
      </c>
      <c r="Q386" s="52">
        <v>18.9359</v>
      </c>
      <c r="R386" s="52">
        <v>-99.233500000000006</v>
      </c>
      <c r="S386" s="74" t="s">
        <v>34</v>
      </c>
      <c r="T386" s="74"/>
      <c r="U386" s="74" t="s">
        <v>213</v>
      </c>
      <c r="V386" s="74" t="s">
        <v>213</v>
      </c>
      <c r="W386" s="74"/>
      <c r="X386" s="74"/>
      <c r="Y386" s="74"/>
      <c r="Z386" s="74"/>
      <c r="AA386" s="75"/>
      <c r="AB386" s="30">
        <f t="shared" ref="AB386:AB449" si="6">(
IF(S386="ENVIADO A LA CE/UM",1/3,IF(S386="ENTREGADO/REVISIÓN",2/3,IF(S386="ENVIADO A TICS",1,0)))+
IF(T386="EN PROCESO",0,IF(T386="CONCLUIDO",1,0))+
IF(U386="ENVIADO A LA CE/UM",1/3,IF(U386="EN REVISIÓN CENTRAL",2/3,IF(U386="CONCLUIDO",1,0)))+
IF(V386="ENVIADO A LA CE/UM",1/3,IF(V386="EN REVISIÓN CENTRAL",2/3,IF(V386="CONCLUIDO",1,0)))+
IF(W386="ENVIADO",1/3,IF(W386="EN PROCESO",2/3,IF(W386="CONCLUIDO",1,0)))+
IF(X386="PROGRAMADAS",0,IF(X386="CONCLUIDAS",1,0))+
IF(Y386="SI",1,IF(Y386="NO",0,0))+
IF(Z386="SI",1,IF(Z386="NO",0,0))
)/8</f>
        <v>0.29166666666666663</v>
      </c>
    </row>
    <row r="387" spans="1:28" x14ac:dyDescent="0.3">
      <c r="A387" s="34" t="s">
        <v>1183</v>
      </c>
      <c r="B387" s="37" t="s">
        <v>25</v>
      </c>
      <c r="C387" s="34" t="s">
        <v>440</v>
      </c>
      <c r="D387" s="33" t="s">
        <v>1775</v>
      </c>
      <c r="E387" s="34" t="s">
        <v>1178</v>
      </c>
      <c r="F387" s="34" t="s">
        <v>1179</v>
      </c>
      <c r="G387" s="34" t="s">
        <v>111</v>
      </c>
      <c r="H387" s="37">
        <v>1</v>
      </c>
      <c r="I387" s="34" t="s">
        <v>112</v>
      </c>
      <c r="J387" s="34" t="s">
        <v>31</v>
      </c>
      <c r="K387" s="34" t="s">
        <v>32</v>
      </c>
      <c r="L387" s="34" t="s">
        <v>1755</v>
      </c>
      <c r="M387" s="34" t="s">
        <v>33</v>
      </c>
      <c r="N387" s="49">
        <v>12</v>
      </c>
      <c r="O387" s="50">
        <v>4</v>
      </c>
      <c r="P387" s="51">
        <v>57</v>
      </c>
      <c r="Q387" s="52">
        <v>18.617699999999999</v>
      </c>
      <c r="R387" s="52">
        <v>-99.190700000000007</v>
      </c>
      <c r="S387" s="74" t="s">
        <v>34</v>
      </c>
      <c r="T387" s="74"/>
      <c r="U387" s="74" t="s">
        <v>213</v>
      </c>
      <c r="V387" s="74" t="s">
        <v>213</v>
      </c>
      <c r="W387" s="74"/>
      <c r="X387" s="74"/>
      <c r="Y387" s="74"/>
      <c r="Z387" s="74"/>
      <c r="AA387" s="75"/>
      <c r="AB387" s="30">
        <f t="shared" si="6"/>
        <v>0.29166666666666663</v>
      </c>
    </row>
    <row r="388" spans="1:28" x14ac:dyDescent="0.3">
      <c r="A388" s="34" t="s">
        <v>1646</v>
      </c>
      <c r="B388" s="37" t="s">
        <v>25</v>
      </c>
      <c r="C388" s="34" t="s">
        <v>440</v>
      </c>
      <c r="D388" s="33" t="s">
        <v>1775</v>
      </c>
      <c r="E388" s="34" t="s">
        <v>1566</v>
      </c>
      <c r="F388" s="34" t="s">
        <v>1564</v>
      </c>
      <c r="G388" s="34" t="s">
        <v>164</v>
      </c>
      <c r="H388" s="37">
        <v>2</v>
      </c>
      <c r="I388" s="34" t="s">
        <v>155</v>
      </c>
      <c r="J388" s="34" t="s">
        <v>31</v>
      </c>
      <c r="K388" s="34" t="s">
        <v>32</v>
      </c>
      <c r="L388" s="34" t="s">
        <v>1755</v>
      </c>
      <c r="M388" s="34" t="s">
        <v>33</v>
      </c>
      <c r="N388" s="49">
        <v>13</v>
      </c>
      <c r="O388" s="50">
        <v>3</v>
      </c>
      <c r="P388" s="51">
        <v>59</v>
      </c>
      <c r="Q388" s="52">
        <v>18.730795799999999</v>
      </c>
      <c r="R388" s="52">
        <v>-99.389778100000001</v>
      </c>
      <c r="S388" s="74" t="s">
        <v>34</v>
      </c>
      <c r="T388" s="74"/>
      <c r="U388" s="74" t="s">
        <v>213</v>
      </c>
      <c r="V388" s="74" t="s">
        <v>213</v>
      </c>
      <c r="W388" s="74"/>
      <c r="X388" s="74"/>
      <c r="Y388" s="74"/>
      <c r="Z388" s="74"/>
      <c r="AA388" s="75"/>
      <c r="AB388" s="30">
        <f t="shared" si="6"/>
        <v>0.29166666666666663</v>
      </c>
    </row>
    <row r="389" spans="1:28" x14ac:dyDescent="0.3">
      <c r="A389" s="34" t="s">
        <v>1174</v>
      </c>
      <c r="B389" s="37" t="s">
        <v>25</v>
      </c>
      <c r="C389" s="34" t="s">
        <v>440</v>
      </c>
      <c r="D389" s="33" t="s">
        <v>1775</v>
      </c>
      <c r="E389" s="34" t="s">
        <v>1184</v>
      </c>
      <c r="F389" s="34" t="s">
        <v>1185</v>
      </c>
      <c r="G389" s="34" t="s">
        <v>111</v>
      </c>
      <c r="H389" s="37">
        <v>1</v>
      </c>
      <c r="I389" s="34" t="s">
        <v>112</v>
      </c>
      <c r="J389" s="34" t="s">
        <v>31</v>
      </c>
      <c r="K389" s="34" t="s">
        <v>32</v>
      </c>
      <c r="L389" s="34" t="s">
        <v>1755</v>
      </c>
      <c r="M389" s="34" t="s">
        <v>33</v>
      </c>
      <c r="N389" s="49">
        <v>10</v>
      </c>
      <c r="O389" s="50">
        <v>2</v>
      </c>
      <c r="P389" s="51">
        <v>68</v>
      </c>
      <c r="Q389" s="52">
        <v>18.836831100000001</v>
      </c>
      <c r="R389" s="52">
        <v>-99.239024700000002</v>
      </c>
      <c r="S389" s="74" t="s">
        <v>34</v>
      </c>
      <c r="T389" s="74"/>
      <c r="U389" s="74" t="s">
        <v>213</v>
      </c>
      <c r="V389" s="74" t="s">
        <v>213</v>
      </c>
      <c r="W389" s="74"/>
      <c r="X389" s="74"/>
      <c r="Y389" s="74"/>
      <c r="Z389" s="74"/>
      <c r="AA389" s="75"/>
      <c r="AB389" s="30">
        <f t="shared" si="6"/>
        <v>0.29166666666666663</v>
      </c>
    </row>
    <row r="390" spans="1:28" x14ac:dyDescent="0.3">
      <c r="A390" s="34" t="s">
        <v>1168</v>
      </c>
      <c r="B390" s="37" t="s">
        <v>25</v>
      </c>
      <c r="C390" s="34" t="s">
        <v>440</v>
      </c>
      <c r="D390" s="33" t="s">
        <v>1775</v>
      </c>
      <c r="E390" s="34" t="s">
        <v>1380</v>
      </c>
      <c r="F390" s="34" t="s">
        <v>1647</v>
      </c>
      <c r="G390" s="34" t="s">
        <v>941</v>
      </c>
      <c r="H390" s="37">
        <v>2</v>
      </c>
      <c r="I390" s="34" t="s">
        <v>155</v>
      </c>
      <c r="J390" s="34" t="s">
        <v>31</v>
      </c>
      <c r="K390" s="34" t="s">
        <v>32</v>
      </c>
      <c r="L390" s="34" t="s">
        <v>1756</v>
      </c>
      <c r="M390" s="34" t="s">
        <v>33</v>
      </c>
      <c r="N390" s="49">
        <v>42</v>
      </c>
      <c r="O390" s="50">
        <v>5</v>
      </c>
      <c r="P390" s="51">
        <v>82</v>
      </c>
      <c r="Q390" s="52">
        <v>18.488446799999998</v>
      </c>
      <c r="R390" s="52">
        <v>-98.762501799999995</v>
      </c>
      <c r="S390" s="74" t="s">
        <v>34</v>
      </c>
      <c r="T390" s="74"/>
      <c r="U390" s="74" t="s">
        <v>213</v>
      </c>
      <c r="V390" s="74" t="s">
        <v>213</v>
      </c>
      <c r="W390" s="74"/>
      <c r="X390" s="74"/>
      <c r="Y390" s="74"/>
      <c r="Z390" s="74"/>
      <c r="AA390" s="75"/>
      <c r="AB390" s="30">
        <f t="shared" si="6"/>
        <v>0.29166666666666663</v>
      </c>
    </row>
    <row r="391" spans="1:28" x14ac:dyDescent="0.3">
      <c r="A391" s="34" t="s">
        <v>1186</v>
      </c>
      <c r="B391" s="37" t="s">
        <v>25</v>
      </c>
      <c r="C391" s="34" t="s">
        <v>450</v>
      </c>
      <c r="D391" s="33" t="s">
        <v>1775</v>
      </c>
      <c r="E391" s="34" t="s">
        <v>1175</v>
      </c>
      <c r="F391" s="34" t="s">
        <v>1176</v>
      </c>
      <c r="G391" s="34" t="s">
        <v>111</v>
      </c>
      <c r="H391" s="37">
        <v>1</v>
      </c>
      <c r="I391" s="34" t="s">
        <v>112</v>
      </c>
      <c r="J391" s="34" t="s">
        <v>31</v>
      </c>
      <c r="K391" s="34" t="s">
        <v>32</v>
      </c>
      <c r="L391" s="34" t="s">
        <v>1755</v>
      </c>
      <c r="M391" s="34" t="s">
        <v>33</v>
      </c>
      <c r="N391" s="49">
        <v>22</v>
      </c>
      <c r="O391" s="50">
        <v>5</v>
      </c>
      <c r="P391" s="51">
        <v>112</v>
      </c>
      <c r="Q391" s="52">
        <v>22.115096900000001</v>
      </c>
      <c r="R391" s="52">
        <v>-105.2094934</v>
      </c>
      <c r="S391" s="74" t="s">
        <v>34</v>
      </c>
      <c r="T391" s="74"/>
      <c r="U391" s="74" t="s">
        <v>213</v>
      </c>
      <c r="V391" s="74" t="s">
        <v>213</v>
      </c>
      <c r="W391" s="74"/>
      <c r="X391" s="74"/>
      <c r="Y391" s="74"/>
      <c r="Z391" s="74"/>
      <c r="AA391" s="75"/>
      <c r="AB391" s="30">
        <f t="shared" si="6"/>
        <v>0.29166666666666663</v>
      </c>
    </row>
    <row r="392" spans="1:28" x14ac:dyDescent="0.3">
      <c r="A392" s="34" t="s">
        <v>1189</v>
      </c>
      <c r="B392" s="37" t="s">
        <v>25</v>
      </c>
      <c r="C392" s="34" t="s">
        <v>450</v>
      </c>
      <c r="D392" s="33" t="s">
        <v>1775</v>
      </c>
      <c r="E392" s="34" t="s">
        <v>1169</v>
      </c>
      <c r="F392" s="34" t="s">
        <v>1170</v>
      </c>
      <c r="G392" s="34" t="s">
        <v>111</v>
      </c>
      <c r="H392" s="37">
        <v>1</v>
      </c>
      <c r="I392" s="34" t="s">
        <v>112</v>
      </c>
      <c r="J392" s="34" t="s">
        <v>31</v>
      </c>
      <c r="K392" s="34" t="s">
        <v>32</v>
      </c>
      <c r="L392" s="34" t="s">
        <v>1755</v>
      </c>
      <c r="M392" s="34" t="s">
        <v>33</v>
      </c>
      <c r="N392" s="49">
        <v>22</v>
      </c>
      <c r="O392" s="50">
        <v>6</v>
      </c>
      <c r="P392" s="51">
        <v>140</v>
      </c>
      <c r="Q392" s="52">
        <v>21.5010461</v>
      </c>
      <c r="R392" s="52">
        <v>-104.89762899999999</v>
      </c>
      <c r="S392" s="74" t="s">
        <v>34</v>
      </c>
      <c r="T392" s="74"/>
      <c r="U392" s="74" t="s">
        <v>213</v>
      </c>
      <c r="V392" s="74" t="s">
        <v>213</v>
      </c>
      <c r="W392" s="74"/>
      <c r="X392" s="74"/>
      <c r="Y392" s="74"/>
      <c r="Z392" s="74"/>
      <c r="AA392" s="75"/>
      <c r="AB392" s="30">
        <f t="shared" si="6"/>
        <v>0.29166666666666663</v>
      </c>
    </row>
    <row r="393" spans="1:28" x14ac:dyDescent="0.3">
      <c r="A393" s="34" t="s">
        <v>1192</v>
      </c>
      <c r="B393" s="37" t="s">
        <v>25</v>
      </c>
      <c r="C393" s="34" t="s">
        <v>450</v>
      </c>
      <c r="D393" s="33" t="s">
        <v>1775</v>
      </c>
      <c r="E393" s="34" t="s">
        <v>1187</v>
      </c>
      <c r="F393" s="34" t="s">
        <v>1188</v>
      </c>
      <c r="G393" s="34" t="s">
        <v>111</v>
      </c>
      <c r="H393" s="37">
        <v>1</v>
      </c>
      <c r="I393" s="34" t="s">
        <v>112</v>
      </c>
      <c r="J393" s="34" t="s">
        <v>31</v>
      </c>
      <c r="K393" s="34" t="s">
        <v>32</v>
      </c>
      <c r="L393" s="34" t="s">
        <v>1755</v>
      </c>
      <c r="M393" s="34" t="s">
        <v>33</v>
      </c>
      <c r="N393" s="49">
        <v>11</v>
      </c>
      <c r="O393" s="50">
        <v>2</v>
      </c>
      <c r="P393" s="51">
        <v>55</v>
      </c>
      <c r="Q393" s="52">
        <v>20.900723299999999</v>
      </c>
      <c r="R393" s="52">
        <v>-105.4103064</v>
      </c>
      <c r="S393" s="74" t="s">
        <v>34</v>
      </c>
      <c r="T393" s="74"/>
      <c r="U393" s="74" t="s">
        <v>213</v>
      </c>
      <c r="V393" s="74" t="s">
        <v>213</v>
      </c>
      <c r="W393" s="74"/>
      <c r="X393" s="74"/>
      <c r="Y393" s="74"/>
      <c r="Z393" s="74"/>
      <c r="AA393" s="75"/>
      <c r="AB393" s="30">
        <f t="shared" si="6"/>
        <v>0.29166666666666663</v>
      </c>
    </row>
    <row r="394" spans="1:28" x14ac:dyDescent="0.3">
      <c r="A394" s="34" t="s">
        <v>1194</v>
      </c>
      <c r="B394" s="37" t="s">
        <v>25</v>
      </c>
      <c r="C394" s="34" t="s">
        <v>450</v>
      </c>
      <c r="D394" s="33" t="s">
        <v>1775</v>
      </c>
      <c r="E394" s="34" t="s">
        <v>1190</v>
      </c>
      <c r="F394" s="34" t="s">
        <v>1191</v>
      </c>
      <c r="G394" s="34" t="s">
        <v>111</v>
      </c>
      <c r="H394" s="37">
        <v>1</v>
      </c>
      <c r="I394" s="34" t="s">
        <v>112</v>
      </c>
      <c r="J394" s="34" t="s">
        <v>31</v>
      </c>
      <c r="K394" s="34" t="s">
        <v>32</v>
      </c>
      <c r="L394" s="34" t="s">
        <v>1756</v>
      </c>
      <c r="M394" s="34" t="s">
        <v>33</v>
      </c>
      <c r="N394" s="49">
        <v>31</v>
      </c>
      <c r="O394" s="50">
        <v>5</v>
      </c>
      <c r="P394" s="51">
        <v>213</v>
      </c>
      <c r="Q394" s="52">
        <v>21.812328600000001</v>
      </c>
      <c r="R394" s="52">
        <v>-105.20890110000001</v>
      </c>
      <c r="S394" s="74" t="s">
        <v>34</v>
      </c>
      <c r="T394" s="74"/>
      <c r="U394" s="74" t="s">
        <v>213</v>
      </c>
      <c r="V394" s="74" t="s">
        <v>213</v>
      </c>
      <c r="W394" s="74"/>
      <c r="X394" s="74"/>
      <c r="Y394" s="74"/>
      <c r="Z394" s="74"/>
      <c r="AA394" s="75"/>
      <c r="AB394" s="30">
        <f t="shared" si="6"/>
        <v>0.29166666666666663</v>
      </c>
    </row>
    <row r="395" spans="1:28" x14ac:dyDescent="0.3">
      <c r="A395" s="34" t="s">
        <v>1197</v>
      </c>
      <c r="B395" s="37" t="s">
        <v>25</v>
      </c>
      <c r="C395" s="34" t="s">
        <v>477</v>
      </c>
      <c r="D395" s="33" t="s">
        <v>1775</v>
      </c>
      <c r="E395" s="34" t="s">
        <v>463</v>
      </c>
      <c r="F395" s="34" t="s">
        <v>1193</v>
      </c>
      <c r="G395" s="34" t="s">
        <v>111</v>
      </c>
      <c r="H395" s="37">
        <v>1</v>
      </c>
      <c r="I395" s="34" t="s">
        <v>112</v>
      </c>
      <c r="J395" s="34" t="s">
        <v>31</v>
      </c>
      <c r="K395" s="34" t="s">
        <v>32</v>
      </c>
      <c r="L395" s="34" t="s">
        <v>1755</v>
      </c>
      <c r="M395" s="34" t="s">
        <v>84</v>
      </c>
      <c r="N395" s="49">
        <v>12</v>
      </c>
      <c r="O395" s="50">
        <v>1</v>
      </c>
      <c r="P395" s="51">
        <v>42</v>
      </c>
      <c r="Q395" s="52">
        <v>17.811642500000001</v>
      </c>
      <c r="R395" s="52">
        <v>-97.772613399999997</v>
      </c>
      <c r="S395" s="74" t="s">
        <v>34</v>
      </c>
      <c r="T395" s="74"/>
      <c r="U395" s="74"/>
      <c r="V395" s="74"/>
      <c r="W395" s="74"/>
      <c r="X395" s="74"/>
      <c r="Y395" s="74"/>
      <c r="Z395" s="74"/>
      <c r="AA395" s="75"/>
      <c r="AB395" s="30">
        <f t="shared" si="6"/>
        <v>0.125</v>
      </c>
    </row>
    <row r="396" spans="1:28" x14ac:dyDescent="0.3">
      <c r="A396" s="34" t="s">
        <v>1200</v>
      </c>
      <c r="B396" s="37" t="s">
        <v>25</v>
      </c>
      <c r="C396" s="34" t="s">
        <v>477</v>
      </c>
      <c r="D396" s="33" t="s">
        <v>1775</v>
      </c>
      <c r="E396" s="34" t="s">
        <v>1195</v>
      </c>
      <c r="F396" s="34" t="s">
        <v>1196</v>
      </c>
      <c r="G396" s="34" t="s">
        <v>111</v>
      </c>
      <c r="H396" s="37">
        <v>1</v>
      </c>
      <c r="I396" s="34" t="s">
        <v>112</v>
      </c>
      <c r="J396" s="34" t="s">
        <v>31</v>
      </c>
      <c r="K396" s="34" t="s">
        <v>32</v>
      </c>
      <c r="L396" s="34" t="s">
        <v>1755</v>
      </c>
      <c r="M396" s="34" t="s">
        <v>33</v>
      </c>
      <c r="N396" s="49">
        <v>15</v>
      </c>
      <c r="O396" s="50">
        <v>3</v>
      </c>
      <c r="P396" s="51">
        <v>47</v>
      </c>
      <c r="Q396" s="52">
        <v>17.0820483</v>
      </c>
      <c r="R396" s="52">
        <v>-96.718172699999997</v>
      </c>
      <c r="S396" s="74" t="s">
        <v>34</v>
      </c>
      <c r="T396" s="74"/>
      <c r="U396" s="74"/>
      <c r="V396" s="74"/>
      <c r="W396" s="74"/>
      <c r="X396" s="74"/>
      <c r="Y396" s="74"/>
      <c r="Z396" s="74"/>
      <c r="AA396" s="75"/>
      <c r="AB396" s="30">
        <f t="shared" si="6"/>
        <v>0.125</v>
      </c>
    </row>
    <row r="397" spans="1:28" x14ac:dyDescent="0.3">
      <c r="A397" s="34" t="s">
        <v>1203</v>
      </c>
      <c r="B397" s="37" t="s">
        <v>25</v>
      </c>
      <c r="C397" s="34" t="s">
        <v>477</v>
      </c>
      <c r="D397" s="33" t="s">
        <v>1775</v>
      </c>
      <c r="E397" s="34" t="s">
        <v>1198</v>
      </c>
      <c r="F397" s="34" t="s">
        <v>1199</v>
      </c>
      <c r="G397" s="34" t="s">
        <v>111</v>
      </c>
      <c r="H397" s="37">
        <v>1</v>
      </c>
      <c r="I397" s="34" t="s">
        <v>112</v>
      </c>
      <c r="J397" s="34" t="s">
        <v>31</v>
      </c>
      <c r="K397" s="34" t="s">
        <v>32</v>
      </c>
      <c r="L397" s="34" t="s">
        <v>1755</v>
      </c>
      <c r="M397" s="34" t="s">
        <v>33</v>
      </c>
      <c r="N397" s="49">
        <v>8</v>
      </c>
      <c r="O397" s="50">
        <v>3</v>
      </c>
      <c r="P397" s="51">
        <v>49</v>
      </c>
      <c r="Q397" s="52">
        <v>17.808215499999999</v>
      </c>
      <c r="R397" s="52">
        <v>-96.959426699999995</v>
      </c>
      <c r="S397" s="74" t="s">
        <v>34</v>
      </c>
      <c r="T397" s="74"/>
      <c r="U397" s="74"/>
      <c r="V397" s="74"/>
      <c r="W397" s="74"/>
      <c r="X397" s="74"/>
      <c r="Y397" s="74"/>
      <c r="Z397" s="74"/>
      <c r="AA397" s="75"/>
      <c r="AB397" s="30">
        <f t="shared" si="6"/>
        <v>0.125</v>
      </c>
    </row>
    <row r="398" spans="1:28" x14ac:dyDescent="0.3">
      <c r="A398" s="34" t="s">
        <v>1206</v>
      </c>
      <c r="B398" s="37" t="s">
        <v>25</v>
      </c>
      <c r="C398" s="34" t="s">
        <v>477</v>
      </c>
      <c r="D398" s="33" t="s">
        <v>1775</v>
      </c>
      <c r="E398" s="34" t="s">
        <v>1201</v>
      </c>
      <c r="F398" s="34" t="s">
        <v>1202</v>
      </c>
      <c r="G398" s="34" t="s">
        <v>111</v>
      </c>
      <c r="H398" s="37">
        <v>1</v>
      </c>
      <c r="I398" s="34" t="s">
        <v>112</v>
      </c>
      <c r="J398" s="34" t="s">
        <v>31</v>
      </c>
      <c r="K398" s="34" t="s">
        <v>32</v>
      </c>
      <c r="L398" s="34" t="s">
        <v>1755</v>
      </c>
      <c r="M398" s="34" t="s">
        <v>33</v>
      </c>
      <c r="N398" s="49">
        <v>23</v>
      </c>
      <c r="O398" s="50">
        <v>7</v>
      </c>
      <c r="P398" s="51">
        <v>237</v>
      </c>
      <c r="Q398" s="52">
        <v>17.446353200000001</v>
      </c>
      <c r="R398" s="52">
        <v>-95.430858099999995</v>
      </c>
      <c r="S398" s="74" t="s">
        <v>34</v>
      </c>
      <c r="T398" s="74"/>
      <c r="U398" s="74"/>
      <c r="V398" s="74"/>
      <c r="W398" s="74"/>
      <c r="X398" s="74"/>
      <c r="Y398" s="74"/>
      <c r="Z398" s="74"/>
      <c r="AA398" s="75"/>
      <c r="AB398" s="30">
        <f t="shared" si="6"/>
        <v>0.125</v>
      </c>
    </row>
    <row r="399" spans="1:28" x14ac:dyDescent="0.3">
      <c r="A399" s="34" t="s">
        <v>1209</v>
      </c>
      <c r="B399" s="37" t="s">
        <v>25</v>
      </c>
      <c r="C399" s="34" t="s">
        <v>477</v>
      </c>
      <c r="D399" s="33" t="s">
        <v>1775</v>
      </c>
      <c r="E399" s="34" t="s">
        <v>1204</v>
      </c>
      <c r="F399" s="34" t="s">
        <v>1205</v>
      </c>
      <c r="G399" s="34" t="s">
        <v>111</v>
      </c>
      <c r="H399" s="37">
        <v>1</v>
      </c>
      <c r="I399" s="34" t="s">
        <v>112</v>
      </c>
      <c r="J399" s="34" t="s">
        <v>31</v>
      </c>
      <c r="K399" s="34" t="s">
        <v>32</v>
      </c>
      <c r="L399" s="34" t="s">
        <v>1755</v>
      </c>
      <c r="M399" s="34" t="s">
        <v>33</v>
      </c>
      <c r="N399" s="49">
        <v>10</v>
      </c>
      <c r="O399" s="50">
        <v>3</v>
      </c>
      <c r="P399" s="51">
        <v>41</v>
      </c>
      <c r="Q399" s="52">
        <v>16.816600000000001</v>
      </c>
      <c r="R399" s="52">
        <v>-96.786199999999994</v>
      </c>
      <c r="S399" s="74" t="s">
        <v>34</v>
      </c>
      <c r="T399" s="74"/>
      <c r="U399" s="74"/>
      <c r="V399" s="74"/>
      <c r="W399" s="74"/>
      <c r="X399" s="74"/>
      <c r="Y399" s="74"/>
      <c r="Z399" s="74"/>
      <c r="AA399" s="75"/>
      <c r="AB399" s="30">
        <f t="shared" si="6"/>
        <v>0.125</v>
      </c>
    </row>
    <row r="400" spans="1:28" x14ac:dyDescent="0.3">
      <c r="A400" s="34" t="s">
        <v>1212</v>
      </c>
      <c r="B400" s="37" t="s">
        <v>25</v>
      </c>
      <c r="C400" s="34" t="s">
        <v>477</v>
      </c>
      <c r="D400" s="33" t="s">
        <v>1775</v>
      </c>
      <c r="E400" s="34" t="s">
        <v>1207</v>
      </c>
      <c r="F400" s="34" t="s">
        <v>1208</v>
      </c>
      <c r="G400" s="34" t="s">
        <v>111</v>
      </c>
      <c r="H400" s="37">
        <v>1</v>
      </c>
      <c r="I400" s="34" t="s">
        <v>112</v>
      </c>
      <c r="J400" s="34" t="s">
        <v>31</v>
      </c>
      <c r="K400" s="34" t="s">
        <v>32</v>
      </c>
      <c r="L400" s="34" t="s">
        <v>1755</v>
      </c>
      <c r="M400" s="34" t="s">
        <v>33</v>
      </c>
      <c r="N400" s="49">
        <v>6</v>
      </c>
      <c r="O400" s="50">
        <v>2</v>
      </c>
      <c r="P400" s="51">
        <v>38</v>
      </c>
      <c r="Q400" s="52">
        <v>15.7348654</v>
      </c>
      <c r="R400" s="52">
        <v>-96.472656599999993</v>
      </c>
      <c r="S400" s="74" t="s">
        <v>34</v>
      </c>
      <c r="T400" s="74"/>
      <c r="U400" s="74"/>
      <c r="V400" s="74"/>
      <c r="W400" s="74"/>
      <c r="X400" s="74"/>
      <c r="Y400" s="74"/>
      <c r="Z400" s="74"/>
      <c r="AA400" s="75"/>
      <c r="AB400" s="30">
        <f t="shared" si="6"/>
        <v>0.125</v>
      </c>
    </row>
    <row r="401" spans="1:28" x14ac:dyDescent="0.3">
      <c r="A401" s="34" t="s">
        <v>1215</v>
      </c>
      <c r="B401" s="37" t="s">
        <v>25</v>
      </c>
      <c r="C401" s="34" t="s">
        <v>477</v>
      </c>
      <c r="D401" s="33" t="s">
        <v>1775</v>
      </c>
      <c r="E401" s="34" t="s">
        <v>1210</v>
      </c>
      <c r="F401" s="34" t="s">
        <v>1211</v>
      </c>
      <c r="G401" s="34" t="s">
        <v>111</v>
      </c>
      <c r="H401" s="37">
        <v>1</v>
      </c>
      <c r="I401" s="34" t="s">
        <v>112</v>
      </c>
      <c r="J401" s="34" t="s">
        <v>31</v>
      </c>
      <c r="K401" s="34" t="s">
        <v>32</v>
      </c>
      <c r="L401" s="34" t="s">
        <v>1755</v>
      </c>
      <c r="M401" s="34" t="s">
        <v>33</v>
      </c>
      <c r="N401" s="49">
        <v>10</v>
      </c>
      <c r="O401" s="50">
        <v>2</v>
      </c>
      <c r="P401" s="51">
        <v>42</v>
      </c>
      <c r="Q401" s="52">
        <v>16.347194300000002</v>
      </c>
      <c r="R401" s="52">
        <v>-98.048339200000001</v>
      </c>
      <c r="S401" s="74" t="s">
        <v>34</v>
      </c>
      <c r="T401" s="74"/>
      <c r="U401" s="74"/>
      <c r="V401" s="74"/>
      <c r="W401" s="74"/>
      <c r="X401" s="74"/>
      <c r="Y401" s="74"/>
      <c r="Z401" s="74"/>
      <c r="AA401" s="75"/>
      <c r="AB401" s="30">
        <f t="shared" si="6"/>
        <v>0.125</v>
      </c>
    </row>
    <row r="402" spans="1:28" x14ac:dyDescent="0.3">
      <c r="A402" s="34" t="s">
        <v>1218</v>
      </c>
      <c r="B402" s="37" t="s">
        <v>25</v>
      </c>
      <c r="C402" s="34" t="s">
        <v>477</v>
      </c>
      <c r="D402" s="33" t="s">
        <v>1775</v>
      </c>
      <c r="E402" s="34" t="s">
        <v>1213</v>
      </c>
      <c r="F402" s="34" t="s">
        <v>1214</v>
      </c>
      <c r="G402" s="34" t="s">
        <v>111</v>
      </c>
      <c r="H402" s="37">
        <v>1</v>
      </c>
      <c r="I402" s="34" t="s">
        <v>112</v>
      </c>
      <c r="J402" s="34" t="s">
        <v>31</v>
      </c>
      <c r="K402" s="34" t="s">
        <v>32</v>
      </c>
      <c r="L402" s="34" t="s">
        <v>1755</v>
      </c>
      <c r="M402" s="34" t="s">
        <v>33</v>
      </c>
      <c r="N402" s="49">
        <v>11</v>
      </c>
      <c r="O402" s="50">
        <v>5</v>
      </c>
      <c r="P402" s="51">
        <v>83</v>
      </c>
      <c r="Q402" s="52">
        <v>16.433980699999999</v>
      </c>
      <c r="R402" s="52">
        <v>-95.013031499999997</v>
      </c>
      <c r="S402" s="74" t="s">
        <v>34</v>
      </c>
      <c r="T402" s="74"/>
      <c r="U402" s="74"/>
      <c r="V402" s="74"/>
      <c r="W402" s="74"/>
      <c r="X402" s="74"/>
      <c r="Y402" s="74"/>
      <c r="Z402" s="74"/>
      <c r="AA402" s="75"/>
      <c r="AB402" s="30">
        <f t="shared" si="6"/>
        <v>0.125</v>
      </c>
    </row>
    <row r="403" spans="1:28" x14ac:dyDescent="0.3">
      <c r="A403" s="34" t="s">
        <v>1221</v>
      </c>
      <c r="B403" s="37" t="s">
        <v>25</v>
      </c>
      <c r="C403" s="34" t="s">
        <v>477</v>
      </c>
      <c r="D403" s="33" t="s">
        <v>1775</v>
      </c>
      <c r="E403" s="34" t="s">
        <v>1216</v>
      </c>
      <c r="F403" s="34" t="s">
        <v>1217</v>
      </c>
      <c r="G403" s="34" t="s">
        <v>111</v>
      </c>
      <c r="H403" s="37">
        <v>1</v>
      </c>
      <c r="I403" s="34" t="s">
        <v>112</v>
      </c>
      <c r="J403" s="34" t="s">
        <v>31</v>
      </c>
      <c r="K403" s="34" t="s">
        <v>32</v>
      </c>
      <c r="L403" s="34" t="s">
        <v>1755</v>
      </c>
      <c r="M403" s="34" t="s">
        <v>33</v>
      </c>
      <c r="N403" s="49">
        <v>7</v>
      </c>
      <c r="O403" s="50">
        <v>3</v>
      </c>
      <c r="P403" s="51">
        <v>70</v>
      </c>
      <c r="Q403" s="52">
        <v>16.455000999999999</v>
      </c>
      <c r="R403" s="52">
        <v>-95.026748999999995</v>
      </c>
      <c r="S403" s="74" t="s">
        <v>34</v>
      </c>
      <c r="T403" s="74"/>
      <c r="U403" s="74"/>
      <c r="V403" s="74"/>
      <c r="W403" s="74"/>
      <c r="X403" s="74"/>
      <c r="Y403" s="74"/>
      <c r="Z403" s="74"/>
      <c r="AA403" s="75"/>
      <c r="AB403" s="30">
        <f t="shared" si="6"/>
        <v>0.125</v>
      </c>
    </row>
    <row r="404" spans="1:28" x14ac:dyDescent="0.3">
      <c r="A404" s="34" t="s">
        <v>1223</v>
      </c>
      <c r="B404" s="37" t="s">
        <v>25</v>
      </c>
      <c r="C404" s="34" t="s">
        <v>477</v>
      </c>
      <c r="D404" s="33" t="s">
        <v>1775</v>
      </c>
      <c r="E404" s="34" t="s">
        <v>1219</v>
      </c>
      <c r="F404" s="34" t="s">
        <v>1220</v>
      </c>
      <c r="G404" s="34" t="s">
        <v>111</v>
      </c>
      <c r="H404" s="37">
        <v>1</v>
      </c>
      <c r="I404" s="34" t="s">
        <v>112</v>
      </c>
      <c r="J404" s="34" t="s">
        <v>31</v>
      </c>
      <c r="K404" s="34" t="s">
        <v>32</v>
      </c>
      <c r="L404" s="34" t="s">
        <v>1755</v>
      </c>
      <c r="M404" s="34" t="s">
        <v>33</v>
      </c>
      <c r="N404" s="49">
        <v>13</v>
      </c>
      <c r="O404" s="50">
        <v>5</v>
      </c>
      <c r="P404" s="51">
        <v>100</v>
      </c>
      <c r="Q404" s="52">
        <v>16.5586412</v>
      </c>
      <c r="R404" s="52">
        <v>-95.118069599999998</v>
      </c>
      <c r="S404" s="74" t="s">
        <v>34</v>
      </c>
      <c r="T404" s="74"/>
      <c r="U404" s="74"/>
      <c r="V404" s="74"/>
      <c r="W404" s="74"/>
      <c r="X404" s="74"/>
      <c r="Y404" s="74"/>
      <c r="Z404" s="74"/>
      <c r="AA404" s="75"/>
      <c r="AB404" s="30">
        <f t="shared" si="6"/>
        <v>0.125</v>
      </c>
    </row>
    <row r="405" spans="1:28" x14ac:dyDescent="0.3">
      <c r="A405" s="34" t="s">
        <v>1226</v>
      </c>
      <c r="B405" s="37" t="s">
        <v>25</v>
      </c>
      <c r="C405" s="34" t="s">
        <v>477</v>
      </c>
      <c r="D405" s="33" t="s">
        <v>1775</v>
      </c>
      <c r="E405" s="34" t="s">
        <v>1219</v>
      </c>
      <c r="F405" s="34" t="s">
        <v>1222</v>
      </c>
      <c r="G405" s="34" t="s">
        <v>111</v>
      </c>
      <c r="H405" s="37">
        <v>1</v>
      </c>
      <c r="I405" s="34" t="s">
        <v>112</v>
      </c>
      <c r="J405" s="34" t="s">
        <v>31</v>
      </c>
      <c r="K405" s="34" t="s">
        <v>32</v>
      </c>
      <c r="L405" s="34" t="s">
        <v>1755</v>
      </c>
      <c r="M405" s="34" t="s">
        <v>33</v>
      </c>
      <c r="N405" s="49">
        <v>0</v>
      </c>
      <c r="O405" s="50">
        <v>0</v>
      </c>
      <c r="P405" s="51">
        <v>0</v>
      </c>
      <c r="Q405" s="52">
        <v>16.290781800000001</v>
      </c>
      <c r="R405" s="52">
        <v>-95.2329182</v>
      </c>
      <c r="S405" s="74" t="s">
        <v>34</v>
      </c>
      <c r="T405" s="74"/>
      <c r="U405" s="74"/>
      <c r="V405" s="74"/>
      <c r="W405" s="74"/>
      <c r="X405" s="74"/>
      <c r="Y405" s="74"/>
      <c r="Z405" s="74"/>
      <c r="AA405" s="75"/>
      <c r="AB405" s="30">
        <f t="shared" si="6"/>
        <v>0.125</v>
      </c>
    </row>
    <row r="406" spans="1:28" x14ac:dyDescent="0.3">
      <c r="A406" s="34" t="s">
        <v>1229</v>
      </c>
      <c r="B406" s="37" t="s">
        <v>25</v>
      </c>
      <c r="C406" s="34" t="s">
        <v>477</v>
      </c>
      <c r="D406" s="33" t="s">
        <v>1775</v>
      </c>
      <c r="E406" s="34" t="s">
        <v>1224</v>
      </c>
      <c r="F406" s="34" t="s">
        <v>1225</v>
      </c>
      <c r="G406" s="34" t="s">
        <v>111</v>
      </c>
      <c r="H406" s="37">
        <v>1</v>
      </c>
      <c r="I406" s="34" t="s">
        <v>112</v>
      </c>
      <c r="J406" s="34" t="s">
        <v>31</v>
      </c>
      <c r="K406" s="34" t="s">
        <v>32</v>
      </c>
      <c r="L406" s="34" t="s">
        <v>1755</v>
      </c>
      <c r="M406" s="34" t="s">
        <v>33</v>
      </c>
      <c r="N406" s="49">
        <v>11</v>
      </c>
      <c r="O406" s="50">
        <v>2</v>
      </c>
      <c r="P406" s="51">
        <v>47</v>
      </c>
      <c r="Q406" s="52">
        <v>16.241658999999999</v>
      </c>
      <c r="R406" s="52">
        <v>-95.209950500000005</v>
      </c>
      <c r="S406" s="74" t="s">
        <v>34</v>
      </c>
      <c r="T406" s="74"/>
      <c r="U406" s="74"/>
      <c r="V406" s="74"/>
      <c r="W406" s="74"/>
      <c r="X406" s="74"/>
      <c r="Y406" s="74"/>
      <c r="Z406" s="74"/>
      <c r="AA406" s="75"/>
      <c r="AB406" s="30">
        <f t="shared" si="6"/>
        <v>0.125</v>
      </c>
    </row>
    <row r="407" spans="1:28" x14ac:dyDescent="0.3">
      <c r="A407" s="34" t="s">
        <v>1232</v>
      </c>
      <c r="B407" s="37" t="s">
        <v>25</v>
      </c>
      <c r="C407" s="34" t="s">
        <v>477</v>
      </c>
      <c r="D407" s="33" t="s">
        <v>1775</v>
      </c>
      <c r="E407" s="34" t="s">
        <v>1227</v>
      </c>
      <c r="F407" s="34" t="s">
        <v>1228</v>
      </c>
      <c r="G407" s="34" t="s">
        <v>111</v>
      </c>
      <c r="H407" s="37">
        <v>1</v>
      </c>
      <c r="I407" s="34" t="s">
        <v>112</v>
      </c>
      <c r="J407" s="34" t="s">
        <v>31</v>
      </c>
      <c r="K407" s="34" t="s">
        <v>32</v>
      </c>
      <c r="L407" s="34" t="s">
        <v>1755</v>
      </c>
      <c r="M407" s="34" t="s">
        <v>33</v>
      </c>
      <c r="N407" s="49">
        <v>15</v>
      </c>
      <c r="O407" s="50">
        <v>2</v>
      </c>
      <c r="P407" s="51">
        <v>45</v>
      </c>
      <c r="Q407" s="52">
        <v>15.880139700000001</v>
      </c>
      <c r="R407" s="52">
        <v>-97.089251000000004</v>
      </c>
      <c r="S407" s="74" t="s">
        <v>34</v>
      </c>
      <c r="T407" s="74"/>
      <c r="U407" s="74"/>
      <c r="V407" s="74"/>
      <c r="W407" s="74"/>
      <c r="X407" s="74"/>
      <c r="Y407" s="74"/>
      <c r="Z407" s="74"/>
      <c r="AA407" s="75"/>
      <c r="AB407" s="30">
        <f t="shared" si="6"/>
        <v>0.125</v>
      </c>
    </row>
    <row r="408" spans="1:28" x14ac:dyDescent="0.3">
      <c r="A408" s="86" t="s">
        <v>1235</v>
      </c>
      <c r="B408" s="51" t="s">
        <v>25</v>
      </c>
      <c r="C408" s="86" t="s">
        <v>477</v>
      </c>
      <c r="D408" s="33" t="s">
        <v>1775</v>
      </c>
      <c r="E408" s="34" t="s">
        <v>1230</v>
      </c>
      <c r="F408" s="34" t="s">
        <v>1231</v>
      </c>
      <c r="G408" s="34" t="s">
        <v>111</v>
      </c>
      <c r="H408" s="37">
        <v>1</v>
      </c>
      <c r="I408" s="34" t="s">
        <v>112</v>
      </c>
      <c r="J408" s="34" t="s">
        <v>31</v>
      </c>
      <c r="K408" s="34" t="s">
        <v>32</v>
      </c>
      <c r="L408" s="34" t="s">
        <v>1755</v>
      </c>
      <c r="M408" s="34" t="s">
        <v>33</v>
      </c>
      <c r="N408" s="49">
        <v>26</v>
      </c>
      <c r="O408" s="50">
        <v>3</v>
      </c>
      <c r="P408" s="51">
        <v>102</v>
      </c>
      <c r="Q408" s="52">
        <v>18.1124425</v>
      </c>
      <c r="R408" s="52">
        <v>-96.137438900000006</v>
      </c>
      <c r="S408" s="89" t="s">
        <v>34</v>
      </c>
      <c r="T408" s="89"/>
      <c r="U408" s="89" t="s">
        <v>35</v>
      </c>
      <c r="V408" s="89" t="s">
        <v>35</v>
      </c>
      <c r="W408" s="89" t="s">
        <v>175</v>
      </c>
      <c r="X408" s="89"/>
      <c r="Y408" s="89"/>
      <c r="Z408" s="89"/>
      <c r="AA408" s="96" t="s">
        <v>1840</v>
      </c>
      <c r="AB408" s="97">
        <f t="shared" si="6"/>
        <v>0.45833333333333331</v>
      </c>
    </row>
    <row r="409" spans="1:28" x14ac:dyDescent="0.3">
      <c r="A409" s="34" t="s">
        <v>1238</v>
      </c>
      <c r="B409" s="37" t="s">
        <v>25</v>
      </c>
      <c r="C409" s="34" t="s">
        <v>535</v>
      </c>
      <c r="D409" s="33" t="s">
        <v>1775</v>
      </c>
      <c r="E409" s="34" t="s">
        <v>1233</v>
      </c>
      <c r="F409" s="34" t="s">
        <v>1234</v>
      </c>
      <c r="G409" s="34" t="s">
        <v>111</v>
      </c>
      <c r="H409" s="37">
        <v>1</v>
      </c>
      <c r="I409" s="34" t="s">
        <v>112</v>
      </c>
      <c r="J409" s="34" t="s">
        <v>31</v>
      </c>
      <c r="K409" s="34" t="s">
        <v>32</v>
      </c>
      <c r="L409" s="34" t="s">
        <v>1755</v>
      </c>
      <c r="M409" s="34" t="s">
        <v>33</v>
      </c>
      <c r="N409" s="49">
        <v>9</v>
      </c>
      <c r="O409" s="50">
        <v>3</v>
      </c>
      <c r="P409" s="51">
        <v>61</v>
      </c>
      <c r="Q409" s="52">
        <v>18.9890106</v>
      </c>
      <c r="R409" s="52">
        <v>-97.449621899999997</v>
      </c>
      <c r="S409" s="74" t="s">
        <v>34</v>
      </c>
      <c r="T409" s="74"/>
      <c r="U409" s="74"/>
      <c r="V409" s="74"/>
      <c r="W409" s="74"/>
      <c r="X409" s="74"/>
      <c r="Y409" s="74"/>
      <c r="Z409" s="74"/>
      <c r="AA409" s="75"/>
      <c r="AB409" s="30">
        <f t="shared" si="6"/>
        <v>0.125</v>
      </c>
    </row>
    <row r="410" spans="1:28" x14ac:dyDescent="0.3">
      <c r="A410" s="34" t="s">
        <v>1241</v>
      </c>
      <c r="B410" s="37" t="s">
        <v>25</v>
      </c>
      <c r="C410" s="34" t="s">
        <v>535</v>
      </c>
      <c r="D410" s="33" t="s">
        <v>1775</v>
      </c>
      <c r="E410" s="86" t="s">
        <v>1236</v>
      </c>
      <c r="F410" s="86" t="s">
        <v>1237</v>
      </c>
      <c r="G410" s="86" t="s">
        <v>111</v>
      </c>
      <c r="H410" s="51">
        <v>1</v>
      </c>
      <c r="I410" s="86" t="s">
        <v>112</v>
      </c>
      <c r="J410" s="86" t="s">
        <v>31</v>
      </c>
      <c r="K410" s="86" t="s">
        <v>32</v>
      </c>
      <c r="L410" s="86" t="s">
        <v>1755</v>
      </c>
      <c r="M410" s="86" t="s">
        <v>33</v>
      </c>
      <c r="N410" s="51">
        <v>0</v>
      </c>
      <c r="O410" s="51">
        <v>0</v>
      </c>
      <c r="P410" s="51">
        <v>0</v>
      </c>
      <c r="Q410" s="52">
        <v>19.457643900000001</v>
      </c>
      <c r="R410" s="52">
        <v>-97.680264800000003</v>
      </c>
      <c r="S410" s="74" t="s">
        <v>34</v>
      </c>
      <c r="T410" s="74"/>
      <c r="U410" s="74"/>
      <c r="V410" s="74"/>
      <c r="W410" s="74"/>
      <c r="X410" s="74"/>
      <c r="Y410" s="74"/>
      <c r="Z410" s="74"/>
      <c r="AA410" s="75"/>
      <c r="AB410" s="30">
        <f t="shared" si="6"/>
        <v>0.125</v>
      </c>
    </row>
    <row r="411" spans="1:28" x14ac:dyDescent="0.3">
      <c r="A411" s="34" t="s">
        <v>1244</v>
      </c>
      <c r="B411" s="37" t="s">
        <v>25</v>
      </c>
      <c r="C411" s="34" t="s">
        <v>535</v>
      </c>
      <c r="D411" s="33" t="s">
        <v>1775</v>
      </c>
      <c r="E411" s="34" t="s">
        <v>1239</v>
      </c>
      <c r="F411" s="34" t="s">
        <v>1240</v>
      </c>
      <c r="G411" s="34" t="s">
        <v>111</v>
      </c>
      <c r="H411" s="37">
        <v>1</v>
      </c>
      <c r="I411" s="34" t="s">
        <v>112</v>
      </c>
      <c r="J411" s="34" t="s">
        <v>31</v>
      </c>
      <c r="K411" s="34" t="s">
        <v>32</v>
      </c>
      <c r="L411" s="34" t="s">
        <v>1755</v>
      </c>
      <c r="M411" s="34" t="s">
        <v>33</v>
      </c>
      <c r="N411" s="49">
        <v>10</v>
      </c>
      <c r="O411" s="50">
        <v>3</v>
      </c>
      <c r="P411" s="51">
        <v>44</v>
      </c>
      <c r="Q411" s="52">
        <v>18.9862587</v>
      </c>
      <c r="R411" s="52">
        <v>-98.242134199999995</v>
      </c>
      <c r="S411" s="74" t="s">
        <v>34</v>
      </c>
      <c r="T411" s="74"/>
      <c r="U411" s="74"/>
      <c r="V411" s="74"/>
      <c r="W411" s="74"/>
      <c r="X411" s="74"/>
      <c r="Y411" s="74"/>
      <c r="Z411" s="74"/>
      <c r="AA411" s="75"/>
      <c r="AB411" s="30">
        <f t="shared" si="6"/>
        <v>0.125</v>
      </c>
    </row>
    <row r="412" spans="1:28" x14ac:dyDescent="0.3">
      <c r="A412" s="34" t="s">
        <v>1246</v>
      </c>
      <c r="B412" s="37" t="s">
        <v>25</v>
      </c>
      <c r="C412" s="34" t="s">
        <v>535</v>
      </c>
      <c r="D412" s="33" t="s">
        <v>1775</v>
      </c>
      <c r="E412" s="34" t="s">
        <v>1242</v>
      </c>
      <c r="F412" s="34" t="s">
        <v>1243</v>
      </c>
      <c r="G412" s="34" t="s">
        <v>111</v>
      </c>
      <c r="H412" s="37">
        <v>1</v>
      </c>
      <c r="I412" s="34" t="s">
        <v>112</v>
      </c>
      <c r="J412" s="34" t="s">
        <v>31</v>
      </c>
      <c r="K412" s="34" t="s">
        <v>32</v>
      </c>
      <c r="L412" s="34" t="s">
        <v>1755</v>
      </c>
      <c r="M412" s="34" t="s">
        <v>33</v>
      </c>
      <c r="N412" s="49">
        <v>17</v>
      </c>
      <c r="O412" s="50">
        <v>4</v>
      </c>
      <c r="P412" s="51">
        <v>66</v>
      </c>
      <c r="Q412" s="52">
        <v>18.4480425</v>
      </c>
      <c r="R412" s="52">
        <v>-97.419533000000001</v>
      </c>
      <c r="S412" s="74" t="s">
        <v>34</v>
      </c>
      <c r="T412" s="74"/>
      <c r="U412" s="74"/>
      <c r="V412" s="74"/>
      <c r="W412" s="74"/>
      <c r="X412" s="74"/>
      <c r="Y412" s="74"/>
      <c r="Z412" s="74"/>
      <c r="AA412" s="75"/>
      <c r="AB412" s="30">
        <f t="shared" si="6"/>
        <v>0.125</v>
      </c>
    </row>
    <row r="413" spans="1:28" x14ac:dyDescent="0.3">
      <c r="A413" s="34" t="s">
        <v>1249</v>
      </c>
      <c r="B413" s="37" t="s">
        <v>25</v>
      </c>
      <c r="C413" s="34" t="s">
        <v>535</v>
      </c>
      <c r="D413" s="33" t="s">
        <v>1775</v>
      </c>
      <c r="E413" s="34" t="s">
        <v>535</v>
      </c>
      <c r="F413" s="34" t="s">
        <v>1245</v>
      </c>
      <c r="G413" s="34" t="s">
        <v>111</v>
      </c>
      <c r="H413" s="37">
        <v>1</v>
      </c>
      <c r="I413" s="34" t="s">
        <v>112</v>
      </c>
      <c r="J413" s="34" t="s">
        <v>31</v>
      </c>
      <c r="K413" s="34" t="s">
        <v>32</v>
      </c>
      <c r="L413" s="34" t="s">
        <v>1756</v>
      </c>
      <c r="M413" s="34" t="s">
        <v>33</v>
      </c>
      <c r="N413" s="49">
        <v>43</v>
      </c>
      <c r="O413" s="50">
        <v>6</v>
      </c>
      <c r="P413" s="51">
        <v>192</v>
      </c>
      <c r="Q413" s="52">
        <v>19.016862100000001</v>
      </c>
      <c r="R413" s="52">
        <v>-98.265913800000007</v>
      </c>
      <c r="S413" s="74" t="s">
        <v>34</v>
      </c>
      <c r="T413" s="74"/>
      <c r="U413" s="74"/>
      <c r="V413" s="74"/>
      <c r="W413" s="74"/>
      <c r="X413" s="74"/>
      <c r="Y413" s="74"/>
      <c r="Z413" s="74"/>
      <c r="AA413" s="75"/>
      <c r="AB413" s="30">
        <f t="shared" si="6"/>
        <v>0.125</v>
      </c>
    </row>
    <row r="414" spans="1:28" x14ac:dyDescent="0.3">
      <c r="A414" s="34" t="s">
        <v>1252</v>
      </c>
      <c r="B414" s="37" t="s">
        <v>25</v>
      </c>
      <c r="C414" s="34" t="s">
        <v>535</v>
      </c>
      <c r="D414" s="33" t="s">
        <v>1775</v>
      </c>
      <c r="E414" s="34" t="s">
        <v>1247</v>
      </c>
      <c r="F414" s="34" t="s">
        <v>1248</v>
      </c>
      <c r="G414" s="34" t="s">
        <v>111</v>
      </c>
      <c r="H414" s="37">
        <v>1</v>
      </c>
      <c r="I414" s="34" t="s">
        <v>112</v>
      </c>
      <c r="J414" s="34" t="s">
        <v>31</v>
      </c>
      <c r="K414" s="34" t="s">
        <v>32</v>
      </c>
      <c r="L414" s="34" t="s">
        <v>1755</v>
      </c>
      <c r="M414" s="34" t="s">
        <v>33</v>
      </c>
      <c r="N414" s="49">
        <v>19</v>
      </c>
      <c r="O414" s="50">
        <v>5</v>
      </c>
      <c r="P414" s="51">
        <v>162</v>
      </c>
      <c r="Q414" s="52">
        <v>19.821950300000001</v>
      </c>
      <c r="R414" s="52">
        <v>-97.376941599999995</v>
      </c>
      <c r="S414" s="74" t="s">
        <v>34</v>
      </c>
      <c r="T414" s="74"/>
      <c r="U414" s="74"/>
      <c r="V414" s="74"/>
      <c r="W414" s="74"/>
      <c r="X414" s="74"/>
      <c r="Y414" s="74"/>
      <c r="Z414" s="74"/>
      <c r="AA414" s="75"/>
      <c r="AB414" s="30">
        <f t="shared" si="6"/>
        <v>0.125</v>
      </c>
    </row>
    <row r="415" spans="1:28" x14ac:dyDescent="0.3">
      <c r="A415" s="34" t="s">
        <v>1255</v>
      </c>
      <c r="B415" s="37" t="s">
        <v>25</v>
      </c>
      <c r="C415" s="34" t="s">
        <v>535</v>
      </c>
      <c r="D415" s="33" t="s">
        <v>1775</v>
      </c>
      <c r="E415" s="34" t="s">
        <v>1250</v>
      </c>
      <c r="F415" s="34" t="s">
        <v>1251</v>
      </c>
      <c r="G415" s="34" t="s">
        <v>111</v>
      </c>
      <c r="H415" s="37">
        <v>1</v>
      </c>
      <c r="I415" s="34" t="s">
        <v>112</v>
      </c>
      <c r="J415" s="34" t="s">
        <v>31</v>
      </c>
      <c r="K415" s="34" t="s">
        <v>32</v>
      </c>
      <c r="L415" s="34" t="s">
        <v>1755</v>
      </c>
      <c r="M415" s="34" t="s">
        <v>33</v>
      </c>
      <c r="N415" s="49">
        <v>34</v>
      </c>
      <c r="O415" s="50">
        <v>10</v>
      </c>
      <c r="P415" s="51">
        <v>192</v>
      </c>
      <c r="Q415" s="52">
        <v>18.185898000000002</v>
      </c>
      <c r="R415" s="52">
        <v>-98.056408899999994</v>
      </c>
      <c r="S415" s="74" t="s">
        <v>34</v>
      </c>
      <c r="T415" s="74"/>
      <c r="U415" s="74"/>
      <c r="V415" s="74"/>
      <c r="W415" s="74"/>
      <c r="X415" s="74"/>
      <c r="Y415" s="74"/>
      <c r="Z415" s="74"/>
      <c r="AA415" s="75"/>
      <c r="AB415" s="30">
        <f t="shared" si="6"/>
        <v>0.125</v>
      </c>
    </row>
    <row r="416" spans="1:28" x14ac:dyDescent="0.3">
      <c r="A416" s="34" t="s">
        <v>1258</v>
      </c>
      <c r="B416" s="37" t="s">
        <v>25</v>
      </c>
      <c r="C416" s="34" t="s">
        <v>535</v>
      </c>
      <c r="D416" s="33" t="s">
        <v>1775</v>
      </c>
      <c r="E416" s="34" t="s">
        <v>1253</v>
      </c>
      <c r="F416" s="34" t="s">
        <v>1254</v>
      </c>
      <c r="G416" s="34" t="s">
        <v>111</v>
      </c>
      <c r="H416" s="37">
        <v>1</v>
      </c>
      <c r="I416" s="34" t="s">
        <v>112</v>
      </c>
      <c r="J416" s="34" t="s">
        <v>31</v>
      </c>
      <c r="K416" s="34" t="s">
        <v>32</v>
      </c>
      <c r="L416" s="34" t="s">
        <v>1755</v>
      </c>
      <c r="M416" s="34" t="s">
        <v>33</v>
      </c>
      <c r="N416" s="49">
        <v>16</v>
      </c>
      <c r="O416" s="50">
        <v>6</v>
      </c>
      <c r="P416" s="51">
        <v>148</v>
      </c>
      <c r="Q416" s="52">
        <v>19.841002899999999</v>
      </c>
      <c r="R416" s="52">
        <v>-97.498489199999995</v>
      </c>
      <c r="S416" s="74" t="s">
        <v>34</v>
      </c>
      <c r="T416" s="74"/>
      <c r="U416" s="74"/>
      <c r="V416" s="74"/>
      <c r="W416" s="74"/>
      <c r="X416" s="74"/>
      <c r="Y416" s="74"/>
      <c r="Z416" s="74"/>
      <c r="AA416" s="75"/>
      <c r="AB416" s="30">
        <f t="shared" si="6"/>
        <v>0.125</v>
      </c>
    </row>
    <row r="417" spans="1:28" x14ac:dyDescent="0.3">
      <c r="A417" s="34" t="s">
        <v>1261</v>
      </c>
      <c r="B417" s="37" t="s">
        <v>25</v>
      </c>
      <c r="C417" s="34" t="s">
        <v>535</v>
      </c>
      <c r="D417" s="33" t="s">
        <v>1775</v>
      </c>
      <c r="E417" s="34" t="s">
        <v>1256</v>
      </c>
      <c r="F417" s="34" t="s">
        <v>1257</v>
      </c>
      <c r="G417" s="34" t="s">
        <v>111</v>
      </c>
      <c r="H417" s="37">
        <v>1</v>
      </c>
      <c r="I417" s="34" t="s">
        <v>112</v>
      </c>
      <c r="J417" s="34" t="s">
        <v>31</v>
      </c>
      <c r="K417" s="34" t="s">
        <v>32</v>
      </c>
      <c r="L417" s="34" t="s">
        <v>1755</v>
      </c>
      <c r="M417" s="34" t="s">
        <v>33</v>
      </c>
      <c r="N417" s="49">
        <v>13</v>
      </c>
      <c r="O417" s="50">
        <v>4</v>
      </c>
      <c r="P417" s="51">
        <v>58</v>
      </c>
      <c r="Q417" s="52">
        <v>19.1392168</v>
      </c>
      <c r="R417" s="52">
        <v>-98.380429399999997</v>
      </c>
      <c r="S417" s="74" t="s">
        <v>34</v>
      </c>
      <c r="T417" s="74"/>
      <c r="U417" s="74"/>
      <c r="V417" s="74"/>
      <c r="W417" s="74"/>
      <c r="X417" s="74"/>
      <c r="Y417" s="74"/>
      <c r="Z417" s="74"/>
      <c r="AA417" s="75"/>
      <c r="AB417" s="30">
        <f t="shared" si="6"/>
        <v>0.125</v>
      </c>
    </row>
    <row r="418" spans="1:28" x14ac:dyDescent="0.3">
      <c r="A418" s="34" t="s">
        <v>1264</v>
      </c>
      <c r="B418" s="37" t="s">
        <v>25</v>
      </c>
      <c r="C418" s="34" t="s">
        <v>535</v>
      </c>
      <c r="D418" s="33" t="s">
        <v>1775</v>
      </c>
      <c r="E418" s="34" t="s">
        <v>1259</v>
      </c>
      <c r="F418" s="34" t="s">
        <v>1260</v>
      </c>
      <c r="G418" s="34" t="s">
        <v>111</v>
      </c>
      <c r="H418" s="37">
        <v>1</v>
      </c>
      <c r="I418" s="34" t="s">
        <v>112</v>
      </c>
      <c r="J418" s="34" t="s">
        <v>31</v>
      </c>
      <c r="K418" s="34" t="s">
        <v>32</v>
      </c>
      <c r="L418" s="34" t="s">
        <v>1755</v>
      </c>
      <c r="M418" s="34" t="s">
        <v>84</v>
      </c>
      <c r="N418" s="49">
        <v>10</v>
      </c>
      <c r="O418" s="50">
        <v>3</v>
      </c>
      <c r="P418" s="51">
        <v>56</v>
      </c>
      <c r="Q418" s="52">
        <v>18.902904500000002</v>
      </c>
      <c r="R418" s="52">
        <v>-98.415797999999995</v>
      </c>
      <c r="S418" s="74" t="s">
        <v>34</v>
      </c>
      <c r="T418" s="74"/>
      <c r="U418" s="74"/>
      <c r="V418" s="74"/>
      <c r="W418" s="74"/>
      <c r="X418" s="74"/>
      <c r="Y418" s="74"/>
      <c r="Z418" s="74"/>
      <c r="AA418" s="75"/>
      <c r="AB418" s="30">
        <f t="shared" si="6"/>
        <v>0.125</v>
      </c>
    </row>
    <row r="419" spans="1:28" x14ac:dyDescent="0.3">
      <c r="A419" s="34" t="s">
        <v>1267</v>
      </c>
      <c r="B419" s="37" t="s">
        <v>25</v>
      </c>
      <c r="C419" s="34" t="s">
        <v>535</v>
      </c>
      <c r="D419" s="33" t="s">
        <v>1775</v>
      </c>
      <c r="E419" s="34" t="s">
        <v>1262</v>
      </c>
      <c r="F419" s="34" t="s">
        <v>1263</v>
      </c>
      <c r="G419" s="34" t="s">
        <v>111</v>
      </c>
      <c r="H419" s="37">
        <v>1</v>
      </c>
      <c r="I419" s="34" t="s">
        <v>112</v>
      </c>
      <c r="J419" s="34" t="s">
        <v>31</v>
      </c>
      <c r="K419" s="34" t="s">
        <v>32</v>
      </c>
      <c r="L419" s="34" t="s">
        <v>1755</v>
      </c>
      <c r="M419" s="34" t="s">
        <v>33</v>
      </c>
      <c r="N419" s="49">
        <v>10</v>
      </c>
      <c r="O419" s="50">
        <v>3</v>
      </c>
      <c r="P419" s="51">
        <v>55</v>
      </c>
      <c r="Q419" s="52">
        <v>19.0866662</v>
      </c>
      <c r="R419" s="52">
        <v>-98.198704899999996</v>
      </c>
      <c r="S419" s="74" t="s">
        <v>34</v>
      </c>
      <c r="T419" s="74"/>
      <c r="U419" s="74"/>
      <c r="V419" s="74"/>
      <c r="W419" s="74"/>
      <c r="X419" s="74"/>
      <c r="Y419" s="74"/>
      <c r="Z419" s="74"/>
      <c r="AA419" s="75"/>
      <c r="AB419" s="30">
        <f t="shared" si="6"/>
        <v>0.125</v>
      </c>
    </row>
    <row r="420" spans="1:28" x14ac:dyDescent="0.3">
      <c r="A420" s="34" t="s">
        <v>1269</v>
      </c>
      <c r="B420" s="37" t="s">
        <v>25</v>
      </c>
      <c r="C420" s="34" t="s">
        <v>535</v>
      </c>
      <c r="D420" s="33" t="s">
        <v>1775</v>
      </c>
      <c r="E420" s="34" t="s">
        <v>1265</v>
      </c>
      <c r="F420" s="34" t="s">
        <v>1266</v>
      </c>
      <c r="G420" s="34" t="s">
        <v>111</v>
      </c>
      <c r="H420" s="37">
        <v>1</v>
      </c>
      <c r="I420" s="34" t="s">
        <v>112</v>
      </c>
      <c r="J420" s="34" t="s">
        <v>31</v>
      </c>
      <c r="K420" s="34" t="s">
        <v>32</v>
      </c>
      <c r="L420" s="34" t="s">
        <v>1755</v>
      </c>
      <c r="M420" s="34" t="s">
        <v>84</v>
      </c>
      <c r="N420" s="49">
        <v>16</v>
      </c>
      <c r="O420" s="50">
        <v>4</v>
      </c>
      <c r="P420" s="51">
        <v>69</v>
      </c>
      <c r="Q420" s="52">
        <v>19.079308000000001</v>
      </c>
      <c r="R420" s="52">
        <v>-98.185216600000004</v>
      </c>
      <c r="S420" s="74" t="s">
        <v>34</v>
      </c>
      <c r="T420" s="74"/>
      <c r="U420" s="74"/>
      <c r="V420" s="74"/>
      <c r="W420" s="74"/>
      <c r="X420" s="74"/>
      <c r="Y420" s="74"/>
      <c r="Z420" s="74"/>
      <c r="AA420" s="75"/>
      <c r="AB420" s="30">
        <f t="shared" si="6"/>
        <v>0.125</v>
      </c>
    </row>
    <row r="421" spans="1:28" x14ac:dyDescent="0.3">
      <c r="A421" s="34" t="s">
        <v>1271</v>
      </c>
      <c r="B421" s="37" t="s">
        <v>25</v>
      </c>
      <c r="C421" s="34" t="s">
        <v>535</v>
      </c>
      <c r="D421" s="33" t="s">
        <v>1775</v>
      </c>
      <c r="E421" s="34" t="s">
        <v>535</v>
      </c>
      <c r="F421" s="34" t="s">
        <v>1268</v>
      </c>
      <c r="G421" s="34" t="s">
        <v>111</v>
      </c>
      <c r="H421" s="37">
        <v>1</v>
      </c>
      <c r="I421" s="34" t="s">
        <v>155</v>
      </c>
      <c r="J421" s="34" t="s">
        <v>31</v>
      </c>
      <c r="K421" s="34" t="s">
        <v>32</v>
      </c>
      <c r="L421" s="34" t="s">
        <v>1756</v>
      </c>
      <c r="M421" s="34" t="s">
        <v>33</v>
      </c>
      <c r="N421" s="49">
        <v>20</v>
      </c>
      <c r="O421" s="50">
        <v>5</v>
      </c>
      <c r="P421" s="51">
        <v>104</v>
      </c>
      <c r="Q421" s="52">
        <v>18.993343299999999</v>
      </c>
      <c r="R421" s="52">
        <v>-97.904352900000006</v>
      </c>
      <c r="S421" s="74" t="s">
        <v>34</v>
      </c>
      <c r="T421" s="74"/>
      <c r="U421" s="74"/>
      <c r="V421" s="74"/>
      <c r="W421" s="74"/>
      <c r="X421" s="74"/>
      <c r="Y421" s="74"/>
      <c r="Z421" s="74"/>
      <c r="AA421" s="75"/>
      <c r="AB421" s="30">
        <f t="shared" si="6"/>
        <v>0.125</v>
      </c>
    </row>
    <row r="422" spans="1:28" x14ac:dyDescent="0.3">
      <c r="A422" s="34" t="s">
        <v>1274</v>
      </c>
      <c r="B422" s="37" t="s">
        <v>25</v>
      </c>
      <c r="C422" s="34" t="s">
        <v>535</v>
      </c>
      <c r="D422" s="33" t="s">
        <v>1775</v>
      </c>
      <c r="E422" s="34" t="s">
        <v>535</v>
      </c>
      <c r="F422" s="34" t="s">
        <v>1270</v>
      </c>
      <c r="G422" s="34" t="s">
        <v>111</v>
      </c>
      <c r="H422" s="37">
        <v>1</v>
      </c>
      <c r="I422" s="34" t="s">
        <v>112</v>
      </c>
      <c r="J422" s="34" t="s">
        <v>31</v>
      </c>
      <c r="K422" s="34" t="s">
        <v>32</v>
      </c>
      <c r="L422" s="34" t="s">
        <v>1755</v>
      </c>
      <c r="M422" s="34" t="s">
        <v>33</v>
      </c>
      <c r="N422" s="49">
        <v>37</v>
      </c>
      <c r="O422" s="50">
        <v>9</v>
      </c>
      <c r="P422" s="51">
        <v>206</v>
      </c>
      <c r="Q422" s="52">
        <v>19.919967</v>
      </c>
      <c r="R422" s="52">
        <v>-97.962584399999997</v>
      </c>
      <c r="S422" s="74" t="s">
        <v>34</v>
      </c>
      <c r="T422" s="74"/>
      <c r="U422" s="74"/>
      <c r="V422" s="74"/>
      <c r="W422" s="74"/>
      <c r="X422" s="74"/>
      <c r="Y422" s="74"/>
      <c r="Z422" s="74"/>
      <c r="AA422" s="75"/>
      <c r="AB422" s="30">
        <f t="shared" si="6"/>
        <v>0.125</v>
      </c>
    </row>
    <row r="423" spans="1:28" x14ac:dyDescent="0.3">
      <c r="A423" s="34" t="s">
        <v>1277</v>
      </c>
      <c r="B423" s="37" t="s">
        <v>25</v>
      </c>
      <c r="C423" s="34" t="s">
        <v>535</v>
      </c>
      <c r="D423" s="33" t="s">
        <v>1775</v>
      </c>
      <c r="E423" s="34" t="s">
        <v>1272</v>
      </c>
      <c r="F423" s="34" t="s">
        <v>1273</v>
      </c>
      <c r="G423" s="34" t="s">
        <v>111</v>
      </c>
      <c r="H423" s="37">
        <v>1</v>
      </c>
      <c r="I423" s="34" t="s">
        <v>112</v>
      </c>
      <c r="J423" s="34" t="s">
        <v>31</v>
      </c>
      <c r="K423" s="34" t="s">
        <v>32</v>
      </c>
      <c r="L423" s="34" t="s">
        <v>1755</v>
      </c>
      <c r="M423" s="34" t="s">
        <v>33</v>
      </c>
      <c r="N423" s="49">
        <v>14</v>
      </c>
      <c r="O423" s="50">
        <v>3</v>
      </c>
      <c r="P423" s="51">
        <v>57</v>
      </c>
      <c r="Q423" s="52">
        <v>20.186311100000001</v>
      </c>
      <c r="R423" s="52">
        <v>-98.069181200000003</v>
      </c>
      <c r="S423" s="74" t="s">
        <v>34</v>
      </c>
      <c r="T423" s="74"/>
      <c r="U423" s="74"/>
      <c r="V423" s="74"/>
      <c r="W423" s="74"/>
      <c r="X423" s="74"/>
      <c r="Y423" s="74"/>
      <c r="Z423" s="74"/>
      <c r="AA423" s="75"/>
      <c r="AB423" s="30">
        <f t="shared" si="6"/>
        <v>0.125</v>
      </c>
    </row>
    <row r="424" spans="1:28" x14ac:dyDescent="0.3">
      <c r="A424" s="34" t="s">
        <v>1280</v>
      </c>
      <c r="B424" s="37" t="s">
        <v>25</v>
      </c>
      <c r="C424" s="34" t="s">
        <v>535</v>
      </c>
      <c r="D424" s="33" t="s">
        <v>1775</v>
      </c>
      <c r="E424" s="34" t="s">
        <v>1275</v>
      </c>
      <c r="F424" s="34" t="s">
        <v>1276</v>
      </c>
      <c r="G424" s="34" t="s">
        <v>111</v>
      </c>
      <c r="H424" s="37">
        <v>1</v>
      </c>
      <c r="I424" s="34" t="s">
        <v>112</v>
      </c>
      <c r="J424" s="34" t="s">
        <v>31</v>
      </c>
      <c r="K424" s="34" t="s">
        <v>32</v>
      </c>
      <c r="L424" s="34" t="s">
        <v>1755</v>
      </c>
      <c r="M424" s="34" t="s">
        <v>33</v>
      </c>
      <c r="N424" s="49">
        <v>13</v>
      </c>
      <c r="O424" s="50">
        <v>3</v>
      </c>
      <c r="P424" s="51">
        <v>95</v>
      </c>
      <c r="Q424" s="52">
        <v>18.590724399999999</v>
      </c>
      <c r="R424" s="52">
        <v>-98.451244700000004</v>
      </c>
      <c r="S424" s="74" t="s">
        <v>34</v>
      </c>
      <c r="T424" s="74"/>
      <c r="U424" s="74"/>
      <c r="V424" s="74"/>
      <c r="W424" s="74"/>
      <c r="X424" s="74"/>
      <c r="Y424" s="74"/>
      <c r="Z424" s="74"/>
      <c r="AA424" s="75"/>
      <c r="AB424" s="30">
        <f t="shared" si="6"/>
        <v>0.125</v>
      </c>
    </row>
    <row r="425" spans="1:28" x14ac:dyDescent="0.3">
      <c r="A425" s="34" t="s">
        <v>1283</v>
      </c>
      <c r="B425" s="37" t="s">
        <v>25</v>
      </c>
      <c r="C425" s="34" t="s">
        <v>535</v>
      </c>
      <c r="D425" s="33" t="s">
        <v>1775</v>
      </c>
      <c r="E425" s="34" t="s">
        <v>1278</v>
      </c>
      <c r="F425" s="34" t="s">
        <v>1279</v>
      </c>
      <c r="G425" s="34" t="s">
        <v>111</v>
      </c>
      <c r="H425" s="37">
        <v>1</v>
      </c>
      <c r="I425" s="34" t="s">
        <v>112</v>
      </c>
      <c r="J425" s="34" t="s">
        <v>31</v>
      </c>
      <c r="K425" s="34" t="s">
        <v>32</v>
      </c>
      <c r="L425" s="34" t="s">
        <v>1755</v>
      </c>
      <c r="M425" s="34" t="s">
        <v>33</v>
      </c>
      <c r="N425" s="49">
        <v>8</v>
      </c>
      <c r="O425" s="50">
        <v>3</v>
      </c>
      <c r="P425" s="51">
        <v>55</v>
      </c>
      <c r="Q425" s="52">
        <v>20.009822700000001</v>
      </c>
      <c r="R425" s="52">
        <v>-97.531135000000006</v>
      </c>
      <c r="S425" s="74" t="s">
        <v>34</v>
      </c>
      <c r="T425" s="74"/>
      <c r="U425" s="74"/>
      <c r="V425" s="74"/>
      <c r="W425" s="74"/>
      <c r="X425" s="74"/>
      <c r="Y425" s="74"/>
      <c r="Z425" s="74"/>
      <c r="AA425" s="75"/>
      <c r="AB425" s="30">
        <f t="shared" si="6"/>
        <v>0.125</v>
      </c>
    </row>
    <row r="426" spans="1:28" x14ac:dyDescent="0.3">
      <c r="A426" s="34" t="s">
        <v>1286</v>
      </c>
      <c r="B426" s="37" t="s">
        <v>25</v>
      </c>
      <c r="C426" s="34" t="s">
        <v>535</v>
      </c>
      <c r="D426" s="33" t="s">
        <v>1775</v>
      </c>
      <c r="E426" s="34" t="s">
        <v>1281</v>
      </c>
      <c r="F426" s="34" t="s">
        <v>1282</v>
      </c>
      <c r="G426" s="34" t="s">
        <v>111</v>
      </c>
      <c r="H426" s="37">
        <v>1</v>
      </c>
      <c r="I426" s="34" t="s">
        <v>112</v>
      </c>
      <c r="J426" s="34" t="s">
        <v>31</v>
      </c>
      <c r="K426" s="34" t="s">
        <v>32</v>
      </c>
      <c r="L426" s="34" t="s">
        <v>1755</v>
      </c>
      <c r="M426" s="34" t="s">
        <v>33</v>
      </c>
      <c r="N426" s="49">
        <v>19</v>
      </c>
      <c r="O426" s="50">
        <v>4</v>
      </c>
      <c r="P426" s="51">
        <v>96</v>
      </c>
      <c r="Q426" s="52">
        <v>18.879314900000001</v>
      </c>
      <c r="R426" s="52">
        <v>-97.714111700000004</v>
      </c>
      <c r="S426" s="74" t="s">
        <v>34</v>
      </c>
      <c r="T426" s="74"/>
      <c r="U426" s="74"/>
      <c r="V426" s="74"/>
      <c r="W426" s="74"/>
      <c r="X426" s="74"/>
      <c r="Y426" s="74"/>
      <c r="Z426" s="74"/>
      <c r="AA426" s="75"/>
      <c r="AB426" s="30">
        <f t="shared" si="6"/>
        <v>0.125</v>
      </c>
    </row>
    <row r="427" spans="1:28" x14ac:dyDescent="0.3">
      <c r="A427" s="34" t="s">
        <v>1289</v>
      </c>
      <c r="B427" s="37" t="s">
        <v>25</v>
      </c>
      <c r="C427" s="34" t="s">
        <v>628</v>
      </c>
      <c r="D427" s="33" t="s">
        <v>1775</v>
      </c>
      <c r="E427" s="34" t="s">
        <v>1284</v>
      </c>
      <c r="F427" s="34" t="s">
        <v>1285</v>
      </c>
      <c r="G427" s="34" t="s">
        <v>111</v>
      </c>
      <c r="H427" s="37">
        <v>1</v>
      </c>
      <c r="I427" s="34" t="s">
        <v>112</v>
      </c>
      <c r="J427" s="34" t="s">
        <v>31</v>
      </c>
      <c r="K427" s="34" t="s">
        <v>32</v>
      </c>
      <c r="L427" s="34" t="s">
        <v>1755</v>
      </c>
      <c r="M427" s="34" t="s">
        <v>84</v>
      </c>
      <c r="N427" s="49">
        <v>17</v>
      </c>
      <c r="O427" s="50">
        <v>3</v>
      </c>
      <c r="P427" s="51">
        <v>59</v>
      </c>
      <c r="Q427" s="52">
        <v>20.501746199999999</v>
      </c>
      <c r="R427" s="52">
        <v>-86.953448800000004</v>
      </c>
      <c r="S427" s="74" t="s">
        <v>176</v>
      </c>
      <c r="T427" s="74"/>
      <c r="U427" s="74"/>
      <c r="V427" s="74"/>
      <c r="W427" s="74"/>
      <c r="X427" s="74"/>
      <c r="Y427" s="74"/>
      <c r="Z427" s="74"/>
      <c r="AA427" s="75"/>
      <c r="AB427" s="30">
        <f t="shared" si="6"/>
        <v>4.1666666666666664E-2</v>
      </c>
    </row>
    <row r="428" spans="1:28" x14ac:dyDescent="0.3">
      <c r="A428" s="34" t="s">
        <v>1292</v>
      </c>
      <c r="B428" s="37" t="s">
        <v>25</v>
      </c>
      <c r="C428" s="34" t="s">
        <v>628</v>
      </c>
      <c r="D428" s="33" t="s">
        <v>1775</v>
      </c>
      <c r="E428" s="34" t="s">
        <v>1287</v>
      </c>
      <c r="F428" s="34" t="s">
        <v>1288</v>
      </c>
      <c r="G428" s="34" t="s">
        <v>111</v>
      </c>
      <c r="H428" s="37">
        <v>1</v>
      </c>
      <c r="I428" s="34" t="s">
        <v>112</v>
      </c>
      <c r="J428" s="34" t="s">
        <v>31</v>
      </c>
      <c r="K428" s="34" t="s">
        <v>32</v>
      </c>
      <c r="L428" s="34" t="s">
        <v>1755</v>
      </c>
      <c r="M428" s="34" t="s">
        <v>33</v>
      </c>
      <c r="N428" s="49">
        <v>11</v>
      </c>
      <c r="O428" s="50">
        <v>3</v>
      </c>
      <c r="P428" s="51">
        <v>50</v>
      </c>
      <c r="Q428" s="52">
        <v>19.571196</v>
      </c>
      <c r="R428" s="52">
        <v>-88.045705799999993</v>
      </c>
      <c r="S428" s="74" t="s">
        <v>176</v>
      </c>
      <c r="T428" s="74"/>
      <c r="U428" s="74"/>
      <c r="V428" s="74"/>
      <c r="W428" s="74"/>
      <c r="X428" s="74"/>
      <c r="Y428" s="74"/>
      <c r="Z428" s="74"/>
      <c r="AA428" s="75"/>
      <c r="AB428" s="30">
        <f t="shared" si="6"/>
        <v>4.1666666666666664E-2</v>
      </c>
    </row>
    <row r="429" spans="1:28" x14ac:dyDescent="0.3">
      <c r="A429" s="34" t="s">
        <v>1295</v>
      </c>
      <c r="B429" s="37" t="s">
        <v>25</v>
      </c>
      <c r="C429" s="34" t="s">
        <v>628</v>
      </c>
      <c r="D429" s="33" t="s">
        <v>1775</v>
      </c>
      <c r="E429" s="34" t="s">
        <v>1290</v>
      </c>
      <c r="F429" s="34" t="s">
        <v>1291</v>
      </c>
      <c r="G429" s="34" t="s">
        <v>111</v>
      </c>
      <c r="H429" s="37">
        <v>1</v>
      </c>
      <c r="I429" s="34" t="s">
        <v>112</v>
      </c>
      <c r="J429" s="34" t="s">
        <v>31</v>
      </c>
      <c r="K429" s="34" t="s">
        <v>32</v>
      </c>
      <c r="L429" s="34" t="s">
        <v>1755</v>
      </c>
      <c r="M429" s="34" t="s">
        <v>33</v>
      </c>
      <c r="N429" s="49">
        <v>7</v>
      </c>
      <c r="O429" s="50">
        <v>3</v>
      </c>
      <c r="P429" s="51">
        <v>84</v>
      </c>
      <c r="Q429" s="52">
        <v>18.516999999999999</v>
      </c>
      <c r="R429" s="52">
        <v>-88.304000000000002</v>
      </c>
      <c r="S429" s="74" t="s">
        <v>176</v>
      </c>
      <c r="T429" s="74"/>
      <c r="U429" s="74"/>
      <c r="V429" s="74"/>
      <c r="W429" s="74"/>
      <c r="X429" s="74"/>
      <c r="Y429" s="74"/>
      <c r="Z429" s="74"/>
      <c r="AA429" s="75"/>
      <c r="AB429" s="30">
        <f t="shared" si="6"/>
        <v>4.1666666666666664E-2</v>
      </c>
    </row>
    <row r="430" spans="1:28" x14ac:dyDescent="0.3">
      <c r="A430" s="34" t="s">
        <v>1297</v>
      </c>
      <c r="B430" s="37" t="s">
        <v>25</v>
      </c>
      <c r="C430" s="34" t="s">
        <v>628</v>
      </c>
      <c r="D430" s="33" t="s">
        <v>1775</v>
      </c>
      <c r="E430" s="34" t="s">
        <v>1293</v>
      </c>
      <c r="F430" s="34" t="s">
        <v>1294</v>
      </c>
      <c r="G430" s="34" t="s">
        <v>111</v>
      </c>
      <c r="H430" s="37">
        <v>1</v>
      </c>
      <c r="I430" s="34" t="s">
        <v>112</v>
      </c>
      <c r="J430" s="34" t="s">
        <v>31</v>
      </c>
      <c r="K430" s="34" t="s">
        <v>32</v>
      </c>
      <c r="L430" s="34" t="s">
        <v>1755</v>
      </c>
      <c r="M430" s="34" t="s">
        <v>33</v>
      </c>
      <c r="N430" s="49">
        <v>9</v>
      </c>
      <c r="O430" s="50">
        <v>2</v>
      </c>
      <c r="P430" s="51">
        <v>51</v>
      </c>
      <c r="Q430" s="52">
        <v>18.5077</v>
      </c>
      <c r="R430" s="52">
        <v>-88.347432999999995</v>
      </c>
      <c r="S430" s="74" t="s">
        <v>176</v>
      </c>
      <c r="T430" s="74"/>
      <c r="U430" s="74"/>
      <c r="V430" s="74"/>
      <c r="W430" s="74"/>
      <c r="X430" s="74"/>
      <c r="Y430" s="74"/>
      <c r="Z430" s="74"/>
      <c r="AA430" s="75"/>
      <c r="AB430" s="30">
        <f t="shared" si="6"/>
        <v>4.1666666666666664E-2</v>
      </c>
    </row>
    <row r="431" spans="1:28" x14ac:dyDescent="0.3">
      <c r="A431" s="34" t="s">
        <v>1299</v>
      </c>
      <c r="B431" s="37" t="s">
        <v>25</v>
      </c>
      <c r="C431" s="34" t="s">
        <v>628</v>
      </c>
      <c r="D431" s="33" t="s">
        <v>1775</v>
      </c>
      <c r="E431" s="34" t="s">
        <v>641</v>
      </c>
      <c r="F431" s="34" t="s">
        <v>1296</v>
      </c>
      <c r="G431" s="34" t="s">
        <v>111</v>
      </c>
      <c r="H431" s="37">
        <v>1</v>
      </c>
      <c r="I431" s="34" t="s">
        <v>112</v>
      </c>
      <c r="J431" s="34" t="s">
        <v>31</v>
      </c>
      <c r="K431" s="34" t="s">
        <v>32</v>
      </c>
      <c r="L431" s="34" t="s">
        <v>1755</v>
      </c>
      <c r="M431" s="34" t="s">
        <v>33</v>
      </c>
      <c r="N431" s="49">
        <v>12</v>
      </c>
      <c r="O431" s="50">
        <v>2</v>
      </c>
      <c r="P431" s="51">
        <v>128</v>
      </c>
      <c r="Q431" s="52">
        <v>20.644802500000001</v>
      </c>
      <c r="R431" s="52">
        <v>-87.094999400000006</v>
      </c>
      <c r="S431" s="74" t="s">
        <v>176</v>
      </c>
      <c r="T431" s="74"/>
      <c r="U431" s="74"/>
      <c r="V431" s="74"/>
      <c r="W431" s="74"/>
      <c r="X431" s="74"/>
      <c r="Y431" s="74"/>
      <c r="Z431" s="74"/>
      <c r="AA431" s="75"/>
      <c r="AB431" s="30">
        <f t="shared" si="6"/>
        <v>4.1666666666666664E-2</v>
      </c>
    </row>
    <row r="432" spans="1:28" x14ac:dyDescent="0.3">
      <c r="A432" s="34" t="s">
        <v>1302</v>
      </c>
      <c r="B432" s="37" t="s">
        <v>25</v>
      </c>
      <c r="C432" s="34" t="s">
        <v>628</v>
      </c>
      <c r="D432" s="33" t="s">
        <v>1775</v>
      </c>
      <c r="E432" s="34" t="s">
        <v>641</v>
      </c>
      <c r="F432" s="34" t="s">
        <v>1298</v>
      </c>
      <c r="G432" s="34" t="s">
        <v>111</v>
      </c>
      <c r="H432" s="37">
        <v>1</v>
      </c>
      <c r="I432" s="34" t="s">
        <v>155</v>
      </c>
      <c r="J432" s="34" t="s">
        <v>31</v>
      </c>
      <c r="K432" s="34" t="s">
        <v>32</v>
      </c>
      <c r="L432" s="34" t="s">
        <v>1755</v>
      </c>
      <c r="M432" s="34" t="s">
        <v>33</v>
      </c>
      <c r="N432" s="49">
        <v>13</v>
      </c>
      <c r="O432" s="50">
        <v>2</v>
      </c>
      <c r="P432" s="51">
        <v>45</v>
      </c>
      <c r="Q432" s="52">
        <v>21.195309999999999</v>
      </c>
      <c r="R432" s="52">
        <v>-86.876869999999997</v>
      </c>
      <c r="S432" s="74" t="s">
        <v>176</v>
      </c>
      <c r="T432" s="74"/>
      <c r="U432" s="74"/>
      <c r="V432" s="74"/>
      <c r="W432" s="74"/>
      <c r="X432" s="74"/>
      <c r="Y432" s="74"/>
      <c r="Z432" s="74"/>
      <c r="AA432" s="75"/>
      <c r="AB432" s="30">
        <f t="shared" si="6"/>
        <v>4.1666666666666664E-2</v>
      </c>
    </row>
    <row r="433" spans="1:28" x14ac:dyDescent="0.3">
      <c r="A433" s="34" t="s">
        <v>1304</v>
      </c>
      <c r="B433" s="37" t="s">
        <v>25</v>
      </c>
      <c r="C433" s="34" t="s">
        <v>1779</v>
      </c>
      <c r="D433" s="33" t="s">
        <v>1775</v>
      </c>
      <c r="E433" s="34" t="s">
        <v>1300</v>
      </c>
      <c r="F433" s="34" t="s">
        <v>1301</v>
      </c>
      <c r="G433" s="34" t="s">
        <v>111</v>
      </c>
      <c r="H433" s="37">
        <v>1</v>
      </c>
      <c r="I433" s="34" t="s">
        <v>112</v>
      </c>
      <c r="J433" s="34" t="s">
        <v>31</v>
      </c>
      <c r="K433" s="34" t="s">
        <v>32</v>
      </c>
      <c r="L433" s="34" t="s">
        <v>1755</v>
      </c>
      <c r="M433" s="34" t="s">
        <v>33</v>
      </c>
      <c r="N433" s="49">
        <v>15</v>
      </c>
      <c r="O433" s="50">
        <v>3</v>
      </c>
      <c r="P433" s="51">
        <v>73</v>
      </c>
      <c r="Q433" s="52">
        <v>21.948257000000002</v>
      </c>
      <c r="R433" s="52">
        <v>-98.993797999999998</v>
      </c>
      <c r="S433" s="74" t="s">
        <v>34</v>
      </c>
      <c r="T433" s="74"/>
      <c r="U433" s="74"/>
      <c r="V433" s="74"/>
      <c r="W433" s="74"/>
      <c r="X433" s="74"/>
      <c r="Y433" s="74"/>
      <c r="Z433" s="74"/>
      <c r="AA433" s="75"/>
      <c r="AB433" s="30">
        <f t="shared" si="6"/>
        <v>0.125</v>
      </c>
    </row>
    <row r="434" spans="1:28" x14ac:dyDescent="0.3">
      <c r="A434" s="34" t="s">
        <v>1307</v>
      </c>
      <c r="B434" s="37" t="s">
        <v>25</v>
      </c>
      <c r="C434" s="34" t="s">
        <v>1779</v>
      </c>
      <c r="D434" s="33" t="s">
        <v>1775</v>
      </c>
      <c r="E434" s="34" t="s">
        <v>226</v>
      </c>
      <c r="F434" s="34" t="s">
        <v>1303</v>
      </c>
      <c r="G434" s="34" t="s">
        <v>111</v>
      </c>
      <c r="H434" s="37">
        <v>1</v>
      </c>
      <c r="I434" s="34" t="s">
        <v>112</v>
      </c>
      <c r="J434" s="34" t="s">
        <v>31</v>
      </c>
      <c r="K434" s="34" t="s">
        <v>32</v>
      </c>
      <c r="L434" s="34" t="s">
        <v>1755</v>
      </c>
      <c r="M434" s="34" t="s">
        <v>33</v>
      </c>
      <c r="N434" s="49">
        <v>33</v>
      </c>
      <c r="O434" s="50">
        <v>6</v>
      </c>
      <c r="P434" s="51">
        <v>273</v>
      </c>
      <c r="Q434" s="52">
        <v>21.919696399999999</v>
      </c>
      <c r="R434" s="52">
        <v>-99.991885100000005</v>
      </c>
      <c r="S434" s="74" t="s">
        <v>34</v>
      </c>
      <c r="T434" s="74"/>
      <c r="U434" s="74"/>
      <c r="V434" s="74"/>
      <c r="W434" s="74"/>
      <c r="X434" s="74"/>
      <c r="Y434" s="74"/>
      <c r="Z434" s="74"/>
      <c r="AA434" s="75"/>
      <c r="AB434" s="30">
        <f t="shared" si="6"/>
        <v>0.125</v>
      </c>
    </row>
    <row r="435" spans="1:28" x14ac:dyDescent="0.3">
      <c r="A435" s="34" t="s">
        <v>1310</v>
      </c>
      <c r="B435" s="37" t="s">
        <v>25</v>
      </c>
      <c r="C435" s="34" t="s">
        <v>1779</v>
      </c>
      <c r="D435" s="33" t="s">
        <v>1775</v>
      </c>
      <c r="E435" s="34" t="s">
        <v>1305</v>
      </c>
      <c r="F435" s="34" t="s">
        <v>1306</v>
      </c>
      <c r="G435" s="34" t="s">
        <v>111</v>
      </c>
      <c r="H435" s="37">
        <v>1</v>
      </c>
      <c r="I435" s="34" t="s">
        <v>112</v>
      </c>
      <c r="J435" s="34" t="s">
        <v>31</v>
      </c>
      <c r="K435" s="34" t="s">
        <v>32</v>
      </c>
      <c r="L435" s="34" t="s">
        <v>1755</v>
      </c>
      <c r="M435" s="34" t="s">
        <v>33</v>
      </c>
      <c r="N435" s="49">
        <v>13</v>
      </c>
      <c r="O435" s="50">
        <v>6</v>
      </c>
      <c r="P435" s="51">
        <v>206</v>
      </c>
      <c r="Q435" s="52">
        <v>23.669090000000001</v>
      </c>
      <c r="R435" s="52">
        <v>-100.653531</v>
      </c>
      <c r="S435" s="74" t="s">
        <v>34</v>
      </c>
      <c r="T435" s="74"/>
      <c r="U435" s="74"/>
      <c r="V435" s="74"/>
      <c r="W435" s="74"/>
      <c r="X435" s="74"/>
      <c r="Y435" s="74"/>
      <c r="Z435" s="74"/>
      <c r="AA435" s="75"/>
      <c r="AB435" s="30">
        <f t="shared" si="6"/>
        <v>0.125</v>
      </c>
    </row>
    <row r="436" spans="1:28" x14ac:dyDescent="0.3">
      <c r="A436" s="34" t="s">
        <v>1313</v>
      </c>
      <c r="B436" s="37" t="s">
        <v>25</v>
      </c>
      <c r="C436" s="34" t="s">
        <v>1779</v>
      </c>
      <c r="D436" s="33" t="s">
        <v>1775</v>
      </c>
      <c r="E436" s="34" t="s">
        <v>1308</v>
      </c>
      <c r="F436" s="34" t="s">
        <v>1309</v>
      </c>
      <c r="G436" s="34" t="s">
        <v>111</v>
      </c>
      <c r="H436" s="37">
        <v>1</v>
      </c>
      <c r="I436" s="34" t="s">
        <v>112</v>
      </c>
      <c r="J436" s="34" t="s">
        <v>31</v>
      </c>
      <c r="K436" s="34" t="s">
        <v>32</v>
      </c>
      <c r="L436" s="34" t="s">
        <v>1755</v>
      </c>
      <c r="M436" s="34" t="s">
        <v>33</v>
      </c>
      <c r="N436" s="49">
        <v>17</v>
      </c>
      <c r="O436" s="50">
        <v>4</v>
      </c>
      <c r="P436" s="51">
        <v>130</v>
      </c>
      <c r="Q436" s="52">
        <v>22.147998000000001</v>
      </c>
      <c r="R436" s="52">
        <v>-101.014679</v>
      </c>
      <c r="S436" s="74" t="s">
        <v>34</v>
      </c>
      <c r="T436" s="74"/>
      <c r="U436" s="74"/>
      <c r="V436" s="74"/>
      <c r="W436" s="74"/>
      <c r="X436" s="74"/>
      <c r="Y436" s="74"/>
      <c r="Z436" s="74"/>
      <c r="AA436" s="75"/>
      <c r="AB436" s="30">
        <f t="shared" si="6"/>
        <v>0.125</v>
      </c>
    </row>
    <row r="437" spans="1:28" x14ac:dyDescent="0.3">
      <c r="A437" s="34" t="s">
        <v>1315</v>
      </c>
      <c r="B437" s="37" t="s">
        <v>25</v>
      </c>
      <c r="C437" s="34" t="s">
        <v>1779</v>
      </c>
      <c r="D437" s="33" t="s">
        <v>1775</v>
      </c>
      <c r="E437" s="34" t="s">
        <v>1311</v>
      </c>
      <c r="F437" s="34" t="s">
        <v>1312</v>
      </c>
      <c r="G437" s="34" t="s">
        <v>111</v>
      </c>
      <c r="H437" s="37">
        <v>1</v>
      </c>
      <c r="I437" s="34" t="s">
        <v>112</v>
      </c>
      <c r="J437" s="34" t="s">
        <v>31</v>
      </c>
      <c r="K437" s="34" t="s">
        <v>32</v>
      </c>
      <c r="L437" s="34" t="s">
        <v>1755</v>
      </c>
      <c r="M437" s="34" t="s">
        <v>33</v>
      </c>
      <c r="N437" s="49">
        <v>18</v>
      </c>
      <c r="O437" s="50">
        <v>4</v>
      </c>
      <c r="P437" s="51">
        <v>109</v>
      </c>
      <c r="Q437" s="52">
        <v>22.164570999999999</v>
      </c>
      <c r="R437" s="52">
        <v>-100.938266</v>
      </c>
      <c r="S437" s="74" t="s">
        <v>34</v>
      </c>
      <c r="T437" s="74"/>
      <c r="U437" s="74"/>
      <c r="V437" s="74"/>
      <c r="W437" s="74"/>
      <c r="X437" s="74"/>
      <c r="Y437" s="74"/>
      <c r="Z437" s="74"/>
      <c r="AA437" s="75"/>
      <c r="AB437" s="30">
        <f t="shared" si="6"/>
        <v>0.125</v>
      </c>
    </row>
    <row r="438" spans="1:28" x14ac:dyDescent="0.3">
      <c r="A438" s="34" t="s">
        <v>1318</v>
      </c>
      <c r="B438" s="37" t="s">
        <v>25</v>
      </c>
      <c r="C438" s="34" t="s">
        <v>672</v>
      </c>
      <c r="D438" s="33" t="s">
        <v>1775</v>
      </c>
      <c r="E438" s="34" t="s">
        <v>647</v>
      </c>
      <c r="F438" s="34" t="s">
        <v>1314</v>
      </c>
      <c r="G438" s="34" t="s">
        <v>111</v>
      </c>
      <c r="H438" s="37">
        <v>1</v>
      </c>
      <c r="I438" s="34" t="s">
        <v>155</v>
      </c>
      <c r="J438" s="34" t="s">
        <v>31</v>
      </c>
      <c r="K438" s="34" t="s">
        <v>32</v>
      </c>
      <c r="L438" s="34" t="s">
        <v>1756</v>
      </c>
      <c r="M438" s="34" t="s">
        <v>33</v>
      </c>
      <c r="N438" s="49">
        <v>93</v>
      </c>
      <c r="O438" s="50">
        <v>12</v>
      </c>
      <c r="P438" s="51">
        <v>366</v>
      </c>
      <c r="Q438" s="52">
        <v>24.8325414</v>
      </c>
      <c r="R438" s="52">
        <v>-107.3660201</v>
      </c>
      <c r="S438" s="74" t="s">
        <v>34</v>
      </c>
      <c r="T438" s="74"/>
      <c r="U438" s="74"/>
      <c r="V438" s="74"/>
      <c r="W438" s="74"/>
      <c r="X438" s="74"/>
      <c r="Y438" s="74"/>
      <c r="Z438" s="74"/>
      <c r="AA438" s="75"/>
      <c r="AB438" s="30">
        <f t="shared" si="6"/>
        <v>0.125</v>
      </c>
    </row>
    <row r="439" spans="1:28" x14ac:dyDescent="0.3">
      <c r="A439" s="34" t="s">
        <v>1320</v>
      </c>
      <c r="B439" s="37" t="s">
        <v>25</v>
      </c>
      <c r="C439" s="34" t="s">
        <v>672</v>
      </c>
      <c r="D439" s="33" t="s">
        <v>1775</v>
      </c>
      <c r="E439" s="34" t="s">
        <v>1316</v>
      </c>
      <c r="F439" s="34" t="s">
        <v>1317</v>
      </c>
      <c r="G439" s="34" t="s">
        <v>111</v>
      </c>
      <c r="H439" s="37">
        <v>1</v>
      </c>
      <c r="I439" s="34" t="s">
        <v>112</v>
      </c>
      <c r="J439" s="34" t="s">
        <v>31</v>
      </c>
      <c r="K439" s="34" t="s">
        <v>32</v>
      </c>
      <c r="L439" s="34" t="s">
        <v>1756</v>
      </c>
      <c r="M439" s="34" t="s">
        <v>33</v>
      </c>
      <c r="N439" s="49">
        <v>20</v>
      </c>
      <c r="O439" s="50">
        <v>8</v>
      </c>
      <c r="P439" s="51">
        <v>148</v>
      </c>
      <c r="Q439" s="52">
        <v>25.771093100000002</v>
      </c>
      <c r="R439" s="52">
        <v>-108.988561</v>
      </c>
      <c r="S439" s="74" t="s">
        <v>34</v>
      </c>
      <c r="T439" s="74"/>
      <c r="U439" s="74"/>
      <c r="V439" s="74"/>
      <c r="W439" s="74"/>
      <c r="X439" s="74"/>
      <c r="Y439" s="74"/>
      <c r="Z439" s="74"/>
      <c r="AA439" s="75"/>
      <c r="AB439" s="30">
        <f t="shared" si="6"/>
        <v>0.125</v>
      </c>
    </row>
    <row r="440" spans="1:28" x14ac:dyDescent="0.3">
      <c r="A440" s="34" t="s">
        <v>1322</v>
      </c>
      <c r="B440" s="37" t="s">
        <v>25</v>
      </c>
      <c r="C440" s="34" t="s">
        <v>672</v>
      </c>
      <c r="D440" s="33" t="s">
        <v>1775</v>
      </c>
      <c r="E440" s="34" t="s">
        <v>705</v>
      </c>
      <c r="F440" s="34" t="s">
        <v>1319</v>
      </c>
      <c r="G440" s="34" t="s">
        <v>111</v>
      </c>
      <c r="H440" s="37">
        <v>1</v>
      </c>
      <c r="I440" s="34" t="s">
        <v>112</v>
      </c>
      <c r="J440" s="34" t="s">
        <v>31</v>
      </c>
      <c r="K440" s="34" t="s">
        <v>32</v>
      </c>
      <c r="L440" s="34" t="s">
        <v>1755</v>
      </c>
      <c r="M440" s="34" t="s">
        <v>33</v>
      </c>
      <c r="N440" s="49">
        <v>51</v>
      </c>
      <c r="O440" s="50">
        <v>9</v>
      </c>
      <c r="P440" s="51">
        <v>242</v>
      </c>
      <c r="Q440" s="52">
        <v>25.5530893</v>
      </c>
      <c r="R440" s="52">
        <v>-108.4751021</v>
      </c>
      <c r="S440" s="74" t="s">
        <v>34</v>
      </c>
      <c r="T440" s="74"/>
      <c r="U440" s="74"/>
      <c r="V440" s="74"/>
      <c r="W440" s="74"/>
      <c r="X440" s="74"/>
      <c r="Y440" s="74"/>
      <c r="Z440" s="74"/>
      <c r="AA440" s="75"/>
      <c r="AB440" s="30">
        <f t="shared" si="6"/>
        <v>0.125</v>
      </c>
    </row>
    <row r="441" spans="1:28" x14ac:dyDescent="0.3">
      <c r="A441" s="34" t="s">
        <v>1325</v>
      </c>
      <c r="B441" s="37" t="s">
        <v>25</v>
      </c>
      <c r="C441" s="34" t="s">
        <v>672</v>
      </c>
      <c r="D441" s="33" t="s">
        <v>1775</v>
      </c>
      <c r="E441" s="34" t="s">
        <v>699</v>
      </c>
      <c r="F441" s="34" t="s">
        <v>1321</v>
      </c>
      <c r="G441" s="34" t="s">
        <v>111</v>
      </c>
      <c r="H441" s="37">
        <v>1</v>
      </c>
      <c r="I441" s="34" t="s">
        <v>112</v>
      </c>
      <c r="J441" s="34" t="s">
        <v>31</v>
      </c>
      <c r="K441" s="34" t="s">
        <v>32</v>
      </c>
      <c r="L441" s="34" t="s">
        <v>1756</v>
      </c>
      <c r="M441" s="34" t="s">
        <v>33</v>
      </c>
      <c r="N441" s="49">
        <v>21</v>
      </c>
      <c r="O441" s="50">
        <v>7</v>
      </c>
      <c r="P441" s="51">
        <v>192</v>
      </c>
      <c r="Q441" s="52">
        <v>23.291899999999998</v>
      </c>
      <c r="R441" s="52">
        <v>-106.45269999999999</v>
      </c>
      <c r="S441" s="74" t="s">
        <v>34</v>
      </c>
      <c r="T441" s="74"/>
      <c r="U441" s="74"/>
      <c r="V441" s="74"/>
      <c r="W441" s="74"/>
      <c r="X441" s="74"/>
      <c r="Y441" s="74"/>
      <c r="Z441" s="74"/>
      <c r="AA441" s="75"/>
      <c r="AB441" s="30">
        <f t="shared" si="6"/>
        <v>0.125</v>
      </c>
    </row>
    <row r="442" spans="1:28" x14ac:dyDescent="0.3">
      <c r="A442" s="34" t="s">
        <v>1328</v>
      </c>
      <c r="B442" s="37" t="s">
        <v>25</v>
      </c>
      <c r="C442" s="34" t="s">
        <v>672</v>
      </c>
      <c r="D442" s="33" t="s">
        <v>1775</v>
      </c>
      <c r="E442" s="34" t="s">
        <v>1323</v>
      </c>
      <c r="F442" s="34" t="s">
        <v>1324</v>
      </c>
      <c r="G442" s="34" t="s">
        <v>111</v>
      </c>
      <c r="H442" s="37">
        <v>1</v>
      </c>
      <c r="I442" s="34" t="s">
        <v>112</v>
      </c>
      <c r="J442" s="34" t="s">
        <v>31</v>
      </c>
      <c r="K442" s="34" t="s">
        <v>32</v>
      </c>
      <c r="L442" s="34" t="s">
        <v>1755</v>
      </c>
      <c r="M442" s="34" t="s">
        <v>33</v>
      </c>
      <c r="N442" s="49">
        <v>18</v>
      </c>
      <c r="O442" s="50">
        <v>7</v>
      </c>
      <c r="P442" s="51">
        <v>92</v>
      </c>
      <c r="Q442" s="52">
        <v>23.9334366</v>
      </c>
      <c r="R442" s="52">
        <v>-106.8759673</v>
      </c>
      <c r="S442" s="74" t="s">
        <v>34</v>
      </c>
      <c r="T442" s="74"/>
      <c r="U442" s="74"/>
      <c r="V442" s="74"/>
      <c r="W442" s="74"/>
      <c r="X442" s="74"/>
      <c r="Y442" s="74"/>
      <c r="Z442" s="74"/>
      <c r="AA442" s="75"/>
      <c r="AB442" s="30">
        <f t="shared" si="6"/>
        <v>0.125</v>
      </c>
    </row>
    <row r="443" spans="1:28" x14ac:dyDescent="0.3">
      <c r="A443" s="34" t="s">
        <v>1331</v>
      </c>
      <c r="B443" s="37" t="s">
        <v>25</v>
      </c>
      <c r="C443" s="34" t="s">
        <v>672</v>
      </c>
      <c r="D443" s="33" t="s">
        <v>1775</v>
      </c>
      <c r="E443" s="34" t="s">
        <v>1326</v>
      </c>
      <c r="F443" s="34" t="s">
        <v>1327</v>
      </c>
      <c r="G443" s="34" t="s">
        <v>111</v>
      </c>
      <c r="H443" s="37">
        <v>1</v>
      </c>
      <c r="I443" s="34" t="s">
        <v>112</v>
      </c>
      <c r="J443" s="34" t="s">
        <v>31</v>
      </c>
      <c r="K443" s="34" t="s">
        <v>32</v>
      </c>
      <c r="L443" s="34" t="s">
        <v>1756</v>
      </c>
      <c r="M443" s="34" t="s">
        <v>33</v>
      </c>
      <c r="N443" s="49">
        <v>31</v>
      </c>
      <c r="O443" s="50">
        <v>6</v>
      </c>
      <c r="P443" s="51">
        <v>148</v>
      </c>
      <c r="Q443" s="52">
        <v>22.831477799999998</v>
      </c>
      <c r="R443" s="52">
        <v>-105.77733449999999</v>
      </c>
      <c r="S443" s="74" t="s">
        <v>34</v>
      </c>
      <c r="T443" s="74"/>
      <c r="U443" s="74"/>
      <c r="V443" s="74"/>
      <c r="W443" s="74"/>
      <c r="X443" s="74"/>
      <c r="Y443" s="74"/>
      <c r="Z443" s="74"/>
      <c r="AA443" s="75"/>
      <c r="AB443" s="30">
        <f t="shared" si="6"/>
        <v>0.125</v>
      </c>
    </row>
    <row r="444" spans="1:28" x14ac:dyDescent="0.3">
      <c r="A444" s="34" t="s">
        <v>1334</v>
      </c>
      <c r="B444" s="37" t="s">
        <v>25</v>
      </c>
      <c r="C444" s="34" t="s">
        <v>672</v>
      </c>
      <c r="D444" s="33" t="s">
        <v>1775</v>
      </c>
      <c r="E444" s="34" t="s">
        <v>1329</v>
      </c>
      <c r="F444" s="34" t="s">
        <v>1330</v>
      </c>
      <c r="G444" s="34" t="s">
        <v>111</v>
      </c>
      <c r="H444" s="37">
        <v>1</v>
      </c>
      <c r="I444" s="34" t="s">
        <v>112</v>
      </c>
      <c r="J444" s="34" t="s">
        <v>31</v>
      </c>
      <c r="K444" s="34" t="s">
        <v>32</v>
      </c>
      <c r="L444" s="34" t="s">
        <v>1755</v>
      </c>
      <c r="M444" s="34" t="s">
        <v>33</v>
      </c>
      <c r="N444" s="49">
        <v>12</v>
      </c>
      <c r="O444" s="50">
        <v>2</v>
      </c>
      <c r="P444" s="51">
        <v>51</v>
      </c>
      <c r="Q444" s="52">
        <v>24.311874199999998</v>
      </c>
      <c r="R444" s="52">
        <v>-107.36495909999999</v>
      </c>
      <c r="S444" s="74" t="s">
        <v>34</v>
      </c>
      <c r="T444" s="74"/>
      <c r="U444" s="74"/>
      <c r="V444" s="74"/>
      <c r="W444" s="74"/>
      <c r="X444" s="74"/>
      <c r="Y444" s="74"/>
      <c r="Z444" s="74"/>
      <c r="AA444" s="75"/>
      <c r="AB444" s="30">
        <f t="shared" si="6"/>
        <v>0.125</v>
      </c>
    </row>
    <row r="445" spans="1:28" x14ac:dyDescent="0.3">
      <c r="A445" s="34" t="s">
        <v>1337</v>
      </c>
      <c r="B445" s="37" t="s">
        <v>25</v>
      </c>
      <c r="C445" s="34" t="s">
        <v>954</v>
      </c>
      <c r="D445" s="33" t="s">
        <v>1775</v>
      </c>
      <c r="E445" s="34" t="s">
        <v>1332</v>
      </c>
      <c r="F445" s="34" t="s">
        <v>1333</v>
      </c>
      <c r="G445" s="34" t="s">
        <v>111</v>
      </c>
      <c r="H445" s="37">
        <v>1</v>
      </c>
      <c r="I445" s="34" t="s">
        <v>112</v>
      </c>
      <c r="J445" s="34" t="s">
        <v>31</v>
      </c>
      <c r="K445" s="34" t="s">
        <v>32</v>
      </c>
      <c r="L445" s="34" t="s">
        <v>1755</v>
      </c>
      <c r="M445" s="34" t="s">
        <v>33</v>
      </c>
      <c r="N445" s="49">
        <v>17</v>
      </c>
      <c r="O445" s="50">
        <v>3</v>
      </c>
      <c r="P445" s="51">
        <v>79</v>
      </c>
      <c r="Q445" s="52">
        <v>27.060081199999999</v>
      </c>
      <c r="R445" s="52">
        <v>-109.43993380000001</v>
      </c>
      <c r="S445" s="74" t="s">
        <v>34</v>
      </c>
      <c r="T445" s="74" t="s">
        <v>35</v>
      </c>
      <c r="U445" s="74" t="s">
        <v>35</v>
      </c>
      <c r="V445" s="74" t="s">
        <v>35</v>
      </c>
      <c r="W445" s="74" t="s">
        <v>1808</v>
      </c>
      <c r="X445" s="74"/>
      <c r="Y445" s="74"/>
      <c r="Z445" s="74"/>
      <c r="AA445" s="75"/>
      <c r="AB445" s="30">
        <f t="shared" si="6"/>
        <v>0.54166666666666663</v>
      </c>
    </row>
    <row r="446" spans="1:28" x14ac:dyDescent="0.3">
      <c r="A446" s="34" t="s">
        <v>1340</v>
      </c>
      <c r="B446" s="37" t="s">
        <v>25</v>
      </c>
      <c r="C446" s="34" t="s">
        <v>954</v>
      </c>
      <c r="D446" s="33" t="s">
        <v>1775</v>
      </c>
      <c r="E446" s="34" t="s">
        <v>1335</v>
      </c>
      <c r="F446" s="34" t="s">
        <v>1336</v>
      </c>
      <c r="G446" s="34" t="s">
        <v>111</v>
      </c>
      <c r="H446" s="37">
        <v>1</v>
      </c>
      <c r="I446" s="34" t="s">
        <v>112</v>
      </c>
      <c r="J446" s="34" t="s">
        <v>31</v>
      </c>
      <c r="K446" s="34" t="s">
        <v>32</v>
      </c>
      <c r="L446" s="34" t="s">
        <v>1755</v>
      </c>
      <c r="M446" s="34" t="s">
        <v>33</v>
      </c>
      <c r="N446" s="49">
        <v>13</v>
      </c>
      <c r="O446" s="50">
        <v>1</v>
      </c>
      <c r="P446" s="51">
        <v>48</v>
      </c>
      <c r="Q446" s="52">
        <v>31.309418000000001</v>
      </c>
      <c r="R446" s="52">
        <v>-110.944518</v>
      </c>
      <c r="S446" s="74" t="s">
        <v>34</v>
      </c>
      <c r="T446" s="74" t="s">
        <v>35</v>
      </c>
      <c r="U446" s="74" t="s">
        <v>35</v>
      </c>
      <c r="V446" s="74" t="s">
        <v>35</v>
      </c>
      <c r="W446" s="74" t="s">
        <v>1808</v>
      </c>
      <c r="X446" s="74"/>
      <c r="Y446" s="74"/>
      <c r="Z446" s="74"/>
      <c r="AA446" s="75"/>
      <c r="AB446" s="30">
        <f t="shared" si="6"/>
        <v>0.54166666666666663</v>
      </c>
    </row>
    <row r="447" spans="1:28" x14ac:dyDescent="0.3">
      <c r="A447" s="34" t="s">
        <v>1343</v>
      </c>
      <c r="B447" s="37" t="s">
        <v>25</v>
      </c>
      <c r="C447" s="34" t="s">
        <v>954</v>
      </c>
      <c r="D447" s="33" t="s">
        <v>1775</v>
      </c>
      <c r="E447" s="34" t="s">
        <v>1338</v>
      </c>
      <c r="F447" s="34" t="s">
        <v>1339</v>
      </c>
      <c r="G447" s="34" t="s">
        <v>111</v>
      </c>
      <c r="H447" s="37">
        <v>1</v>
      </c>
      <c r="I447" s="34" t="s">
        <v>112</v>
      </c>
      <c r="J447" s="34" t="s">
        <v>31</v>
      </c>
      <c r="K447" s="34" t="s">
        <v>32</v>
      </c>
      <c r="L447" s="34" t="s">
        <v>1755</v>
      </c>
      <c r="M447" s="34" t="s">
        <v>33</v>
      </c>
      <c r="N447" s="49">
        <v>14</v>
      </c>
      <c r="O447" s="50">
        <v>3</v>
      </c>
      <c r="P447" s="51">
        <v>91</v>
      </c>
      <c r="Q447" s="52">
        <v>30.998305999999999</v>
      </c>
      <c r="R447" s="52">
        <v>-110.25402</v>
      </c>
      <c r="S447" s="74" t="s">
        <v>34</v>
      </c>
      <c r="T447" s="74" t="s">
        <v>35</v>
      </c>
      <c r="U447" s="74" t="s">
        <v>35</v>
      </c>
      <c r="V447" s="74" t="s">
        <v>35</v>
      </c>
      <c r="W447" s="74" t="s">
        <v>1808</v>
      </c>
      <c r="X447" s="74"/>
      <c r="Y447" s="74"/>
      <c r="Z447" s="74"/>
      <c r="AA447" s="75"/>
      <c r="AB447" s="30">
        <f t="shared" si="6"/>
        <v>0.54166666666666663</v>
      </c>
    </row>
    <row r="448" spans="1:28" x14ac:dyDescent="0.3">
      <c r="A448" s="34" t="s">
        <v>1346</v>
      </c>
      <c r="B448" s="37" t="s">
        <v>25</v>
      </c>
      <c r="C448" s="34" t="s">
        <v>954</v>
      </c>
      <c r="D448" s="33" t="s">
        <v>1775</v>
      </c>
      <c r="E448" s="34" t="s">
        <v>1341</v>
      </c>
      <c r="F448" s="34" t="s">
        <v>1342</v>
      </c>
      <c r="G448" s="34" t="s">
        <v>111</v>
      </c>
      <c r="H448" s="37">
        <v>1</v>
      </c>
      <c r="I448" s="34" t="s">
        <v>112</v>
      </c>
      <c r="J448" s="34" t="s">
        <v>31</v>
      </c>
      <c r="K448" s="34" t="s">
        <v>32</v>
      </c>
      <c r="L448" s="34" t="s">
        <v>1755</v>
      </c>
      <c r="M448" s="34" t="s">
        <v>33</v>
      </c>
      <c r="N448" s="49">
        <v>17</v>
      </c>
      <c r="O448" s="50">
        <v>4</v>
      </c>
      <c r="P448" s="51">
        <v>93</v>
      </c>
      <c r="Q448" s="52">
        <v>26.842471199999999</v>
      </c>
      <c r="R448" s="52">
        <v>-109.6410047</v>
      </c>
      <c r="S448" s="74" t="s">
        <v>34</v>
      </c>
      <c r="T448" s="74" t="s">
        <v>35</v>
      </c>
      <c r="U448" s="74" t="s">
        <v>35</v>
      </c>
      <c r="V448" s="74" t="s">
        <v>35</v>
      </c>
      <c r="W448" s="74" t="s">
        <v>1808</v>
      </c>
      <c r="X448" s="74"/>
      <c r="Y448" s="74"/>
      <c r="Z448" s="74"/>
      <c r="AA448" s="75"/>
      <c r="AB448" s="30">
        <f t="shared" si="6"/>
        <v>0.54166666666666663</v>
      </c>
    </row>
    <row r="449" spans="1:28" x14ac:dyDescent="0.3">
      <c r="A449" s="34" t="s">
        <v>1349</v>
      </c>
      <c r="B449" s="37" t="s">
        <v>25</v>
      </c>
      <c r="C449" s="34" t="s">
        <v>954</v>
      </c>
      <c r="D449" s="33" t="s">
        <v>1775</v>
      </c>
      <c r="E449" s="34" t="s">
        <v>1344</v>
      </c>
      <c r="F449" s="34" t="s">
        <v>1345</v>
      </c>
      <c r="G449" s="34" t="s">
        <v>111</v>
      </c>
      <c r="H449" s="37">
        <v>1</v>
      </c>
      <c r="I449" s="34" t="s">
        <v>112</v>
      </c>
      <c r="J449" s="34" t="s">
        <v>31</v>
      </c>
      <c r="K449" s="34" t="s">
        <v>32</v>
      </c>
      <c r="L449" s="34" t="s">
        <v>1755</v>
      </c>
      <c r="M449" s="34" t="s">
        <v>33</v>
      </c>
      <c r="N449" s="49">
        <v>15</v>
      </c>
      <c r="O449" s="50">
        <v>3</v>
      </c>
      <c r="P449" s="51">
        <v>48</v>
      </c>
      <c r="Q449" s="52">
        <v>29.115781200000001</v>
      </c>
      <c r="R449" s="52">
        <v>-110.9727041</v>
      </c>
      <c r="S449" s="74" t="s">
        <v>34</v>
      </c>
      <c r="T449" s="74" t="s">
        <v>35</v>
      </c>
      <c r="U449" s="74" t="s">
        <v>35</v>
      </c>
      <c r="V449" s="74" t="s">
        <v>35</v>
      </c>
      <c r="W449" s="74" t="s">
        <v>1808</v>
      </c>
      <c r="X449" s="74"/>
      <c r="Y449" s="74"/>
      <c r="Z449" s="74"/>
      <c r="AA449" s="75"/>
      <c r="AB449" s="30">
        <f t="shared" si="6"/>
        <v>0.54166666666666663</v>
      </c>
    </row>
    <row r="450" spans="1:28" x14ac:dyDescent="0.3">
      <c r="A450" s="34" t="s">
        <v>1352</v>
      </c>
      <c r="B450" s="37" t="s">
        <v>25</v>
      </c>
      <c r="C450" s="34" t="s">
        <v>954</v>
      </c>
      <c r="D450" s="33" t="s">
        <v>1775</v>
      </c>
      <c r="E450" s="34" t="s">
        <v>1347</v>
      </c>
      <c r="F450" s="34" t="s">
        <v>1348</v>
      </c>
      <c r="G450" s="34" t="s">
        <v>111</v>
      </c>
      <c r="H450" s="37">
        <v>1</v>
      </c>
      <c r="I450" s="34" t="s">
        <v>112</v>
      </c>
      <c r="J450" s="34" t="s">
        <v>31</v>
      </c>
      <c r="K450" s="34" t="s">
        <v>32</v>
      </c>
      <c r="L450" s="34" t="s">
        <v>1755</v>
      </c>
      <c r="M450" s="34" t="s">
        <v>33</v>
      </c>
      <c r="N450" s="49">
        <v>12</v>
      </c>
      <c r="O450" s="50">
        <v>2</v>
      </c>
      <c r="P450" s="51">
        <v>69</v>
      </c>
      <c r="Q450" s="52">
        <v>30.6420274</v>
      </c>
      <c r="R450" s="52">
        <v>-110.9547019</v>
      </c>
      <c r="S450" s="74" t="s">
        <v>34</v>
      </c>
      <c r="T450" s="74" t="s">
        <v>35</v>
      </c>
      <c r="U450" s="74" t="s">
        <v>35</v>
      </c>
      <c r="V450" s="74" t="s">
        <v>35</v>
      </c>
      <c r="W450" s="74" t="s">
        <v>1808</v>
      </c>
      <c r="X450" s="74"/>
      <c r="Y450" s="74"/>
      <c r="Z450" s="74"/>
      <c r="AA450" s="75"/>
      <c r="AB450" s="30">
        <f t="shared" ref="AB450:AB513" si="7">(
IF(S450="ENVIADO A LA CE/UM",1/3,IF(S450="ENTREGADO/REVISIÓN",2/3,IF(S450="ENVIADO A TICS",1,0)))+
IF(T450="EN PROCESO",0,IF(T450="CONCLUIDO",1,0))+
IF(U450="ENVIADO A LA CE/UM",1/3,IF(U450="EN REVISIÓN CENTRAL",2/3,IF(U450="CONCLUIDO",1,0)))+
IF(V450="ENVIADO A LA CE/UM",1/3,IF(V450="EN REVISIÓN CENTRAL",2/3,IF(V450="CONCLUIDO",1,0)))+
IF(W450="ENVIADO",1/3,IF(W450="EN PROCESO",2/3,IF(W450="CONCLUIDO",1,0)))+
IF(X450="PROGRAMADAS",0,IF(X450="CONCLUIDAS",1,0))+
IF(Y450="SI",1,IF(Y450="NO",0,0))+
IF(Z450="SI",1,IF(Z450="NO",0,0))
)/8</f>
        <v>0.54166666666666663</v>
      </c>
    </row>
    <row r="451" spans="1:28" x14ac:dyDescent="0.3">
      <c r="A451" s="34" t="s">
        <v>1355</v>
      </c>
      <c r="B451" s="37" t="s">
        <v>25</v>
      </c>
      <c r="C451" s="34" t="s">
        <v>954</v>
      </c>
      <c r="D451" s="33" t="s">
        <v>1775</v>
      </c>
      <c r="E451" s="34" t="s">
        <v>1350</v>
      </c>
      <c r="F451" s="34" t="s">
        <v>1351</v>
      </c>
      <c r="G451" s="34" t="s">
        <v>164</v>
      </c>
      <c r="H451" s="37">
        <v>2</v>
      </c>
      <c r="I451" s="34" t="s">
        <v>155</v>
      </c>
      <c r="J451" s="34" t="s">
        <v>31</v>
      </c>
      <c r="K451" s="34" t="s">
        <v>32</v>
      </c>
      <c r="L451" s="34" t="s">
        <v>1755</v>
      </c>
      <c r="M451" s="34" t="s">
        <v>33</v>
      </c>
      <c r="N451" s="49">
        <v>0</v>
      </c>
      <c r="O451" s="50">
        <v>0</v>
      </c>
      <c r="P451" s="51">
        <v>0</v>
      </c>
      <c r="Q451" s="52">
        <v>31.341422999999999</v>
      </c>
      <c r="R451" s="52">
        <v>-113.51633699999999</v>
      </c>
      <c r="S451" s="74" t="s">
        <v>34</v>
      </c>
      <c r="T451" s="74" t="s">
        <v>35</v>
      </c>
      <c r="U451" s="74" t="s">
        <v>35</v>
      </c>
      <c r="V451" s="74" t="s">
        <v>35</v>
      </c>
      <c r="W451" s="74" t="s">
        <v>1808</v>
      </c>
      <c r="X451" s="74"/>
      <c r="Y451" s="74"/>
      <c r="Z451" s="74"/>
      <c r="AA451" s="75"/>
      <c r="AB451" s="30">
        <f t="shared" si="7"/>
        <v>0.54166666666666663</v>
      </c>
    </row>
    <row r="452" spans="1:28" x14ac:dyDescent="0.3">
      <c r="A452" s="34" t="s">
        <v>1358</v>
      </c>
      <c r="B452" s="37" t="s">
        <v>25</v>
      </c>
      <c r="C452" s="34" t="s">
        <v>954</v>
      </c>
      <c r="D452" s="33" t="s">
        <v>1775</v>
      </c>
      <c r="E452" s="34" t="s">
        <v>1353</v>
      </c>
      <c r="F452" s="34" t="s">
        <v>1354</v>
      </c>
      <c r="G452" s="34" t="s">
        <v>29</v>
      </c>
      <c r="H452" s="37">
        <v>1</v>
      </c>
      <c r="I452" s="34" t="s">
        <v>30</v>
      </c>
      <c r="J452" s="34" t="s">
        <v>31</v>
      </c>
      <c r="K452" s="34" t="s">
        <v>32</v>
      </c>
      <c r="L452" s="34" t="s">
        <v>1755</v>
      </c>
      <c r="M452" s="34" t="s">
        <v>33</v>
      </c>
      <c r="N452" s="49">
        <v>17</v>
      </c>
      <c r="O452" s="50">
        <v>3</v>
      </c>
      <c r="P452" s="51">
        <v>50</v>
      </c>
      <c r="Q452" s="52">
        <v>27.918989400000001</v>
      </c>
      <c r="R452" s="52">
        <v>-110.8996277</v>
      </c>
      <c r="S452" s="74" t="s">
        <v>34</v>
      </c>
      <c r="T452" s="74" t="s">
        <v>35</v>
      </c>
      <c r="U452" s="74" t="s">
        <v>35</v>
      </c>
      <c r="V452" s="74" t="s">
        <v>35</v>
      </c>
      <c r="W452" s="74" t="s">
        <v>1808</v>
      </c>
      <c r="X452" s="74"/>
      <c r="Y452" s="74"/>
      <c r="Z452" s="74"/>
      <c r="AA452" s="75"/>
      <c r="AB452" s="30">
        <f t="shared" si="7"/>
        <v>0.54166666666666663</v>
      </c>
    </row>
    <row r="453" spans="1:28" x14ac:dyDescent="0.3">
      <c r="A453" s="34" t="s">
        <v>1360</v>
      </c>
      <c r="B453" s="37" t="s">
        <v>25</v>
      </c>
      <c r="C453" s="34" t="s">
        <v>954</v>
      </c>
      <c r="D453" s="33" t="s">
        <v>1775</v>
      </c>
      <c r="E453" s="34" t="s">
        <v>1356</v>
      </c>
      <c r="F453" s="34" t="s">
        <v>1357</v>
      </c>
      <c r="G453" s="34" t="s">
        <v>29</v>
      </c>
      <c r="H453" s="37">
        <v>1</v>
      </c>
      <c r="I453" s="34" t="s">
        <v>30</v>
      </c>
      <c r="J453" s="34" t="s">
        <v>31</v>
      </c>
      <c r="K453" s="34" t="s">
        <v>32</v>
      </c>
      <c r="L453" s="34" t="s">
        <v>1755</v>
      </c>
      <c r="M453" s="34" t="s">
        <v>33</v>
      </c>
      <c r="N453" s="49">
        <v>8</v>
      </c>
      <c r="O453" s="50">
        <v>2</v>
      </c>
      <c r="P453" s="51">
        <v>26</v>
      </c>
      <c r="Q453" s="52">
        <v>29.08175</v>
      </c>
      <c r="R453" s="52">
        <v>-111.003861</v>
      </c>
      <c r="S453" s="74" t="s">
        <v>34</v>
      </c>
      <c r="T453" s="74" t="s">
        <v>35</v>
      </c>
      <c r="U453" s="74" t="s">
        <v>35</v>
      </c>
      <c r="V453" s="74" t="s">
        <v>35</v>
      </c>
      <c r="W453" s="74" t="s">
        <v>1808</v>
      </c>
      <c r="X453" s="74"/>
      <c r="Y453" s="74"/>
      <c r="Z453" s="74"/>
      <c r="AA453" s="75"/>
      <c r="AB453" s="30">
        <f t="shared" si="7"/>
        <v>0.54166666666666663</v>
      </c>
    </row>
    <row r="454" spans="1:28" x14ac:dyDescent="0.3">
      <c r="A454" s="34" t="s">
        <v>1362</v>
      </c>
      <c r="B454" s="37" t="s">
        <v>25</v>
      </c>
      <c r="C454" s="34" t="s">
        <v>954</v>
      </c>
      <c r="D454" s="33" t="s">
        <v>1775</v>
      </c>
      <c r="E454" s="34" t="s">
        <v>955</v>
      </c>
      <c r="F454" s="34" t="s">
        <v>1359</v>
      </c>
      <c r="G454" s="34" t="s">
        <v>111</v>
      </c>
      <c r="H454" s="37">
        <v>1</v>
      </c>
      <c r="I454" s="34" t="s">
        <v>112</v>
      </c>
      <c r="J454" s="34" t="s">
        <v>31</v>
      </c>
      <c r="K454" s="34" t="s">
        <v>32</v>
      </c>
      <c r="L454" s="34" t="s">
        <v>1755</v>
      </c>
      <c r="M454" s="34" t="s">
        <v>33</v>
      </c>
      <c r="N454" s="49">
        <v>12</v>
      </c>
      <c r="O454" s="50">
        <v>3</v>
      </c>
      <c r="P454" s="51">
        <v>81</v>
      </c>
      <c r="Q454" s="52">
        <v>32.470050000000001</v>
      </c>
      <c r="R454" s="52">
        <v>-114.7779322</v>
      </c>
      <c r="S454" s="74" t="s">
        <v>34</v>
      </c>
      <c r="T454" s="74" t="s">
        <v>35</v>
      </c>
      <c r="U454" s="74" t="s">
        <v>35</v>
      </c>
      <c r="V454" s="74" t="s">
        <v>35</v>
      </c>
      <c r="W454" s="74" t="s">
        <v>1808</v>
      </c>
      <c r="X454" s="74"/>
      <c r="Y454" s="74"/>
      <c r="Z454" s="74"/>
      <c r="AA454" s="75"/>
      <c r="AB454" s="30">
        <f t="shared" si="7"/>
        <v>0.54166666666666663</v>
      </c>
    </row>
    <row r="455" spans="1:28" x14ac:dyDescent="0.3">
      <c r="A455" s="34" t="s">
        <v>1365</v>
      </c>
      <c r="B455" s="37" t="s">
        <v>25</v>
      </c>
      <c r="C455" s="34" t="s">
        <v>724</v>
      </c>
      <c r="D455" s="33" t="s">
        <v>1775</v>
      </c>
      <c r="E455" s="34" t="s">
        <v>1350</v>
      </c>
      <c r="F455" s="34" t="s">
        <v>1361</v>
      </c>
      <c r="G455" s="34" t="s">
        <v>111</v>
      </c>
      <c r="H455" s="37">
        <v>1</v>
      </c>
      <c r="I455" s="34" t="s">
        <v>112</v>
      </c>
      <c r="J455" s="34" t="s">
        <v>31</v>
      </c>
      <c r="K455" s="34" t="s">
        <v>32</v>
      </c>
      <c r="L455" s="34" t="s">
        <v>1756</v>
      </c>
      <c r="M455" s="34" t="s">
        <v>33</v>
      </c>
      <c r="N455" s="49">
        <v>54</v>
      </c>
      <c r="O455" s="50">
        <v>12</v>
      </c>
      <c r="P455" s="51">
        <v>269</v>
      </c>
      <c r="Q455" s="52">
        <v>17.811900000000001</v>
      </c>
      <c r="R455" s="52">
        <v>-91.533500000000004</v>
      </c>
      <c r="S455" s="74" t="s">
        <v>34</v>
      </c>
      <c r="T455" s="74"/>
      <c r="U455" s="74"/>
      <c r="V455" s="74"/>
      <c r="W455" s="74"/>
      <c r="X455" s="74"/>
      <c r="Y455" s="74"/>
      <c r="Z455" s="74"/>
      <c r="AA455" s="75"/>
      <c r="AB455" s="30">
        <f t="shared" si="7"/>
        <v>0.125</v>
      </c>
    </row>
    <row r="456" spans="1:28" x14ac:dyDescent="0.3">
      <c r="A456" s="34" t="s">
        <v>1368</v>
      </c>
      <c r="B456" s="37" t="s">
        <v>25</v>
      </c>
      <c r="C456" s="34" t="s">
        <v>724</v>
      </c>
      <c r="D456" s="33" t="s">
        <v>1775</v>
      </c>
      <c r="E456" s="34" t="s">
        <v>1363</v>
      </c>
      <c r="F456" s="34" t="s">
        <v>1364</v>
      </c>
      <c r="G456" s="34" t="s">
        <v>111</v>
      </c>
      <c r="H456" s="37">
        <v>1</v>
      </c>
      <c r="I456" s="34" t="s">
        <v>112</v>
      </c>
      <c r="J456" s="34" t="s">
        <v>31</v>
      </c>
      <c r="K456" s="34" t="s">
        <v>32</v>
      </c>
      <c r="L456" s="34" t="s">
        <v>1755</v>
      </c>
      <c r="M456" s="34" t="s">
        <v>33</v>
      </c>
      <c r="N456" s="49">
        <v>8</v>
      </c>
      <c r="O456" s="50">
        <v>3</v>
      </c>
      <c r="P456" s="51">
        <v>59</v>
      </c>
      <c r="Q456" s="52">
        <v>17.990542399999999</v>
      </c>
      <c r="R456" s="52">
        <v>-93.382786300000006</v>
      </c>
      <c r="S456" s="74" t="s">
        <v>34</v>
      </c>
      <c r="T456" s="74"/>
      <c r="U456" s="74"/>
      <c r="V456" s="74"/>
      <c r="W456" s="74"/>
      <c r="X456" s="74"/>
      <c r="Y456" s="74"/>
      <c r="Z456" s="74"/>
      <c r="AA456" s="75"/>
      <c r="AB456" s="30">
        <f t="shared" si="7"/>
        <v>0.125</v>
      </c>
    </row>
    <row r="457" spans="1:28" x14ac:dyDescent="0.3">
      <c r="A457" s="34" t="s">
        <v>1371</v>
      </c>
      <c r="B457" s="37" t="s">
        <v>25</v>
      </c>
      <c r="C457" s="34" t="s">
        <v>724</v>
      </c>
      <c r="D457" s="33" t="s">
        <v>1775</v>
      </c>
      <c r="E457" s="34" t="s">
        <v>1366</v>
      </c>
      <c r="F457" s="34" t="s">
        <v>1367</v>
      </c>
      <c r="G457" s="34" t="s">
        <v>111</v>
      </c>
      <c r="H457" s="37">
        <v>1</v>
      </c>
      <c r="I457" s="34" t="s">
        <v>112</v>
      </c>
      <c r="J457" s="34" t="s">
        <v>31</v>
      </c>
      <c r="K457" s="34" t="s">
        <v>32</v>
      </c>
      <c r="L457" s="34" t="s">
        <v>1755</v>
      </c>
      <c r="M457" s="34" t="s">
        <v>33</v>
      </c>
      <c r="N457" s="49">
        <v>16</v>
      </c>
      <c r="O457" s="50">
        <v>2</v>
      </c>
      <c r="P457" s="51">
        <v>40</v>
      </c>
      <c r="Q457" s="52">
        <v>18.012402099999999</v>
      </c>
      <c r="R457" s="52">
        <v>-92.924240699999999</v>
      </c>
      <c r="S457" s="74" t="s">
        <v>34</v>
      </c>
      <c r="T457" s="74"/>
      <c r="U457" s="74"/>
      <c r="V457" s="74"/>
      <c r="W457" s="74"/>
      <c r="X457" s="74"/>
      <c r="Y457" s="74"/>
      <c r="Z457" s="74"/>
      <c r="AA457" s="75"/>
      <c r="AB457" s="30">
        <f t="shared" si="7"/>
        <v>0.125</v>
      </c>
    </row>
    <row r="458" spans="1:28" x14ac:dyDescent="0.3">
      <c r="A458" s="34" t="s">
        <v>1374</v>
      </c>
      <c r="B458" s="37" t="s">
        <v>25</v>
      </c>
      <c r="C458" s="34" t="s">
        <v>724</v>
      </c>
      <c r="D458" s="33" t="s">
        <v>1775</v>
      </c>
      <c r="E458" s="34" t="s">
        <v>1369</v>
      </c>
      <c r="F458" s="34" t="s">
        <v>1370</v>
      </c>
      <c r="G458" s="34" t="s">
        <v>111</v>
      </c>
      <c r="H458" s="37">
        <v>1</v>
      </c>
      <c r="I458" s="34" t="s">
        <v>112</v>
      </c>
      <c r="J458" s="34" t="s">
        <v>31</v>
      </c>
      <c r="K458" s="34" t="s">
        <v>32</v>
      </c>
      <c r="L458" s="34" t="s">
        <v>1755</v>
      </c>
      <c r="M458" s="34" t="s">
        <v>33</v>
      </c>
      <c r="N458" s="49">
        <v>9</v>
      </c>
      <c r="O458" s="50">
        <v>3</v>
      </c>
      <c r="P458" s="51">
        <v>51</v>
      </c>
      <c r="Q458" s="52">
        <v>17.9788909</v>
      </c>
      <c r="R458" s="52">
        <v>-92.986235699999995</v>
      </c>
      <c r="S458" s="74" t="s">
        <v>34</v>
      </c>
      <c r="T458" s="74"/>
      <c r="U458" s="74"/>
      <c r="V458" s="74"/>
      <c r="W458" s="74"/>
      <c r="X458" s="74"/>
      <c r="Y458" s="74"/>
      <c r="Z458" s="74"/>
      <c r="AA458" s="75"/>
      <c r="AB458" s="30">
        <f t="shared" si="7"/>
        <v>0.125</v>
      </c>
    </row>
    <row r="459" spans="1:28" x14ac:dyDescent="0.3">
      <c r="A459" s="34" t="s">
        <v>1376</v>
      </c>
      <c r="B459" s="37" t="s">
        <v>25</v>
      </c>
      <c r="C459" s="34" t="s">
        <v>724</v>
      </c>
      <c r="D459" s="33" t="s">
        <v>1775</v>
      </c>
      <c r="E459" s="34" t="s">
        <v>1372</v>
      </c>
      <c r="F459" s="34" t="s">
        <v>1373</v>
      </c>
      <c r="G459" s="34" t="s">
        <v>111</v>
      </c>
      <c r="H459" s="37">
        <v>1</v>
      </c>
      <c r="I459" s="34" t="s">
        <v>155</v>
      </c>
      <c r="J459" s="34" t="s">
        <v>31</v>
      </c>
      <c r="K459" s="34" t="s">
        <v>32</v>
      </c>
      <c r="L459" s="34" t="s">
        <v>1756</v>
      </c>
      <c r="M459" s="34" t="s">
        <v>33</v>
      </c>
      <c r="N459" s="49">
        <v>25</v>
      </c>
      <c r="O459" s="50">
        <v>11</v>
      </c>
      <c r="P459" s="51">
        <v>201</v>
      </c>
      <c r="Q459" s="52">
        <v>18.068595299999998</v>
      </c>
      <c r="R459" s="52">
        <v>-93.172695599999997</v>
      </c>
      <c r="S459" s="74" t="s">
        <v>34</v>
      </c>
      <c r="T459" s="74"/>
      <c r="U459" s="74"/>
      <c r="V459" s="74"/>
      <c r="W459" s="74"/>
      <c r="X459" s="74"/>
      <c r="Y459" s="74"/>
      <c r="Z459" s="74"/>
      <c r="AA459" s="75"/>
      <c r="AB459" s="30">
        <f t="shared" si="7"/>
        <v>0.125</v>
      </c>
    </row>
    <row r="460" spans="1:28" x14ac:dyDescent="0.3">
      <c r="A460" s="34" t="s">
        <v>1379</v>
      </c>
      <c r="B460" s="37" t="s">
        <v>25</v>
      </c>
      <c r="C460" s="34" t="s">
        <v>724</v>
      </c>
      <c r="D460" s="33" t="s">
        <v>1775</v>
      </c>
      <c r="E460" s="34" t="s">
        <v>1372</v>
      </c>
      <c r="F460" s="34" t="s">
        <v>1375</v>
      </c>
      <c r="G460" s="34" t="s">
        <v>111</v>
      </c>
      <c r="H460" s="37">
        <v>1</v>
      </c>
      <c r="I460" s="34" t="s">
        <v>155</v>
      </c>
      <c r="J460" s="34" t="s">
        <v>31</v>
      </c>
      <c r="K460" s="34" t="s">
        <v>32</v>
      </c>
      <c r="L460" s="34" t="s">
        <v>1756</v>
      </c>
      <c r="M460" s="34" t="s">
        <v>33</v>
      </c>
      <c r="N460" s="49">
        <v>67</v>
      </c>
      <c r="O460" s="50">
        <v>8</v>
      </c>
      <c r="P460" s="51">
        <v>346</v>
      </c>
      <c r="Q460" s="52">
        <v>17.741220999999999</v>
      </c>
      <c r="R460" s="52">
        <v>-91.782673000000003</v>
      </c>
      <c r="S460" s="74" t="s">
        <v>34</v>
      </c>
      <c r="T460" s="74"/>
      <c r="U460" s="74"/>
      <c r="V460" s="74"/>
      <c r="W460" s="74"/>
      <c r="X460" s="74"/>
      <c r="Y460" s="74"/>
      <c r="Z460" s="74"/>
      <c r="AA460" s="75"/>
      <c r="AB460" s="30">
        <f t="shared" si="7"/>
        <v>0.125</v>
      </c>
    </row>
    <row r="461" spans="1:28" x14ac:dyDescent="0.3">
      <c r="A461" s="34" t="s">
        <v>1382</v>
      </c>
      <c r="B461" s="37" t="s">
        <v>25</v>
      </c>
      <c r="C461" s="34" t="s">
        <v>724</v>
      </c>
      <c r="D461" s="33" t="s">
        <v>1775</v>
      </c>
      <c r="E461" s="34" t="s">
        <v>1377</v>
      </c>
      <c r="F461" s="34" t="s">
        <v>1378</v>
      </c>
      <c r="G461" s="34" t="s">
        <v>111</v>
      </c>
      <c r="H461" s="37">
        <v>1</v>
      </c>
      <c r="I461" s="34" t="s">
        <v>112</v>
      </c>
      <c r="J461" s="34" t="s">
        <v>31</v>
      </c>
      <c r="K461" s="34" t="s">
        <v>32</v>
      </c>
      <c r="L461" s="34" t="s">
        <v>1755</v>
      </c>
      <c r="M461" s="34" t="s">
        <v>33</v>
      </c>
      <c r="N461" s="49">
        <v>11</v>
      </c>
      <c r="O461" s="50">
        <v>3</v>
      </c>
      <c r="P461" s="51">
        <v>57</v>
      </c>
      <c r="Q461" s="52">
        <v>17.826924000000002</v>
      </c>
      <c r="R461" s="52">
        <v>-93.395583000000002</v>
      </c>
      <c r="S461" s="74" t="s">
        <v>34</v>
      </c>
      <c r="T461" s="74"/>
      <c r="U461" s="74"/>
      <c r="V461" s="74"/>
      <c r="W461" s="74"/>
      <c r="X461" s="74"/>
      <c r="Y461" s="74"/>
      <c r="Z461" s="74"/>
      <c r="AA461" s="75"/>
      <c r="AB461" s="30">
        <f t="shared" si="7"/>
        <v>0.125</v>
      </c>
    </row>
    <row r="462" spans="1:28" x14ac:dyDescent="0.3">
      <c r="A462" s="34" t="s">
        <v>1384</v>
      </c>
      <c r="B462" s="37" t="s">
        <v>25</v>
      </c>
      <c r="C462" s="34" t="s">
        <v>724</v>
      </c>
      <c r="D462" s="33" t="s">
        <v>1775</v>
      </c>
      <c r="E462" s="34" t="s">
        <v>1380</v>
      </c>
      <c r="F462" s="34" t="s">
        <v>1381</v>
      </c>
      <c r="G462" s="34" t="s">
        <v>111</v>
      </c>
      <c r="H462" s="37">
        <v>1</v>
      </c>
      <c r="I462" s="34" t="s">
        <v>112</v>
      </c>
      <c r="J462" s="34" t="s">
        <v>31</v>
      </c>
      <c r="K462" s="34" t="s">
        <v>32</v>
      </c>
      <c r="L462" s="34" t="s">
        <v>1755</v>
      </c>
      <c r="M462" s="34" t="s">
        <v>33</v>
      </c>
      <c r="N462" s="49">
        <v>15</v>
      </c>
      <c r="O462" s="50">
        <v>2</v>
      </c>
      <c r="P462" s="51">
        <v>43</v>
      </c>
      <c r="Q462" s="52">
        <v>17.7594599</v>
      </c>
      <c r="R462" s="52">
        <v>-92.592980600000004</v>
      </c>
      <c r="S462" s="74" t="s">
        <v>34</v>
      </c>
      <c r="T462" s="74"/>
      <c r="U462" s="74"/>
      <c r="V462" s="74"/>
      <c r="W462" s="74"/>
      <c r="X462" s="74"/>
      <c r="Y462" s="74"/>
      <c r="Z462" s="74"/>
      <c r="AA462" s="75"/>
      <c r="AB462" s="30">
        <f t="shared" si="7"/>
        <v>0.125</v>
      </c>
    </row>
    <row r="463" spans="1:28" x14ac:dyDescent="0.3">
      <c r="A463" s="34" t="s">
        <v>1387</v>
      </c>
      <c r="B463" s="37" t="s">
        <v>25</v>
      </c>
      <c r="C463" s="34" t="s">
        <v>724</v>
      </c>
      <c r="D463" s="33" t="s">
        <v>1775</v>
      </c>
      <c r="E463" s="34" t="s">
        <v>737</v>
      </c>
      <c r="F463" s="34" t="s">
        <v>1383</v>
      </c>
      <c r="G463" s="34" t="s">
        <v>111</v>
      </c>
      <c r="H463" s="37">
        <v>1</v>
      </c>
      <c r="I463" s="34" t="s">
        <v>112</v>
      </c>
      <c r="J463" s="34" t="s">
        <v>31</v>
      </c>
      <c r="K463" s="34" t="s">
        <v>32</v>
      </c>
      <c r="L463" s="34" t="s">
        <v>1755</v>
      </c>
      <c r="M463" s="34" t="s">
        <v>33</v>
      </c>
      <c r="N463" s="49">
        <v>19</v>
      </c>
      <c r="O463" s="50">
        <v>2</v>
      </c>
      <c r="P463" s="51">
        <v>43</v>
      </c>
      <c r="Q463" s="52">
        <v>17.8447</v>
      </c>
      <c r="R463" s="52">
        <v>-92.529300000000006</v>
      </c>
      <c r="S463" s="74" t="s">
        <v>34</v>
      </c>
      <c r="T463" s="74"/>
      <c r="U463" s="74"/>
      <c r="V463" s="74"/>
      <c r="W463" s="74"/>
      <c r="X463" s="74"/>
      <c r="Y463" s="74"/>
      <c r="Z463" s="74"/>
      <c r="AA463" s="75"/>
      <c r="AB463" s="30">
        <f t="shared" si="7"/>
        <v>0.125</v>
      </c>
    </row>
    <row r="464" spans="1:28" x14ac:dyDescent="0.3">
      <c r="A464" s="34" t="s">
        <v>1389</v>
      </c>
      <c r="B464" s="37" t="s">
        <v>25</v>
      </c>
      <c r="C464" s="34" t="s">
        <v>724</v>
      </c>
      <c r="D464" s="33" t="s">
        <v>1775</v>
      </c>
      <c r="E464" s="34" t="s">
        <v>1385</v>
      </c>
      <c r="F464" s="34" t="s">
        <v>1386</v>
      </c>
      <c r="G464" s="34" t="s">
        <v>111</v>
      </c>
      <c r="H464" s="37">
        <v>1</v>
      </c>
      <c r="I464" s="34" t="s">
        <v>112</v>
      </c>
      <c r="J464" s="34" t="s">
        <v>31</v>
      </c>
      <c r="K464" s="34" t="s">
        <v>32</v>
      </c>
      <c r="L464" s="34" t="s">
        <v>1755</v>
      </c>
      <c r="M464" s="34" t="s">
        <v>33</v>
      </c>
      <c r="N464" s="49">
        <v>9</v>
      </c>
      <c r="O464" s="50">
        <v>2</v>
      </c>
      <c r="P464" s="51">
        <v>42</v>
      </c>
      <c r="Q464" s="52">
        <v>18.388200000000001</v>
      </c>
      <c r="R464" s="52">
        <v>-93.212299999999999</v>
      </c>
      <c r="S464" s="74" t="s">
        <v>34</v>
      </c>
      <c r="T464" s="74"/>
      <c r="U464" s="74"/>
      <c r="V464" s="74"/>
      <c r="W464" s="74"/>
      <c r="X464" s="74"/>
      <c r="Y464" s="74"/>
      <c r="Z464" s="74"/>
      <c r="AA464" s="75"/>
      <c r="AB464" s="30">
        <f t="shared" si="7"/>
        <v>0.125</v>
      </c>
    </row>
    <row r="465" spans="1:28" x14ac:dyDescent="0.3">
      <c r="A465" s="34" t="s">
        <v>1392</v>
      </c>
      <c r="B465" s="37" t="s">
        <v>25</v>
      </c>
      <c r="C465" s="34" t="s">
        <v>724</v>
      </c>
      <c r="D465" s="33" t="s">
        <v>1775</v>
      </c>
      <c r="E465" s="34" t="s">
        <v>1385</v>
      </c>
      <c r="F465" s="34" t="s">
        <v>1388</v>
      </c>
      <c r="G465" s="34" t="s">
        <v>111</v>
      </c>
      <c r="H465" s="37">
        <v>1</v>
      </c>
      <c r="I465" s="34" t="s">
        <v>112</v>
      </c>
      <c r="J465" s="34" t="s">
        <v>31</v>
      </c>
      <c r="K465" s="34" t="s">
        <v>32</v>
      </c>
      <c r="L465" s="34" t="s">
        <v>1755</v>
      </c>
      <c r="M465" s="34" t="s">
        <v>84</v>
      </c>
      <c r="N465" s="49">
        <v>12</v>
      </c>
      <c r="O465" s="50">
        <v>2</v>
      </c>
      <c r="P465" s="51">
        <v>53</v>
      </c>
      <c r="Q465" s="52">
        <v>17.559166699999999</v>
      </c>
      <c r="R465" s="52">
        <v>-92.950222199999999</v>
      </c>
      <c r="S465" s="74" t="s">
        <v>34</v>
      </c>
      <c r="T465" s="74"/>
      <c r="U465" s="74"/>
      <c r="V465" s="74"/>
      <c r="W465" s="74"/>
      <c r="X465" s="74"/>
      <c r="Y465" s="74"/>
      <c r="Z465" s="74"/>
      <c r="AA465" s="75"/>
      <c r="AB465" s="30">
        <f t="shared" si="7"/>
        <v>0.125</v>
      </c>
    </row>
    <row r="466" spans="1:28" x14ac:dyDescent="0.3">
      <c r="A466" s="34" t="s">
        <v>1395</v>
      </c>
      <c r="B466" s="37" t="s">
        <v>25</v>
      </c>
      <c r="C466" s="34" t="s">
        <v>724</v>
      </c>
      <c r="D466" s="33" t="s">
        <v>1775</v>
      </c>
      <c r="E466" s="34" t="s">
        <v>1390</v>
      </c>
      <c r="F466" s="34" t="s">
        <v>1391</v>
      </c>
      <c r="G466" s="34" t="s">
        <v>111</v>
      </c>
      <c r="H466" s="37">
        <v>1</v>
      </c>
      <c r="I466" s="34" t="s">
        <v>112</v>
      </c>
      <c r="J466" s="34" t="s">
        <v>31</v>
      </c>
      <c r="K466" s="34" t="s">
        <v>32</v>
      </c>
      <c r="L466" s="34" t="s">
        <v>1755</v>
      </c>
      <c r="M466" s="34" t="s">
        <v>84</v>
      </c>
      <c r="N466" s="49">
        <v>15</v>
      </c>
      <c r="O466" s="50">
        <v>2</v>
      </c>
      <c r="P466" s="51">
        <v>45</v>
      </c>
      <c r="Q466" s="52">
        <v>17.469200000000001</v>
      </c>
      <c r="R466" s="52">
        <v>-91.4114</v>
      </c>
      <c r="S466" s="74" t="s">
        <v>34</v>
      </c>
      <c r="T466" s="74"/>
      <c r="U466" s="74"/>
      <c r="V466" s="74"/>
      <c r="W466" s="74"/>
      <c r="X466" s="74"/>
      <c r="Y466" s="74"/>
      <c r="Z466" s="74"/>
      <c r="AA466" s="75"/>
      <c r="AB466" s="30">
        <f t="shared" si="7"/>
        <v>0.125</v>
      </c>
    </row>
    <row r="467" spans="1:28" x14ac:dyDescent="0.3">
      <c r="A467" s="34" t="s">
        <v>1398</v>
      </c>
      <c r="B467" s="37" t="s">
        <v>25</v>
      </c>
      <c r="C467" s="34" t="s">
        <v>724</v>
      </c>
      <c r="D467" s="33" t="s">
        <v>1775</v>
      </c>
      <c r="E467" s="34" t="s">
        <v>1393</v>
      </c>
      <c r="F467" s="34" t="s">
        <v>1394</v>
      </c>
      <c r="G467" s="34" t="s">
        <v>111</v>
      </c>
      <c r="H467" s="37">
        <v>1</v>
      </c>
      <c r="I467" s="34" t="s">
        <v>112</v>
      </c>
      <c r="J467" s="34" t="s">
        <v>31</v>
      </c>
      <c r="K467" s="34" t="s">
        <v>32</v>
      </c>
      <c r="L467" s="34" t="s">
        <v>1755</v>
      </c>
      <c r="M467" s="34" t="s">
        <v>33</v>
      </c>
      <c r="N467" s="49">
        <v>7</v>
      </c>
      <c r="O467" s="50">
        <v>2</v>
      </c>
      <c r="P467" s="51">
        <v>35</v>
      </c>
      <c r="Q467" s="52">
        <v>18.266231900000001</v>
      </c>
      <c r="R467" s="52">
        <v>-93.231950100000006</v>
      </c>
      <c r="S467" s="74" t="s">
        <v>34</v>
      </c>
      <c r="T467" s="74"/>
      <c r="U467" s="74"/>
      <c r="V467" s="74"/>
      <c r="W467" s="74"/>
      <c r="X467" s="74"/>
      <c r="Y467" s="74"/>
      <c r="Z467" s="74"/>
      <c r="AA467" s="75"/>
      <c r="AB467" s="30">
        <f t="shared" si="7"/>
        <v>0.125</v>
      </c>
    </row>
    <row r="468" spans="1:28" x14ac:dyDescent="0.3">
      <c r="A468" s="34" t="s">
        <v>1401</v>
      </c>
      <c r="B468" s="37" t="s">
        <v>25</v>
      </c>
      <c r="C468" s="34" t="s">
        <v>159</v>
      </c>
      <c r="D468" s="33" t="s">
        <v>1775</v>
      </c>
      <c r="E468" s="34" t="s">
        <v>1396</v>
      </c>
      <c r="F468" s="34" t="s">
        <v>1397</v>
      </c>
      <c r="G468" s="34" t="s">
        <v>111</v>
      </c>
      <c r="H468" s="37">
        <v>1</v>
      </c>
      <c r="I468" s="34" t="s">
        <v>112</v>
      </c>
      <c r="J468" s="34" t="s">
        <v>31</v>
      </c>
      <c r="K468" s="34" t="s">
        <v>32</v>
      </c>
      <c r="L468" s="34" t="s">
        <v>1755</v>
      </c>
      <c r="M468" s="34" t="s">
        <v>33</v>
      </c>
      <c r="N468" s="49">
        <v>13</v>
      </c>
      <c r="O468" s="50">
        <v>2</v>
      </c>
      <c r="P468" s="51">
        <v>47</v>
      </c>
      <c r="Q468" s="52">
        <v>22.254024000000001</v>
      </c>
      <c r="R468" s="52">
        <v>-97.823415999999995</v>
      </c>
      <c r="S468" s="74" t="s">
        <v>34</v>
      </c>
      <c r="T468" s="74"/>
      <c r="U468" s="74" t="s">
        <v>35</v>
      </c>
      <c r="V468" s="74" t="s">
        <v>35</v>
      </c>
      <c r="W468" s="74" t="s">
        <v>35</v>
      </c>
      <c r="X468" s="74"/>
      <c r="Y468" s="74"/>
      <c r="Z468" s="74"/>
      <c r="AA468" s="75"/>
      <c r="AB468" s="30">
        <f t="shared" si="7"/>
        <v>0.5</v>
      </c>
    </row>
    <row r="469" spans="1:28" x14ac:dyDescent="0.3">
      <c r="A469" s="34" t="s">
        <v>1404</v>
      </c>
      <c r="B469" s="37" t="s">
        <v>25</v>
      </c>
      <c r="C469" s="34" t="s">
        <v>159</v>
      </c>
      <c r="D469" s="33" t="s">
        <v>1775</v>
      </c>
      <c r="E469" s="34" t="s">
        <v>1399</v>
      </c>
      <c r="F469" s="34" t="s">
        <v>1400</v>
      </c>
      <c r="G469" s="34" t="s">
        <v>111</v>
      </c>
      <c r="H469" s="37">
        <v>1</v>
      </c>
      <c r="I469" s="34" t="s">
        <v>112</v>
      </c>
      <c r="J469" s="34" t="s">
        <v>31</v>
      </c>
      <c r="K469" s="34" t="s">
        <v>32</v>
      </c>
      <c r="L469" s="34" t="s">
        <v>1755</v>
      </c>
      <c r="M469" s="34" t="s">
        <v>33</v>
      </c>
      <c r="N469" s="49">
        <v>18</v>
      </c>
      <c r="O469" s="50">
        <v>4</v>
      </c>
      <c r="P469" s="51">
        <v>99</v>
      </c>
      <c r="Q469" s="52">
        <v>27.485904000000001</v>
      </c>
      <c r="R469" s="52">
        <v>-99.504271000000003</v>
      </c>
      <c r="S469" s="74" t="s">
        <v>34</v>
      </c>
      <c r="T469" s="74"/>
      <c r="U469" s="74"/>
      <c r="V469" s="74"/>
      <c r="W469" s="74"/>
      <c r="X469" s="74"/>
      <c r="Y469" s="74"/>
      <c r="Z469" s="74"/>
      <c r="AA469" s="75"/>
      <c r="AB469" s="30">
        <f t="shared" si="7"/>
        <v>0.125</v>
      </c>
    </row>
    <row r="470" spans="1:28" x14ac:dyDescent="0.3">
      <c r="A470" s="34" t="s">
        <v>1407</v>
      </c>
      <c r="B470" s="37" t="s">
        <v>25</v>
      </c>
      <c r="C470" s="34" t="s">
        <v>159</v>
      </c>
      <c r="D470" s="33" t="s">
        <v>1775</v>
      </c>
      <c r="E470" s="34" t="s">
        <v>1402</v>
      </c>
      <c r="F470" s="34" t="s">
        <v>1403</v>
      </c>
      <c r="G470" s="34" t="s">
        <v>111</v>
      </c>
      <c r="H470" s="37">
        <v>1</v>
      </c>
      <c r="I470" s="34" t="s">
        <v>112</v>
      </c>
      <c r="J470" s="34" t="s">
        <v>31</v>
      </c>
      <c r="K470" s="34" t="s">
        <v>32</v>
      </c>
      <c r="L470" s="34" t="s">
        <v>1755</v>
      </c>
      <c r="M470" s="34" t="s">
        <v>33</v>
      </c>
      <c r="N470" s="49">
        <v>11</v>
      </c>
      <c r="O470" s="50">
        <v>3</v>
      </c>
      <c r="P470" s="51">
        <v>104</v>
      </c>
      <c r="Q470" s="52">
        <v>27.493243</v>
      </c>
      <c r="R470" s="52">
        <v>-99.531614000000005</v>
      </c>
      <c r="S470" s="74" t="s">
        <v>34</v>
      </c>
      <c r="T470" s="74"/>
      <c r="U470" s="74"/>
      <c r="V470" s="74"/>
      <c r="W470" s="74"/>
      <c r="X470" s="74"/>
      <c r="Y470" s="74"/>
      <c r="Z470" s="74"/>
      <c r="AA470" s="75"/>
      <c r="AB470" s="30">
        <f t="shared" si="7"/>
        <v>0.125</v>
      </c>
    </row>
    <row r="471" spans="1:28" x14ac:dyDescent="0.3">
      <c r="A471" s="34" t="s">
        <v>1409</v>
      </c>
      <c r="B471" s="37" t="s">
        <v>25</v>
      </c>
      <c r="C471" s="34" t="s">
        <v>159</v>
      </c>
      <c r="D471" s="33" t="s">
        <v>1775</v>
      </c>
      <c r="E471" s="34" t="s">
        <v>1405</v>
      </c>
      <c r="F471" s="34" t="s">
        <v>1406</v>
      </c>
      <c r="G471" s="34" t="s">
        <v>111</v>
      </c>
      <c r="H471" s="37">
        <v>1</v>
      </c>
      <c r="I471" s="34" t="s">
        <v>112</v>
      </c>
      <c r="J471" s="34" t="s">
        <v>31</v>
      </c>
      <c r="K471" s="34" t="s">
        <v>32</v>
      </c>
      <c r="L471" s="34" t="s">
        <v>1755</v>
      </c>
      <c r="M471" s="34" t="s">
        <v>33</v>
      </c>
      <c r="N471" s="49">
        <v>14</v>
      </c>
      <c r="O471" s="50">
        <v>4</v>
      </c>
      <c r="P471" s="51">
        <v>92</v>
      </c>
      <c r="Q471" s="52">
        <v>26.055748999999999</v>
      </c>
      <c r="R471" s="52">
        <v>-98.296918000000005</v>
      </c>
      <c r="S471" s="74" t="s">
        <v>34</v>
      </c>
      <c r="T471" s="74"/>
      <c r="U471" s="74"/>
      <c r="V471" s="74"/>
      <c r="W471" s="74"/>
      <c r="X471" s="74"/>
      <c r="Y471" s="74"/>
      <c r="Z471" s="74"/>
      <c r="AA471" s="75"/>
      <c r="AB471" s="30">
        <f t="shared" si="7"/>
        <v>0.125</v>
      </c>
    </row>
    <row r="472" spans="1:28" x14ac:dyDescent="0.3">
      <c r="A472" s="34" t="s">
        <v>1412</v>
      </c>
      <c r="B472" s="37" t="s">
        <v>25</v>
      </c>
      <c r="C472" s="34" t="s">
        <v>159</v>
      </c>
      <c r="D472" s="33" t="s">
        <v>1775</v>
      </c>
      <c r="E472" s="34" t="s">
        <v>1405</v>
      </c>
      <c r="F472" s="34" t="s">
        <v>1408</v>
      </c>
      <c r="G472" s="34" t="s">
        <v>111</v>
      </c>
      <c r="H472" s="37">
        <v>1</v>
      </c>
      <c r="I472" s="34" t="s">
        <v>112</v>
      </c>
      <c r="J472" s="34" t="s">
        <v>31</v>
      </c>
      <c r="K472" s="34" t="s">
        <v>32</v>
      </c>
      <c r="L472" s="34" t="s">
        <v>1755</v>
      </c>
      <c r="M472" s="34" t="s">
        <v>33</v>
      </c>
      <c r="N472" s="49">
        <v>12</v>
      </c>
      <c r="O472" s="50">
        <v>4</v>
      </c>
      <c r="P472" s="51">
        <v>45</v>
      </c>
      <c r="Q472" s="52">
        <v>24.853304000000001</v>
      </c>
      <c r="R472" s="52">
        <v>-98.152894000000003</v>
      </c>
      <c r="S472" s="74" t="s">
        <v>34</v>
      </c>
      <c r="T472" s="74"/>
      <c r="U472" s="74"/>
      <c r="V472" s="74"/>
      <c r="W472" s="74"/>
      <c r="X472" s="74"/>
      <c r="Y472" s="74"/>
      <c r="Z472" s="74"/>
      <c r="AA472" s="75"/>
      <c r="AB472" s="30">
        <f t="shared" si="7"/>
        <v>0.125</v>
      </c>
    </row>
    <row r="473" spans="1:28" x14ac:dyDescent="0.3">
      <c r="A473" s="34" t="s">
        <v>1415</v>
      </c>
      <c r="B473" s="37" t="s">
        <v>25</v>
      </c>
      <c r="C473" s="34" t="s">
        <v>159</v>
      </c>
      <c r="D473" s="33" t="s">
        <v>1775</v>
      </c>
      <c r="E473" s="34" t="s">
        <v>1410</v>
      </c>
      <c r="F473" s="34" t="s">
        <v>1411</v>
      </c>
      <c r="G473" s="34" t="s">
        <v>111</v>
      </c>
      <c r="H473" s="37">
        <v>1</v>
      </c>
      <c r="I473" s="34" t="s">
        <v>112</v>
      </c>
      <c r="J473" s="34" t="s">
        <v>31</v>
      </c>
      <c r="K473" s="34" t="s">
        <v>32</v>
      </c>
      <c r="L473" s="34" t="s">
        <v>1755</v>
      </c>
      <c r="M473" s="34" t="s">
        <v>33</v>
      </c>
      <c r="N473" s="49">
        <v>17</v>
      </c>
      <c r="O473" s="50">
        <v>6</v>
      </c>
      <c r="P473" s="51">
        <v>166</v>
      </c>
      <c r="Q473" s="52">
        <v>23.728095</v>
      </c>
      <c r="R473" s="52">
        <v>-99.157252999999997</v>
      </c>
      <c r="S473" s="74" t="s">
        <v>34</v>
      </c>
      <c r="T473" s="74"/>
      <c r="U473" s="74"/>
      <c r="V473" s="74"/>
      <c r="W473" s="74"/>
      <c r="X473" s="74"/>
      <c r="Y473" s="74"/>
      <c r="Z473" s="74"/>
      <c r="AA473" s="75"/>
      <c r="AB473" s="30">
        <f t="shared" si="7"/>
        <v>0.125</v>
      </c>
    </row>
    <row r="474" spans="1:28" x14ac:dyDescent="0.3">
      <c r="A474" s="34" t="s">
        <v>1417</v>
      </c>
      <c r="B474" s="37" t="s">
        <v>25</v>
      </c>
      <c r="C474" s="34" t="s">
        <v>159</v>
      </c>
      <c r="D474" s="33" t="s">
        <v>1775</v>
      </c>
      <c r="E474" s="34" t="s">
        <v>1413</v>
      </c>
      <c r="F474" s="34" t="s">
        <v>1414</v>
      </c>
      <c r="G474" s="34" t="s">
        <v>111</v>
      </c>
      <c r="H474" s="37">
        <v>1</v>
      </c>
      <c r="I474" s="34" t="s">
        <v>112</v>
      </c>
      <c r="J474" s="34" t="s">
        <v>31</v>
      </c>
      <c r="K474" s="34" t="s">
        <v>32</v>
      </c>
      <c r="L474" s="34" t="s">
        <v>1755</v>
      </c>
      <c r="M474" s="34" t="s">
        <v>33</v>
      </c>
      <c r="N474" s="49">
        <v>6</v>
      </c>
      <c r="O474" s="50">
        <v>3</v>
      </c>
      <c r="P474" s="51">
        <v>51</v>
      </c>
      <c r="Q474" s="52">
        <v>23.748325999999999</v>
      </c>
      <c r="R474" s="52">
        <v>-99.137855000000002</v>
      </c>
      <c r="S474" s="74" t="s">
        <v>34</v>
      </c>
      <c r="T474" s="74"/>
      <c r="U474" s="74"/>
      <c r="V474" s="74"/>
      <c r="W474" s="74"/>
      <c r="X474" s="74"/>
      <c r="Y474" s="74"/>
      <c r="Z474" s="74"/>
      <c r="AA474" s="75"/>
      <c r="AB474" s="30">
        <f t="shared" si="7"/>
        <v>0.125</v>
      </c>
    </row>
    <row r="475" spans="1:28" x14ac:dyDescent="0.3">
      <c r="A475" s="34" t="s">
        <v>1419</v>
      </c>
      <c r="B475" s="37" t="s">
        <v>25</v>
      </c>
      <c r="C475" s="34" t="s">
        <v>159</v>
      </c>
      <c r="D475" s="33" t="s">
        <v>1775</v>
      </c>
      <c r="E475" s="34" t="s">
        <v>160</v>
      </c>
      <c r="F475" s="34" t="s">
        <v>1416</v>
      </c>
      <c r="G475" s="34" t="s">
        <v>111</v>
      </c>
      <c r="H475" s="37">
        <v>1</v>
      </c>
      <c r="I475" s="34" t="s">
        <v>112</v>
      </c>
      <c r="J475" s="34" t="s">
        <v>31</v>
      </c>
      <c r="K475" s="34" t="s">
        <v>32</v>
      </c>
      <c r="L475" s="34" t="s">
        <v>1755</v>
      </c>
      <c r="M475" s="34" t="s">
        <v>33</v>
      </c>
      <c r="N475" s="49">
        <v>22</v>
      </c>
      <c r="O475" s="50">
        <v>5</v>
      </c>
      <c r="P475" s="51">
        <v>119</v>
      </c>
      <c r="Q475" s="52">
        <v>25.827131000000001</v>
      </c>
      <c r="R475" s="52">
        <v>-97.532804999999996</v>
      </c>
      <c r="S475" s="74" t="s">
        <v>34</v>
      </c>
      <c r="T475" s="74"/>
      <c r="U475" s="74"/>
      <c r="V475" s="74"/>
      <c r="W475" s="74"/>
      <c r="X475" s="74"/>
      <c r="Y475" s="74"/>
      <c r="Z475" s="74"/>
      <c r="AA475" s="75"/>
      <c r="AB475" s="30">
        <f t="shared" si="7"/>
        <v>0.125</v>
      </c>
    </row>
    <row r="476" spans="1:28" x14ac:dyDescent="0.3">
      <c r="A476" s="34" t="s">
        <v>1422</v>
      </c>
      <c r="B476" s="37" t="s">
        <v>25</v>
      </c>
      <c r="C476" s="34" t="s">
        <v>159</v>
      </c>
      <c r="D476" s="33" t="s">
        <v>1775</v>
      </c>
      <c r="E476" s="34" t="s">
        <v>160</v>
      </c>
      <c r="F476" s="34" t="s">
        <v>1418</v>
      </c>
      <c r="G476" s="34" t="s">
        <v>111</v>
      </c>
      <c r="H476" s="37">
        <v>1</v>
      </c>
      <c r="I476" s="34" t="s">
        <v>112</v>
      </c>
      <c r="J476" s="34" t="s">
        <v>31</v>
      </c>
      <c r="K476" s="34" t="s">
        <v>32</v>
      </c>
      <c r="L476" s="34" t="s">
        <v>1756</v>
      </c>
      <c r="M476" s="34" t="s">
        <v>33</v>
      </c>
      <c r="N476" s="49">
        <v>36</v>
      </c>
      <c r="O476" s="50">
        <v>7</v>
      </c>
      <c r="P476" s="51">
        <v>161</v>
      </c>
      <c r="Q476" s="52">
        <v>22.253176</v>
      </c>
      <c r="R476" s="52">
        <v>-97.859497000000005</v>
      </c>
      <c r="S476" s="74" t="s">
        <v>34</v>
      </c>
      <c r="T476" s="74"/>
      <c r="U476" s="74"/>
      <c r="V476" s="74"/>
      <c r="W476" s="74"/>
      <c r="X476" s="74"/>
      <c r="Y476" s="74"/>
      <c r="Z476" s="74"/>
      <c r="AA476" s="75"/>
      <c r="AB476" s="30">
        <f t="shared" si="7"/>
        <v>0.125</v>
      </c>
    </row>
    <row r="477" spans="1:28" x14ac:dyDescent="0.3">
      <c r="A477" s="34" t="s">
        <v>1425</v>
      </c>
      <c r="B477" s="37" t="s">
        <v>25</v>
      </c>
      <c r="C477" s="34" t="s">
        <v>159</v>
      </c>
      <c r="D477" s="33" t="s">
        <v>1775</v>
      </c>
      <c r="E477" s="34" t="s">
        <v>1420</v>
      </c>
      <c r="F477" s="34" t="s">
        <v>1421</v>
      </c>
      <c r="G477" s="34" t="s">
        <v>111</v>
      </c>
      <c r="H477" s="37">
        <v>1</v>
      </c>
      <c r="I477" s="34" t="s">
        <v>112</v>
      </c>
      <c r="J477" s="34" t="s">
        <v>31</v>
      </c>
      <c r="K477" s="34" t="s">
        <v>32</v>
      </c>
      <c r="L477" s="34" t="s">
        <v>1755</v>
      </c>
      <c r="M477" s="34" t="s">
        <v>33</v>
      </c>
      <c r="N477" s="49">
        <v>33</v>
      </c>
      <c r="O477" s="50">
        <v>7</v>
      </c>
      <c r="P477" s="51">
        <v>203</v>
      </c>
      <c r="Q477" s="52">
        <v>22.727022000000002</v>
      </c>
      <c r="R477" s="52">
        <v>-98.969549000000001</v>
      </c>
      <c r="S477" s="74" t="s">
        <v>34</v>
      </c>
      <c r="T477" s="74"/>
      <c r="U477" s="74"/>
      <c r="V477" s="74"/>
      <c r="W477" s="74"/>
      <c r="X477" s="74"/>
      <c r="Y477" s="74"/>
      <c r="Z477" s="74"/>
      <c r="AA477" s="75"/>
      <c r="AB477" s="30">
        <f t="shared" si="7"/>
        <v>0.125</v>
      </c>
    </row>
    <row r="478" spans="1:28" x14ac:dyDescent="0.3">
      <c r="A478" s="34" t="s">
        <v>1428</v>
      </c>
      <c r="B478" s="37" t="s">
        <v>25</v>
      </c>
      <c r="C478" s="34" t="s">
        <v>159</v>
      </c>
      <c r="D478" s="33" t="s">
        <v>1775</v>
      </c>
      <c r="E478" s="34" t="s">
        <v>1423</v>
      </c>
      <c r="F478" s="34" t="s">
        <v>1424</v>
      </c>
      <c r="G478" s="34" t="s">
        <v>111</v>
      </c>
      <c r="H478" s="37">
        <v>1</v>
      </c>
      <c r="I478" s="34" t="s">
        <v>112</v>
      </c>
      <c r="J478" s="34" t="s">
        <v>31</v>
      </c>
      <c r="K478" s="34" t="s">
        <v>32</v>
      </c>
      <c r="L478" s="34" t="s">
        <v>1756</v>
      </c>
      <c r="M478" s="34" t="s">
        <v>33</v>
      </c>
      <c r="N478" s="49">
        <v>35</v>
      </c>
      <c r="O478" s="50">
        <v>8</v>
      </c>
      <c r="P478" s="51">
        <v>251</v>
      </c>
      <c r="Q478" s="52">
        <v>25.994527000000001</v>
      </c>
      <c r="R478" s="52">
        <v>-98.123613000000006</v>
      </c>
      <c r="S478" s="74" t="s">
        <v>34</v>
      </c>
      <c r="T478" s="74"/>
      <c r="U478" s="74"/>
      <c r="V478" s="74"/>
      <c r="W478" s="74"/>
      <c r="X478" s="74"/>
      <c r="Y478" s="74"/>
      <c r="Z478" s="74"/>
      <c r="AA478" s="75"/>
      <c r="AB478" s="30">
        <f t="shared" si="7"/>
        <v>0.125</v>
      </c>
    </row>
    <row r="479" spans="1:28" x14ac:dyDescent="0.3">
      <c r="A479" s="34" t="s">
        <v>1431</v>
      </c>
      <c r="B479" s="37" t="s">
        <v>25</v>
      </c>
      <c r="C479" s="34" t="s">
        <v>159</v>
      </c>
      <c r="D479" s="33" t="s">
        <v>1775</v>
      </c>
      <c r="E479" s="34" t="s">
        <v>1426</v>
      </c>
      <c r="F479" s="34" t="s">
        <v>1427</v>
      </c>
      <c r="G479" s="34" t="s">
        <v>111</v>
      </c>
      <c r="H479" s="37">
        <v>1</v>
      </c>
      <c r="I479" s="34" t="s">
        <v>112</v>
      </c>
      <c r="J479" s="34" t="s">
        <v>31</v>
      </c>
      <c r="K479" s="34" t="s">
        <v>32</v>
      </c>
      <c r="L479" s="34" t="s">
        <v>1755</v>
      </c>
      <c r="M479" s="34" t="s">
        <v>33</v>
      </c>
      <c r="N479" s="49">
        <v>17</v>
      </c>
      <c r="O479" s="50">
        <v>4</v>
      </c>
      <c r="P479" s="51">
        <v>88</v>
      </c>
      <c r="Q479" s="52">
        <v>25.701958000000001</v>
      </c>
      <c r="R479" s="52">
        <v>-97.815852000000007</v>
      </c>
      <c r="S479" s="74" t="s">
        <v>34</v>
      </c>
      <c r="T479" s="74"/>
      <c r="U479" s="74"/>
      <c r="V479" s="74"/>
      <c r="W479" s="74"/>
      <c r="X479" s="74"/>
      <c r="Y479" s="74"/>
      <c r="Z479" s="74"/>
      <c r="AA479" s="75"/>
      <c r="AB479" s="30">
        <f t="shared" si="7"/>
        <v>0.125</v>
      </c>
    </row>
    <row r="480" spans="1:28" x14ac:dyDescent="0.3">
      <c r="A480" s="34" t="s">
        <v>1434</v>
      </c>
      <c r="B480" s="37" t="s">
        <v>25</v>
      </c>
      <c r="C480" s="34" t="s">
        <v>755</v>
      </c>
      <c r="D480" s="33" t="s">
        <v>1775</v>
      </c>
      <c r="E480" s="34" t="s">
        <v>1429</v>
      </c>
      <c r="F480" s="34" t="s">
        <v>1430</v>
      </c>
      <c r="G480" s="34" t="s">
        <v>111</v>
      </c>
      <c r="H480" s="37">
        <v>1</v>
      </c>
      <c r="I480" s="34" t="s">
        <v>112</v>
      </c>
      <c r="J480" s="34" t="s">
        <v>31</v>
      </c>
      <c r="K480" s="34" t="s">
        <v>32</v>
      </c>
      <c r="L480" s="34" t="s">
        <v>1755</v>
      </c>
      <c r="M480" s="34" t="s">
        <v>33</v>
      </c>
      <c r="N480" s="49">
        <v>8</v>
      </c>
      <c r="O480" s="50">
        <v>2</v>
      </c>
      <c r="P480" s="51">
        <v>46</v>
      </c>
      <c r="Q480" s="52">
        <v>19.408774999999999</v>
      </c>
      <c r="R480" s="52">
        <v>-98.117972199999997</v>
      </c>
      <c r="S480" s="89" t="s">
        <v>34</v>
      </c>
      <c r="T480" s="89" t="s">
        <v>35</v>
      </c>
      <c r="U480" s="89" t="s">
        <v>213</v>
      </c>
      <c r="V480" s="89" t="s">
        <v>213</v>
      </c>
      <c r="W480" s="89"/>
      <c r="X480" s="89"/>
      <c r="Y480" s="89"/>
      <c r="Z480" s="89"/>
      <c r="AA480" s="96"/>
      <c r="AB480" s="97">
        <f t="shared" si="7"/>
        <v>0.41666666666666663</v>
      </c>
    </row>
    <row r="481" spans="1:28" x14ac:dyDescent="0.3">
      <c r="A481" s="34" t="s">
        <v>1437</v>
      </c>
      <c r="B481" s="37" t="s">
        <v>25</v>
      </c>
      <c r="C481" s="34" t="s">
        <v>755</v>
      </c>
      <c r="D481" s="33" t="s">
        <v>1775</v>
      </c>
      <c r="E481" s="34" t="s">
        <v>1432</v>
      </c>
      <c r="F481" s="34" t="s">
        <v>1433</v>
      </c>
      <c r="G481" s="34" t="s">
        <v>111</v>
      </c>
      <c r="H481" s="37">
        <v>1</v>
      </c>
      <c r="I481" s="34" t="s">
        <v>112</v>
      </c>
      <c r="J481" s="34" t="s">
        <v>31</v>
      </c>
      <c r="K481" s="34" t="s">
        <v>32</v>
      </c>
      <c r="L481" s="34" t="s">
        <v>1755</v>
      </c>
      <c r="M481" s="34" t="s">
        <v>33</v>
      </c>
      <c r="N481" s="49">
        <v>7</v>
      </c>
      <c r="O481" s="50">
        <v>2</v>
      </c>
      <c r="P481" s="51">
        <v>51</v>
      </c>
      <c r="Q481" s="52">
        <v>19.126875500000001</v>
      </c>
      <c r="R481" s="52">
        <v>-98.200689600000004</v>
      </c>
      <c r="S481" s="74" t="s">
        <v>34</v>
      </c>
      <c r="T481" s="74" t="s">
        <v>35</v>
      </c>
      <c r="U481" s="74" t="s">
        <v>213</v>
      </c>
      <c r="V481" s="74" t="s">
        <v>213</v>
      </c>
      <c r="W481" s="74"/>
      <c r="X481" s="74"/>
      <c r="Y481" s="74"/>
      <c r="Z481" s="74"/>
      <c r="AA481" s="75"/>
      <c r="AB481" s="30">
        <f t="shared" si="7"/>
        <v>0.41666666666666663</v>
      </c>
    </row>
    <row r="482" spans="1:28" x14ac:dyDescent="0.3">
      <c r="A482" s="34" t="s">
        <v>1440</v>
      </c>
      <c r="B482" s="37" t="s">
        <v>25</v>
      </c>
      <c r="C482" s="34" t="s">
        <v>755</v>
      </c>
      <c r="D482" s="33" t="s">
        <v>1775</v>
      </c>
      <c r="E482" s="86" t="s">
        <v>1435</v>
      </c>
      <c r="F482" s="86" t="s">
        <v>1436</v>
      </c>
      <c r="G482" s="86" t="s">
        <v>111</v>
      </c>
      <c r="H482" s="51">
        <v>1</v>
      </c>
      <c r="I482" s="86" t="s">
        <v>112</v>
      </c>
      <c r="J482" s="86" t="s">
        <v>31</v>
      </c>
      <c r="K482" s="86" t="s">
        <v>32</v>
      </c>
      <c r="L482" s="86" t="s">
        <v>1755</v>
      </c>
      <c r="M482" s="86" t="s">
        <v>33</v>
      </c>
      <c r="N482" s="51">
        <v>21</v>
      </c>
      <c r="O482" s="51">
        <v>6</v>
      </c>
      <c r="P482" s="51">
        <v>107</v>
      </c>
      <c r="Q482" s="52">
        <v>19.3698807</v>
      </c>
      <c r="R482" s="52">
        <v>-98.216435399999995</v>
      </c>
      <c r="S482" s="89" t="s">
        <v>34</v>
      </c>
      <c r="T482" s="89" t="s">
        <v>35</v>
      </c>
      <c r="U482" s="89" t="s">
        <v>213</v>
      </c>
      <c r="V482" s="89" t="s">
        <v>213</v>
      </c>
      <c r="W482" s="89"/>
      <c r="X482" s="89"/>
      <c r="Y482" s="89"/>
      <c r="Z482" s="89"/>
      <c r="AA482" s="96"/>
      <c r="AB482" s="97">
        <f t="shared" si="7"/>
        <v>0.41666666666666663</v>
      </c>
    </row>
    <row r="483" spans="1:28" x14ac:dyDescent="0.3">
      <c r="A483" s="34" t="s">
        <v>1443</v>
      </c>
      <c r="B483" s="37" t="s">
        <v>25</v>
      </c>
      <c r="C483" s="34" t="s">
        <v>755</v>
      </c>
      <c r="D483" s="33" t="s">
        <v>1775</v>
      </c>
      <c r="E483" s="34" t="s">
        <v>1438</v>
      </c>
      <c r="F483" s="34" t="s">
        <v>1439</v>
      </c>
      <c r="G483" s="34" t="s">
        <v>111</v>
      </c>
      <c r="H483" s="37">
        <v>1</v>
      </c>
      <c r="I483" s="34" t="s">
        <v>112</v>
      </c>
      <c r="J483" s="34" t="s">
        <v>31</v>
      </c>
      <c r="K483" s="34" t="s">
        <v>32</v>
      </c>
      <c r="L483" s="34" t="s">
        <v>1755</v>
      </c>
      <c r="M483" s="34" t="s">
        <v>33</v>
      </c>
      <c r="N483" s="49">
        <v>13</v>
      </c>
      <c r="O483" s="50">
        <v>3</v>
      </c>
      <c r="P483" s="51">
        <v>61</v>
      </c>
      <c r="Q483" s="52">
        <v>19.582561800000001</v>
      </c>
      <c r="R483" s="52">
        <v>-98.536741599999999</v>
      </c>
      <c r="S483" s="74" t="s">
        <v>34</v>
      </c>
      <c r="T483" s="74" t="s">
        <v>35</v>
      </c>
      <c r="U483" s="74" t="s">
        <v>213</v>
      </c>
      <c r="V483" s="74" t="s">
        <v>213</v>
      </c>
      <c r="W483" s="74"/>
      <c r="X483" s="74"/>
      <c r="Y483" s="74"/>
      <c r="Z483" s="74"/>
      <c r="AA483" s="75"/>
      <c r="AB483" s="30">
        <f t="shared" si="7"/>
        <v>0.41666666666666663</v>
      </c>
    </row>
    <row r="484" spans="1:28" x14ac:dyDescent="0.3">
      <c r="A484" s="34" t="s">
        <v>1446</v>
      </c>
      <c r="B484" s="37" t="s">
        <v>25</v>
      </c>
      <c r="C484" s="34" t="s">
        <v>755</v>
      </c>
      <c r="D484" s="33" t="s">
        <v>1775</v>
      </c>
      <c r="E484" s="86" t="s">
        <v>1441</v>
      </c>
      <c r="F484" s="86" t="s">
        <v>1442</v>
      </c>
      <c r="G484" s="86" t="s">
        <v>111</v>
      </c>
      <c r="H484" s="51">
        <v>1</v>
      </c>
      <c r="I484" s="86" t="s">
        <v>112</v>
      </c>
      <c r="J484" s="86" t="s">
        <v>31</v>
      </c>
      <c r="K484" s="86" t="s">
        <v>32</v>
      </c>
      <c r="L484" s="86" t="s">
        <v>1756</v>
      </c>
      <c r="M484" s="86" t="s">
        <v>33</v>
      </c>
      <c r="N484" s="51">
        <v>37</v>
      </c>
      <c r="O484" s="51">
        <v>7</v>
      </c>
      <c r="P484" s="51">
        <v>140</v>
      </c>
      <c r="Q484" s="52">
        <v>19.224226600000001</v>
      </c>
      <c r="R484" s="52">
        <v>-98.317484800000003</v>
      </c>
      <c r="S484" s="74" t="s">
        <v>34</v>
      </c>
      <c r="T484" s="74" t="s">
        <v>35</v>
      </c>
      <c r="U484" s="74" t="s">
        <v>213</v>
      </c>
      <c r="V484" s="74" t="s">
        <v>213</v>
      </c>
      <c r="W484" s="74"/>
      <c r="X484" s="74"/>
      <c r="Y484" s="74"/>
      <c r="Z484" s="74"/>
      <c r="AA484" s="75"/>
      <c r="AB484" s="30">
        <f t="shared" si="7"/>
        <v>0.41666666666666663</v>
      </c>
    </row>
    <row r="485" spans="1:28" x14ac:dyDescent="0.3">
      <c r="A485" s="34" t="s">
        <v>1449</v>
      </c>
      <c r="B485" s="37" t="s">
        <v>25</v>
      </c>
      <c r="C485" s="34" t="s">
        <v>755</v>
      </c>
      <c r="D485" s="33" t="s">
        <v>1775</v>
      </c>
      <c r="E485" s="34" t="s">
        <v>1444</v>
      </c>
      <c r="F485" s="34" t="s">
        <v>1445</v>
      </c>
      <c r="G485" s="34" t="s">
        <v>111</v>
      </c>
      <c r="H485" s="37">
        <v>1</v>
      </c>
      <c r="I485" s="34" t="s">
        <v>112</v>
      </c>
      <c r="J485" s="34" t="s">
        <v>31</v>
      </c>
      <c r="K485" s="34" t="s">
        <v>32</v>
      </c>
      <c r="L485" s="34" t="s">
        <v>1755</v>
      </c>
      <c r="M485" s="34" t="s">
        <v>33</v>
      </c>
      <c r="N485" s="49">
        <v>15</v>
      </c>
      <c r="O485" s="50">
        <v>3</v>
      </c>
      <c r="P485" s="51">
        <v>67</v>
      </c>
      <c r="Q485" s="52">
        <v>19.3063</v>
      </c>
      <c r="R485" s="52">
        <v>-97.940791700000005</v>
      </c>
      <c r="S485" s="74" t="s">
        <v>34</v>
      </c>
      <c r="T485" s="74" t="s">
        <v>35</v>
      </c>
      <c r="U485" s="74" t="s">
        <v>213</v>
      </c>
      <c r="V485" s="74" t="s">
        <v>213</v>
      </c>
      <c r="W485" s="74"/>
      <c r="X485" s="74"/>
      <c r="Y485" s="74"/>
      <c r="Z485" s="74"/>
      <c r="AA485" s="75"/>
      <c r="AB485" s="30">
        <f t="shared" si="7"/>
        <v>0.41666666666666663</v>
      </c>
    </row>
    <row r="486" spans="1:28" x14ac:dyDescent="0.3">
      <c r="A486" s="34" t="s">
        <v>1452</v>
      </c>
      <c r="B486" s="37" t="s">
        <v>25</v>
      </c>
      <c r="C486" s="34" t="s">
        <v>1510</v>
      </c>
      <c r="D486" s="33" t="s">
        <v>1775</v>
      </c>
      <c r="E486" s="34" t="s">
        <v>1447</v>
      </c>
      <c r="F486" s="34" t="s">
        <v>1448</v>
      </c>
      <c r="G486" s="34" t="s">
        <v>111</v>
      </c>
      <c r="H486" s="37">
        <v>1</v>
      </c>
      <c r="I486" s="34" t="s">
        <v>112</v>
      </c>
      <c r="J486" s="34" t="s">
        <v>31</v>
      </c>
      <c r="K486" s="34" t="s">
        <v>32</v>
      </c>
      <c r="L486" s="34" t="s">
        <v>1755</v>
      </c>
      <c r="M486" s="34" t="s">
        <v>33</v>
      </c>
      <c r="N486" s="49">
        <v>8</v>
      </c>
      <c r="O486" s="50">
        <v>2</v>
      </c>
      <c r="P486" s="51">
        <v>50</v>
      </c>
      <c r="Q486" s="52">
        <v>19.76972</v>
      </c>
      <c r="R486" s="52">
        <v>-97.248090000000005</v>
      </c>
      <c r="S486" s="74" t="s">
        <v>34</v>
      </c>
      <c r="T486" s="74" t="s">
        <v>175</v>
      </c>
      <c r="U486" s="74"/>
      <c r="V486" s="74"/>
      <c r="W486" s="74"/>
      <c r="X486" s="74"/>
      <c r="Y486" s="74"/>
      <c r="Z486" s="74"/>
      <c r="AA486" s="75"/>
      <c r="AB486" s="30">
        <f t="shared" si="7"/>
        <v>0.125</v>
      </c>
    </row>
    <row r="487" spans="1:28" x14ac:dyDescent="0.3">
      <c r="A487" s="34" t="s">
        <v>1455</v>
      </c>
      <c r="B487" s="37" t="s">
        <v>25</v>
      </c>
      <c r="C487" s="34" t="s">
        <v>1510</v>
      </c>
      <c r="D487" s="33" t="s">
        <v>1775</v>
      </c>
      <c r="E487" s="34" t="s">
        <v>1450</v>
      </c>
      <c r="F487" s="34" t="s">
        <v>1451</v>
      </c>
      <c r="G487" s="34" t="s">
        <v>111</v>
      </c>
      <c r="H487" s="37">
        <v>1</v>
      </c>
      <c r="I487" s="34" t="s">
        <v>112</v>
      </c>
      <c r="J487" s="34" t="s">
        <v>31</v>
      </c>
      <c r="K487" s="34" t="s">
        <v>32</v>
      </c>
      <c r="L487" s="34" t="s">
        <v>1755</v>
      </c>
      <c r="M487" s="34" t="s">
        <v>33</v>
      </c>
      <c r="N487" s="49">
        <v>14</v>
      </c>
      <c r="O487" s="50">
        <v>3</v>
      </c>
      <c r="P487" s="51">
        <v>81</v>
      </c>
      <c r="Q487" s="52">
        <v>18.144901000000001</v>
      </c>
      <c r="R487" s="52">
        <v>-94.424400000000006</v>
      </c>
      <c r="S487" s="74" t="s">
        <v>34</v>
      </c>
      <c r="T487" s="74" t="s">
        <v>175</v>
      </c>
      <c r="U487" s="74"/>
      <c r="V487" s="74"/>
      <c r="W487" s="74"/>
      <c r="X487" s="74"/>
      <c r="Y487" s="74"/>
      <c r="Z487" s="74"/>
      <c r="AA487" s="75"/>
      <c r="AB487" s="30">
        <f t="shared" si="7"/>
        <v>0.125</v>
      </c>
    </row>
    <row r="488" spans="1:28" x14ac:dyDescent="0.3">
      <c r="A488" s="34" t="s">
        <v>1458</v>
      </c>
      <c r="B488" s="37" t="s">
        <v>25</v>
      </c>
      <c r="C488" s="34" t="s">
        <v>1510</v>
      </c>
      <c r="D488" s="33" t="s">
        <v>1775</v>
      </c>
      <c r="E488" s="34" t="s">
        <v>1453</v>
      </c>
      <c r="F488" s="34" t="s">
        <v>1454</v>
      </c>
      <c r="G488" s="34" t="s">
        <v>111</v>
      </c>
      <c r="H488" s="37">
        <v>1</v>
      </c>
      <c r="I488" s="34" t="s">
        <v>112</v>
      </c>
      <c r="J488" s="34" t="s">
        <v>31</v>
      </c>
      <c r="K488" s="34" t="s">
        <v>32</v>
      </c>
      <c r="L488" s="34" t="s">
        <v>1755</v>
      </c>
      <c r="M488" s="34" t="s">
        <v>33</v>
      </c>
      <c r="N488" s="49">
        <v>10</v>
      </c>
      <c r="O488" s="50">
        <v>2</v>
      </c>
      <c r="P488" s="51">
        <v>50</v>
      </c>
      <c r="Q488" s="52">
        <v>18.87951</v>
      </c>
      <c r="R488" s="52">
        <v>-96.920100000000005</v>
      </c>
      <c r="S488" s="74" t="s">
        <v>34</v>
      </c>
      <c r="T488" s="74" t="s">
        <v>175</v>
      </c>
      <c r="U488" s="74"/>
      <c r="V488" s="74"/>
      <c r="W488" s="74"/>
      <c r="X488" s="74"/>
      <c r="Y488" s="74"/>
      <c r="Z488" s="74"/>
      <c r="AA488" s="75"/>
      <c r="AB488" s="30">
        <f t="shared" si="7"/>
        <v>0.125</v>
      </c>
    </row>
    <row r="489" spans="1:28" x14ac:dyDescent="0.3">
      <c r="A489" s="34" t="s">
        <v>1461</v>
      </c>
      <c r="B489" s="37" t="s">
        <v>25</v>
      </c>
      <c r="C489" s="34" t="s">
        <v>1510</v>
      </c>
      <c r="D489" s="33" t="s">
        <v>1775</v>
      </c>
      <c r="E489" s="34" t="s">
        <v>1456</v>
      </c>
      <c r="F489" s="34" t="s">
        <v>1457</v>
      </c>
      <c r="G489" s="34" t="s">
        <v>111</v>
      </c>
      <c r="H489" s="37">
        <v>1</v>
      </c>
      <c r="I489" s="34" t="s">
        <v>112</v>
      </c>
      <c r="J489" s="34" t="s">
        <v>31</v>
      </c>
      <c r="K489" s="34" t="s">
        <v>32</v>
      </c>
      <c r="L489" s="34" t="s">
        <v>1755</v>
      </c>
      <c r="M489" s="34" t="s">
        <v>33</v>
      </c>
      <c r="N489" s="49">
        <v>23</v>
      </c>
      <c r="O489" s="50">
        <v>5</v>
      </c>
      <c r="P489" s="51">
        <v>158</v>
      </c>
      <c r="Q489" s="52">
        <v>18.365775200000002</v>
      </c>
      <c r="R489" s="52">
        <v>-95.796659399999996</v>
      </c>
      <c r="S489" s="74" t="s">
        <v>34</v>
      </c>
      <c r="T489" s="74" t="s">
        <v>175</v>
      </c>
      <c r="U489" s="74"/>
      <c r="V489" s="74"/>
      <c r="W489" s="74"/>
      <c r="X489" s="74"/>
      <c r="Y489" s="74"/>
      <c r="Z489" s="74"/>
      <c r="AA489" s="75"/>
      <c r="AB489" s="30">
        <f t="shared" si="7"/>
        <v>0.125</v>
      </c>
    </row>
    <row r="490" spans="1:28" x14ac:dyDescent="0.3">
      <c r="A490" s="34" t="s">
        <v>1464</v>
      </c>
      <c r="B490" s="37" t="s">
        <v>25</v>
      </c>
      <c r="C490" s="34" t="s">
        <v>1510</v>
      </c>
      <c r="D490" s="33" t="s">
        <v>1775</v>
      </c>
      <c r="E490" s="34" t="s">
        <v>1459</v>
      </c>
      <c r="F490" s="34" t="s">
        <v>1460</v>
      </c>
      <c r="G490" s="34" t="s">
        <v>111</v>
      </c>
      <c r="H490" s="37">
        <v>1</v>
      </c>
      <c r="I490" s="34" t="s">
        <v>112</v>
      </c>
      <c r="J490" s="34" t="s">
        <v>31</v>
      </c>
      <c r="K490" s="34" t="s">
        <v>32</v>
      </c>
      <c r="L490" s="34" t="s">
        <v>1755</v>
      </c>
      <c r="M490" s="34" t="s">
        <v>33</v>
      </c>
      <c r="N490" s="49">
        <v>18</v>
      </c>
      <c r="O490" s="50">
        <v>5</v>
      </c>
      <c r="P490" s="51">
        <v>101</v>
      </c>
      <c r="Q490" s="52">
        <v>19.151869999999999</v>
      </c>
      <c r="R490" s="52">
        <v>-96.968900000000005</v>
      </c>
      <c r="S490" s="74" t="s">
        <v>34</v>
      </c>
      <c r="T490" s="74" t="s">
        <v>175</v>
      </c>
      <c r="U490" s="74"/>
      <c r="V490" s="74"/>
      <c r="W490" s="74"/>
      <c r="X490" s="74"/>
      <c r="Y490" s="74"/>
      <c r="Z490" s="74"/>
      <c r="AA490" s="75"/>
      <c r="AB490" s="30">
        <f t="shared" si="7"/>
        <v>0.125</v>
      </c>
    </row>
    <row r="491" spans="1:28" x14ac:dyDescent="0.3">
      <c r="A491" s="34" t="s">
        <v>1467</v>
      </c>
      <c r="B491" s="37" t="s">
        <v>25</v>
      </c>
      <c r="C491" s="34" t="s">
        <v>1510</v>
      </c>
      <c r="D491" s="33" t="s">
        <v>1775</v>
      </c>
      <c r="E491" s="34" t="s">
        <v>1462</v>
      </c>
      <c r="F491" s="34" t="s">
        <v>1463</v>
      </c>
      <c r="G491" s="34" t="s">
        <v>111</v>
      </c>
      <c r="H491" s="37">
        <v>1</v>
      </c>
      <c r="I491" s="34" t="s">
        <v>112</v>
      </c>
      <c r="J491" s="34" t="s">
        <v>31</v>
      </c>
      <c r="K491" s="34" t="s">
        <v>32</v>
      </c>
      <c r="L491" s="34" t="s">
        <v>1755</v>
      </c>
      <c r="M491" s="34" t="s">
        <v>33</v>
      </c>
      <c r="N491" s="49">
        <v>14</v>
      </c>
      <c r="O491" s="50">
        <v>2</v>
      </c>
      <c r="P491" s="51">
        <v>48</v>
      </c>
      <c r="Q491" s="52">
        <v>19.544702000000001</v>
      </c>
      <c r="R491" s="52">
        <v>-96.923411000000002</v>
      </c>
      <c r="S491" s="74" t="s">
        <v>34</v>
      </c>
      <c r="T491" s="74" t="s">
        <v>175</v>
      </c>
      <c r="U491" s="74"/>
      <c r="V491" s="74"/>
      <c r="W491" s="74"/>
      <c r="X491" s="74"/>
      <c r="Y491" s="74"/>
      <c r="Z491" s="74"/>
      <c r="AA491" s="75"/>
      <c r="AB491" s="30">
        <f t="shared" si="7"/>
        <v>0.125</v>
      </c>
    </row>
    <row r="492" spans="1:28" x14ac:dyDescent="0.3">
      <c r="A492" s="34" t="s">
        <v>1470</v>
      </c>
      <c r="B492" s="37" t="s">
        <v>25</v>
      </c>
      <c r="C492" s="34" t="s">
        <v>1510</v>
      </c>
      <c r="D492" s="33" t="s">
        <v>1775</v>
      </c>
      <c r="E492" s="34" t="s">
        <v>1465</v>
      </c>
      <c r="F492" s="34" t="s">
        <v>1466</v>
      </c>
      <c r="G492" s="34" t="s">
        <v>111</v>
      </c>
      <c r="H492" s="37">
        <v>1</v>
      </c>
      <c r="I492" s="34" t="s">
        <v>112</v>
      </c>
      <c r="J492" s="34" t="s">
        <v>31</v>
      </c>
      <c r="K492" s="34" t="s">
        <v>32</v>
      </c>
      <c r="L492" s="34" t="s">
        <v>1755</v>
      </c>
      <c r="M492" s="34" t="s">
        <v>33</v>
      </c>
      <c r="N492" s="49">
        <v>13</v>
      </c>
      <c r="O492" s="50">
        <v>3</v>
      </c>
      <c r="P492" s="51">
        <v>42</v>
      </c>
      <c r="Q492" s="52">
        <v>19.551728000000001</v>
      </c>
      <c r="R492" s="52">
        <v>-96.935888000000006</v>
      </c>
      <c r="S492" s="74" t="s">
        <v>34</v>
      </c>
      <c r="T492" s="74" t="s">
        <v>175</v>
      </c>
      <c r="U492" s="74"/>
      <c r="V492" s="74"/>
      <c r="W492" s="74"/>
      <c r="X492" s="74"/>
      <c r="Y492" s="74"/>
      <c r="Z492" s="74"/>
      <c r="AA492" s="75"/>
      <c r="AB492" s="30">
        <f t="shared" si="7"/>
        <v>0.125</v>
      </c>
    </row>
    <row r="493" spans="1:28" x14ac:dyDescent="0.3">
      <c r="A493" s="34" t="s">
        <v>1472</v>
      </c>
      <c r="B493" s="37" t="s">
        <v>25</v>
      </c>
      <c r="C493" s="34" t="s">
        <v>1510</v>
      </c>
      <c r="D493" s="33" t="s">
        <v>1775</v>
      </c>
      <c r="E493" s="34" t="s">
        <v>1468</v>
      </c>
      <c r="F493" s="34" t="s">
        <v>1469</v>
      </c>
      <c r="G493" s="34" t="s">
        <v>111</v>
      </c>
      <c r="H493" s="37">
        <v>1</v>
      </c>
      <c r="I493" s="34" t="s">
        <v>155</v>
      </c>
      <c r="J493" s="34" t="s">
        <v>31</v>
      </c>
      <c r="K493" s="34" t="s">
        <v>32</v>
      </c>
      <c r="L493" s="34" t="s">
        <v>1756</v>
      </c>
      <c r="M493" s="34" t="s">
        <v>33</v>
      </c>
      <c r="N493" s="49">
        <v>19</v>
      </c>
      <c r="O493" s="50">
        <v>4</v>
      </c>
      <c r="P493" s="51">
        <v>110</v>
      </c>
      <c r="Q493" s="52">
        <v>19.525544</v>
      </c>
      <c r="R493" s="52">
        <v>-96.921020999999996</v>
      </c>
      <c r="S493" s="74" t="s">
        <v>34</v>
      </c>
      <c r="T493" s="74" t="s">
        <v>175</v>
      </c>
      <c r="U493" s="74"/>
      <c r="V493" s="74"/>
      <c r="W493" s="74"/>
      <c r="X493" s="74"/>
      <c r="Y493" s="74"/>
      <c r="Z493" s="74"/>
      <c r="AA493" s="75"/>
      <c r="AB493" s="30">
        <f t="shared" si="7"/>
        <v>0.125</v>
      </c>
    </row>
    <row r="494" spans="1:28" x14ac:dyDescent="0.3">
      <c r="A494" s="34" t="s">
        <v>1474</v>
      </c>
      <c r="B494" s="37" t="s">
        <v>25</v>
      </c>
      <c r="C494" s="34" t="s">
        <v>1510</v>
      </c>
      <c r="D494" s="33" t="s">
        <v>1775</v>
      </c>
      <c r="E494" s="34" t="s">
        <v>1468</v>
      </c>
      <c r="F494" s="34" t="s">
        <v>1471</v>
      </c>
      <c r="G494" s="34" t="s">
        <v>111</v>
      </c>
      <c r="H494" s="37">
        <v>1</v>
      </c>
      <c r="I494" s="34" t="s">
        <v>155</v>
      </c>
      <c r="J494" s="34" t="s">
        <v>31</v>
      </c>
      <c r="K494" s="34" t="s">
        <v>32</v>
      </c>
      <c r="L494" s="34" t="s">
        <v>1756</v>
      </c>
      <c r="M494" s="34" t="s">
        <v>33</v>
      </c>
      <c r="N494" s="49">
        <v>32</v>
      </c>
      <c r="O494" s="50">
        <v>10</v>
      </c>
      <c r="P494" s="51">
        <v>292</v>
      </c>
      <c r="Q494" s="52">
        <v>20.08089</v>
      </c>
      <c r="R494" s="52">
        <v>-97.048100000000005</v>
      </c>
      <c r="S494" s="74" t="s">
        <v>34</v>
      </c>
      <c r="T494" s="74" t="s">
        <v>175</v>
      </c>
      <c r="U494" s="74"/>
      <c r="V494" s="74"/>
      <c r="W494" s="74"/>
      <c r="X494" s="74"/>
      <c r="Y494" s="74"/>
      <c r="Z494" s="74"/>
      <c r="AA494" s="75"/>
      <c r="AB494" s="30">
        <f t="shared" si="7"/>
        <v>0.125</v>
      </c>
    </row>
    <row r="495" spans="1:28" x14ac:dyDescent="0.3">
      <c r="A495" s="34" t="s">
        <v>1477</v>
      </c>
      <c r="B495" s="37" t="s">
        <v>25</v>
      </c>
      <c r="C495" s="34" t="s">
        <v>1510</v>
      </c>
      <c r="D495" s="33" t="s">
        <v>1775</v>
      </c>
      <c r="E495" s="34" t="s">
        <v>1468</v>
      </c>
      <c r="F495" s="34" t="s">
        <v>1473</v>
      </c>
      <c r="G495" s="34" t="s">
        <v>111</v>
      </c>
      <c r="H495" s="37">
        <v>1</v>
      </c>
      <c r="I495" s="34" t="s">
        <v>112</v>
      </c>
      <c r="J495" s="34" t="s">
        <v>31</v>
      </c>
      <c r="K495" s="34" t="s">
        <v>32</v>
      </c>
      <c r="L495" s="34" t="s">
        <v>1755</v>
      </c>
      <c r="M495" s="34" t="s">
        <v>33</v>
      </c>
      <c r="N495" s="49">
        <v>27</v>
      </c>
      <c r="O495" s="50">
        <v>7</v>
      </c>
      <c r="P495" s="51">
        <v>188</v>
      </c>
      <c r="Q495" s="52">
        <v>17.990259999999999</v>
      </c>
      <c r="R495" s="52">
        <v>-94.559600000000003</v>
      </c>
      <c r="S495" s="74" t="s">
        <v>34</v>
      </c>
      <c r="T495" s="74" t="s">
        <v>175</v>
      </c>
      <c r="U495" s="74"/>
      <c r="V495" s="74"/>
      <c r="W495" s="74"/>
      <c r="X495" s="74"/>
      <c r="Y495" s="74"/>
      <c r="Z495" s="74"/>
      <c r="AA495" s="75"/>
      <c r="AB495" s="30">
        <f t="shared" si="7"/>
        <v>0.125</v>
      </c>
    </row>
    <row r="496" spans="1:28" x14ac:dyDescent="0.3">
      <c r="A496" s="34" t="s">
        <v>1480</v>
      </c>
      <c r="B496" s="37" t="s">
        <v>25</v>
      </c>
      <c r="C496" s="34" t="s">
        <v>1510</v>
      </c>
      <c r="D496" s="33" t="s">
        <v>1775</v>
      </c>
      <c r="E496" s="34" t="s">
        <v>1475</v>
      </c>
      <c r="F496" s="34" t="s">
        <v>1476</v>
      </c>
      <c r="G496" s="34" t="s">
        <v>111</v>
      </c>
      <c r="H496" s="37">
        <v>1</v>
      </c>
      <c r="I496" s="34" t="s">
        <v>112</v>
      </c>
      <c r="J496" s="34" t="s">
        <v>31</v>
      </c>
      <c r="K496" s="34" t="s">
        <v>32</v>
      </c>
      <c r="L496" s="34" t="s">
        <v>1755</v>
      </c>
      <c r="M496" s="34" t="s">
        <v>33</v>
      </c>
      <c r="N496" s="49">
        <v>10</v>
      </c>
      <c r="O496" s="50">
        <v>3</v>
      </c>
      <c r="P496" s="51">
        <v>69</v>
      </c>
      <c r="Q496" s="52">
        <v>19.922930000000001</v>
      </c>
      <c r="R496" s="52">
        <v>-96.851500000000001</v>
      </c>
      <c r="S496" s="74" t="s">
        <v>34</v>
      </c>
      <c r="T496" s="74" t="s">
        <v>175</v>
      </c>
      <c r="U496" s="74"/>
      <c r="V496" s="74"/>
      <c r="W496" s="74"/>
      <c r="X496" s="74"/>
      <c r="Y496" s="74"/>
      <c r="Z496" s="74"/>
      <c r="AA496" s="75"/>
      <c r="AB496" s="30">
        <f t="shared" si="7"/>
        <v>0.125</v>
      </c>
    </row>
    <row r="497" spans="1:28" x14ac:dyDescent="0.3">
      <c r="A497" s="34" t="s">
        <v>1483</v>
      </c>
      <c r="B497" s="37" t="s">
        <v>25</v>
      </c>
      <c r="C497" s="34" t="s">
        <v>1510</v>
      </c>
      <c r="D497" s="33" t="s">
        <v>1775</v>
      </c>
      <c r="E497" s="34" t="s">
        <v>1478</v>
      </c>
      <c r="F497" s="34" t="s">
        <v>1479</v>
      </c>
      <c r="G497" s="34" t="s">
        <v>111</v>
      </c>
      <c r="H497" s="37">
        <v>1</v>
      </c>
      <c r="I497" s="34" t="s">
        <v>112</v>
      </c>
      <c r="J497" s="34" t="s">
        <v>31</v>
      </c>
      <c r="K497" s="34" t="s">
        <v>32</v>
      </c>
      <c r="L497" s="34" t="s">
        <v>1755</v>
      </c>
      <c r="M497" s="34" t="s">
        <v>33</v>
      </c>
      <c r="N497" s="49">
        <v>9</v>
      </c>
      <c r="O497" s="50">
        <v>3</v>
      </c>
      <c r="P497" s="51">
        <v>71</v>
      </c>
      <c r="Q497" s="52">
        <v>22.049579999999999</v>
      </c>
      <c r="R497" s="52">
        <v>-98.181010000000001</v>
      </c>
      <c r="S497" s="74" t="s">
        <v>34</v>
      </c>
      <c r="T497" s="74" t="s">
        <v>175</v>
      </c>
      <c r="U497" s="74"/>
      <c r="V497" s="74"/>
      <c r="W497" s="74"/>
      <c r="X497" s="74"/>
      <c r="Y497" s="74"/>
      <c r="Z497" s="74"/>
      <c r="AA497" s="75"/>
      <c r="AB497" s="30">
        <f t="shared" si="7"/>
        <v>0.125</v>
      </c>
    </row>
    <row r="498" spans="1:28" x14ac:dyDescent="0.3">
      <c r="A498" s="34" t="s">
        <v>1486</v>
      </c>
      <c r="B498" s="37" t="s">
        <v>25</v>
      </c>
      <c r="C498" s="34" t="s">
        <v>1510</v>
      </c>
      <c r="D498" s="33" t="s">
        <v>1775</v>
      </c>
      <c r="E498" s="34" t="s">
        <v>1481</v>
      </c>
      <c r="F498" s="34" t="s">
        <v>1482</v>
      </c>
      <c r="G498" s="34" t="s">
        <v>111</v>
      </c>
      <c r="H498" s="37">
        <v>1</v>
      </c>
      <c r="I498" s="34" t="s">
        <v>112</v>
      </c>
      <c r="J498" s="34" t="s">
        <v>31</v>
      </c>
      <c r="K498" s="34" t="s">
        <v>32</v>
      </c>
      <c r="L498" s="34" t="s">
        <v>1755</v>
      </c>
      <c r="M498" s="34" t="s">
        <v>33</v>
      </c>
      <c r="N498" s="49">
        <v>8</v>
      </c>
      <c r="O498" s="50">
        <v>2</v>
      </c>
      <c r="P498" s="51">
        <v>45</v>
      </c>
      <c r="Q498" s="52">
        <v>20.450330000000001</v>
      </c>
      <c r="R498" s="52">
        <v>-97.329043100000007</v>
      </c>
      <c r="S498" s="74" t="s">
        <v>34</v>
      </c>
      <c r="T498" s="74" t="s">
        <v>175</v>
      </c>
      <c r="U498" s="74"/>
      <c r="V498" s="74"/>
      <c r="W498" s="74"/>
      <c r="X498" s="74"/>
      <c r="Y498" s="74"/>
      <c r="Z498" s="74"/>
      <c r="AA498" s="75"/>
      <c r="AB498" s="30">
        <f t="shared" si="7"/>
        <v>0.125</v>
      </c>
    </row>
    <row r="499" spans="1:28" x14ac:dyDescent="0.3">
      <c r="A499" s="34" t="s">
        <v>1489</v>
      </c>
      <c r="B499" s="37" t="s">
        <v>25</v>
      </c>
      <c r="C499" s="34" t="s">
        <v>1510</v>
      </c>
      <c r="D499" s="33" t="s">
        <v>1775</v>
      </c>
      <c r="E499" s="34" t="s">
        <v>1484</v>
      </c>
      <c r="F499" s="34" t="s">
        <v>1485</v>
      </c>
      <c r="G499" s="34" t="s">
        <v>111</v>
      </c>
      <c r="H499" s="37">
        <v>1</v>
      </c>
      <c r="I499" s="34" t="s">
        <v>112</v>
      </c>
      <c r="J499" s="34" t="s">
        <v>31</v>
      </c>
      <c r="K499" s="34" t="s">
        <v>32</v>
      </c>
      <c r="L499" s="34" t="s">
        <v>1755</v>
      </c>
      <c r="M499" s="34" t="s">
        <v>33</v>
      </c>
      <c r="N499" s="49">
        <v>7</v>
      </c>
      <c r="O499" s="50">
        <v>2</v>
      </c>
      <c r="P499" s="51">
        <v>45</v>
      </c>
      <c r="Q499" s="52">
        <v>20.554179999999999</v>
      </c>
      <c r="R499" s="52">
        <v>-97.439009999999996</v>
      </c>
      <c r="S499" s="74" t="s">
        <v>34</v>
      </c>
      <c r="T499" s="74" t="s">
        <v>175</v>
      </c>
      <c r="U499" s="74"/>
      <c r="V499" s="74"/>
      <c r="W499" s="74"/>
      <c r="X499" s="74"/>
      <c r="Y499" s="74"/>
      <c r="Z499" s="74"/>
      <c r="AA499" s="75"/>
      <c r="AB499" s="30">
        <f t="shared" si="7"/>
        <v>0.125</v>
      </c>
    </row>
    <row r="500" spans="1:28" x14ac:dyDescent="0.3">
      <c r="A500" s="34" t="s">
        <v>1492</v>
      </c>
      <c r="B500" s="37" t="s">
        <v>25</v>
      </c>
      <c r="C500" s="34" t="s">
        <v>1510</v>
      </c>
      <c r="D500" s="33" t="s">
        <v>1775</v>
      </c>
      <c r="E500" s="34" t="s">
        <v>1487</v>
      </c>
      <c r="F500" s="34" t="s">
        <v>1488</v>
      </c>
      <c r="G500" s="34" t="s">
        <v>111</v>
      </c>
      <c r="H500" s="37">
        <v>1</v>
      </c>
      <c r="I500" s="34" t="s">
        <v>112</v>
      </c>
      <c r="J500" s="34" t="s">
        <v>31</v>
      </c>
      <c r="K500" s="34" t="s">
        <v>32</v>
      </c>
      <c r="L500" s="34" t="s">
        <v>1755</v>
      </c>
      <c r="M500" s="34" t="s">
        <v>33</v>
      </c>
      <c r="N500" s="49">
        <v>10</v>
      </c>
      <c r="O500" s="50">
        <v>1</v>
      </c>
      <c r="P500" s="51">
        <v>60</v>
      </c>
      <c r="Q500" s="52">
        <v>18.835059999999999</v>
      </c>
      <c r="R500" s="52">
        <v>-97.125010000000003</v>
      </c>
      <c r="S500" s="74" t="s">
        <v>34</v>
      </c>
      <c r="T500" s="74" t="s">
        <v>175</v>
      </c>
      <c r="U500" s="74"/>
      <c r="V500" s="74"/>
      <c r="W500" s="74"/>
      <c r="X500" s="74"/>
      <c r="Y500" s="74"/>
      <c r="Z500" s="74"/>
      <c r="AA500" s="75"/>
      <c r="AB500" s="30">
        <f t="shared" si="7"/>
        <v>0.125</v>
      </c>
    </row>
    <row r="501" spans="1:28" x14ac:dyDescent="0.3">
      <c r="A501" s="34" t="s">
        <v>1495</v>
      </c>
      <c r="B501" s="37" t="s">
        <v>25</v>
      </c>
      <c r="C501" s="34" t="s">
        <v>1510</v>
      </c>
      <c r="D501" s="33" t="s">
        <v>1775</v>
      </c>
      <c r="E501" s="34" t="s">
        <v>1490</v>
      </c>
      <c r="F501" s="34" t="s">
        <v>1491</v>
      </c>
      <c r="G501" s="34" t="s">
        <v>111</v>
      </c>
      <c r="H501" s="37">
        <v>1</v>
      </c>
      <c r="I501" s="34" t="s">
        <v>112</v>
      </c>
      <c r="J501" s="34" t="s">
        <v>31</v>
      </c>
      <c r="K501" s="34" t="s">
        <v>32</v>
      </c>
      <c r="L501" s="34" t="s">
        <v>1755</v>
      </c>
      <c r="M501" s="34" t="s">
        <v>33</v>
      </c>
      <c r="N501" s="49">
        <v>17</v>
      </c>
      <c r="O501" s="50">
        <v>7</v>
      </c>
      <c r="P501" s="51">
        <v>164</v>
      </c>
      <c r="Q501" s="52">
        <v>18.443249999999999</v>
      </c>
      <c r="R501" s="52">
        <v>-95.2089</v>
      </c>
      <c r="S501" s="74" t="s">
        <v>34</v>
      </c>
      <c r="T501" s="74" t="s">
        <v>175</v>
      </c>
      <c r="U501" s="74"/>
      <c r="V501" s="74"/>
      <c r="W501" s="74"/>
      <c r="X501" s="74"/>
      <c r="Y501" s="74"/>
      <c r="Z501" s="74"/>
      <c r="AA501" s="75"/>
      <c r="AB501" s="30">
        <f t="shared" si="7"/>
        <v>0.125</v>
      </c>
    </row>
    <row r="502" spans="1:28" x14ac:dyDescent="0.3">
      <c r="A502" s="34" t="s">
        <v>1498</v>
      </c>
      <c r="B502" s="37" t="s">
        <v>25</v>
      </c>
      <c r="C502" s="34" t="s">
        <v>1510</v>
      </c>
      <c r="D502" s="33" t="s">
        <v>1775</v>
      </c>
      <c r="E502" s="34" t="s">
        <v>1493</v>
      </c>
      <c r="F502" s="34" t="s">
        <v>1494</v>
      </c>
      <c r="G502" s="34" t="s">
        <v>111</v>
      </c>
      <c r="H502" s="37">
        <v>1</v>
      </c>
      <c r="I502" s="34" t="s">
        <v>112</v>
      </c>
      <c r="J502" s="34" t="s">
        <v>31</v>
      </c>
      <c r="K502" s="34" t="s">
        <v>32</v>
      </c>
      <c r="L502" s="34" t="s">
        <v>1755</v>
      </c>
      <c r="M502" s="34" t="s">
        <v>33</v>
      </c>
      <c r="N502" s="49">
        <v>20</v>
      </c>
      <c r="O502" s="50">
        <v>6</v>
      </c>
      <c r="P502" s="51">
        <v>234</v>
      </c>
      <c r="Q502" s="52">
        <v>18.45825</v>
      </c>
      <c r="R502" s="52">
        <v>-95.3078</v>
      </c>
      <c r="S502" s="74" t="s">
        <v>34</v>
      </c>
      <c r="T502" s="74" t="s">
        <v>175</v>
      </c>
      <c r="U502" s="74"/>
      <c r="V502" s="74"/>
      <c r="W502" s="74"/>
      <c r="X502" s="74"/>
      <c r="Y502" s="74"/>
      <c r="Z502" s="74"/>
      <c r="AA502" s="75"/>
      <c r="AB502" s="30">
        <f t="shared" si="7"/>
        <v>0.125</v>
      </c>
    </row>
    <row r="503" spans="1:28" x14ac:dyDescent="0.3">
      <c r="A503" s="34" t="s">
        <v>1501</v>
      </c>
      <c r="B503" s="37" t="s">
        <v>25</v>
      </c>
      <c r="C503" s="34" t="s">
        <v>1510</v>
      </c>
      <c r="D503" s="33" t="s">
        <v>1775</v>
      </c>
      <c r="E503" s="34" t="s">
        <v>1496</v>
      </c>
      <c r="F503" s="34" t="s">
        <v>1497</v>
      </c>
      <c r="G503" s="34" t="s">
        <v>111</v>
      </c>
      <c r="H503" s="37">
        <v>1</v>
      </c>
      <c r="I503" s="34" t="s">
        <v>112</v>
      </c>
      <c r="J503" s="34" t="s">
        <v>31</v>
      </c>
      <c r="K503" s="34" t="s">
        <v>32</v>
      </c>
      <c r="L503" s="34" t="s">
        <v>1755</v>
      </c>
      <c r="M503" s="34" t="s">
        <v>33</v>
      </c>
      <c r="N503" s="49">
        <v>16</v>
      </c>
      <c r="O503" s="50">
        <v>3</v>
      </c>
      <c r="P503" s="51">
        <v>68</v>
      </c>
      <c r="Q503" s="52">
        <v>21.33229</v>
      </c>
      <c r="R503" s="52">
        <v>-98.219099999999997</v>
      </c>
      <c r="S503" s="74" t="s">
        <v>34</v>
      </c>
      <c r="T503" s="74" t="s">
        <v>175</v>
      </c>
      <c r="U503" s="74"/>
      <c r="V503" s="74"/>
      <c r="W503" s="74"/>
      <c r="X503" s="74"/>
      <c r="Y503" s="74"/>
      <c r="Z503" s="74"/>
      <c r="AA503" s="75"/>
      <c r="AB503" s="30">
        <f t="shared" si="7"/>
        <v>0.125</v>
      </c>
    </row>
    <row r="504" spans="1:28" x14ac:dyDescent="0.3">
      <c r="A504" s="34" t="s">
        <v>1504</v>
      </c>
      <c r="B504" s="37" t="s">
        <v>25</v>
      </c>
      <c r="C504" s="34" t="s">
        <v>1510</v>
      </c>
      <c r="D504" s="33" t="s">
        <v>1775</v>
      </c>
      <c r="E504" s="34" t="s">
        <v>1499</v>
      </c>
      <c r="F504" s="34" t="s">
        <v>1500</v>
      </c>
      <c r="G504" s="34" t="s">
        <v>111</v>
      </c>
      <c r="H504" s="37">
        <v>1</v>
      </c>
      <c r="I504" s="34" t="s">
        <v>112</v>
      </c>
      <c r="J504" s="34" t="s">
        <v>31</v>
      </c>
      <c r="K504" s="34" t="s">
        <v>32</v>
      </c>
      <c r="L504" s="34" t="s">
        <v>1755</v>
      </c>
      <c r="M504" s="34" t="s">
        <v>33</v>
      </c>
      <c r="N504" s="49">
        <v>5</v>
      </c>
      <c r="O504" s="50">
        <v>2</v>
      </c>
      <c r="P504" s="51">
        <v>37</v>
      </c>
      <c r="Q504" s="52">
        <v>18.441780000000001</v>
      </c>
      <c r="R504" s="52">
        <v>-96.347210000000004</v>
      </c>
      <c r="S504" s="74" t="s">
        <v>34</v>
      </c>
      <c r="T504" s="74" t="s">
        <v>175</v>
      </c>
      <c r="U504" s="74"/>
      <c r="V504" s="74"/>
      <c r="W504" s="74"/>
      <c r="X504" s="74"/>
      <c r="Y504" s="74"/>
      <c r="Z504" s="74"/>
      <c r="AA504" s="75"/>
      <c r="AB504" s="30">
        <f t="shared" si="7"/>
        <v>0.125</v>
      </c>
    </row>
    <row r="505" spans="1:28" x14ac:dyDescent="0.3">
      <c r="A505" s="34" t="s">
        <v>1507</v>
      </c>
      <c r="B505" s="37" t="s">
        <v>25</v>
      </c>
      <c r="C505" s="34" t="s">
        <v>1510</v>
      </c>
      <c r="D505" s="33" t="s">
        <v>1775</v>
      </c>
      <c r="E505" s="34" t="s">
        <v>1502</v>
      </c>
      <c r="F505" s="34" t="s">
        <v>1503</v>
      </c>
      <c r="G505" s="34" t="s">
        <v>111</v>
      </c>
      <c r="H505" s="37">
        <v>1</v>
      </c>
      <c r="I505" s="34" t="s">
        <v>112</v>
      </c>
      <c r="J505" s="34" t="s">
        <v>31</v>
      </c>
      <c r="K505" s="34" t="s">
        <v>32</v>
      </c>
      <c r="L505" s="34" t="s">
        <v>1755</v>
      </c>
      <c r="M505" s="34" t="s">
        <v>33</v>
      </c>
      <c r="N505" s="49">
        <v>7</v>
      </c>
      <c r="O505" s="50">
        <v>1</v>
      </c>
      <c r="P505" s="51">
        <v>44</v>
      </c>
      <c r="Q505" s="52">
        <v>20.95092</v>
      </c>
      <c r="R505" s="52">
        <v>-97.400300000000001</v>
      </c>
      <c r="S505" s="74" t="s">
        <v>34</v>
      </c>
      <c r="T505" s="74" t="s">
        <v>175</v>
      </c>
      <c r="U505" s="74"/>
      <c r="V505" s="74"/>
      <c r="W505" s="74"/>
      <c r="X505" s="74"/>
      <c r="Y505" s="74"/>
      <c r="Z505" s="74"/>
      <c r="AA505" s="75"/>
      <c r="AB505" s="30">
        <f t="shared" si="7"/>
        <v>0.125</v>
      </c>
    </row>
    <row r="506" spans="1:28" x14ac:dyDescent="0.3">
      <c r="A506" s="34" t="s">
        <v>1509</v>
      </c>
      <c r="B506" s="37" t="s">
        <v>25</v>
      </c>
      <c r="C506" s="34" t="s">
        <v>1510</v>
      </c>
      <c r="D506" s="33" t="s">
        <v>1775</v>
      </c>
      <c r="E506" s="34" t="s">
        <v>1505</v>
      </c>
      <c r="F506" s="34" t="s">
        <v>1506</v>
      </c>
      <c r="G506" s="34" t="s">
        <v>111</v>
      </c>
      <c r="H506" s="37">
        <v>1</v>
      </c>
      <c r="I506" s="34" t="s">
        <v>112</v>
      </c>
      <c r="J506" s="34" t="s">
        <v>31</v>
      </c>
      <c r="K506" s="34" t="s">
        <v>32</v>
      </c>
      <c r="L506" s="34" t="s">
        <v>1755</v>
      </c>
      <c r="M506" s="34" t="s">
        <v>33</v>
      </c>
      <c r="N506" s="49">
        <v>7</v>
      </c>
      <c r="O506" s="50">
        <v>2</v>
      </c>
      <c r="P506" s="51">
        <v>42</v>
      </c>
      <c r="Q506" s="52">
        <v>19.18562</v>
      </c>
      <c r="R506" s="52">
        <v>-96.132099999999994</v>
      </c>
      <c r="S506" s="74" t="s">
        <v>34</v>
      </c>
      <c r="T506" s="74" t="s">
        <v>175</v>
      </c>
      <c r="U506" s="74"/>
      <c r="V506" s="74"/>
      <c r="W506" s="74"/>
      <c r="X506" s="74"/>
      <c r="Y506" s="74"/>
      <c r="Z506" s="74"/>
      <c r="AA506" s="75"/>
      <c r="AB506" s="30">
        <f t="shared" si="7"/>
        <v>0.125</v>
      </c>
    </row>
    <row r="507" spans="1:28" x14ac:dyDescent="0.3">
      <c r="A507" s="34" t="s">
        <v>1512</v>
      </c>
      <c r="B507" s="37" t="s">
        <v>25</v>
      </c>
      <c r="C507" s="34" t="s">
        <v>1510</v>
      </c>
      <c r="D507" s="33" t="s">
        <v>1775</v>
      </c>
      <c r="E507" s="34" t="s">
        <v>474</v>
      </c>
      <c r="F507" s="34" t="s">
        <v>1508</v>
      </c>
      <c r="G507" s="34" t="s">
        <v>111</v>
      </c>
      <c r="H507" s="37">
        <v>1</v>
      </c>
      <c r="I507" s="34" t="s">
        <v>112</v>
      </c>
      <c r="J507" s="34" t="s">
        <v>31</v>
      </c>
      <c r="K507" s="34" t="s">
        <v>32</v>
      </c>
      <c r="L507" s="34" t="s">
        <v>1755</v>
      </c>
      <c r="M507" s="34" t="s">
        <v>33</v>
      </c>
      <c r="N507" s="49">
        <v>10</v>
      </c>
      <c r="O507" s="50">
        <v>2</v>
      </c>
      <c r="P507" s="51">
        <v>113</v>
      </c>
      <c r="Q507" s="52">
        <v>19.3669236</v>
      </c>
      <c r="R507" s="52">
        <v>-96.371402500000002</v>
      </c>
      <c r="S507" s="74" t="s">
        <v>34</v>
      </c>
      <c r="T507" s="74" t="s">
        <v>175</v>
      </c>
      <c r="U507" s="74"/>
      <c r="V507" s="74"/>
      <c r="W507" s="74"/>
      <c r="X507" s="74"/>
      <c r="Y507" s="74"/>
      <c r="Z507" s="74"/>
      <c r="AA507" s="75"/>
      <c r="AB507" s="30">
        <f t="shared" si="7"/>
        <v>0.125</v>
      </c>
    </row>
    <row r="508" spans="1:28" x14ac:dyDescent="0.3">
      <c r="A508" s="34" t="s">
        <v>1515</v>
      </c>
      <c r="B508" s="37" t="s">
        <v>25</v>
      </c>
      <c r="C508" s="34" t="s">
        <v>1510</v>
      </c>
      <c r="D508" s="33" t="s">
        <v>1775</v>
      </c>
      <c r="E508" s="34" t="s">
        <v>1510</v>
      </c>
      <c r="F508" s="34" t="s">
        <v>1511</v>
      </c>
      <c r="G508" s="34" t="s">
        <v>111</v>
      </c>
      <c r="H508" s="37">
        <v>1</v>
      </c>
      <c r="I508" s="34" t="s">
        <v>155</v>
      </c>
      <c r="J508" s="34" t="s">
        <v>31</v>
      </c>
      <c r="K508" s="34" t="s">
        <v>32</v>
      </c>
      <c r="L508" s="34" t="s">
        <v>1756</v>
      </c>
      <c r="M508" s="34" t="s">
        <v>33</v>
      </c>
      <c r="N508" s="49">
        <v>49</v>
      </c>
      <c r="O508" s="50">
        <v>16</v>
      </c>
      <c r="P508" s="51">
        <v>493</v>
      </c>
      <c r="Q508" s="52">
        <v>19.192800999999999</v>
      </c>
      <c r="R508" s="52">
        <v>-96.183899999999994</v>
      </c>
      <c r="S508" s="74" t="s">
        <v>34</v>
      </c>
      <c r="T508" s="74" t="s">
        <v>175</v>
      </c>
      <c r="U508" s="74"/>
      <c r="V508" s="74"/>
      <c r="W508" s="74"/>
      <c r="X508" s="74"/>
      <c r="Y508" s="74"/>
      <c r="Z508" s="74"/>
      <c r="AA508" s="75"/>
      <c r="AB508" s="30">
        <f t="shared" si="7"/>
        <v>0.125</v>
      </c>
    </row>
    <row r="509" spans="1:28" x14ac:dyDescent="0.3">
      <c r="A509" s="34" t="s">
        <v>1517</v>
      </c>
      <c r="B509" s="37" t="s">
        <v>25</v>
      </c>
      <c r="C509" s="34" t="s">
        <v>1510</v>
      </c>
      <c r="D509" s="33" t="s">
        <v>1775</v>
      </c>
      <c r="E509" s="34" t="s">
        <v>1513</v>
      </c>
      <c r="F509" s="34" t="s">
        <v>1514</v>
      </c>
      <c r="G509" s="34" t="s">
        <v>111</v>
      </c>
      <c r="H509" s="37">
        <v>1</v>
      </c>
      <c r="I509" s="34" t="s">
        <v>112</v>
      </c>
      <c r="J509" s="34" t="s">
        <v>31</v>
      </c>
      <c r="K509" s="34" t="s">
        <v>32</v>
      </c>
      <c r="L509" s="34" t="s">
        <v>1755</v>
      </c>
      <c r="M509" s="34" t="s">
        <v>33</v>
      </c>
      <c r="N509" s="49">
        <v>6</v>
      </c>
      <c r="O509" s="50">
        <v>2</v>
      </c>
      <c r="P509" s="51">
        <v>42</v>
      </c>
      <c r="Q509" s="52">
        <v>18.799759999999999</v>
      </c>
      <c r="R509" s="52">
        <v>-96.057608999999999</v>
      </c>
      <c r="S509" s="74" t="s">
        <v>34</v>
      </c>
      <c r="T509" s="74" t="s">
        <v>175</v>
      </c>
      <c r="U509" s="74"/>
      <c r="V509" s="74"/>
      <c r="W509" s="74"/>
      <c r="X509" s="74"/>
      <c r="Y509" s="74"/>
      <c r="Z509" s="74"/>
      <c r="AA509" s="75"/>
      <c r="AB509" s="30">
        <f t="shared" si="7"/>
        <v>0.125</v>
      </c>
    </row>
    <row r="510" spans="1:28" x14ac:dyDescent="0.3">
      <c r="A510" s="34" t="s">
        <v>1520</v>
      </c>
      <c r="B510" s="37" t="s">
        <v>25</v>
      </c>
      <c r="C510" s="34" t="s">
        <v>1510</v>
      </c>
      <c r="D510" s="33" t="s">
        <v>1775</v>
      </c>
      <c r="E510" s="34" t="s">
        <v>1510</v>
      </c>
      <c r="F510" s="34" t="s">
        <v>1516</v>
      </c>
      <c r="G510" s="34" t="s">
        <v>111</v>
      </c>
      <c r="H510" s="37">
        <v>1</v>
      </c>
      <c r="I510" s="34" t="s">
        <v>112</v>
      </c>
      <c r="J510" s="34" t="s">
        <v>31</v>
      </c>
      <c r="K510" s="34" t="s">
        <v>32</v>
      </c>
      <c r="L510" s="34" t="s">
        <v>1755</v>
      </c>
      <c r="M510" s="34" t="s">
        <v>33</v>
      </c>
      <c r="N510" s="49">
        <v>15</v>
      </c>
      <c r="O510" s="50">
        <v>4</v>
      </c>
      <c r="P510" s="51">
        <v>94</v>
      </c>
      <c r="Q510" s="52">
        <v>17.932000299999999</v>
      </c>
      <c r="R510" s="52">
        <v>-94.906152700000007</v>
      </c>
      <c r="S510" s="74" t="s">
        <v>34</v>
      </c>
      <c r="T510" s="74" t="s">
        <v>175</v>
      </c>
      <c r="U510" s="74"/>
      <c r="V510" s="74"/>
      <c r="W510" s="74"/>
      <c r="X510" s="74"/>
      <c r="Y510" s="74"/>
      <c r="Z510" s="74"/>
      <c r="AA510" s="75"/>
      <c r="AB510" s="30">
        <f t="shared" si="7"/>
        <v>0.125</v>
      </c>
    </row>
    <row r="511" spans="1:28" x14ac:dyDescent="0.3">
      <c r="A511" s="34" t="s">
        <v>1523</v>
      </c>
      <c r="B511" s="37" t="s">
        <v>25</v>
      </c>
      <c r="C511" s="34" t="s">
        <v>1510</v>
      </c>
      <c r="D511" s="33" t="s">
        <v>1775</v>
      </c>
      <c r="E511" s="34" t="s">
        <v>1518</v>
      </c>
      <c r="F511" s="34" t="s">
        <v>1519</v>
      </c>
      <c r="G511" s="34" t="s">
        <v>111</v>
      </c>
      <c r="H511" s="37">
        <v>1</v>
      </c>
      <c r="I511" s="34" t="s">
        <v>112</v>
      </c>
      <c r="J511" s="34" t="s">
        <v>31</v>
      </c>
      <c r="K511" s="34" t="s">
        <v>32</v>
      </c>
      <c r="L511" s="34" t="s">
        <v>1755</v>
      </c>
      <c r="M511" s="34" t="s">
        <v>33</v>
      </c>
      <c r="N511" s="49">
        <v>7</v>
      </c>
      <c r="O511" s="50">
        <v>2</v>
      </c>
      <c r="P511" s="51">
        <v>33</v>
      </c>
      <c r="Q511" s="52">
        <v>19.5784667</v>
      </c>
      <c r="R511" s="52">
        <v>-97.242171099999993</v>
      </c>
      <c r="S511" s="74" t="s">
        <v>34</v>
      </c>
      <c r="T511" s="74" t="s">
        <v>175</v>
      </c>
      <c r="U511" s="74"/>
      <c r="V511" s="74"/>
      <c r="W511" s="74"/>
      <c r="X511" s="74"/>
      <c r="Y511" s="74"/>
      <c r="Z511" s="74"/>
      <c r="AA511" s="75"/>
      <c r="AB511" s="30">
        <f t="shared" si="7"/>
        <v>0.125</v>
      </c>
    </row>
    <row r="512" spans="1:28" x14ac:dyDescent="0.3">
      <c r="A512" s="34" t="s">
        <v>1526</v>
      </c>
      <c r="B512" s="37" t="s">
        <v>25</v>
      </c>
      <c r="C512" s="34" t="s">
        <v>1510</v>
      </c>
      <c r="D512" s="33" t="s">
        <v>1775</v>
      </c>
      <c r="E512" s="34" t="s">
        <v>1521</v>
      </c>
      <c r="F512" s="34" t="s">
        <v>1522</v>
      </c>
      <c r="G512" s="34" t="s">
        <v>111</v>
      </c>
      <c r="H512" s="37">
        <v>1</v>
      </c>
      <c r="I512" s="34" t="s">
        <v>112</v>
      </c>
      <c r="J512" s="34" t="s">
        <v>31</v>
      </c>
      <c r="K512" s="34" t="s">
        <v>32</v>
      </c>
      <c r="L512" s="34" t="s">
        <v>1755</v>
      </c>
      <c r="M512" s="34" t="s">
        <v>33</v>
      </c>
      <c r="N512" s="49">
        <v>9</v>
      </c>
      <c r="O512" s="50">
        <v>2</v>
      </c>
      <c r="P512" s="51">
        <v>83</v>
      </c>
      <c r="Q512" s="52">
        <v>19.10332</v>
      </c>
      <c r="R512" s="52">
        <v>-96.108656999999994</v>
      </c>
      <c r="S512" s="74" t="s">
        <v>34</v>
      </c>
      <c r="T512" s="74" t="s">
        <v>175</v>
      </c>
      <c r="U512" s="74"/>
      <c r="V512" s="74"/>
      <c r="W512" s="74"/>
      <c r="X512" s="74"/>
      <c r="Y512" s="74"/>
      <c r="Z512" s="74"/>
      <c r="AA512" s="75"/>
      <c r="AB512" s="30">
        <f t="shared" si="7"/>
        <v>0.125</v>
      </c>
    </row>
    <row r="513" spans="1:28" x14ac:dyDescent="0.3">
      <c r="A513" s="34" t="s">
        <v>1529</v>
      </c>
      <c r="B513" s="37" t="s">
        <v>25</v>
      </c>
      <c r="C513" s="34" t="s">
        <v>1510</v>
      </c>
      <c r="D513" s="33" t="s">
        <v>1775</v>
      </c>
      <c r="E513" s="34" t="s">
        <v>1524</v>
      </c>
      <c r="F513" s="34" t="s">
        <v>1525</v>
      </c>
      <c r="G513" s="34" t="s">
        <v>111</v>
      </c>
      <c r="H513" s="37">
        <v>1</v>
      </c>
      <c r="I513" s="34" t="s">
        <v>112</v>
      </c>
      <c r="J513" s="34" t="s">
        <v>31</v>
      </c>
      <c r="K513" s="34" t="s">
        <v>32</v>
      </c>
      <c r="L513" s="34" t="s">
        <v>1755</v>
      </c>
      <c r="M513" s="34" t="s">
        <v>33</v>
      </c>
      <c r="N513" s="49">
        <v>11</v>
      </c>
      <c r="O513" s="50">
        <v>3</v>
      </c>
      <c r="P513" s="51">
        <v>53</v>
      </c>
      <c r="Q513" s="52">
        <v>18.037626100000001</v>
      </c>
      <c r="R513" s="52">
        <v>-95.530038000000005</v>
      </c>
      <c r="S513" s="74" t="s">
        <v>34</v>
      </c>
      <c r="T513" s="74" t="s">
        <v>175</v>
      </c>
      <c r="U513" s="74"/>
      <c r="V513" s="74"/>
      <c r="W513" s="74"/>
      <c r="X513" s="74"/>
      <c r="Y513" s="74"/>
      <c r="Z513" s="74"/>
      <c r="AA513" s="75"/>
      <c r="AB513" s="30">
        <f t="shared" si="7"/>
        <v>0.125</v>
      </c>
    </row>
    <row r="514" spans="1:28" x14ac:dyDescent="0.3">
      <c r="A514" s="34" t="s">
        <v>1532</v>
      </c>
      <c r="B514" s="37" t="s">
        <v>25</v>
      </c>
      <c r="C514" s="34" t="s">
        <v>1510</v>
      </c>
      <c r="D514" s="33" t="s">
        <v>1775</v>
      </c>
      <c r="E514" s="34" t="s">
        <v>1527</v>
      </c>
      <c r="F514" s="34" t="s">
        <v>1528</v>
      </c>
      <c r="G514" s="34" t="s">
        <v>111</v>
      </c>
      <c r="H514" s="37">
        <v>1</v>
      </c>
      <c r="I514" s="34" t="s">
        <v>112</v>
      </c>
      <c r="J514" s="34" t="s">
        <v>31</v>
      </c>
      <c r="K514" s="34" t="s">
        <v>32</v>
      </c>
      <c r="L514" s="34" t="s">
        <v>1755</v>
      </c>
      <c r="M514" s="34" t="s">
        <v>33</v>
      </c>
      <c r="N514" s="49">
        <v>19</v>
      </c>
      <c r="O514" s="50">
        <v>4</v>
      </c>
      <c r="P514" s="51">
        <v>91</v>
      </c>
      <c r="Q514" s="52">
        <v>17.99222</v>
      </c>
      <c r="R514" s="52">
        <v>-94.641199999999998</v>
      </c>
      <c r="S514" s="74" t="s">
        <v>34</v>
      </c>
      <c r="T514" s="74" t="s">
        <v>175</v>
      </c>
      <c r="U514" s="74"/>
      <c r="V514" s="74"/>
      <c r="W514" s="74"/>
      <c r="X514" s="74"/>
      <c r="Y514" s="74"/>
      <c r="Z514" s="74"/>
      <c r="AA514" s="75"/>
      <c r="AB514" s="30">
        <f t="shared" ref="AB514:AB577" si="8">(
IF(S514="ENVIADO A LA CE/UM",1/3,IF(S514="ENTREGADO/REVISIÓN",2/3,IF(S514="ENVIADO A TICS",1,0)))+
IF(T514="EN PROCESO",0,IF(T514="CONCLUIDO",1,0))+
IF(U514="ENVIADO A LA CE/UM",1/3,IF(U514="EN REVISIÓN CENTRAL",2/3,IF(U514="CONCLUIDO",1,0)))+
IF(V514="ENVIADO A LA CE/UM",1/3,IF(V514="EN REVISIÓN CENTRAL",2/3,IF(V514="CONCLUIDO",1,0)))+
IF(W514="ENVIADO",1/3,IF(W514="EN PROCESO",2/3,IF(W514="CONCLUIDO",1,0)))+
IF(X514="PROGRAMADAS",0,IF(X514="CONCLUIDAS",1,0))+
IF(Y514="SI",1,IF(Y514="NO",0,0))+
IF(Z514="SI",1,IF(Z514="NO",0,0))
)/8</f>
        <v>0.125</v>
      </c>
    </row>
    <row r="515" spans="1:28" x14ac:dyDescent="0.3">
      <c r="A515" s="34" t="s">
        <v>1535</v>
      </c>
      <c r="B515" s="37" t="s">
        <v>25</v>
      </c>
      <c r="C515" s="34" t="s">
        <v>1510</v>
      </c>
      <c r="D515" s="33" t="s">
        <v>1775</v>
      </c>
      <c r="E515" s="34" t="s">
        <v>1530</v>
      </c>
      <c r="F515" s="34" t="s">
        <v>1531</v>
      </c>
      <c r="G515" s="34" t="s">
        <v>111</v>
      </c>
      <c r="H515" s="37">
        <v>1</v>
      </c>
      <c r="I515" s="34" t="s">
        <v>112</v>
      </c>
      <c r="J515" s="34" t="s">
        <v>31</v>
      </c>
      <c r="K515" s="34" t="s">
        <v>32</v>
      </c>
      <c r="L515" s="34" t="s">
        <v>1755</v>
      </c>
      <c r="M515" s="34" t="s">
        <v>33</v>
      </c>
      <c r="N515" s="49">
        <v>10</v>
      </c>
      <c r="O515" s="50">
        <v>2</v>
      </c>
      <c r="P515" s="51">
        <v>68</v>
      </c>
      <c r="Q515" s="52">
        <v>20.884830000000001</v>
      </c>
      <c r="R515" s="52">
        <v>-97.653700000000001</v>
      </c>
      <c r="S515" s="74" t="s">
        <v>34</v>
      </c>
      <c r="T515" s="74" t="s">
        <v>175</v>
      </c>
      <c r="U515" s="74"/>
      <c r="V515" s="74"/>
      <c r="W515" s="74"/>
      <c r="X515" s="74"/>
      <c r="Y515" s="74"/>
      <c r="Z515" s="74"/>
      <c r="AA515" s="75"/>
      <c r="AB515" s="30">
        <f t="shared" si="8"/>
        <v>0.125</v>
      </c>
    </row>
    <row r="516" spans="1:28" x14ac:dyDescent="0.3">
      <c r="A516" s="34" t="s">
        <v>1538</v>
      </c>
      <c r="B516" s="37" t="s">
        <v>25</v>
      </c>
      <c r="C516" s="34" t="s">
        <v>837</v>
      </c>
      <c r="D516" s="33" t="s">
        <v>1775</v>
      </c>
      <c r="E516" s="34" t="s">
        <v>1533</v>
      </c>
      <c r="F516" s="34" t="s">
        <v>1534</v>
      </c>
      <c r="G516" s="34" t="s">
        <v>111</v>
      </c>
      <c r="H516" s="37">
        <v>1</v>
      </c>
      <c r="I516" s="34" t="s">
        <v>112</v>
      </c>
      <c r="J516" s="34" t="s">
        <v>31</v>
      </c>
      <c r="K516" s="34" t="s">
        <v>32</v>
      </c>
      <c r="L516" s="34" t="s">
        <v>1755</v>
      </c>
      <c r="M516" s="34" t="s">
        <v>33</v>
      </c>
      <c r="N516" s="49">
        <v>7</v>
      </c>
      <c r="O516" s="50">
        <v>2</v>
      </c>
      <c r="P516" s="51">
        <v>31</v>
      </c>
      <c r="Q516" s="52">
        <v>23.17238</v>
      </c>
      <c r="R516" s="52">
        <v>-102.912707</v>
      </c>
      <c r="S516" s="74" t="s">
        <v>34</v>
      </c>
      <c r="T516" s="74" t="s">
        <v>175</v>
      </c>
      <c r="U516" s="74" t="s">
        <v>213</v>
      </c>
      <c r="V516" s="74" t="s">
        <v>213</v>
      </c>
      <c r="W516" s="74"/>
      <c r="X516" s="74"/>
      <c r="Y516" s="74"/>
      <c r="Z516" s="74"/>
      <c r="AA516" s="75"/>
      <c r="AB516" s="30">
        <f t="shared" si="8"/>
        <v>0.29166666666666663</v>
      </c>
    </row>
    <row r="517" spans="1:28" x14ac:dyDescent="0.3">
      <c r="A517" s="34" t="s">
        <v>1541</v>
      </c>
      <c r="B517" s="37" t="s">
        <v>25</v>
      </c>
      <c r="C517" s="34" t="s">
        <v>837</v>
      </c>
      <c r="D517" s="33" t="s">
        <v>1775</v>
      </c>
      <c r="E517" s="34" t="s">
        <v>1536</v>
      </c>
      <c r="F517" s="34" t="s">
        <v>1537</v>
      </c>
      <c r="G517" s="34" t="s">
        <v>111</v>
      </c>
      <c r="H517" s="37">
        <v>1</v>
      </c>
      <c r="I517" s="34" t="s">
        <v>112</v>
      </c>
      <c r="J517" s="34" t="s">
        <v>31</v>
      </c>
      <c r="K517" s="34" t="s">
        <v>32</v>
      </c>
      <c r="L517" s="34" t="s">
        <v>1755</v>
      </c>
      <c r="M517" s="34" t="s">
        <v>33</v>
      </c>
      <c r="N517" s="49">
        <v>7</v>
      </c>
      <c r="O517" s="50">
        <v>2</v>
      </c>
      <c r="P517" s="51">
        <v>54</v>
      </c>
      <c r="Q517" s="52">
        <v>22.639379999999999</v>
      </c>
      <c r="R517" s="52">
        <v>-102.996528</v>
      </c>
      <c r="S517" s="74" t="s">
        <v>34</v>
      </c>
      <c r="T517" s="74" t="s">
        <v>175</v>
      </c>
      <c r="U517" s="74" t="s">
        <v>213</v>
      </c>
      <c r="V517" s="74" t="s">
        <v>213</v>
      </c>
      <c r="W517" s="74"/>
      <c r="X517" s="74"/>
      <c r="Y517" s="74"/>
      <c r="Z517" s="74"/>
      <c r="AA517" s="75"/>
      <c r="AB517" s="30">
        <f t="shared" si="8"/>
        <v>0.29166666666666663</v>
      </c>
    </row>
    <row r="518" spans="1:28" x14ac:dyDescent="0.3">
      <c r="A518" s="34" t="s">
        <v>1544</v>
      </c>
      <c r="B518" s="37" t="s">
        <v>25</v>
      </c>
      <c r="C518" s="34" t="s">
        <v>837</v>
      </c>
      <c r="D518" s="33" t="s">
        <v>1775</v>
      </c>
      <c r="E518" s="34" t="s">
        <v>1539</v>
      </c>
      <c r="F518" s="34" t="s">
        <v>1540</v>
      </c>
      <c r="G518" s="34" t="s">
        <v>111</v>
      </c>
      <c r="H518" s="37">
        <v>1</v>
      </c>
      <c r="I518" s="34" t="s">
        <v>112</v>
      </c>
      <c r="J518" s="34" t="s">
        <v>31</v>
      </c>
      <c r="K518" s="34" t="s">
        <v>32</v>
      </c>
      <c r="L518" s="34" t="s">
        <v>1755</v>
      </c>
      <c r="M518" s="34" t="s">
        <v>33</v>
      </c>
      <c r="N518" s="49">
        <v>22</v>
      </c>
      <c r="O518" s="50">
        <v>7</v>
      </c>
      <c r="P518" s="51">
        <v>135</v>
      </c>
      <c r="Q518" s="52">
        <v>22.256167999999999</v>
      </c>
      <c r="R518" s="52">
        <v>-101.989743</v>
      </c>
      <c r="S518" s="74" t="s">
        <v>34</v>
      </c>
      <c r="T518" s="74" t="s">
        <v>175</v>
      </c>
      <c r="U518" s="74" t="s">
        <v>213</v>
      </c>
      <c r="V518" s="74" t="s">
        <v>213</v>
      </c>
      <c r="W518" s="74"/>
      <c r="X518" s="74"/>
      <c r="Y518" s="74"/>
      <c r="Z518" s="74"/>
      <c r="AA518" s="75"/>
      <c r="AB518" s="30">
        <f t="shared" si="8"/>
        <v>0.29166666666666663</v>
      </c>
    </row>
    <row r="519" spans="1:28" x14ac:dyDescent="0.3">
      <c r="A519" s="34" t="s">
        <v>1546</v>
      </c>
      <c r="B519" s="37" t="s">
        <v>25</v>
      </c>
      <c r="C519" s="34" t="s">
        <v>837</v>
      </c>
      <c r="D519" s="33" t="s">
        <v>1775</v>
      </c>
      <c r="E519" s="34" t="s">
        <v>1542</v>
      </c>
      <c r="F519" s="34" t="s">
        <v>1543</v>
      </c>
      <c r="G519" s="34" t="s">
        <v>111</v>
      </c>
      <c r="H519" s="37">
        <v>1</v>
      </c>
      <c r="I519" s="34" t="s">
        <v>112</v>
      </c>
      <c r="J519" s="34" t="s">
        <v>31</v>
      </c>
      <c r="K519" s="34" t="s">
        <v>32</v>
      </c>
      <c r="L519" s="34" t="s">
        <v>1755</v>
      </c>
      <c r="M519" s="34" t="s">
        <v>33</v>
      </c>
      <c r="N519" s="49">
        <v>11</v>
      </c>
      <c r="O519" s="50">
        <v>3</v>
      </c>
      <c r="P519" s="51">
        <v>50</v>
      </c>
      <c r="Q519" s="52">
        <v>22.778268000000001</v>
      </c>
      <c r="R519" s="52">
        <v>-102.619871</v>
      </c>
      <c r="S519" s="74" t="s">
        <v>34</v>
      </c>
      <c r="T519" s="74" t="s">
        <v>175</v>
      </c>
      <c r="U519" s="74" t="s">
        <v>213</v>
      </c>
      <c r="V519" s="74" t="s">
        <v>213</v>
      </c>
      <c r="W519" s="74"/>
      <c r="X519" s="74"/>
      <c r="Y519" s="74"/>
      <c r="Z519" s="74"/>
      <c r="AA519" s="75"/>
      <c r="AB519" s="30">
        <f t="shared" si="8"/>
        <v>0.29166666666666663</v>
      </c>
    </row>
    <row r="520" spans="1:28" x14ac:dyDescent="0.3">
      <c r="A520" s="34" t="s">
        <v>1548</v>
      </c>
      <c r="B520" s="37" t="s">
        <v>25</v>
      </c>
      <c r="C520" s="34" t="s">
        <v>1771</v>
      </c>
      <c r="D520" s="34" t="s">
        <v>1771</v>
      </c>
      <c r="E520" s="34" t="s">
        <v>887</v>
      </c>
      <c r="F520" s="34" t="s">
        <v>1545</v>
      </c>
      <c r="G520" s="34" t="s">
        <v>111</v>
      </c>
      <c r="H520" s="37">
        <v>1</v>
      </c>
      <c r="I520" s="34" t="s">
        <v>112</v>
      </c>
      <c r="J520" s="34" t="s">
        <v>31</v>
      </c>
      <c r="K520" s="34" t="s">
        <v>32</v>
      </c>
      <c r="L520" s="34" t="s">
        <v>1755</v>
      </c>
      <c r="M520" s="34" t="s">
        <v>33</v>
      </c>
      <c r="N520" s="49">
        <v>5</v>
      </c>
      <c r="O520" s="50">
        <v>3</v>
      </c>
      <c r="P520" s="51">
        <v>56</v>
      </c>
      <c r="Q520" s="52">
        <v>19.318664399999999</v>
      </c>
      <c r="R520" s="52">
        <v>-98.855389000000002</v>
      </c>
      <c r="S520" s="74" t="s">
        <v>176</v>
      </c>
      <c r="T520" s="74"/>
      <c r="U520" s="74"/>
      <c r="V520" s="74"/>
      <c r="W520" s="74"/>
      <c r="X520" s="74"/>
      <c r="Y520" s="74"/>
      <c r="Z520" s="74"/>
      <c r="AA520" s="75"/>
      <c r="AB520" s="30">
        <f t="shared" si="8"/>
        <v>4.1666666666666664E-2</v>
      </c>
    </row>
    <row r="521" spans="1:28" x14ac:dyDescent="0.3">
      <c r="A521" s="86" t="s">
        <v>1550</v>
      </c>
      <c r="B521" s="51" t="s">
        <v>25</v>
      </c>
      <c r="C521" s="86" t="s">
        <v>1771</v>
      </c>
      <c r="D521" s="34" t="s">
        <v>1771</v>
      </c>
      <c r="E521" s="34" t="s">
        <v>837</v>
      </c>
      <c r="F521" s="34" t="s">
        <v>1547</v>
      </c>
      <c r="G521" s="34" t="s">
        <v>111</v>
      </c>
      <c r="H521" s="37">
        <v>1</v>
      </c>
      <c r="I521" s="34" t="s">
        <v>112</v>
      </c>
      <c r="J521" s="34" t="s">
        <v>31</v>
      </c>
      <c r="K521" s="34" t="s">
        <v>32</v>
      </c>
      <c r="L521" s="34" t="s">
        <v>1755</v>
      </c>
      <c r="M521" s="34" t="s">
        <v>33</v>
      </c>
      <c r="N521" s="49">
        <v>32</v>
      </c>
      <c r="O521" s="50">
        <v>6</v>
      </c>
      <c r="P521" s="51">
        <v>183</v>
      </c>
      <c r="Q521" s="52">
        <v>16.948091000000002</v>
      </c>
      <c r="R521" s="52">
        <v>-96.713217</v>
      </c>
      <c r="S521" s="89" t="s">
        <v>34</v>
      </c>
      <c r="T521" s="89"/>
      <c r="U521" s="89" t="s">
        <v>35</v>
      </c>
      <c r="V521" s="89" t="s">
        <v>35</v>
      </c>
      <c r="W521" s="89" t="s">
        <v>175</v>
      </c>
      <c r="X521" s="89"/>
      <c r="Y521" s="89"/>
      <c r="Z521" s="89"/>
      <c r="AA521" s="96" t="s">
        <v>1840</v>
      </c>
      <c r="AB521" s="97">
        <f t="shared" si="8"/>
        <v>0.45833333333333331</v>
      </c>
    </row>
    <row r="522" spans="1:28" x14ac:dyDescent="0.3">
      <c r="A522" s="34" t="s">
        <v>1553</v>
      </c>
      <c r="B522" s="37" t="s">
        <v>25</v>
      </c>
      <c r="C522" s="34" t="s">
        <v>477</v>
      </c>
      <c r="D522" s="33" t="s">
        <v>1775</v>
      </c>
      <c r="E522" s="34" t="s">
        <v>400</v>
      </c>
      <c r="F522" s="34" t="s">
        <v>1549</v>
      </c>
      <c r="G522" s="34" t="s">
        <v>154</v>
      </c>
      <c r="H522" s="37">
        <v>1</v>
      </c>
      <c r="I522" s="34" t="s">
        <v>155</v>
      </c>
      <c r="J522" s="34" t="s">
        <v>31</v>
      </c>
      <c r="K522" s="34" t="s">
        <v>32</v>
      </c>
      <c r="L522" s="34" t="s">
        <v>1756</v>
      </c>
      <c r="M522" s="34" t="s">
        <v>84</v>
      </c>
      <c r="N522" s="49">
        <v>58</v>
      </c>
      <c r="O522" s="50">
        <v>14</v>
      </c>
      <c r="P522" s="51">
        <v>446</v>
      </c>
      <c r="Q522" s="52">
        <v>17.003969399999999</v>
      </c>
      <c r="R522" s="52">
        <v>-97.907989900000004</v>
      </c>
      <c r="S522" s="74" t="s">
        <v>34</v>
      </c>
      <c r="T522" s="74"/>
      <c r="U522" s="74"/>
      <c r="V522" s="74"/>
      <c r="W522" s="74"/>
      <c r="X522" s="74"/>
      <c r="Y522" s="74"/>
      <c r="Z522" s="74"/>
      <c r="AA522" s="75"/>
      <c r="AB522" s="30">
        <f t="shared" si="8"/>
        <v>0.125</v>
      </c>
    </row>
    <row r="523" spans="1:28" x14ac:dyDescent="0.3">
      <c r="A523" s="34" t="s">
        <v>1083</v>
      </c>
      <c r="B523" s="37" t="s">
        <v>25</v>
      </c>
      <c r="C523" s="34" t="s">
        <v>1777</v>
      </c>
      <c r="D523" s="33" t="s">
        <v>1775</v>
      </c>
      <c r="E523" s="86" t="s">
        <v>1551</v>
      </c>
      <c r="F523" s="86" t="s">
        <v>1552</v>
      </c>
      <c r="G523" s="86" t="s">
        <v>154</v>
      </c>
      <c r="H523" s="51">
        <v>1</v>
      </c>
      <c r="I523" s="86" t="s">
        <v>155</v>
      </c>
      <c r="J523" s="86" t="s">
        <v>31</v>
      </c>
      <c r="K523" s="86" t="s">
        <v>32</v>
      </c>
      <c r="L523" s="86" t="s">
        <v>1756</v>
      </c>
      <c r="M523" s="86" t="s">
        <v>33</v>
      </c>
      <c r="N523" s="51">
        <v>20</v>
      </c>
      <c r="O523" s="51">
        <v>5</v>
      </c>
      <c r="P523" s="51">
        <v>104</v>
      </c>
      <c r="Q523" s="52">
        <v>19.2725574</v>
      </c>
      <c r="R523" s="52">
        <v>-99.661015300000003</v>
      </c>
      <c r="S523" s="74" t="s">
        <v>34</v>
      </c>
      <c r="T523" s="74"/>
      <c r="U523" s="74"/>
      <c r="V523" s="74"/>
      <c r="W523" s="74"/>
      <c r="X523" s="74"/>
      <c r="Y523" s="74"/>
      <c r="Z523" s="74"/>
      <c r="AA523" s="75"/>
      <c r="AB523" s="30">
        <f t="shared" si="8"/>
        <v>0.125</v>
      </c>
    </row>
    <row r="524" spans="1:28" x14ac:dyDescent="0.3">
      <c r="A524" s="34" t="s">
        <v>1558</v>
      </c>
      <c r="B524" s="37" t="s">
        <v>25</v>
      </c>
      <c r="C524" s="34" t="s">
        <v>229</v>
      </c>
      <c r="D524" s="33" t="s">
        <v>1775</v>
      </c>
      <c r="E524" s="34" t="s">
        <v>1554</v>
      </c>
      <c r="F524" s="34" t="s">
        <v>1555</v>
      </c>
      <c r="G524" s="34" t="s">
        <v>164</v>
      </c>
      <c r="H524" s="37">
        <v>2</v>
      </c>
      <c r="I524" s="34" t="s">
        <v>112</v>
      </c>
      <c r="J524" s="34" t="s">
        <v>31</v>
      </c>
      <c r="K524" s="34" t="s">
        <v>32</v>
      </c>
      <c r="L524" s="34" t="s">
        <v>1755</v>
      </c>
      <c r="M524" s="34" t="s">
        <v>84</v>
      </c>
      <c r="N524" s="49">
        <v>11</v>
      </c>
      <c r="O524" s="50">
        <v>2</v>
      </c>
      <c r="P524" s="51">
        <v>56</v>
      </c>
      <c r="Q524" s="52">
        <v>17.525231999999999</v>
      </c>
      <c r="R524" s="52">
        <v>-99.491960000000006</v>
      </c>
      <c r="S524" s="74" t="s">
        <v>176</v>
      </c>
      <c r="T524" s="74"/>
      <c r="U524" s="74"/>
      <c r="V524" s="74"/>
      <c r="W524" s="74"/>
      <c r="X524" s="74"/>
      <c r="Y524" s="74"/>
      <c r="Z524" s="74"/>
      <c r="AA524" s="75"/>
      <c r="AB524" s="30">
        <f t="shared" si="8"/>
        <v>4.1666666666666664E-2</v>
      </c>
    </row>
    <row r="525" spans="1:28" x14ac:dyDescent="0.3">
      <c r="A525" s="34" t="s">
        <v>1561</v>
      </c>
      <c r="B525" s="37" t="s">
        <v>25</v>
      </c>
      <c r="C525" s="34" t="s">
        <v>229</v>
      </c>
      <c r="D525" s="33" t="s">
        <v>1775</v>
      </c>
      <c r="E525" s="34" t="s">
        <v>1084</v>
      </c>
      <c r="F525" s="34" t="s">
        <v>1085</v>
      </c>
      <c r="G525" s="34" t="s">
        <v>111</v>
      </c>
      <c r="H525" s="37">
        <v>1</v>
      </c>
      <c r="I525" s="34" t="s">
        <v>112</v>
      </c>
      <c r="J525" s="34" t="s">
        <v>31</v>
      </c>
      <c r="K525" s="34" t="s">
        <v>32</v>
      </c>
      <c r="L525" s="34" t="s">
        <v>1755</v>
      </c>
      <c r="M525" s="34" t="s">
        <v>33</v>
      </c>
      <c r="N525" s="49">
        <v>10</v>
      </c>
      <c r="O525" s="50">
        <v>3</v>
      </c>
      <c r="P525" s="51">
        <v>99</v>
      </c>
      <c r="Q525" s="52">
        <v>17.543475999999998</v>
      </c>
      <c r="R525" s="52">
        <v>-98.589370000000002</v>
      </c>
      <c r="S525" s="74" t="s">
        <v>176</v>
      </c>
      <c r="T525" s="74"/>
      <c r="U525" s="74"/>
      <c r="V525" s="74"/>
      <c r="W525" s="74"/>
      <c r="X525" s="74"/>
      <c r="Y525" s="74"/>
      <c r="Z525" s="74"/>
      <c r="AA525" s="75"/>
      <c r="AB525" s="30">
        <f t="shared" si="8"/>
        <v>4.1666666666666664E-2</v>
      </c>
    </row>
    <row r="526" spans="1:28" x14ac:dyDescent="0.3">
      <c r="A526" s="34" t="s">
        <v>1563</v>
      </c>
      <c r="B526" s="37" t="s">
        <v>25</v>
      </c>
      <c r="C526" s="34" t="s">
        <v>1778</v>
      </c>
      <c r="D526" s="33" t="s">
        <v>1775</v>
      </c>
      <c r="E526" s="34" t="s">
        <v>1559</v>
      </c>
      <c r="F526" s="34" t="s">
        <v>1560</v>
      </c>
      <c r="G526" s="34" t="s">
        <v>164</v>
      </c>
      <c r="H526" s="37">
        <v>2</v>
      </c>
      <c r="I526" s="34" t="s">
        <v>155</v>
      </c>
      <c r="J526" s="34" t="s">
        <v>31</v>
      </c>
      <c r="K526" s="34" t="s">
        <v>32</v>
      </c>
      <c r="L526" s="34" t="s">
        <v>1755</v>
      </c>
      <c r="M526" s="34" t="s">
        <v>33</v>
      </c>
      <c r="N526" s="49">
        <v>4</v>
      </c>
      <c r="O526" s="50">
        <v>4</v>
      </c>
      <c r="P526" s="51">
        <v>67</v>
      </c>
      <c r="Q526" s="52">
        <v>19.692886000000001</v>
      </c>
      <c r="R526" s="52">
        <v>-101.154067</v>
      </c>
      <c r="S526" s="74" t="s">
        <v>34</v>
      </c>
      <c r="T526" s="74"/>
      <c r="U526" s="74"/>
      <c r="V526" s="74"/>
      <c r="W526" s="74"/>
      <c r="X526" s="74"/>
      <c r="Y526" s="74"/>
      <c r="Z526" s="74"/>
      <c r="AA526" s="75"/>
      <c r="AB526" s="30">
        <f t="shared" si="8"/>
        <v>0.125</v>
      </c>
    </row>
    <row r="527" spans="1:28" x14ac:dyDescent="0.3">
      <c r="A527" s="34" t="s">
        <v>1171</v>
      </c>
      <c r="B527" s="37" t="s">
        <v>25</v>
      </c>
      <c r="C527" s="34" t="s">
        <v>440</v>
      </c>
      <c r="D527" s="33" t="s">
        <v>1775</v>
      </c>
      <c r="E527" s="34" t="s">
        <v>1006</v>
      </c>
      <c r="F527" s="34" t="s">
        <v>1562</v>
      </c>
      <c r="G527" s="34" t="s">
        <v>164</v>
      </c>
      <c r="H527" s="37">
        <v>2</v>
      </c>
      <c r="I527" s="34" t="s">
        <v>155</v>
      </c>
      <c r="J527" s="34" t="s">
        <v>31</v>
      </c>
      <c r="K527" s="34" t="s">
        <v>32</v>
      </c>
      <c r="L527" s="34" t="s">
        <v>1755</v>
      </c>
      <c r="M527" s="34" t="s">
        <v>33</v>
      </c>
      <c r="N527" s="49">
        <v>8</v>
      </c>
      <c r="O527" s="50">
        <v>2</v>
      </c>
      <c r="P527" s="51">
        <v>33</v>
      </c>
      <c r="Q527" s="52">
        <v>18.883800000000001</v>
      </c>
      <c r="R527" s="52">
        <v>-99.08</v>
      </c>
      <c r="S527" s="74" t="s">
        <v>34</v>
      </c>
      <c r="T527" s="74"/>
      <c r="U527" s="74" t="s">
        <v>213</v>
      </c>
      <c r="V527" s="74" t="s">
        <v>213</v>
      </c>
      <c r="W527" s="74"/>
      <c r="X527" s="74"/>
      <c r="Y527" s="74"/>
      <c r="Z527" s="74"/>
      <c r="AA527" s="75"/>
      <c r="AB527" s="30">
        <f t="shared" si="8"/>
        <v>0.29166666666666663</v>
      </c>
    </row>
    <row r="528" spans="1:28" x14ac:dyDescent="0.3">
      <c r="A528" s="34" t="s">
        <v>1567</v>
      </c>
      <c r="B528" s="37" t="s">
        <v>25</v>
      </c>
      <c r="C528" s="34" t="s">
        <v>450</v>
      </c>
      <c r="D528" s="33" t="s">
        <v>1775</v>
      </c>
      <c r="E528" s="34" t="s">
        <v>1126</v>
      </c>
      <c r="F528" s="34" t="s">
        <v>1564</v>
      </c>
      <c r="G528" s="34" t="s">
        <v>164</v>
      </c>
      <c r="H528" s="37">
        <v>2</v>
      </c>
      <c r="I528" s="34" t="s">
        <v>155</v>
      </c>
      <c r="J528" s="34" t="s">
        <v>31</v>
      </c>
      <c r="K528" s="34" t="s">
        <v>32</v>
      </c>
      <c r="L528" s="34" t="s">
        <v>1756</v>
      </c>
      <c r="M528" s="34" t="s">
        <v>33</v>
      </c>
      <c r="N528" s="49">
        <v>21</v>
      </c>
      <c r="O528" s="50">
        <v>8</v>
      </c>
      <c r="P528" s="51">
        <v>174</v>
      </c>
      <c r="Q528" s="52">
        <v>21.480749500000002</v>
      </c>
      <c r="R528" s="52">
        <v>-104.84592790000001</v>
      </c>
      <c r="S528" s="74" t="s">
        <v>34</v>
      </c>
      <c r="T528" s="74"/>
      <c r="U528" s="74" t="s">
        <v>213</v>
      </c>
      <c r="V528" s="74" t="s">
        <v>213</v>
      </c>
      <c r="W528" s="74"/>
      <c r="X528" s="74"/>
      <c r="Y528" s="74"/>
      <c r="Z528" s="74"/>
      <c r="AA528" s="75"/>
      <c r="AB528" s="30">
        <f t="shared" si="8"/>
        <v>0.29166666666666663</v>
      </c>
    </row>
    <row r="529" spans="1:28" x14ac:dyDescent="0.3">
      <c r="A529" s="34" t="s">
        <v>1568</v>
      </c>
      <c r="B529" s="37" t="s">
        <v>25</v>
      </c>
      <c r="C529" s="34" t="s">
        <v>535</v>
      </c>
      <c r="D529" s="33" t="s">
        <v>1775</v>
      </c>
      <c r="E529" s="34" t="s">
        <v>1172</v>
      </c>
      <c r="F529" s="34" t="s">
        <v>1173</v>
      </c>
      <c r="G529" s="34" t="s">
        <v>111</v>
      </c>
      <c r="H529" s="37">
        <v>1</v>
      </c>
      <c r="I529" s="34" t="s">
        <v>112</v>
      </c>
      <c r="J529" s="34" t="s">
        <v>31</v>
      </c>
      <c r="K529" s="34" t="s">
        <v>32</v>
      </c>
      <c r="L529" s="34" t="s">
        <v>1755</v>
      </c>
      <c r="M529" s="34" t="s">
        <v>33</v>
      </c>
      <c r="N529" s="49">
        <v>36</v>
      </c>
      <c r="O529" s="50">
        <v>7</v>
      </c>
      <c r="P529" s="51">
        <v>223</v>
      </c>
      <c r="Q529" s="52">
        <v>18.986057200000001</v>
      </c>
      <c r="R529" s="52">
        <v>-98.240833499999994</v>
      </c>
      <c r="S529" s="74" t="s">
        <v>34</v>
      </c>
      <c r="T529" s="74"/>
      <c r="U529" s="74"/>
      <c r="V529" s="74"/>
      <c r="W529" s="74"/>
      <c r="X529" s="74"/>
      <c r="Y529" s="74"/>
      <c r="Z529" s="74"/>
      <c r="AA529" s="75"/>
      <c r="AB529" s="30">
        <f t="shared" si="8"/>
        <v>0.125</v>
      </c>
    </row>
    <row r="530" spans="1:28" x14ac:dyDescent="0.3">
      <c r="A530" s="34" t="s">
        <v>1569</v>
      </c>
      <c r="B530" s="37" t="s">
        <v>25</v>
      </c>
      <c r="C530" s="34" t="s">
        <v>672</v>
      </c>
      <c r="D530" s="33" t="s">
        <v>1775</v>
      </c>
      <c r="E530" s="34" t="s">
        <v>1190</v>
      </c>
      <c r="F530" s="34" t="s">
        <v>1564</v>
      </c>
      <c r="G530" s="34" t="s">
        <v>164</v>
      </c>
      <c r="H530" s="37">
        <v>2</v>
      </c>
      <c r="I530" s="34" t="s">
        <v>155</v>
      </c>
      <c r="J530" s="34" t="s">
        <v>31</v>
      </c>
      <c r="K530" s="34" t="s">
        <v>32</v>
      </c>
      <c r="L530" s="34" t="s">
        <v>1755</v>
      </c>
      <c r="M530" s="34" t="s">
        <v>33</v>
      </c>
      <c r="N530" s="49">
        <v>13</v>
      </c>
      <c r="O530" s="50">
        <v>5</v>
      </c>
      <c r="P530" s="51">
        <v>77</v>
      </c>
      <c r="Q530" s="52">
        <v>24.795667000000002</v>
      </c>
      <c r="R530" s="52">
        <v>-107.45043200000001</v>
      </c>
      <c r="S530" s="74" t="s">
        <v>34</v>
      </c>
      <c r="T530" s="74"/>
      <c r="U530" s="74"/>
      <c r="V530" s="74"/>
      <c r="W530" s="74"/>
      <c r="X530" s="74"/>
      <c r="Y530" s="74"/>
      <c r="Z530" s="74"/>
      <c r="AA530" s="75"/>
      <c r="AB530" s="30">
        <f t="shared" si="8"/>
        <v>0.125</v>
      </c>
    </row>
    <row r="531" spans="1:28" x14ac:dyDescent="0.3">
      <c r="A531" s="34" t="s">
        <v>1570</v>
      </c>
      <c r="B531" s="37" t="s">
        <v>25</v>
      </c>
      <c r="C531" s="34" t="s">
        <v>755</v>
      </c>
      <c r="D531" s="33" t="s">
        <v>1775</v>
      </c>
      <c r="E531" s="34" t="s">
        <v>535</v>
      </c>
      <c r="F531" s="34" t="s">
        <v>1564</v>
      </c>
      <c r="G531" s="34" t="s">
        <v>164</v>
      </c>
      <c r="H531" s="37">
        <v>2</v>
      </c>
      <c r="I531" s="34" t="s">
        <v>155</v>
      </c>
      <c r="J531" s="34" t="s">
        <v>31</v>
      </c>
      <c r="K531" s="34" t="s">
        <v>32</v>
      </c>
      <c r="L531" s="34" t="s">
        <v>1755</v>
      </c>
      <c r="M531" s="34" t="s">
        <v>33</v>
      </c>
      <c r="N531" s="49">
        <v>18</v>
      </c>
      <c r="O531" s="50">
        <v>6</v>
      </c>
      <c r="P531" s="51">
        <v>98</v>
      </c>
      <c r="Q531" s="52">
        <v>19.368702800000001</v>
      </c>
      <c r="R531" s="52">
        <v>-98.212519900000004</v>
      </c>
      <c r="S531" s="74" t="s">
        <v>34</v>
      </c>
      <c r="T531" s="74" t="s">
        <v>35</v>
      </c>
      <c r="U531" s="74" t="s">
        <v>213</v>
      </c>
      <c r="V531" s="74" t="s">
        <v>213</v>
      </c>
      <c r="W531" s="74"/>
      <c r="X531" s="74"/>
      <c r="Y531" s="74"/>
      <c r="Z531" s="74"/>
      <c r="AA531" s="75"/>
      <c r="AB531" s="30">
        <f t="shared" si="8"/>
        <v>0.41666666666666663</v>
      </c>
    </row>
    <row r="532" spans="1:28" x14ac:dyDescent="0.3">
      <c r="A532" s="34" t="s">
        <v>1571</v>
      </c>
      <c r="B532" s="37" t="s">
        <v>25</v>
      </c>
      <c r="C532" s="34" t="s">
        <v>837</v>
      </c>
      <c r="D532" s="33" t="s">
        <v>1775</v>
      </c>
      <c r="E532" s="34" t="s">
        <v>705</v>
      </c>
      <c r="F532" s="34" t="s">
        <v>1564</v>
      </c>
      <c r="G532" s="34" t="s">
        <v>164</v>
      </c>
      <c r="H532" s="37">
        <v>2</v>
      </c>
      <c r="I532" s="34" t="s">
        <v>155</v>
      </c>
      <c r="J532" s="34" t="s">
        <v>31</v>
      </c>
      <c r="K532" s="34" t="s">
        <v>32</v>
      </c>
      <c r="L532" s="34" t="s">
        <v>1756</v>
      </c>
      <c r="M532" s="34" t="s">
        <v>33</v>
      </c>
      <c r="N532" s="49">
        <v>22</v>
      </c>
      <c r="O532" s="50">
        <v>7</v>
      </c>
      <c r="P532" s="51">
        <v>173</v>
      </c>
      <c r="Q532" s="52">
        <v>22.744225</v>
      </c>
      <c r="R532" s="52">
        <v>-102.50020600000001</v>
      </c>
      <c r="S532" s="74" t="s">
        <v>34</v>
      </c>
      <c r="T532" s="74" t="s">
        <v>175</v>
      </c>
      <c r="U532" s="74" t="s">
        <v>213</v>
      </c>
      <c r="V532" s="74" t="s">
        <v>213</v>
      </c>
      <c r="W532" s="74"/>
      <c r="X532" s="74"/>
      <c r="Y532" s="74"/>
      <c r="Z532" s="74"/>
      <c r="AA532" s="75"/>
      <c r="AB532" s="30">
        <f t="shared" si="8"/>
        <v>0.29166666666666663</v>
      </c>
    </row>
    <row r="533" spans="1:28" x14ac:dyDescent="0.3">
      <c r="A533" s="34" t="s">
        <v>1573</v>
      </c>
      <c r="B533" s="37" t="s">
        <v>25</v>
      </c>
      <c r="C533" s="34" t="s">
        <v>535</v>
      </c>
      <c r="D533" s="33" t="s">
        <v>1775</v>
      </c>
      <c r="E533" s="34" t="s">
        <v>1441</v>
      </c>
      <c r="F533" s="34" t="s">
        <v>1564</v>
      </c>
      <c r="G533" s="34" t="s">
        <v>164</v>
      </c>
      <c r="H533" s="37">
        <v>2</v>
      </c>
      <c r="I533" s="34" t="s">
        <v>155</v>
      </c>
      <c r="J533" s="34" t="s">
        <v>31</v>
      </c>
      <c r="K533" s="34" t="s">
        <v>32</v>
      </c>
      <c r="L533" s="34" t="s">
        <v>1755</v>
      </c>
      <c r="M533" s="34" t="s">
        <v>33</v>
      </c>
      <c r="N533" s="49">
        <v>10</v>
      </c>
      <c r="O533" s="50">
        <v>3</v>
      </c>
      <c r="P533" s="51">
        <v>65</v>
      </c>
      <c r="Q533" s="52">
        <v>18.4769823</v>
      </c>
      <c r="R533" s="52">
        <v>-97.439687599999999</v>
      </c>
      <c r="S533" s="74" t="s">
        <v>34</v>
      </c>
      <c r="T533" s="74"/>
      <c r="U533" s="74"/>
      <c r="V533" s="74"/>
      <c r="W533" s="74"/>
      <c r="X533" s="74"/>
      <c r="Y533" s="74"/>
      <c r="Z533" s="74"/>
      <c r="AA533" s="75"/>
      <c r="AB533" s="30">
        <f t="shared" si="8"/>
        <v>0.125</v>
      </c>
    </row>
    <row r="534" spans="1:28" x14ac:dyDescent="0.3">
      <c r="A534" s="34" t="s">
        <v>1575</v>
      </c>
      <c r="B534" s="37" t="s">
        <v>25</v>
      </c>
      <c r="C534" s="34" t="s">
        <v>1779</v>
      </c>
      <c r="D534" s="33" t="s">
        <v>1775</v>
      </c>
      <c r="E534" s="34" t="s">
        <v>1572</v>
      </c>
      <c r="F534" s="34" t="s">
        <v>1564</v>
      </c>
      <c r="G534" s="34" t="s">
        <v>164</v>
      </c>
      <c r="H534" s="37">
        <v>2</v>
      </c>
      <c r="I534" s="34" t="s">
        <v>155</v>
      </c>
      <c r="J534" s="34" t="s">
        <v>31</v>
      </c>
      <c r="K534" s="34" t="s">
        <v>32</v>
      </c>
      <c r="L534" s="34" t="s">
        <v>1755</v>
      </c>
      <c r="M534" s="34" t="s">
        <v>33</v>
      </c>
      <c r="N534" s="49">
        <v>11</v>
      </c>
      <c r="O534" s="50">
        <v>6</v>
      </c>
      <c r="P534" s="51">
        <v>121</v>
      </c>
      <c r="Q534" s="52">
        <v>22.116164000000001</v>
      </c>
      <c r="R534" s="52">
        <v>-100.98585</v>
      </c>
      <c r="S534" s="74" t="s">
        <v>34</v>
      </c>
      <c r="T534" s="74"/>
      <c r="U534" s="74"/>
      <c r="V534" s="74"/>
      <c r="W534" s="74"/>
      <c r="X534" s="74"/>
      <c r="Y534" s="74"/>
      <c r="Z534" s="74"/>
      <c r="AA534" s="75"/>
      <c r="AB534" s="30">
        <f t="shared" si="8"/>
        <v>0.125</v>
      </c>
    </row>
    <row r="535" spans="1:28" x14ac:dyDescent="0.3">
      <c r="A535" s="34" t="s">
        <v>1577</v>
      </c>
      <c r="B535" s="37" t="s">
        <v>25</v>
      </c>
      <c r="C535" s="34" t="s">
        <v>477</v>
      </c>
      <c r="D535" s="33" t="s">
        <v>1775</v>
      </c>
      <c r="E535" s="34" t="s">
        <v>1247</v>
      </c>
      <c r="F535" s="34" t="s">
        <v>1574</v>
      </c>
      <c r="G535" s="34" t="s">
        <v>164</v>
      </c>
      <c r="H535" s="37">
        <v>2</v>
      </c>
      <c r="I535" s="34" t="s">
        <v>155</v>
      </c>
      <c r="J535" s="34" t="s">
        <v>31</v>
      </c>
      <c r="K535" s="34" t="s">
        <v>32</v>
      </c>
      <c r="L535" s="34" t="s">
        <v>1756</v>
      </c>
      <c r="M535" s="34" t="s">
        <v>33</v>
      </c>
      <c r="N535" s="49">
        <v>14</v>
      </c>
      <c r="O535" s="50">
        <v>4</v>
      </c>
      <c r="P535" s="51">
        <v>90</v>
      </c>
      <c r="Q535" s="52">
        <v>16.912372000000001</v>
      </c>
      <c r="R535" s="52">
        <v>-96.722317000000004</v>
      </c>
      <c r="S535" s="74" t="s">
        <v>34</v>
      </c>
      <c r="T535" s="74"/>
      <c r="U535" s="74"/>
      <c r="V535" s="74"/>
      <c r="W535" s="74"/>
      <c r="X535" s="74"/>
      <c r="Y535" s="74"/>
      <c r="Z535" s="74"/>
      <c r="AA535" s="75" t="s">
        <v>1840</v>
      </c>
      <c r="AB535" s="30">
        <f t="shared" si="8"/>
        <v>0.125</v>
      </c>
    </row>
    <row r="536" spans="1:28" x14ac:dyDescent="0.3">
      <c r="A536" s="34" t="s">
        <v>1579</v>
      </c>
      <c r="B536" s="37" t="s">
        <v>25</v>
      </c>
      <c r="C536" s="34" t="s">
        <v>159</v>
      </c>
      <c r="D536" s="33" t="s">
        <v>1775</v>
      </c>
      <c r="E536" s="34" t="s">
        <v>647</v>
      </c>
      <c r="F536" s="34" t="s">
        <v>1576</v>
      </c>
      <c r="G536" s="34" t="s">
        <v>164</v>
      </c>
      <c r="H536" s="37">
        <v>2</v>
      </c>
      <c r="I536" s="34" t="s">
        <v>155</v>
      </c>
      <c r="J536" s="34" t="s">
        <v>31</v>
      </c>
      <c r="K536" s="34" t="s">
        <v>32</v>
      </c>
      <c r="L536" s="34" t="s">
        <v>1756</v>
      </c>
      <c r="M536" s="34" t="s">
        <v>33</v>
      </c>
      <c r="N536" s="49">
        <v>26</v>
      </c>
      <c r="O536" s="50">
        <v>9</v>
      </c>
      <c r="P536" s="51">
        <v>178</v>
      </c>
      <c r="Q536" s="52">
        <v>26.050744999999999</v>
      </c>
      <c r="R536" s="52">
        <v>-98.379484000000005</v>
      </c>
      <c r="S536" s="74" t="s">
        <v>34</v>
      </c>
      <c r="T536" s="74"/>
      <c r="U536" s="74"/>
      <c r="V536" s="74"/>
      <c r="W536" s="74"/>
      <c r="X536" s="74"/>
      <c r="Y536" s="74"/>
      <c r="Z536" s="74"/>
      <c r="AA536" s="75"/>
      <c r="AB536" s="30">
        <f t="shared" si="8"/>
        <v>0.125</v>
      </c>
    </row>
    <row r="537" spans="1:28" x14ac:dyDescent="0.3">
      <c r="A537" s="34" t="s">
        <v>1581</v>
      </c>
      <c r="B537" s="37" t="s">
        <v>25</v>
      </c>
      <c r="C537" s="34" t="s">
        <v>1778</v>
      </c>
      <c r="D537" s="33" t="s">
        <v>1775</v>
      </c>
      <c r="E537" s="34" t="s">
        <v>1551</v>
      </c>
      <c r="F537" s="34" t="s">
        <v>1578</v>
      </c>
      <c r="G537" s="34" t="s">
        <v>164</v>
      </c>
      <c r="H537" s="37">
        <v>2</v>
      </c>
      <c r="I537" s="34" t="s">
        <v>112</v>
      </c>
      <c r="J537" s="34" t="s">
        <v>31</v>
      </c>
      <c r="K537" s="34" t="s">
        <v>32</v>
      </c>
      <c r="L537" s="34" t="s">
        <v>1755</v>
      </c>
      <c r="M537" s="34" t="s">
        <v>33</v>
      </c>
      <c r="N537" s="49">
        <v>2</v>
      </c>
      <c r="O537" s="50">
        <v>0</v>
      </c>
      <c r="P537" s="51">
        <v>0</v>
      </c>
      <c r="Q537" s="52">
        <v>19.732402</v>
      </c>
      <c r="R537" s="52">
        <v>-101.102766</v>
      </c>
      <c r="S537" s="74" t="s">
        <v>34</v>
      </c>
      <c r="T537" s="74"/>
      <c r="U537" s="74"/>
      <c r="V537" s="74"/>
      <c r="W537" s="74"/>
      <c r="X537" s="74"/>
      <c r="Y537" s="74"/>
      <c r="Z537" s="74"/>
      <c r="AA537" s="75"/>
      <c r="AB537" s="30">
        <f t="shared" si="8"/>
        <v>0.125</v>
      </c>
    </row>
    <row r="538" spans="1:28" x14ac:dyDescent="0.3">
      <c r="A538" s="34" t="s">
        <v>1583</v>
      </c>
      <c r="B538" s="37" t="s">
        <v>25</v>
      </c>
      <c r="C538" s="34" t="s">
        <v>159</v>
      </c>
      <c r="D538" s="33" t="s">
        <v>1775</v>
      </c>
      <c r="E538" s="34" t="s">
        <v>1410</v>
      </c>
      <c r="F538" s="34" t="s">
        <v>1580</v>
      </c>
      <c r="G538" s="34" t="s">
        <v>164</v>
      </c>
      <c r="H538" s="37">
        <v>2</v>
      </c>
      <c r="I538" s="34" t="s">
        <v>112</v>
      </c>
      <c r="J538" s="34" t="s">
        <v>31</v>
      </c>
      <c r="K538" s="34" t="s">
        <v>32</v>
      </c>
      <c r="L538" s="34" t="s">
        <v>1755</v>
      </c>
      <c r="M538" s="34" t="s">
        <v>33</v>
      </c>
      <c r="N538" s="49">
        <v>15</v>
      </c>
      <c r="O538" s="50">
        <v>4</v>
      </c>
      <c r="P538" s="51">
        <v>125</v>
      </c>
      <c r="Q538" s="52">
        <v>23.721793999999999</v>
      </c>
      <c r="R538" s="52">
        <v>-99.163718000000003</v>
      </c>
      <c r="S538" s="74" t="s">
        <v>34</v>
      </c>
      <c r="T538" s="74"/>
      <c r="U538" s="74"/>
      <c r="V538" s="74"/>
      <c r="W538" s="74"/>
      <c r="X538" s="74"/>
      <c r="Y538" s="74"/>
      <c r="Z538" s="74"/>
      <c r="AA538" s="75"/>
      <c r="AB538" s="30">
        <f t="shared" si="8"/>
        <v>0.125</v>
      </c>
    </row>
    <row r="539" spans="1:28" x14ac:dyDescent="0.3">
      <c r="A539" s="34" t="s">
        <v>1585</v>
      </c>
      <c r="B539" s="37" t="s">
        <v>25</v>
      </c>
      <c r="C539" s="34" t="s">
        <v>755</v>
      </c>
      <c r="D539" s="33" t="s">
        <v>1775</v>
      </c>
      <c r="E539" s="34" t="s">
        <v>1126</v>
      </c>
      <c r="F539" s="34" t="s">
        <v>1582</v>
      </c>
      <c r="G539" s="34" t="s">
        <v>164</v>
      </c>
      <c r="H539" s="37">
        <v>2</v>
      </c>
      <c r="I539" s="34" t="s">
        <v>155</v>
      </c>
      <c r="J539" s="34" t="s">
        <v>31</v>
      </c>
      <c r="K539" s="34" t="s">
        <v>32</v>
      </c>
      <c r="L539" s="34" t="s">
        <v>1755</v>
      </c>
      <c r="M539" s="34" t="s">
        <v>84</v>
      </c>
      <c r="N539" s="49">
        <v>50</v>
      </c>
      <c r="O539" s="50">
        <v>7</v>
      </c>
      <c r="P539" s="51">
        <v>201</v>
      </c>
      <c r="Q539" s="52">
        <v>19.3683333</v>
      </c>
      <c r="R539" s="52">
        <v>-98.211333300000007</v>
      </c>
      <c r="S539" s="74" t="s">
        <v>34</v>
      </c>
      <c r="T539" s="74" t="s">
        <v>35</v>
      </c>
      <c r="U539" s="74" t="s">
        <v>213</v>
      </c>
      <c r="V539" s="74" t="s">
        <v>213</v>
      </c>
      <c r="W539" s="74"/>
      <c r="X539" s="74"/>
      <c r="Y539" s="74"/>
      <c r="Z539" s="74"/>
      <c r="AA539" s="75"/>
      <c r="AB539" s="30">
        <f t="shared" si="8"/>
        <v>0.41666666666666663</v>
      </c>
    </row>
    <row r="540" spans="1:28" x14ac:dyDescent="0.3">
      <c r="A540" s="34" t="s">
        <v>1587</v>
      </c>
      <c r="B540" s="37" t="s">
        <v>25</v>
      </c>
      <c r="C540" s="34" t="s">
        <v>954</v>
      </c>
      <c r="D540" s="33" t="s">
        <v>1775</v>
      </c>
      <c r="E540" s="34" t="s">
        <v>160</v>
      </c>
      <c r="F540" s="34" t="s">
        <v>1584</v>
      </c>
      <c r="G540" s="34" t="s">
        <v>164</v>
      </c>
      <c r="H540" s="37">
        <v>2</v>
      </c>
      <c r="I540" s="34" t="s">
        <v>155</v>
      </c>
      <c r="J540" s="34" t="s">
        <v>31</v>
      </c>
      <c r="K540" s="34" t="s">
        <v>32</v>
      </c>
      <c r="L540" s="34" t="s">
        <v>1756</v>
      </c>
      <c r="M540" s="34" t="s">
        <v>33</v>
      </c>
      <c r="N540" s="49">
        <v>16</v>
      </c>
      <c r="O540" s="50">
        <v>2</v>
      </c>
      <c r="P540" s="51">
        <v>93</v>
      </c>
      <c r="Q540" s="52">
        <v>30.704348299999999</v>
      </c>
      <c r="R540" s="52">
        <v>-112.1791726</v>
      </c>
      <c r="S540" s="74" t="s">
        <v>34</v>
      </c>
      <c r="T540" s="74" t="s">
        <v>35</v>
      </c>
      <c r="U540" s="74" t="s">
        <v>35</v>
      </c>
      <c r="V540" s="74" t="s">
        <v>35</v>
      </c>
      <c r="W540" s="74" t="s">
        <v>1808</v>
      </c>
      <c r="X540" s="74"/>
      <c r="Y540" s="74"/>
      <c r="Z540" s="74"/>
      <c r="AA540" s="75"/>
      <c r="AB540" s="30">
        <f t="shared" si="8"/>
        <v>0.54166666666666663</v>
      </c>
    </row>
    <row r="541" spans="1:28" x14ac:dyDescent="0.3">
      <c r="A541" s="34" t="s">
        <v>1086</v>
      </c>
      <c r="B541" s="37" t="s">
        <v>25</v>
      </c>
      <c r="C541" s="34" t="s">
        <v>1777</v>
      </c>
      <c r="D541" s="33" t="s">
        <v>1775</v>
      </c>
      <c r="E541" s="34" t="s">
        <v>1441</v>
      </c>
      <c r="F541" s="34" t="s">
        <v>1586</v>
      </c>
      <c r="G541" s="34" t="s">
        <v>164</v>
      </c>
      <c r="H541" s="37">
        <v>2</v>
      </c>
      <c r="I541" s="34" t="s">
        <v>155</v>
      </c>
      <c r="J541" s="34" t="s">
        <v>31</v>
      </c>
      <c r="K541" s="34" t="s">
        <v>32</v>
      </c>
      <c r="L541" s="34" t="s">
        <v>1756</v>
      </c>
      <c r="M541" s="34" t="s">
        <v>33</v>
      </c>
      <c r="N541" s="49">
        <v>14</v>
      </c>
      <c r="O541" s="50">
        <v>3</v>
      </c>
      <c r="P541" s="51">
        <v>77</v>
      </c>
      <c r="Q541" s="52">
        <v>19.454329399999999</v>
      </c>
      <c r="R541" s="52">
        <v>-98.872573799999998</v>
      </c>
      <c r="S541" s="74" t="s">
        <v>34</v>
      </c>
      <c r="T541" s="74"/>
      <c r="U541" s="74"/>
      <c r="V541" s="74"/>
      <c r="W541" s="74"/>
      <c r="X541" s="74"/>
      <c r="Y541" s="74"/>
      <c r="Z541" s="74"/>
      <c r="AA541" s="75"/>
      <c r="AB541" s="30">
        <f t="shared" si="8"/>
        <v>0.125</v>
      </c>
    </row>
    <row r="542" spans="1:28" x14ac:dyDescent="0.3">
      <c r="A542" s="34" t="s">
        <v>1592</v>
      </c>
      <c r="B542" s="37" t="s">
        <v>25</v>
      </c>
      <c r="C542" s="34" t="s">
        <v>886</v>
      </c>
      <c r="D542" s="33" t="s">
        <v>1775</v>
      </c>
      <c r="E542" s="34" t="s">
        <v>1588</v>
      </c>
      <c r="F542" s="34" t="s">
        <v>1589</v>
      </c>
      <c r="G542" s="34" t="s">
        <v>111</v>
      </c>
      <c r="H542" s="37">
        <v>1</v>
      </c>
      <c r="I542" s="34" t="s">
        <v>112</v>
      </c>
      <c r="J542" s="34" t="s">
        <v>31</v>
      </c>
      <c r="K542" s="34" t="s">
        <v>32</v>
      </c>
      <c r="L542" s="34" t="s">
        <v>1755</v>
      </c>
      <c r="M542" s="34" t="s">
        <v>33</v>
      </c>
      <c r="N542" s="49">
        <v>9</v>
      </c>
      <c r="O542" s="50">
        <v>4</v>
      </c>
      <c r="P542" s="51">
        <v>55</v>
      </c>
      <c r="Q542" s="52">
        <v>25.018382800000001</v>
      </c>
      <c r="R542" s="52">
        <v>-111.66186570000001</v>
      </c>
      <c r="S542" s="74" t="s">
        <v>34</v>
      </c>
      <c r="T542" s="74" t="s">
        <v>175</v>
      </c>
      <c r="U542" s="74" t="s">
        <v>213</v>
      </c>
      <c r="V542" s="74" t="s">
        <v>213</v>
      </c>
      <c r="W542" s="74"/>
      <c r="X542" s="74"/>
      <c r="Y542" s="74"/>
      <c r="Z542" s="74"/>
      <c r="AA542" s="75"/>
      <c r="AB542" s="30">
        <f t="shared" si="8"/>
        <v>0.29166666666666663</v>
      </c>
    </row>
    <row r="543" spans="1:28" x14ac:dyDescent="0.3">
      <c r="A543" s="34" t="s">
        <v>1595</v>
      </c>
      <c r="B543" s="37" t="s">
        <v>25</v>
      </c>
      <c r="C543" s="34" t="s">
        <v>954</v>
      </c>
      <c r="D543" s="33" t="s">
        <v>1775</v>
      </c>
      <c r="E543" s="34" t="s">
        <v>1072</v>
      </c>
      <c r="F543" s="34" t="s">
        <v>1087</v>
      </c>
      <c r="G543" s="34" t="s">
        <v>111</v>
      </c>
      <c r="H543" s="37">
        <v>1</v>
      </c>
      <c r="I543" s="34" t="s">
        <v>155</v>
      </c>
      <c r="J543" s="34" t="s">
        <v>31</v>
      </c>
      <c r="K543" s="34" t="s">
        <v>32</v>
      </c>
      <c r="L543" s="34" t="s">
        <v>1756</v>
      </c>
      <c r="M543" s="34" t="s">
        <v>33</v>
      </c>
      <c r="N543" s="49">
        <v>46</v>
      </c>
      <c r="O543" s="50">
        <v>7</v>
      </c>
      <c r="P543" s="51">
        <v>256</v>
      </c>
      <c r="Q543" s="52">
        <v>29.116381100000002</v>
      </c>
      <c r="R543" s="52">
        <v>-110.9718024</v>
      </c>
      <c r="S543" s="74" t="s">
        <v>34</v>
      </c>
      <c r="T543" s="74" t="s">
        <v>35</v>
      </c>
      <c r="U543" s="74" t="s">
        <v>35</v>
      </c>
      <c r="V543" s="74" t="s">
        <v>35</v>
      </c>
      <c r="W543" s="74" t="s">
        <v>1808</v>
      </c>
      <c r="X543" s="74"/>
      <c r="Y543" s="74"/>
      <c r="Z543" s="74"/>
      <c r="AA543" s="75"/>
      <c r="AB543" s="30">
        <f t="shared" si="8"/>
        <v>0.54166666666666663</v>
      </c>
    </row>
    <row r="544" spans="1:28" x14ac:dyDescent="0.3">
      <c r="A544" s="34" t="s">
        <v>1597</v>
      </c>
      <c r="B544" s="37" t="s">
        <v>25</v>
      </c>
      <c r="C544" s="34" t="s">
        <v>305</v>
      </c>
      <c r="D544" s="33" t="s">
        <v>1775</v>
      </c>
      <c r="E544" s="34" t="s">
        <v>1593</v>
      </c>
      <c r="F544" s="34" t="s">
        <v>1594</v>
      </c>
      <c r="G544" s="34" t="s">
        <v>111</v>
      </c>
      <c r="H544" s="37">
        <v>1</v>
      </c>
      <c r="I544" s="34" t="s">
        <v>112</v>
      </c>
      <c r="J544" s="34" t="s">
        <v>31</v>
      </c>
      <c r="K544" s="34" t="s">
        <v>32</v>
      </c>
      <c r="L544" s="34" t="s">
        <v>1755</v>
      </c>
      <c r="M544" s="34" t="s">
        <v>33</v>
      </c>
      <c r="N544" s="49">
        <v>10</v>
      </c>
      <c r="O544" s="50">
        <v>2</v>
      </c>
      <c r="P544" s="51">
        <v>48</v>
      </c>
      <c r="Q544" s="52">
        <v>20.040680999999999</v>
      </c>
      <c r="R544" s="52">
        <v>-99.342061000000001</v>
      </c>
      <c r="S544" s="74" t="s">
        <v>34</v>
      </c>
      <c r="T544" s="74" t="s">
        <v>35</v>
      </c>
      <c r="U544" s="74" t="s">
        <v>35</v>
      </c>
      <c r="V544" s="74" t="s">
        <v>35</v>
      </c>
      <c r="W544" s="74" t="s">
        <v>35</v>
      </c>
      <c r="X544" s="74" t="s">
        <v>36</v>
      </c>
      <c r="Y544" s="74"/>
      <c r="Z544" s="74"/>
      <c r="AA544" s="75"/>
      <c r="AB544" s="30">
        <f t="shared" si="8"/>
        <v>0.75</v>
      </c>
    </row>
    <row r="545" spans="1:28" x14ac:dyDescent="0.3">
      <c r="A545" s="34" t="s">
        <v>1088</v>
      </c>
      <c r="B545" s="37" t="s">
        <v>25</v>
      </c>
      <c r="C545" s="34" t="s">
        <v>1777</v>
      </c>
      <c r="D545" s="33" t="s">
        <v>1775</v>
      </c>
      <c r="E545" s="34" t="s">
        <v>1350</v>
      </c>
      <c r="F545" s="34" t="s">
        <v>1596</v>
      </c>
      <c r="G545" s="34" t="s">
        <v>164</v>
      </c>
      <c r="H545" s="37">
        <v>2</v>
      </c>
      <c r="I545" s="34" t="s">
        <v>155</v>
      </c>
      <c r="J545" s="34" t="s">
        <v>31</v>
      </c>
      <c r="K545" s="34" t="s">
        <v>32</v>
      </c>
      <c r="L545" s="34" t="s">
        <v>1756</v>
      </c>
      <c r="M545" s="34" t="s">
        <v>33</v>
      </c>
      <c r="N545" s="49">
        <v>48</v>
      </c>
      <c r="O545" s="50">
        <v>10</v>
      </c>
      <c r="P545" s="51">
        <v>263</v>
      </c>
      <c r="Q545" s="52">
        <v>19.213963</v>
      </c>
      <c r="R545" s="52">
        <v>-98.922724000000002</v>
      </c>
      <c r="S545" s="74" t="s">
        <v>34</v>
      </c>
      <c r="T545" s="74"/>
      <c r="U545" s="74"/>
      <c r="V545" s="74"/>
      <c r="W545" s="74"/>
      <c r="X545" s="74"/>
      <c r="Y545" s="74"/>
      <c r="Z545" s="74"/>
      <c r="AA545" s="75"/>
      <c r="AB545" s="30">
        <f t="shared" si="8"/>
        <v>0.125</v>
      </c>
    </row>
    <row r="546" spans="1:28" x14ac:dyDescent="0.3">
      <c r="A546" s="34" t="s">
        <v>1602</v>
      </c>
      <c r="B546" s="37" t="s">
        <v>25</v>
      </c>
      <c r="C546" s="34" t="s">
        <v>954</v>
      </c>
      <c r="D546" s="33" t="s">
        <v>1775</v>
      </c>
      <c r="E546" s="34" t="s">
        <v>1598</v>
      </c>
      <c r="F546" s="34" t="s">
        <v>1599</v>
      </c>
      <c r="G546" s="34" t="s">
        <v>111</v>
      </c>
      <c r="H546" s="37">
        <v>1</v>
      </c>
      <c r="I546" s="34" t="s">
        <v>112</v>
      </c>
      <c r="J546" s="34" t="s">
        <v>31</v>
      </c>
      <c r="K546" s="34" t="s">
        <v>32</v>
      </c>
      <c r="L546" s="34" t="s">
        <v>1755</v>
      </c>
      <c r="M546" s="34" t="s">
        <v>33</v>
      </c>
      <c r="N546" s="49">
        <v>13</v>
      </c>
      <c r="O546" s="50">
        <v>4</v>
      </c>
      <c r="P546" s="51">
        <v>91</v>
      </c>
      <c r="Q546" s="52">
        <v>31.319126000000001</v>
      </c>
      <c r="R546" s="52">
        <v>-109.5827257</v>
      </c>
      <c r="S546" s="74" t="s">
        <v>34</v>
      </c>
      <c r="T546" s="74" t="s">
        <v>35</v>
      </c>
      <c r="U546" s="74" t="s">
        <v>35</v>
      </c>
      <c r="V546" s="74" t="s">
        <v>35</v>
      </c>
      <c r="W546" s="74" t="s">
        <v>1808</v>
      </c>
      <c r="X546" s="74"/>
      <c r="Y546" s="74"/>
      <c r="Z546" s="74"/>
      <c r="AA546" s="75"/>
      <c r="AB546" s="30">
        <f t="shared" si="8"/>
        <v>0.54166666666666663</v>
      </c>
    </row>
    <row r="547" spans="1:28" x14ac:dyDescent="0.3">
      <c r="A547" s="34" t="s">
        <v>917</v>
      </c>
      <c r="B547" s="37" t="s">
        <v>25</v>
      </c>
      <c r="C547" s="34" t="s">
        <v>1776</v>
      </c>
      <c r="D547" s="33" t="s">
        <v>1775</v>
      </c>
      <c r="E547" s="34" t="s">
        <v>1089</v>
      </c>
      <c r="F547" s="34" t="s">
        <v>1090</v>
      </c>
      <c r="G547" s="34" t="s">
        <v>111</v>
      </c>
      <c r="H547" s="37">
        <v>1</v>
      </c>
      <c r="I547" s="34" t="s">
        <v>112</v>
      </c>
      <c r="J547" s="34" t="s">
        <v>31</v>
      </c>
      <c r="K547" s="34" t="s">
        <v>32</v>
      </c>
      <c r="L547" s="34" t="s">
        <v>1755</v>
      </c>
      <c r="M547" s="34" t="s">
        <v>84</v>
      </c>
      <c r="N547" s="49">
        <v>7</v>
      </c>
      <c r="O547" s="50">
        <v>3</v>
      </c>
      <c r="P547" s="51">
        <v>48</v>
      </c>
      <c r="Q547" s="52">
        <v>19.345625999999999</v>
      </c>
      <c r="R547" s="52">
        <v>-99.167851200000001</v>
      </c>
      <c r="S547" s="74" t="s">
        <v>176</v>
      </c>
      <c r="T547" s="74"/>
      <c r="U547" s="74"/>
      <c r="V547" s="74"/>
      <c r="W547" s="74"/>
      <c r="X547" s="74"/>
      <c r="Y547" s="74"/>
      <c r="Z547" s="74"/>
      <c r="AA547" s="75"/>
      <c r="AB547" s="30">
        <f t="shared" si="8"/>
        <v>4.1666666666666664E-2</v>
      </c>
    </row>
    <row r="548" spans="1:28" x14ac:dyDescent="0.3">
      <c r="A548" s="39" t="s">
        <v>1608</v>
      </c>
      <c r="B548" s="37" t="s">
        <v>210</v>
      </c>
      <c r="C548" s="34" t="s">
        <v>1774</v>
      </c>
      <c r="D548" s="33" t="s">
        <v>1775</v>
      </c>
      <c r="E548" s="34" t="s">
        <v>1603</v>
      </c>
      <c r="F548" s="34" t="s">
        <v>1604</v>
      </c>
      <c r="G548" s="34" t="s">
        <v>111</v>
      </c>
      <c r="H548" s="37">
        <v>1</v>
      </c>
      <c r="I548" s="34" t="s">
        <v>112</v>
      </c>
      <c r="J548" s="34" t="s">
        <v>31</v>
      </c>
      <c r="K548" s="34" t="s">
        <v>32</v>
      </c>
      <c r="L548" s="34" t="s">
        <v>1755</v>
      </c>
      <c r="M548" s="34" t="s">
        <v>33</v>
      </c>
      <c r="N548" s="49">
        <v>15</v>
      </c>
      <c r="O548" s="50">
        <v>1</v>
      </c>
      <c r="P548" s="51">
        <v>49</v>
      </c>
      <c r="Q548" s="60">
        <v>20.903480600000002</v>
      </c>
      <c r="R548" s="60">
        <v>-89.643447399999999</v>
      </c>
      <c r="S548" s="74" t="s">
        <v>34</v>
      </c>
      <c r="T548" s="74" t="s">
        <v>175</v>
      </c>
      <c r="U548" s="74" t="s">
        <v>213</v>
      </c>
      <c r="V548" s="74" t="s">
        <v>213</v>
      </c>
      <c r="W548" s="74"/>
      <c r="X548" s="74"/>
      <c r="Y548" s="74"/>
      <c r="Z548" s="74"/>
      <c r="AA548" s="75"/>
      <c r="AB548" s="30">
        <f t="shared" si="8"/>
        <v>0.29166666666666663</v>
      </c>
    </row>
    <row r="549" spans="1:28" x14ac:dyDescent="0.3">
      <c r="A549" s="34" t="s">
        <v>1610</v>
      </c>
      <c r="B549" s="37" t="s">
        <v>25</v>
      </c>
      <c r="C549" s="34" t="s">
        <v>1510</v>
      </c>
      <c r="D549" s="33" t="s">
        <v>1775</v>
      </c>
      <c r="E549" s="34" t="s">
        <v>918</v>
      </c>
      <c r="F549" s="38" t="s">
        <v>919</v>
      </c>
      <c r="G549" s="34" t="s">
        <v>111</v>
      </c>
      <c r="H549" s="37">
        <v>1</v>
      </c>
      <c r="I549" s="34" t="s">
        <v>112</v>
      </c>
      <c r="J549" s="34" t="s">
        <v>31</v>
      </c>
      <c r="K549" s="34" t="s">
        <v>32</v>
      </c>
      <c r="L549" s="34" t="s">
        <v>1755</v>
      </c>
      <c r="M549" s="34" t="s">
        <v>33</v>
      </c>
      <c r="N549" s="49">
        <v>25</v>
      </c>
      <c r="O549" s="50">
        <v>5</v>
      </c>
      <c r="P549" s="51">
        <v>189</v>
      </c>
      <c r="Q549" s="52">
        <v>18.146144</v>
      </c>
      <c r="R549" s="52">
        <v>-94.511622000000003</v>
      </c>
      <c r="S549" s="74" t="s">
        <v>34</v>
      </c>
      <c r="T549" s="74" t="s">
        <v>175</v>
      </c>
      <c r="U549" s="74"/>
      <c r="V549" s="74"/>
      <c r="W549" s="74"/>
      <c r="X549" s="74"/>
      <c r="Y549" s="74"/>
      <c r="Z549" s="74"/>
      <c r="AA549" s="75"/>
      <c r="AB549" s="30">
        <f t="shared" si="8"/>
        <v>0.125</v>
      </c>
    </row>
    <row r="550" spans="1:28" x14ac:dyDescent="0.3">
      <c r="A550" s="34" t="s">
        <v>1612</v>
      </c>
      <c r="B550" s="37" t="s">
        <v>25</v>
      </c>
      <c r="C550" s="34" t="s">
        <v>886</v>
      </c>
      <c r="D550" s="33" t="s">
        <v>1775</v>
      </c>
      <c r="E550" s="34" t="s">
        <v>1609</v>
      </c>
      <c r="F550" s="34" t="s">
        <v>316</v>
      </c>
      <c r="G550" s="34" t="s">
        <v>164</v>
      </c>
      <c r="H550" s="37">
        <v>2</v>
      </c>
      <c r="I550" s="34" t="s">
        <v>155</v>
      </c>
      <c r="J550" s="34" t="s">
        <v>31</v>
      </c>
      <c r="K550" s="34" t="s">
        <v>32</v>
      </c>
      <c r="L550" s="34" t="s">
        <v>1755</v>
      </c>
      <c r="M550" s="34" t="s">
        <v>33</v>
      </c>
      <c r="N550" s="49">
        <v>27</v>
      </c>
      <c r="O550" s="50">
        <v>4</v>
      </c>
      <c r="P550" s="51">
        <v>123</v>
      </c>
      <c r="Q550" s="52">
        <v>27.3472486</v>
      </c>
      <c r="R550" s="52">
        <v>-112.2728432</v>
      </c>
      <c r="S550" s="74" t="s">
        <v>34</v>
      </c>
      <c r="T550" s="74" t="s">
        <v>175</v>
      </c>
      <c r="U550" s="74" t="s">
        <v>213</v>
      </c>
      <c r="V550" s="74" t="s">
        <v>213</v>
      </c>
      <c r="W550" s="74"/>
      <c r="X550" s="74"/>
      <c r="Y550" s="74"/>
      <c r="Z550" s="74"/>
      <c r="AA550" s="75"/>
      <c r="AB550" s="30">
        <f t="shared" si="8"/>
        <v>0.29166666666666663</v>
      </c>
    </row>
    <row r="551" spans="1:28" x14ac:dyDescent="0.3">
      <c r="A551" s="34" t="s">
        <v>936</v>
      </c>
      <c r="B551" s="37" t="s">
        <v>25</v>
      </c>
      <c r="C551" s="34" t="s">
        <v>1776</v>
      </c>
      <c r="D551" s="33" t="s">
        <v>1775</v>
      </c>
      <c r="E551" s="34" t="s">
        <v>1456</v>
      </c>
      <c r="F551" s="34" t="s">
        <v>1611</v>
      </c>
      <c r="G551" s="34" t="s">
        <v>164</v>
      </c>
      <c r="H551" s="37">
        <v>2</v>
      </c>
      <c r="I551" s="34" t="s">
        <v>112</v>
      </c>
      <c r="J551" s="34" t="s">
        <v>31</v>
      </c>
      <c r="K551" s="34" t="s">
        <v>32</v>
      </c>
      <c r="L551" s="34" t="s">
        <v>1755</v>
      </c>
      <c r="M551" s="34" t="s">
        <v>33</v>
      </c>
      <c r="N551" s="49">
        <v>21</v>
      </c>
      <c r="O551" s="50">
        <v>4</v>
      </c>
      <c r="P551" s="51">
        <v>101</v>
      </c>
      <c r="Q551" s="52">
        <v>19.4507251</v>
      </c>
      <c r="R551" s="52">
        <v>-99.202854099999996</v>
      </c>
      <c r="S551" s="74" t="s">
        <v>176</v>
      </c>
      <c r="T551" s="74"/>
      <c r="U551" s="74"/>
      <c r="V551" s="74"/>
      <c r="W551" s="74"/>
      <c r="X551" s="74"/>
      <c r="Y551" s="74"/>
      <c r="Z551" s="74"/>
      <c r="AA551" s="75"/>
      <c r="AB551" s="30">
        <f t="shared" si="8"/>
        <v>4.1666666666666664E-2</v>
      </c>
    </row>
    <row r="552" spans="1:28" x14ac:dyDescent="0.3">
      <c r="A552" s="34" t="s">
        <v>1095</v>
      </c>
      <c r="B552" s="37" t="s">
        <v>25</v>
      </c>
      <c r="C552" s="34" t="s">
        <v>1777</v>
      </c>
      <c r="D552" s="33" t="s">
        <v>1775</v>
      </c>
      <c r="E552" s="34" t="s">
        <v>1613</v>
      </c>
      <c r="F552" s="34" t="s">
        <v>1614</v>
      </c>
      <c r="G552" s="34" t="s">
        <v>111</v>
      </c>
      <c r="H552" s="37">
        <v>1</v>
      </c>
      <c r="I552" s="34" t="s">
        <v>112</v>
      </c>
      <c r="J552" s="34" t="s">
        <v>31</v>
      </c>
      <c r="K552" s="34" t="s">
        <v>32</v>
      </c>
      <c r="L552" s="34" t="s">
        <v>1755</v>
      </c>
      <c r="M552" s="34" t="s">
        <v>33</v>
      </c>
      <c r="N552" s="49">
        <v>8</v>
      </c>
      <c r="O552" s="50">
        <v>2</v>
      </c>
      <c r="P552" s="51">
        <v>32</v>
      </c>
      <c r="Q552" s="52">
        <v>19.597300000000001</v>
      </c>
      <c r="R552" s="52">
        <v>-99.263183999999995</v>
      </c>
      <c r="S552" s="74" t="s">
        <v>34</v>
      </c>
      <c r="T552" s="74"/>
      <c r="U552" s="74"/>
      <c r="V552" s="74"/>
      <c r="W552" s="74"/>
      <c r="X552" s="74"/>
      <c r="Y552" s="74"/>
      <c r="Z552" s="74"/>
      <c r="AA552" s="75"/>
      <c r="AB552" s="30">
        <f t="shared" si="8"/>
        <v>0.125</v>
      </c>
    </row>
    <row r="553" spans="1:28" x14ac:dyDescent="0.3">
      <c r="A553" s="34" t="s">
        <v>946</v>
      </c>
      <c r="B553" s="37" t="s">
        <v>25</v>
      </c>
      <c r="C553" s="34" t="s">
        <v>1776</v>
      </c>
      <c r="D553" s="33" t="s">
        <v>1775</v>
      </c>
      <c r="E553" s="34" t="s">
        <v>921</v>
      </c>
      <c r="F553" s="38" t="s">
        <v>937</v>
      </c>
      <c r="G553" s="34" t="s">
        <v>111</v>
      </c>
      <c r="H553" s="37">
        <v>1</v>
      </c>
      <c r="I553" s="34" t="s">
        <v>112</v>
      </c>
      <c r="J553" s="34" t="s">
        <v>31</v>
      </c>
      <c r="K553" s="34" t="s">
        <v>32</v>
      </c>
      <c r="L553" s="34" t="s">
        <v>1755</v>
      </c>
      <c r="M553" s="34" t="s">
        <v>33</v>
      </c>
      <c r="N553" s="49">
        <v>18</v>
      </c>
      <c r="O553" s="50">
        <v>5</v>
      </c>
      <c r="P553" s="51">
        <v>107</v>
      </c>
      <c r="Q553" s="52">
        <v>19.200989799999999</v>
      </c>
      <c r="R553" s="52">
        <v>-99.0111074</v>
      </c>
      <c r="S553" s="74" t="s">
        <v>176</v>
      </c>
      <c r="T553" s="74"/>
      <c r="U553" s="74"/>
      <c r="V553" s="74"/>
      <c r="W553" s="74"/>
      <c r="X553" s="74"/>
      <c r="Y553" s="74"/>
      <c r="Z553" s="74"/>
      <c r="AA553" s="75"/>
      <c r="AB553" s="30">
        <f t="shared" si="8"/>
        <v>4.1666666666666664E-2</v>
      </c>
    </row>
    <row r="554" spans="1:28" x14ac:dyDescent="0.3">
      <c r="A554" s="34" t="s">
        <v>1100</v>
      </c>
      <c r="B554" s="37" t="s">
        <v>25</v>
      </c>
      <c r="C554" s="34" t="s">
        <v>1777</v>
      </c>
      <c r="D554" s="33" t="s">
        <v>1775</v>
      </c>
      <c r="E554" s="34" t="s">
        <v>1096</v>
      </c>
      <c r="F554" s="34" t="s">
        <v>1097</v>
      </c>
      <c r="G554" s="34" t="s">
        <v>111</v>
      </c>
      <c r="H554" s="37">
        <v>1</v>
      </c>
      <c r="I554" s="34" t="s">
        <v>112</v>
      </c>
      <c r="J554" s="34" t="s">
        <v>31</v>
      </c>
      <c r="K554" s="34" t="s">
        <v>32</v>
      </c>
      <c r="L554" s="34" t="s">
        <v>1755</v>
      </c>
      <c r="M554" s="34" t="s">
        <v>33</v>
      </c>
      <c r="N554" s="49">
        <v>11</v>
      </c>
      <c r="O554" s="50">
        <v>3</v>
      </c>
      <c r="P554" s="51">
        <v>53</v>
      </c>
      <c r="Q554" s="52">
        <v>19.657679000000002</v>
      </c>
      <c r="R554" s="52">
        <v>-100.12159</v>
      </c>
      <c r="S554" s="74" t="s">
        <v>34</v>
      </c>
      <c r="T554" s="74"/>
      <c r="U554" s="74"/>
      <c r="V554" s="74"/>
      <c r="W554" s="74"/>
      <c r="X554" s="74"/>
      <c r="Y554" s="74"/>
      <c r="Z554" s="74"/>
      <c r="AA554" s="75"/>
      <c r="AB554" s="30">
        <f t="shared" si="8"/>
        <v>0.125</v>
      </c>
    </row>
    <row r="555" spans="1:28" x14ac:dyDescent="0.3">
      <c r="A555" s="34" t="s">
        <v>948</v>
      </c>
      <c r="B555" s="37" t="s">
        <v>25</v>
      </c>
      <c r="C555" s="34" t="s">
        <v>1776</v>
      </c>
      <c r="D555" s="33" t="s">
        <v>1775</v>
      </c>
      <c r="E555" s="34" t="s">
        <v>912</v>
      </c>
      <c r="F555" s="34" t="s">
        <v>947</v>
      </c>
      <c r="G555" s="34" t="s">
        <v>941</v>
      </c>
      <c r="H555" s="37">
        <v>2</v>
      </c>
      <c r="I555" s="34" t="s">
        <v>155</v>
      </c>
      <c r="J555" s="34" t="s">
        <v>31</v>
      </c>
      <c r="K555" s="34" t="s">
        <v>32</v>
      </c>
      <c r="L555" s="34" t="s">
        <v>1755</v>
      </c>
      <c r="M555" s="34" t="s">
        <v>33</v>
      </c>
      <c r="N555" s="49">
        <v>23</v>
      </c>
      <c r="O555" s="50">
        <v>2</v>
      </c>
      <c r="P555" s="51">
        <v>89</v>
      </c>
      <c r="Q555" s="52">
        <v>19.458006999999998</v>
      </c>
      <c r="R555" s="52">
        <v>-99.092431899999994</v>
      </c>
      <c r="S555" s="74" t="s">
        <v>176</v>
      </c>
      <c r="T555" s="74"/>
      <c r="U555" s="74"/>
      <c r="V555" s="74"/>
      <c r="W555" s="74"/>
      <c r="X555" s="74"/>
      <c r="Y555" s="74"/>
      <c r="Z555" s="74"/>
      <c r="AA555" s="75"/>
      <c r="AB555" s="30">
        <f t="shared" si="8"/>
        <v>4.1666666666666664E-2</v>
      </c>
    </row>
    <row r="556" spans="1:28" x14ac:dyDescent="0.3">
      <c r="A556" s="34" t="s">
        <v>1103</v>
      </c>
      <c r="B556" s="37" t="s">
        <v>25</v>
      </c>
      <c r="C556" s="34" t="s">
        <v>1777</v>
      </c>
      <c r="D556" s="33" t="s">
        <v>1775</v>
      </c>
      <c r="E556" s="34" t="s">
        <v>1101</v>
      </c>
      <c r="F556" s="34" t="s">
        <v>1102</v>
      </c>
      <c r="G556" s="34" t="s">
        <v>111</v>
      </c>
      <c r="H556" s="37">
        <v>1</v>
      </c>
      <c r="I556" s="34" t="s">
        <v>112</v>
      </c>
      <c r="J556" s="34" t="s">
        <v>31</v>
      </c>
      <c r="K556" s="34" t="s">
        <v>32</v>
      </c>
      <c r="L556" s="34" t="s">
        <v>1755</v>
      </c>
      <c r="M556" s="34" t="s">
        <v>33</v>
      </c>
      <c r="N556" s="49">
        <v>10</v>
      </c>
      <c r="O556" s="50">
        <v>2</v>
      </c>
      <c r="P556" s="51">
        <v>94</v>
      </c>
      <c r="Q556" s="52">
        <v>19.374755</v>
      </c>
      <c r="R556" s="52">
        <v>-98.944597000000002</v>
      </c>
      <c r="S556" s="74" t="s">
        <v>34</v>
      </c>
      <c r="T556" s="74"/>
      <c r="U556" s="74"/>
      <c r="V556" s="74"/>
      <c r="W556" s="74"/>
      <c r="X556" s="74"/>
      <c r="Y556" s="74"/>
      <c r="Z556" s="74"/>
      <c r="AA556" s="75"/>
      <c r="AB556" s="30">
        <f t="shared" si="8"/>
        <v>0.125</v>
      </c>
    </row>
    <row r="557" spans="1:28" x14ac:dyDescent="0.3">
      <c r="A557" s="34" t="s">
        <v>1629</v>
      </c>
      <c r="B557" s="37" t="s">
        <v>25</v>
      </c>
      <c r="C557" s="34" t="s">
        <v>628</v>
      </c>
      <c r="D557" s="33" t="s">
        <v>1775</v>
      </c>
      <c r="E557" s="34" t="s">
        <v>949</v>
      </c>
      <c r="F557" s="34" t="s">
        <v>950</v>
      </c>
      <c r="G557" s="34" t="s">
        <v>111</v>
      </c>
      <c r="H557" s="37">
        <v>1</v>
      </c>
      <c r="I557" s="34" t="s">
        <v>112</v>
      </c>
      <c r="J557" s="34" t="s">
        <v>31</v>
      </c>
      <c r="K557" s="34" t="s">
        <v>32</v>
      </c>
      <c r="L557" s="34" t="s">
        <v>1755</v>
      </c>
      <c r="M557" s="34" t="s">
        <v>33</v>
      </c>
      <c r="N557" s="49">
        <v>17</v>
      </c>
      <c r="O557" s="50">
        <v>6</v>
      </c>
      <c r="P557" s="51">
        <v>87</v>
      </c>
      <c r="Q557" s="52">
        <v>18.502268999999998</v>
      </c>
      <c r="R557" s="52">
        <v>-88.298130999999998</v>
      </c>
      <c r="S557" s="74" t="s">
        <v>176</v>
      </c>
      <c r="T557" s="74"/>
      <c r="U557" s="74"/>
      <c r="V557" s="74"/>
      <c r="W557" s="74"/>
      <c r="X557" s="74"/>
      <c r="Y557" s="74"/>
      <c r="Z557" s="74"/>
      <c r="AA557" s="75"/>
      <c r="AB557" s="30">
        <f t="shared" si="8"/>
        <v>4.1666666666666664E-2</v>
      </c>
    </row>
    <row r="558" spans="1:28" x14ac:dyDescent="0.3">
      <c r="A558" s="34" t="s">
        <v>951</v>
      </c>
      <c r="B558" s="37" t="s">
        <v>25</v>
      </c>
      <c r="C558" s="34" t="s">
        <v>1776</v>
      </c>
      <c r="D558" s="33" t="s">
        <v>1775</v>
      </c>
      <c r="E558" s="34" t="s">
        <v>1057</v>
      </c>
      <c r="F558" s="34" t="s">
        <v>1104</v>
      </c>
      <c r="G558" s="34" t="s">
        <v>111</v>
      </c>
      <c r="H558" s="37">
        <v>1</v>
      </c>
      <c r="I558" s="34" t="s">
        <v>155</v>
      </c>
      <c r="J558" s="34" t="s">
        <v>31</v>
      </c>
      <c r="K558" s="34" t="s">
        <v>32</v>
      </c>
      <c r="L558" s="34" t="s">
        <v>1755</v>
      </c>
      <c r="M558" s="34" t="s">
        <v>33</v>
      </c>
      <c r="N558" s="49">
        <v>17</v>
      </c>
      <c r="O558" s="50">
        <v>4</v>
      </c>
      <c r="P558" s="51">
        <v>21</v>
      </c>
      <c r="Q558" s="52">
        <v>19.437636999999999</v>
      </c>
      <c r="R558" s="52">
        <v>-99.129454999999993</v>
      </c>
      <c r="S558" s="74" t="s">
        <v>176</v>
      </c>
      <c r="T558" s="74"/>
      <c r="U558" s="74"/>
      <c r="V558" s="74"/>
      <c r="W558" s="74"/>
      <c r="X558" s="74"/>
      <c r="Y558" s="74"/>
      <c r="Z558" s="74"/>
      <c r="AA558" s="75"/>
      <c r="AB558" s="30">
        <f t="shared" si="8"/>
        <v>4.1666666666666664E-2</v>
      </c>
    </row>
    <row r="559" spans="1:28" x14ac:dyDescent="0.3">
      <c r="A559" s="34" t="s">
        <v>1108</v>
      </c>
      <c r="B559" s="37" t="s">
        <v>25</v>
      </c>
      <c r="C559" s="34" t="s">
        <v>1777</v>
      </c>
      <c r="D559" s="33" t="s">
        <v>1775</v>
      </c>
      <c r="E559" s="34" t="s">
        <v>641</v>
      </c>
      <c r="F559" s="34" t="s">
        <v>1630</v>
      </c>
      <c r="G559" s="34" t="s">
        <v>164</v>
      </c>
      <c r="H559" s="37">
        <v>2</v>
      </c>
      <c r="I559" s="34" t="s">
        <v>155</v>
      </c>
      <c r="J559" s="34" t="s">
        <v>31</v>
      </c>
      <c r="K559" s="34" t="s">
        <v>32</v>
      </c>
      <c r="L559" s="34" t="s">
        <v>1755</v>
      </c>
      <c r="M559" s="34" t="s">
        <v>33</v>
      </c>
      <c r="N559" s="49">
        <v>8</v>
      </c>
      <c r="O559" s="50">
        <v>3</v>
      </c>
      <c r="P559" s="51">
        <v>60</v>
      </c>
      <c r="Q559" s="52">
        <v>19.4422201</v>
      </c>
      <c r="R559" s="52">
        <v>-98.972637500000005</v>
      </c>
      <c r="S559" s="74" t="s">
        <v>34</v>
      </c>
      <c r="T559" s="74"/>
      <c r="U559" s="74"/>
      <c r="V559" s="74"/>
      <c r="W559" s="74"/>
      <c r="X559" s="74"/>
      <c r="Y559" s="74"/>
      <c r="Z559" s="74"/>
      <c r="AA559" s="75"/>
      <c r="AB559" s="30">
        <f t="shared" si="8"/>
        <v>0.125</v>
      </c>
    </row>
    <row r="560" spans="1:28" x14ac:dyDescent="0.3">
      <c r="A560" s="34" t="s">
        <v>1619</v>
      </c>
      <c r="B560" s="37" t="s">
        <v>25</v>
      </c>
      <c r="C560" s="34" t="s">
        <v>1776</v>
      </c>
      <c r="D560" s="33" t="s">
        <v>1775</v>
      </c>
      <c r="E560" s="34" t="s">
        <v>625</v>
      </c>
      <c r="F560" s="34" t="s">
        <v>952</v>
      </c>
      <c r="G560" s="34" t="s">
        <v>941</v>
      </c>
      <c r="H560" s="37">
        <v>2</v>
      </c>
      <c r="I560" s="34" t="s">
        <v>155</v>
      </c>
      <c r="J560" s="34" t="s">
        <v>31</v>
      </c>
      <c r="K560" s="34" t="s">
        <v>32</v>
      </c>
      <c r="L560" s="34" t="s">
        <v>1756</v>
      </c>
      <c r="M560" s="34" t="s">
        <v>33</v>
      </c>
      <c r="N560" s="49">
        <v>11</v>
      </c>
      <c r="O560" s="50">
        <v>2</v>
      </c>
      <c r="P560" s="51">
        <v>87</v>
      </c>
      <c r="Q560" s="52">
        <v>19.402655299999999</v>
      </c>
      <c r="R560" s="52">
        <v>-99.117966600000003</v>
      </c>
      <c r="S560" s="74" t="s">
        <v>176</v>
      </c>
      <c r="T560" s="74"/>
      <c r="U560" s="74"/>
      <c r="V560" s="74"/>
      <c r="W560" s="74"/>
      <c r="X560" s="74"/>
      <c r="Y560" s="74"/>
      <c r="Z560" s="74"/>
      <c r="AA560" s="75"/>
      <c r="AB560" s="30">
        <f t="shared" si="8"/>
        <v>4.1666666666666664E-2</v>
      </c>
    </row>
    <row r="561" spans="1:28" x14ac:dyDescent="0.3">
      <c r="A561" s="34" t="s">
        <v>1556</v>
      </c>
      <c r="B561" s="37" t="s">
        <v>25</v>
      </c>
      <c r="C561" s="34" t="s">
        <v>1777</v>
      </c>
      <c r="D561" s="33" t="s">
        <v>1775</v>
      </c>
      <c r="E561" s="34" t="s">
        <v>1109</v>
      </c>
      <c r="F561" s="34" t="s">
        <v>1110</v>
      </c>
      <c r="G561" s="34" t="s">
        <v>111</v>
      </c>
      <c r="H561" s="37">
        <v>1</v>
      </c>
      <c r="I561" s="34" t="s">
        <v>112</v>
      </c>
      <c r="J561" s="34" t="s">
        <v>31</v>
      </c>
      <c r="K561" s="34" t="s">
        <v>32</v>
      </c>
      <c r="L561" s="34" t="s">
        <v>1755</v>
      </c>
      <c r="M561" s="34" t="s">
        <v>33</v>
      </c>
      <c r="N561" s="49">
        <v>11</v>
      </c>
      <c r="O561" s="50">
        <v>3</v>
      </c>
      <c r="P561" s="51">
        <v>51</v>
      </c>
      <c r="Q561" s="52">
        <v>19.27244</v>
      </c>
      <c r="R561" s="52">
        <v>-99.656936999999999</v>
      </c>
      <c r="S561" s="74" t="s">
        <v>34</v>
      </c>
      <c r="T561" s="74"/>
      <c r="U561" s="74"/>
      <c r="V561" s="74"/>
      <c r="W561" s="74"/>
      <c r="X561" s="74"/>
      <c r="Y561" s="74"/>
      <c r="Z561" s="74"/>
      <c r="AA561" s="75"/>
      <c r="AB561" s="30">
        <f t="shared" si="8"/>
        <v>0.125</v>
      </c>
    </row>
    <row r="562" spans="1:28" x14ac:dyDescent="0.3">
      <c r="A562" s="34" t="s">
        <v>1640</v>
      </c>
      <c r="B562" s="37" t="s">
        <v>25</v>
      </c>
      <c r="C562" s="34" t="s">
        <v>724</v>
      </c>
      <c r="D562" s="33" t="s">
        <v>1775</v>
      </c>
      <c r="E562" s="34" t="s">
        <v>1620</v>
      </c>
      <c r="F562" s="34" t="s">
        <v>1621</v>
      </c>
      <c r="G562" s="34" t="s">
        <v>111</v>
      </c>
      <c r="H562" s="37">
        <v>1</v>
      </c>
      <c r="I562" s="34" t="s">
        <v>112</v>
      </c>
      <c r="J562" s="34" t="s">
        <v>31</v>
      </c>
      <c r="K562" s="34" t="s">
        <v>32</v>
      </c>
      <c r="L562" s="34" t="s">
        <v>1755</v>
      </c>
      <c r="M562" s="34" t="s">
        <v>33</v>
      </c>
      <c r="N562" s="49">
        <v>17</v>
      </c>
      <c r="O562" s="50">
        <v>3</v>
      </c>
      <c r="P562" s="51">
        <v>74</v>
      </c>
      <c r="Q562" s="52">
        <v>17.976465999999999</v>
      </c>
      <c r="R562" s="52">
        <v>-92.953389999999999</v>
      </c>
      <c r="S562" s="74" t="s">
        <v>34</v>
      </c>
      <c r="T562" s="74"/>
      <c r="U562" s="74"/>
      <c r="V562" s="74"/>
      <c r="W562" s="74"/>
      <c r="X562" s="74"/>
      <c r="Y562" s="74"/>
      <c r="Z562" s="74"/>
      <c r="AA562" s="75"/>
      <c r="AB562" s="30">
        <f t="shared" si="8"/>
        <v>0.125</v>
      </c>
    </row>
    <row r="563" spans="1:28" x14ac:dyDescent="0.3">
      <c r="A563" s="86" t="s">
        <v>1642</v>
      </c>
      <c r="B563" s="51" t="s">
        <v>25</v>
      </c>
      <c r="C563" s="86" t="s">
        <v>477</v>
      </c>
      <c r="D563" s="33" t="s">
        <v>1775</v>
      </c>
      <c r="E563" s="34" t="s">
        <v>1072</v>
      </c>
      <c r="F563" s="34" t="s">
        <v>1557</v>
      </c>
      <c r="G563" s="34" t="s">
        <v>164</v>
      </c>
      <c r="H563" s="37">
        <v>2</v>
      </c>
      <c r="I563" s="34" t="s">
        <v>31</v>
      </c>
      <c r="J563" s="34" t="s">
        <v>31</v>
      </c>
      <c r="K563" s="34" t="s">
        <v>32</v>
      </c>
      <c r="L563" s="34" t="s">
        <v>1755</v>
      </c>
      <c r="M563" s="34" t="s">
        <v>33</v>
      </c>
      <c r="N563" s="49">
        <v>14</v>
      </c>
      <c r="O563" s="50">
        <v>6</v>
      </c>
      <c r="P563" s="51">
        <v>204</v>
      </c>
      <c r="Q563" s="52">
        <v>16.9465851</v>
      </c>
      <c r="R563" s="52">
        <v>-96.710920000000002</v>
      </c>
      <c r="S563" s="89" t="s">
        <v>34</v>
      </c>
      <c r="T563" s="89"/>
      <c r="U563" s="89" t="s">
        <v>213</v>
      </c>
      <c r="V563" s="89" t="s">
        <v>213</v>
      </c>
      <c r="W563" s="89"/>
      <c r="X563" s="89"/>
      <c r="Y563" s="89"/>
      <c r="Z563" s="89"/>
      <c r="AA563" s="96"/>
      <c r="AB563" s="97">
        <f t="shared" si="8"/>
        <v>0.29166666666666663</v>
      </c>
    </row>
    <row r="564" spans="1:28" x14ac:dyDescent="0.3">
      <c r="A564" s="34" t="s">
        <v>1644</v>
      </c>
      <c r="B564" s="37" t="s">
        <v>25</v>
      </c>
      <c r="C564" s="34" t="s">
        <v>535</v>
      </c>
      <c r="D564" s="33" t="s">
        <v>1775</v>
      </c>
      <c r="E564" s="34" t="s">
        <v>1372</v>
      </c>
      <c r="F564" s="34" t="s">
        <v>1641</v>
      </c>
      <c r="G564" s="34" t="s">
        <v>164</v>
      </c>
      <c r="H564" s="37">
        <v>2</v>
      </c>
      <c r="I564" s="34" t="s">
        <v>155</v>
      </c>
      <c r="J564" s="34" t="s">
        <v>31</v>
      </c>
      <c r="K564" s="34" t="s">
        <v>32</v>
      </c>
      <c r="L564" s="34" t="s">
        <v>1756</v>
      </c>
      <c r="M564" s="34" t="s">
        <v>33</v>
      </c>
      <c r="N564" s="49">
        <v>33</v>
      </c>
      <c r="O564" s="50">
        <v>8</v>
      </c>
      <c r="P564" s="51">
        <v>118</v>
      </c>
      <c r="Q564" s="52">
        <v>19.035013200000002</v>
      </c>
      <c r="R564" s="52">
        <v>-98.244393900000006</v>
      </c>
      <c r="S564" s="74" t="s">
        <v>34</v>
      </c>
      <c r="T564" s="74"/>
      <c r="U564" s="74"/>
      <c r="V564" s="74"/>
      <c r="W564" s="74"/>
      <c r="X564" s="74"/>
      <c r="Y564" s="74"/>
      <c r="Z564" s="74"/>
      <c r="AA564" s="75"/>
      <c r="AB564" s="30">
        <f t="shared" si="8"/>
        <v>0.125</v>
      </c>
    </row>
    <row r="565" spans="1:28" x14ac:dyDescent="0.3">
      <c r="A565" s="34" t="s">
        <v>1758</v>
      </c>
      <c r="B565" s="37" t="s">
        <v>25</v>
      </c>
      <c r="C565" s="34" t="s">
        <v>440</v>
      </c>
      <c r="D565" s="33" t="s">
        <v>1775</v>
      </c>
      <c r="E565" s="86" t="s">
        <v>1551</v>
      </c>
      <c r="F565" s="86" t="s">
        <v>1643</v>
      </c>
      <c r="G565" s="86" t="s">
        <v>941</v>
      </c>
      <c r="H565" s="51">
        <v>2</v>
      </c>
      <c r="I565" s="86" t="s">
        <v>155</v>
      </c>
      <c r="J565" s="86" t="s">
        <v>31</v>
      </c>
      <c r="K565" s="86" t="s">
        <v>32</v>
      </c>
      <c r="L565" s="86" t="s">
        <v>1756</v>
      </c>
      <c r="M565" s="86" t="s">
        <v>33</v>
      </c>
      <c r="N565" s="51">
        <v>25</v>
      </c>
      <c r="O565" s="51">
        <v>4</v>
      </c>
      <c r="P565" s="51">
        <v>110</v>
      </c>
      <c r="Q565" s="52">
        <v>18.843599999999999</v>
      </c>
      <c r="R565" s="52">
        <v>-99.202200000000005</v>
      </c>
      <c r="S565" s="74" t="s">
        <v>34</v>
      </c>
      <c r="T565" s="74" t="s">
        <v>35</v>
      </c>
      <c r="U565" s="74" t="s">
        <v>35</v>
      </c>
      <c r="V565" s="74" t="s">
        <v>35</v>
      </c>
      <c r="W565" s="74" t="s">
        <v>35</v>
      </c>
      <c r="X565" s="74" t="s">
        <v>36</v>
      </c>
      <c r="Y565" s="74" t="s">
        <v>37</v>
      </c>
      <c r="Z565" s="74" t="s">
        <v>37</v>
      </c>
      <c r="AA565" s="75"/>
      <c r="AB565" s="30">
        <f t="shared" si="8"/>
        <v>1</v>
      </c>
    </row>
    <row r="566" spans="1:28" x14ac:dyDescent="0.3">
      <c r="A566" s="34" t="s">
        <v>1617</v>
      </c>
      <c r="B566" s="37" t="s">
        <v>25</v>
      </c>
      <c r="C566" s="34" t="s">
        <v>1777</v>
      </c>
      <c r="D566" s="33" t="s">
        <v>1775</v>
      </c>
      <c r="E566" s="34" t="s">
        <v>1250</v>
      </c>
      <c r="F566" s="34" t="s">
        <v>1645</v>
      </c>
      <c r="G566" s="34" t="s">
        <v>941</v>
      </c>
      <c r="H566" s="37">
        <v>2</v>
      </c>
      <c r="I566" s="34" t="s">
        <v>155</v>
      </c>
      <c r="J566" s="34" t="s">
        <v>31</v>
      </c>
      <c r="K566" s="34" t="s">
        <v>32</v>
      </c>
      <c r="L566" s="34" t="s">
        <v>1756</v>
      </c>
      <c r="M566" s="34" t="s">
        <v>33</v>
      </c>
      <c r="N566" s="49">
        <v>47</v>
      </c>
      <c r="O566" s="50">
        <v>7</v>
      </c>
      <c r="P566" s="51">
        <v>246</v>
      </c>
      <c r="Q566" s="52">
        <v>19.271601799999999</v>
      </c>
      <c r="R566" s="52">
        <v>-99.660760400000001</v>
      </c>
      <c r="S566" s="74" t="s">
        <v>34</v>
      </c>
      <c r="T566" s="74"/>
      <c r="U566" s="74"/>
      <c r="V566" s="74"/>
      <c r="W566" s="74"/>
      <c r="X566" s="74"/>
      <c r="Y566" s="74"/>
      <c r="Z566" s="74"/>
      <c r="AA566" s="75"/>
      <c r="AB566" s="30">
        <f t="shared" si="8"/>
        <v>0.125</v>
      </c>
    </row>
    <row r="567" spans="1:28" x14ac:dyDescent="0.3">
      <c r="A567" s="34" t="s">
        <v>1631</v>
      </c>
      <c r="B567" s="37" t="s">
        <v>25</v>
      </c>
      <c r="C567" s="34" t="s">
        <v>1776</v>
      </c>
      <c r="D567" s="33" t="s">
        <v>1775</v>
      </c>
      <c r="E567" s="6" t="s">
        <v>1768</v>
      </c>
      <c r="F567" s="6" t="s">
        <v>1751</v>
      </c>
      <c r="G567" s="34" t="s">
        <v>111</v>
      </c>
      <c r="H567" s="37">
        <v>1</v>
      </c>
      <c r="I567" s="34" t="s">
        <v>30</v>
      </c>
      <c r="J567" s="6" t="s">
        <v>31</v>
      </c>
      <c r="K567" s="6" t="s">
        <v>32</v>
      </c>
      <c r="L567" s="6" t="s">
        <v>1755</v>
      </c>
      <c r="M567" s="6" t="s">
        <v>33</v>
      </c>
      <c r="N567" s="49"/>
      <c r="O567" s="50"/>
      <c r="P567" s="51"/>
      <c r="Q567" s="52">
        <v>19.539723299999999</v>
      </c>
      <c r="R567" s="52">
        <v>-99.141039800000001</v>
      </c>
      <c r="S567" s="74" t="s">
        <v>176</v>
      </c>
      <c r="T567" s="74"/>
      <c r="U567" s="74"/>
      <c r="V567" s="74"/>
      <c r="W567" s="74"/>
      <c r="X567" s="74"/>
      <c r="Y567" s="74"/>
      <c r="Z567" s="74"/>
      <c r="AA567" s="75"/>
      <c r="AB567" s="30">
        <f t="shared" si="8"/>
        <v>4.1666666666666664E-2</v>
      </c>
    </row>
    <row r="568" spans="1:28" x14ac:dyDescent="0.3">
      <c r="A568" s="34" t="s">
        <v>1635</v>
      </c>
      <c r="B568" s="37" t="s">
        <v>25</v>
      </c>
      <c r="C568" s="34" t="s">
        <v>1776</v>
      </c>
      <c r="D568" s="33" t="s">
        <v>1775</v>
      </c>
      <c r="E568" s="34" t="s">
        <v>1037</v>
      </c>
      <c r="F568" s="34" t="s">
        <v>1618</v>
      </c>
      <c r="G568" s="34" t="s">
        <v>164</v>
      </c>
      <c r="H568" s="37">
        <v>2</v>
      </c>
      <c r="I568" s="34" t="s">
        <v>155</v>
      </c>
      <c r="J568" s="34" t="s">
        <v>31</v>
      </c>
      <c r="K568" s="34" t="s">
        <v>32</v>
      </c>
      <c r="L568" s="34" t="s">
        <v>1755</v>
      </c>
      <c r="M568" s="34" t="s">
        <v>33</v>
      </c>
      <c r="N568" s="49">
        <v>8</v>
      </c>
      <c r="O568" s="50">
        <v>4</v>
      </c>
      <c r="P568" s="51">
        <v>110</v>
      </c>
      <c r="Q568" s="52">
        <v>19.487081700000001</v>
      </c>
      <c r="R568" s="52">
        <v>-99.114261999999997</v>
      </c>
      <c r="S568" s="74" t="s">
        <v>176</v>
      </c>
      <c r="T568" s="74"/>
      <c r="U568" s="74"/>
      <c r="V568" s="74"/>
      <c r="W568" s="74"/>
      <c r="X568" s="74"/>
      <c r="Y568" s="74"/>
      <c r="Z568" s="74"/>
      <c r="AA568" s="75"/>
      <c r="AB568" s="30">
        <f t="shared" si="8"/>
        <v>4.1666666666666664E-2</v>
      </c>
    </row>
    <row r="569" spans="1:28" x14ac:dyDescent="0.3">
      <c r="A569" s="34" t="s">
        <v>1654</v>
      </c>
      <c r="B569" s="37" t="s">
        <v>25</v>
      </c>
      <c r="C569" s="34" t="s">
        <v>672</v>
      </c>
      <c r="D569" s="33" t="s">
        <v>1775</v>
      </c>
      <c r="E569" s="34" t="s">
        <v>939</v>
      </c>
      <c r="F569" s="34" t="s">
        <v>1632</v>
      </c>
      <c r="G569" s="34" t="s">
        <v>111</v>
      </c>
      <c r="H569" s="37">
        <v>1</v>
      </c>
      <c r="I569" s="34" t="s">
        <v>112</v>
      </c>
      <c r="J569" s="34" t="s">
        <v>31</v>
      </c>
      <c r="K569" s="34" t="s">
        <v>32</v>
      </c>
      <c r="L569" s="34" t="s">
        <v>1755</v>
      </c>
      <c r="M569" s="34" t="s">
        <v>33</v>
      </c>
      <c r="N569" s="49">
        <v>10</v>
      </c>
      <c r="O569" s="50">
        <v>3</v>
      </c>
      <c r="P569" s="51">
        <v>69</v>
      </c>
      <c r="Q569" s="52">
        <v>24.798774999999999</v>
      </c>
      <c r="R569" s="52">
        <v>-107.39942449999999</v>
      </c>
      <c r="S569" s="74" t="s">
        <v>34</v>
      </c>
      <c r="T569" s="74"/>
      <c r="U569" s="74"/>
      <c r="V569" s="74"/>
      <c r="W569" s="74"/>
      <c r="X569" s="74"/>
      <c r="Y569" s="74"/>
      <c r="Z569" s="74"/>
      <c r="AA569" s="75"/>
      <c r="AB569" s="30">
        <f t="shared" si="8"/>
        <v>0.125</v>
      </c>
    </row>
    <row r="570" spans="1:28" x14ac:dyDescent="0.3">
      <c r="A570" s="34" t="s">
        <v>1650</v>
      </c>
      <c r="B570" s="37" t="s">
        <v>25</v>
      </c>
      <c r="C570" s="34" t="s">
        <v>1776</v>
      </c>
      <c r="D570" s="33" t="s">
        <v>1775</v>
      </c>
      <c r="E570" s="34" t="s">
        <v>1636</v>
      </c>
      <c r="F570" s="34" t="s">
        <v>1637</v>
      </c>
      <c r="G570" s="34" t="s">
        <v>941</v>
      </c>
      <c r="H570" s="37">
        <v>2</v>
      </c>
      <c r="I570" s="34" t="s">
        <v>155</v>
      </c>
      <c r="J570" s="34" t="s">
        <v>31</v>
      </c>
      <c r="K570" s="34" t="s">
        <v>32</v>
      </c>
      <c r="L570" s="34" t="s">
        <v>1756</v>
      </c>
      <c r="M570" s="34" t="s">
        <v>33</v>
      </c>
      <c r="N570" s="49">
        <v>13</v>
      </c>
      <c r="O570" s="50">
        <v>2</v>
      </c>
      <c r="P570" s="51">
        <v>63</v>
      </c>
      <c r="Q570" s="52">
        <v>19.2652517</v>
      </c>
      <c r="R570" s="52">
        <v>-98.998098900000002</v>
      </c>
      <c r="S570" s="74" t="s">
        <v>176</v>
      </c>
      <c r="T570" s="74"/>
      <c r="U570" s="74"/>
      <c r="V570" s="74"/>
      <c r="W570" s="74"/>
      <c r="X570" s="74"/>
      <c r="Y570" s="74"/>
      <c r="Z570" s="74"/>
      <c r="AA570" s="75"/>
      <c r="AB570" s="30">
        <f t="shared" si="8"/>
        <v>4.1666666666666664E-2</v>
      </c>
    </row>
    <row r="571" spans="1:28" x14ac:dyDescent="0.3">
      <c r="A571" s="34" t="s">
        <v>1652</v>
      </c>
      <c r="B571" s="37" t="s">
        <v>25</v>
      </c>
      <c r="C571" s="34" t="s">
        <v>1776</v>
      </c>
      <c r="D571" s="33" t="s">
        <v>1775</v>
      </c>
      <c r="E571" s="34" t="s">
        <v>705</v>
      </c>
      <c r="F571" s="34" t="s">
        <v>1655</v>
      </c>
      <c r="G571" s="34" t="s">
        <v>941</v>
      </c>
      <c r="H571" s="37">
        <v>2</v>
      </c>
      <c r="I571" s="34" t="s">
        <v>155</v>
      </c>
      <c r="J571" s="34" t="s">
        <v>31</v>
      </c>
      <c r="K571" s="34" t="s">
        <v>32</v>
      </c>
      <c r="L571" s="34" t="s">
        <v>1756</v>
      </c>
      <c r="M571" s="34" t="s">
        <v>33</v>
      </c>
      <c r="N571" s="49">
        <v>47</v>
      </c>
      <c r="O571" s="50">
        <v>4</v>
      </c>
      <c r="P571" s="51">
        <v>138</v>
      </c>
      <c r="Q571" s="52">
        <v>19.3194005</v>
      </c>
      <c r="R571" s="52">
        <v>-99.239020999999994</v>
      </c>
      <c r="S571" s="74" t="s">
        <v>176</v>
      </c>
      <c r="T571" s="74"/>
      <c r="U571" s="74"/>
      <c r="V571" s="74"/>
      <c r="W571" s="74"/>
      <c r="X571" s="74"/>
      <c r="Y571" s="74"/>
      <c r="Z571" s="74"/>
      <c r="AA571" s="75"/>
      <c r="AB571" s="30">
        <f t="shared" si="8"/>
        <v>4.1666666666666664E-2</v>
      </c>
    </row>
    <row r="572" spans="1:28" x14ac:dyDescent="0.3">
      <c r="A572" s="34" t="s">
        <v>1658</v>
      </c>
      <c r="B572" s="37" t="s">
        <v>25</v>
      </c>
      <c r="C572" s="34" t="s">
        <v>1776</v>
      </c>
      <c r="D572" s="33" t="s">
        <v>1775</v>
      </c>
      <c r="E572" s="34" t="s">
        <v>921</v>
      </c>
      <c r="F572" s="34" t="s">
        <v>1651</v>
      </c>
      <c r="G572" s="34" t="s">
        <v>164</v>
      </c>
      <c r="H572" s="37">
        <v>2</v>
      </c>
      <c r="I572" s="34" t="s">
        <v>155</v>
      </c>
      <c r="J572" s="34" t="s">
        <v>31</v>
      </c>
      <c r="K572" s="34" t="s">
        <v>32</v>
      </c>
      <c r="L572" s="34" t="s">
        <v>1755</v>
      </c>
      <c r="M572" s="34" t="s">
        <v>33</v>
      </c>
      <c r="N572" s="49">
        <v>9</v>
      </c>
      <c r="O572" s="50">
        <v>4</v>
      </c>
      <c r="P572" s="51">
        <v>58</v>
      </c>
      <c r="Q572" s="52">
        <v>19.497986000000001</v>
      </c>
      <c r="R572" s="52">
        <v>-99.203194300000007</v>
      </c>
      <c r="S572" s="74" t="s">
        <v>176</v>
      </c>
      <c r="T572" s="74"/>
      <c r="U572" s="74"/>
      <c r="V572" s="74"/>
      <c r="W572" s="74"/>
      <c r="X572" s="74"/>
      <c r="Y572" s="74"/>
      <c r="Z572" s="74"/>
      <c r="AA572" s="75"/>
      <c r="AB572" s="30">
        <f t="shared" si="8"/>
        <v>4.1666666666666664E-2</v>
      </c>
    </row>
    <row r="573" spans="1:28" x14ac:dyDescent="0.3">
      <c r="A573" s="34" t="s">
        <v>1661</v>
      </c>
      <c r="B573" s="37" t="s">
        <v>25</v>
      </c>
      <c r="C573" s="34" t="s">
        <v>1776</v>
      </c>
      <c r="D573" s="33" t="s">
        <v>1775</v>
      </c>
      <c r="E573" s="34" t="s">
        <v>921</v>
      </c>
      <c r="F573" s="34" t="s">
        <v>1653</v>
      </c>
      <c r="G573" s="34" t="s">
        <v>941</v>
      </c>
      <c r="H573" s="37">
        <v>2</v>
      </c>
      <c r="I573" s="34" t="s">
        <v>155</v>
      </c>
      <c r="J573" s="34" t="s">
        <v>31</v>
      </c>
      <c r="K573" s="34" t="s">
        <v>32</v>
      </c>
      <c r="L573" s="34" t="s">
        <v>1756</v>
      </c>
      <c r="M573" s="34" t="s">
        <v>33</v>
      </c>
      <c r="N573" s="49">
        <v>15</v>
      </c>
      <c r="O573" s="50">
        <v>2</v>
      </c>
      <c r="P573" s="51">
        <v>58</v>
      </c>
      <c r="Q573" s="52">
        <v>19.339504099999999</v>
      </c>
      <c r="R573" s="52">
        <v>-98.978461100000004</v>
      </c>
      <c r="S573" s="74" t="s">
        <v>176</v>
      </c>
      <c r="T573" s="74"/>
      <c r="U573" s="74"/>
      <c r="V573" s="74"/>
      <c r="W573" s="74"/>
      <c r="X573" s="74"/>
      <c r="Y573" s="74"/>
      <c r="Z573" s="74"/>
      <c r="AA573" s="75"/>
      <c r="AB573" s="30">
        <f t="shared" si="8"/>
        <v>4.1666666666666664E-2</v>
      </c>
    </row>
    <row r="574" spans="1:28" x14ac:dyDescent="0.3">
      <c r="A574" s="34" t="s">
        <v>1664</v>
      </c>
      <c r="B574" s="37" t="s">
        <v>25</v>
      </c>
      <c r="C574" s="34" t="s">
        <v>1776</v>
      </c>
      <c r="D574" s="33" t="s">
        <v>1775</v>
      </c>
      <c r="E574" s="34" t="s">
        <v>1659</v>
      </c>
      <c r="F574" s="34" t="s">
        <v>1660</v>
      </c>
      <c r="G574" s="48" t="s">
        <v>164</v>
      </c>
      <c r="H574" s="37">
        <v>2</v>
      </c>
      <c r="I574" s="34" t="s">
        <v>155</v>
      </c>
      <c r="J574" s="34" t="s">
        <v>31</v>
      </c>
      <c r="K574" s="34" t="s">
        <v>32</v>
      </c>
      <c r="L574" s="34" t="s">
        <v>1755</v>
      </c>
      <c r="M574" s="34" t="s">
        <v>33</v>
      </c>
      <c r="N574" s="49">
        <v>11</v>
      </c>
      <c r="O574" s="50">
        <v>2</v>
      </c>
      <c r="P574" s="51">
        <v>52</v>
      </c>
      <c r="Q574" s="52">
        <v>19.484406799999999</v>
      </c>
      <c r="R574" s="52">
        <v>-99.185474999999997</v>
      </c>
      <c r="S574" s="74" t="s">
        <v>176</v>
      </c>
      <c r="T574" s="74"/>
      <c r="U574" s="74"/>
      <c r="V574" s="74"/>
      <c r="W574" s="74"/>
      <c r="X574" s="74"/>
      <c r="Y574" s="74"/>
      <c r="Z574" s="74"/>
      <c r="AA574" s="75"/>
      <c r="AB574" s="30">
        <f t="shared" si="8"/>
        <v>4.1666666666666664E-2</v>
      </c>
    </row>
    <row r="575" spans="1:28" x14ac:dyDescent="0.3">
      <c r="A575" s="34" t="s">
        <v>1668</v>
      </c>
      <c r="B575" s="37" t="s">
        <v>25</v>
      </c>
      <c r="C575" s="34" t="s">
        <v>1776</v>
      </c>
      <c r="D575" s="33" t="s">
        <v>1775</v>
      </c>
      <c r="E575" s="34" t="s">
        <v>1662</v>
      </c>
      <c r="F575" s="34" t="s">
        <v>1663</v>
      </c>
      <c r="G575" s="34" t="s">
        <v>164</v>
      </c>
      <c r="H575" s="37">
        <v>2</v>
      </c>
      <c r="I575" s="34" t="s">
        <v>155</v>
      </c>
      <c r="J575" s="34" t="s">
        <v>31</v>
      </c>
      <c r="K575" s="34" t="s">
        <v>32</v>
      </c>
      <c r="L575" s="34" t="s">
        <v>1755</v>
      </c>
      <c r="M575" s="34" t="s">
        <v>33</v>
      </c>
      <c r="N575" s="49">
        <v>5</v>
      </c>
      <c r="O575" s="50">
        <v>2</v>
      </c>
      <c r="P575" s="51">
        <v>46</v>
      </c>
      <c r="Q575" s="52">
        <v>19.480653799999999</v>
      </c>
      <c r="R575" s="52">
        <v>-99.124137099999999</v>
      </c>
      <c r="S575" s="74" t="s">
        <v>176</v>
      </c>
      <c r="T575" s="74"/>
      <c r="U575" s="74"/>
      <c r="V575" s="74"/>
      <c r="W575" s="74"/>
      <c r="X575" s="74"/>
      <c r="Y575" s="74"/>
      <c r="Z575" s="74"/>
      <c r="AA575" s="75"/>
      <c r="AB575" s="30">
        <f t="shared" si="8"/>
        <v>4.1666666666666664E-2</v>
      </c>
    </row>
    <row r="576" spans="1:28" x14ac:dyDescent="0.3">
      <c r="A576" s="34" t="s">
        <v>1672</v>
      </c>
      <c r="B576" s="37" t="s">
        <v>25</v>
      </c>
      <c r="C576" s="34" t="s">
        <v>1776</v>
      </c>
      <c r="D576" s="33" t="s">
        <v>1775</v>
      </c>
      <c r="E576" s="34" t="s">
        <v>912</v>
      </c>
      <c r="F576" s="34" t="s">
        <v>1665</v>
      </c>
      <c r="G576" s="34" t="s">
        <v>29</v>
      </c>
      <c r="H576" s="37">
        <v>1</v>
      </c>
      <c r="I576" s="34" t="s">
        <v>30</v>
      </c>
      <c r="J576" s="34" t="s">
        <v>31</v>
      </c>
      <c r="K576" s="34" t="s">
        <v>32</v>
      </c>
      <c r="L576" s="34" t="s">
        <v>1755</v>
      </c>
      <c r="M576" s="34" t="s">
        <v>33</v>
      </c>
      <c r="N576" s="49">
        <v>17</v>
      </c>
      <c r="O576" s="50">
        <v>3</v>
      </c>
      <c r="P576" s="51">
        <v>42</v>
      </c>
      <c r="Q576" s="52">
        <v>19.264199999999999</v>
      </c>
      <c r="R576" s="52">
        <v>-99.114000000000004</v>
      </c>
      <c r="S576" s="74" t="s">
        <v>176</v>
      </c>
      <c r="T576" s="74"/>
      <c r="U576" s="74"/>
      <c r="V576" s="74"/>
      <c r="W576" s="74"/>
      <c r="X576" s="74"/>
      <c r="Y576" s="74"/>
      <c r="Z576" s="74"/>
      <c r="AA576" s="75"/>
      <c r="AB576" s="30">
        <f t="shared" si="8"/>
        <v>4.1666666666666664E-2</v>
      </c>
    </row>
    <row r="577" spans="1:28" x14ac:dyDescent="0.3">
      <c r="A577" s="34" t="s">
        <v>1674</v>
      </c>
      <c r="B577" s="37" t="s">
        <v>25</v>
      </c>
      <c r="C577" s="34" t="s">
        <v>724</v>
      </c>
      <c r="D577" s="33" t="s">
        <v>1775</v>
      </c>
      <c r="E577" s="34" t="s">
        <v>625</v>
      </c>
      <c r="F577" s="34" t="s">
        <v>1669</v>
      </c>
      <c r="G577" s="34" t="s">
        <v>111</v>
      </c>
      <c r="H577" s="37">
        <v>1</v>
      </c>
      <c r="I577" s="34" t="s">
        <v>155</v>
      </c>
      <c r="J577" s="34" t="s">
        <v>31</v>
      </c>
      <c r="K577" s="34" t="s">
        <v>32</v>
      </c>
      <c r="L577" s="34" t="s">
        <v>1755</v>
      </c>
      <c r="M577" s="34" t="s">
        <v>33</v>
      </c>
      <c r="N577" s="49">
        <v>9</v>
      </c>
      <c r="O577" s="50">
        <v>0</v>
      </c>
      <c r="P577" s="51">
        <v>17</v>
      </c>
      <c r="Q577" s="52">
        <v>17.977150999999999</v>
      </c>
      <c r="R577" s="52">
        <v>-92.952872999999997</v>
      </c>
      <c r="S577" s="74" t="s">
        <v>34</v>
      </c>
      <c r="T577" s="74"/>
      <c r="U577" s="74"/>
      <c r="V577" s="74"/>
      <c r="W577" s="74"/>
      <c r="X577" s="74"/>
      <c r="Y577" s="74"/>
      <c r="Z577" s="74"/>
      <c r="AA577" s="75"/>
      <c r="AB577" s="30">
        <f t="shared" si="8"/>
        <v>0.125</v>
      </c>
    </row>
    <row r="578" spans="1:28" x14ac:dyDescent="0.3">
      <c r="A578" s="34" t="s">
        <v>1676</v>
      </c>
      <c r="B578" s="37" t="s">
        <v>25</v>
      </c>
      <c r="C578" s="34" t="s">
        <v>886</v>
      </c>
      <c r="D578" s="33" t="s">
        <v>1775</v>
      </c>
      <c r="E578" s="34" t="s">
        <v>929</v>
      </c>
      <c r="F578" s="34" t="s">
        <v>1673</v>
      </c>
      <c r="G578" s="34" t="s">
        <v>111</v>
      </c>
      <c r="H578" s="37">
        <v>1</v>
      </c>
      <c r="I578" s="34" t="s">
        <v>155</v>
      </c>
      <c r="J578" s="34" t="s">
        <v>31</v>
      </c>
      <c r="K578" s="34" t="s">
        <v>32</v>
      </c>
      <c r="L578" s="34" t="s">
        <v>1755</v>
      </c>
      <c r="M578" s="34" t="s">
        <v>33</v>
      </c>
      <c r="N578" s="49">
        <v>5</v>
      </c>
      <c r="O578" s="50">
        <v>0</v>
      </c>
      <c r="P578" s="51">
        <v>8</v>
      </c>
      <c r="Q578" s="52">
        <v>24.096708</v>
      </c>
      <c r="R578" s="52">
        <v>-110.398409</v>
      </c>
      <c r="S578" s="74" t="s">
        <v>34</v>
      </c>
      <c r="T578" s="74" t="s">
        <v>175</v>
      </c>
      <c r="U578" s="74" t="s">
        <v>213</v>
      </c>
      <c r="V578" s="74" t="s">
        <v>213</v>
      </c>
      <c r="W578" s="74"/>
      <c r="X578" s="74"/>
      <c r="Y578" s="74"/>
      <c r="Z578" s="74"/>
      <c r="AA578" s="75"/>
      <c r="AB578" s="30">
        <f t="shared" ref="AB578:AB611" si="9">(
IF(S578="ENVIADO A LA CE/UM",1/3,IF(S578="ENTREGADO/REVISIÓN",2/3,IF(S578="ENVIADO A TICS",1,0)))+
IF(T578="EN PROCESO",0,IF(T578="CONCLUIDO",1,0))+
IF(U578="ENVIADO A LA CE/UM",1/3,IF(U578="EN REVISIÓN CENTRAL",2/3,IF(U578="CONCLUIDO",1,0)))+
IF(V578="ENVIADO A LA CE/UM",1/3,IF(V578="EN REVISIÓN CENTRAL",2/3,IF(V578="CONCLUIDO",1,0)))+
IF(W578="ENVIADO",1/3,IF(W578="EN PROCESO",2/3,IF(W578="CONCLUIDO",1,0)))+
IF(X578="PROGRAMADAS",0,IF(X578="CONCLUIDAS",1,0))+
IF(Y578="SI",1,IF(Y578="NO",0,0))+
IF(Z578="SI",1,IF(Z578="NO",0,0))
)/8</f>
        <v>0.29166666666666663</v>
      </c>
    </row>
    <row r="579" spans="1:28" x14ac:dyDescent="0.3">
      <c r="A579" s="34" t="s">
        <v>1678</v>
      </c>
      <c r="B579" s="37" t="s">
        <v>25</v>
      </c>
      <c r="C579" s="34" t="s">
        <v>187</v>
      </c>
      <c r="D579" s="33" t="s">
        <v>1775</v>
      </c>
      <c r="E579" s="34" t="s">
        <v>1372</v>
      </c>
      <c r="F579" s="34" t="s">
        <v>1675</v>
      </c>
      <c r="G579" s="34" t="s">
        <v>941</v>
      </c>
      <c r="H579" s="37">
        <v>2</v>
      </c>
      <c r="I579" s="34" t="s">
        <v>155</v>
      </c>
      <c r="J579" s="34" t="s">
        <v>31</v>
      </c>
      <c r="K579" s="34" t="s">
        <v>32</v>
      </c>
      <c r="L579" s="34" t="s">
        <v>1756</v>
      </c>
      <c r="M579" s="34" t="s">
        <v>33</v>
      </c>
      <c r="N579" s="49">
        <v>45</v>
      </c>
      <c r="O579" s="50">
        <v>6</v>
      </c>
      <c r="P579" s="51">
        <v>152</v>
      </c>
      <c r="Q579" s="52">
        <v>19.913613000000002</v>
      </c>
      <c r="R579" s="52">
        <v>-90.419135999999995</v>
      </c>
      <c r="S579" s="74" t="s">
        <v>34</v>
      </c>
      <c r="T579" s="74" t="s">
        <v>175</v>
      </c>
      <c r="U579" s="74" t="s">
        <v>176</v>
      </c>
      <c r="V579" s="74" t="s">
        <v>176</v>
      </c>
      <c r="W579" s="74"/>
      <c r="X579" s="74"/>
      <c r="Y579" s="74"/>
      <c r="Z579" s="74"/>
      <c r="AA579" s="75"/>
      <c r="AB579" s="30">
        <f t="shared" si="9"/>
        <v>0.20833333333333331</v>
      </c>
    </row>
    <row r="580" spans="1:28" x14ac:dyDescent="0.3">
      <c r="A580" s="40" t="s">
        <v>1680</v>
      </c>
      <c r="B580" s="37" t="s">
        <v>25</v>
      </c>
      <c r="C580" s="34" t="s">
        <v>1510</v>
      </c>
      <c r="D580" s="33" t="s">
        <v>1775</v>
      </c>
      <c r="E580" s="34" t="s">
        <v>895</v>
      </c>
      <c r="F580" s="34" t="s">
        <v>1677</v>
      </c>
      <c r="G580" s="34" t="s">
        <v>169</v>
      </c>
      <c r="H580" s="37">
        <v>2</v>
      </c>
      <c r="I580" s="34" t="s">
        <v>170</v>
      </c>
      <c r="J580" s="34" t="s">
        <v>31</v>
      </c>
      <c r="K580" s="34" t="s">
        <v>32</v>
      </c>
      <c r="L580" s="34" t="s">
        <v>1755</v>
      </c>
      <c r="M580" s="34" t="s">
        <v>33</v>
      </c>
      <c r="N580" s="49">
        <v>6</v>
      </c>
      <c r="O580" s="50">
        <v>0</v>
      </c>
      <c r="P580" s="51">
        <v>32</v>
      </c>
      <c r="Q580" s="52">
        <v>20.197225400000001</v>
      </c>
      <c r="R580" s="52">
        <v>-96.758920000000003</v>
      </c>
      <c r="S580" s="74" t="s">
        <v>34</v>
      </c>
      <c r="T580" s="74" t="s">
        <v>175</v>
      </c>
      <c r="U580" s="74"/>
      <c r="V580" s="74"/>
      <c r="W580" s="74"/>
      <c r="X580" s="74"/>
      <c r="Y580" s="74"/>
      <c r="Z580" s="74"/>
      <c r="AA580" s="75"/>
      <c r="AB580" s="30">
        <f t="shared" si="9"/>
        <v>0.125</v>
      </c>
    </row>
    <row r="581" spans="1:28" x14ac:dyDescent="0.3">
      <c r="A581" s="34" t="s">
        <v>1683</v>
      </c>
      <c r="B581" s="37" t="s">
        <v>25</v>
      </c>
      <c r="C581" s="34" t="s">
        <v>305</v>
      </c>
      <c r="D581" s="33" t="s">
        <v>1775</v>
      </c>
      <c r="E581" s="34" t="s">
        <v>187</v>
      </c>
      <c r="F581" s="34" t="s">
        <v>1679</v>
      </c>
      <c r="G581" s="34" t="s">
        <v>169</v>
      </c>
      <c r="H581" s="37">
        <v>2</v>
      </c>
      <c r="I581" s="34" t="s">
        <v>170</v>
      </c>
      <c r="J581" s="34" t="s">
        <v>31</v>
      </c>
      <c r="K581" s="34" t="s">
        <v>32</v>
      </c>
      <c r="L581" s="34" t="s">
        <v>1755</v>
      </c>
      <c r="M581" s="34" t="s">
        <v>84</v>
      </c>
      <c r="N581" s="49">
        <v>11</v>
      </c>
      <c r="O581" s="50">
        <v>0</v>
      </c>
      <c r="P581" s="51">
        <v>28</v>
      </c>
      <c r="Q581" s="52">
        <v>20.5901538</v>
      </c>
      <c r="R581" s="52">
        <v>-98.758901399999999</v>
      </c>
      <c r="S581" s="74" t="s">
        <v>34</v>
      </c>
      <c r="T581" s="74" t="s">
        <v>35</v>
      </c>
      <c r="U581" s="74" t="s">
        <v>35</v>
      </c>
      <c r="V581" s="74" t="s">
        <v>35</v>
      </c>
      <c r="W581" s="74" t="s">
        <v>35</v>
      </c>
      <c r="X581" s="74" t="s">
        <v>36</v>
      </c>
      <c r="Y581" s="74"/>
      <c r="Z581" s="74"/>
      <c r="AA581" s="75"/>
      <c r="AB581" s="30">
        <f t="shared" si="9"/>
        <v>0.75</v>
      </c>
    </row>
    <row r="582" spans="1:28" x14ac:dyDescent="0.3">
      <c r="A582" s="34" t="s">
        <v>1622</v>
      </c>
      <c r="B582" s="37" t="s">
        <v>25</v>
      </c>
      <c r="C582" s="34" t="s">
        <v>1777</v>
      </c>
      <c r="D582" s="33" t="s">
        <v>1775</v>
      </c>
      <c r="E582" s="34" t="s">
        <v>1681</v>
      </c>
      <c r="F582" s="34" t="s">
        <v>1682</v>
      </c>
      <c r="G582" s="34" t="s">
        <v>169</v>
      </c>
      <c r="H582" s="37">
        <v>2</v>
      </c>
      <c r="I582" s="34" t="s">
        <v>170</v>
      </c>
      <c r="J582" s="34" t="s">
        <v>31</v>
      </c>
      <c r="K582" s="34" t="s">
        <v>32</v>
      </c>
      <c r="L582" s="34" t="s">
        <v>1755</v>
      </c>
      <c r="M582" s="34" t="s">
        <v>33</v>
      </c>
      <c r="N582" s="49">
        <v>13</v>
      </c>
      <c r="O582" s="50">
        <v>0</v>
      </c>
      <c r="P582" s="51">
        <v>120</v>
      </c>
      <c r="Q582" s="52">
        <v>19.611996399999999</v>
      </c>
      <c r="R582" s="52">
        <v>-98.951946899999996</v>
      </c>
      <c r="S582" s="74" t="s">
        <v>34</v>
      </c>
      <c r="T582" s="74"/>
      <c r="U582" s="74"/>
      <c r="V582" s="74"/>
      <c r="W582" s="74"/>
      <c r="X582" s="74"/>
      <c r="Y582" s="74"/>
      <c r="Z582" s="74"/>
      <c r="AA582" s="75"/>
      <c r="AB582" s="30">
        <f t="shared" si="9"/>
        <v>0.125</v>
      </c>
    </row>
    <row r="583" spans="1:28" x14ac:dyDescent="0.3">
      <c r="A583" s="34" t="s">
        <v>1638</v>
      </c>
      <c r="B583" s="37" t="s">
        <v>25</v>
      </c>
      <c r="C583" s="34" t="s">
        <v>1777</v>
      </c>
      <c r="D583" s="33" t="s">
        <v>1775</v>
      </c>
      <c r="E583" s="34" t="s">
        <v>1684</v>
      </c>
      <c r="F583" s="34" t="s">
        <v>1685</v>
      </c>
      <c r="G583" s="34" t="s">
        <v>111</v>
      </c>
      <c r="H583" s="37">
        <v>1</v>
      </c>
      <c r="I583" s="34" t="s">
        <v>112</v>
      </c>
      <c r="J583" s="34" t="s">
        <v>31</v>
      </c>
      <c r="K583" s="34" t="s">
        <v>32</v>
      </c>
      <c r="L583" s="34" t="s">
        <v>1755</v>
      </c>
      <c r="M583" s="34" t="s">
        <v>33</v>
      </c>
      <c r="N583" s="49">
        <v>14</v>
      </c>
      <c r="O583" s="50">
        <v>7</v>
      </c>
      <c r="P583" s="51">
        <v>52</v>
      </c>
      <c r="Q583" s="52">
        <v>19.611483</v>
      </c>
      <c r="R583" s="52">
        <v>-98.944547999999998</v>
      </c>
      <c r="S583" s="74" t="s">
        <v>34</v>
      </c>
      <c r="T583" s="74"/>
      <c r="U583" s="74"/>
      <c r="V583" s="74"/>
      <c r="W583" s="74"/>
      <c r="X583" s="74"/>
      <c r="Y583" s="74"/>
      <c r="Z583" s="74"/>
      <c r="AA583" s="75"/>
      <c r="AB583" s="30">
        <f t="shared" si="9"/>
        <v>0.125</v>
      </c>
    </row>
    <row r="584" spans="1:28" x14ac:dyDescent="0.3">
      <c r="A584" s="34" t="s">
        <v>1648</v>
      </c>
      <c r="B584" s="37" t="s">
        <v>25</v>
      </c>
      <c r="C584" s="34" t="s">
        <v>1777</v>
      </c>
      <c r="D584" s="33" t="s">
        <v>1775</v>
      </c>
      <c r="E584" s="34" t="s">
        <v>1623</v>
      </c>
      <c r="F584" s="70" t="s">
        <v>1624</v>
      </c>
      <c r="G584" s="34" t="s">
        <v>164</v>
      </c>
      <c r="H584" s="37">
        <v>2</v>
      </c>
      <c r="I584" s="34" t="s">
        <v>155</v>
      </c>
      <c r="J584" s="34" t="s">
        <v>31</v>
      </c>
      <c r="K584" s="34" t="s">
        <v>32</v>
      </c>
      <c r="L584" s="34" t="s">
        <v>1755</v>
      </c>
      <c r="M584" s="34" t="s">
        <v>84</v>
      </c>
      <c r="N584" s="49">
        <v>8</v>
      </c>
      <c r="O584" s="50">
        <v>2</v>
      </c>
      <c r="P584" s="51">
        <v>70</v>
      </c>
      <c r="Q584" s="52">
        <v>19.316490600000002</v>
      </c>
      <c r="R584" s="52">
        <v>-98.854220699999999</v>
      </c>
      <c r="S584" s="74" t="s">
        <v>34</v>
      </c>
      <c r="T584" s="74"/>
      <c r="U584" s="74"/>
      <c r="V584" s="74"/>
      <c r="W584" s="74"/>
      <c r="X584" s="74"/>
      <c r="Y584" s="74"/>
      <c r="Z584" s="74"/>
      <c r="AA584" s="75"/>
      <c r="AB584" s="30">
        <f t="shared" si="9"/>
        <v>0.125</v>
      </c>
    </row>
    <row r="585" spans="1:28" x14ac:dyDescent="0.3">
      <c r="A585" s="34" t="s">
        <v>1692</v>
      </c>
      <c r="B585" s="37" t="s">
        <v>25</v>
      </c>
      <c r="C585" s="34" t="s">
        <v>1778</v>
      </c>
      <c r="D585" s="33" t="s">
        <v>1775</v>
      </c>
      <c r="E585" s="71" t="s">
        <v>1072</v>
      </c>
      <c r="F585" s="72" t="s">
        <v>1639</v>
      </c>
      <c r="G585" s="63" t="s">
        <v>164</v>
      </c>
      <c r="H585" s="37">
        <v>2</v>
      </c>
      <c r="I585" s="34" t="s">
        <v>155</v>
      </c>
      <c r="J585" s="34" t="s">
        <v>31</v>
      </c>
      <c r="K585" s="34" t="s">
        <v>32</v>
      </c>
      <c r="L585" s="34" t="s">
        <v>1756</v>
      </c>
      <c r="M585" s="34" t="s">
        <v>33</v>
      </c>
      <c r="N585" s="49">
        <v>22</v>
      </c>
      <c r="O585" s="50">
        <v>6</v>
      </c>
      <c r="P585" s="51">
        <v>162</v>
      </c>
      <c r="Q585" s="52">
        <v>19.693043899999999</v>
      </c>
      <c r="R585" s="52">
        <v>-101.1554807</v>
      </c>
      <c r="S585" s="74" t="s">
        <v>34</v>
      </c>
      <c r="T585" s="74"/>
      <c r="U585" s="74"/>
      <c r="V585" s="74"/>
      <c r="W585" s="74"/>
      <c r="X585" s="74"/>
      <c r="Y585" s="74"/>
      <c r="Z585" s="74"/>
      <c r="AA585" s="75"/>
      <c r="AB585" s="30">
        <f t="shared" si="9"/>
        <v>0.125</v>
      </c>
    </row>
    <row r="586" spans="1:28" x14ac:dyDescent="0.3">
      <c r="A586" s="34" t="s">
        <v>1694</v>
      </c>
      <c r="B586" s="37" t="s">
        <v>25</v>
      </c>
      <c r="C586" s="34" t="s">
        <v>477</v>
      </c>
      <c r="D586" s="33" t="s">
        <v>1775</v>
      </c>
      <c r="E586" s="71" t="s">
        <v>1072</v>
      </c>
      <c r="F586" s="88" t="s">
        <v>1649</v>
      </c>
      <c r="G586" s="63" t="s">
        <v>941</v>
      </c>
      <c r="H586" s="37">
        <v>2</v>
      </c>
      <c r="I586" s="34" t="s">
        <v>31</v>
      </c>
      <c r="J586" s="34" t="s">
        <v>31</v>
      </c>
      <c r="K586" s="34" t="s">
        <v>32</v>
      </c>
      <c r="L586" s="34" t="s">
        <v>1755</v>
      </c>
      <c r="M586" s="34" t="s">
        <v>33</v>
      </c>
      <c r="N586" s="49">
        <v>22</v>
      </c>
      <c r="O586" s="50">
        <v>4</v>
      </c>
      <c r="P586" s="51">
        <v>138</v>
      </c>
      <c r="Q586" s="52">
        <v>16.912682</v>
      </c>
      <c r="R586" s="52">
        <v>-96.720197999999996</v>
      </c>
      <c r="S586" s="74" t="s">
        <v>34</v>
      </c>
      <c r="T586" s="74"/>
      <c r="U586" s="74"/>
      <c r="V586" s="74"/>
      <c r="W586" s="74"/>
      <c r="X586" s="74"/>
      <c r="Y586" s="74"/>
      <c r="Z586" s="74"/>
      <c r="AA586" s="75"/>
      <c r="AB586" s="30">
        <f t="shared" si="9"/>
        <v>0.125</v>
      </c>
    </row>
    <row r="587" spans="1:28" ht="26.4" x14ac:dyDescent="0.3">
      <c r="A587" s="34" t="s">
        <v>1696</v>
      </c>
      <c r="B587" s="37" t="s">
        <v>25</v>
      </c>
      <c r="C587" s="34" t="s">
        <v>535</v>
      </c>
      <c r="D587" s="33" t="s">
        <v>1775</v>
      </c>
      <c r="E587" s="34" t="s">
        <v>1126</v>
      </c>
      <c r="F587" s="73" t="s">
        <v>1809</v>
      </c>
      <c r="G587" s="34" t="s">
        <v>169</v>
      </c>
      <c r="H587" s="37">
        <v>2</v>
      </c>
      <c r="I587" s="34" t="s">
        <v>170</v>
      </c>
      <c r="J587" s="34" t="s">
        <v>31</v>
      </c>
      <c r="K587" s="34" t="s">
        <v>32</v>
      </c>
      <c r="L587" s="34" t="s">
        <v>1755</v>
      </c>
      <c r="M587" s="34" t="s">
        <v>33</v>
      </c>
      <c r="N587" s="49">
        <v>20</v>
      </c>
      <c r="O587" s="50">
        <v>0</v>
      </c>
      <c r="P587" s="51">
        <v>87</v>
      </c>
      <c r="Q587" s="52">
        <v>18.988149100000001</v>
      </c>
      <c r="R587" s="52">
        <v>-98.182584800000001</v>
      </c>
      <c r="S587" s="74" t="s">
        <v>34</v>
      </c>
      <c r="T587" s="74"/>
      <c r="U587" s="74"/>
      <c r="V587" s="74"/>
      <c r="W587" s="74"/>
      <c r="X587" s="74"/>
      <c r="Y587" s="74"/>
      <c r="Z587" s="74"/>
      <c r="AA587" s="75"/>
      <c r="AB587" s="30">
        <f t="shared" si="9"/>
        <v>0.125</v>
      </c>
    </row>
    <row r="588" spans="1:28" x14ac:dyDescent="0.3">
      <c r="A588" s="34" t="s">
        <v>1698</v>
      </c>
      <c r="B588" s="37" t="s">
        <v>25</v>
      </c>
      <c r="C588" s="34" t="s">
        <v>1779</v>
      </c>
      <c r="D588" s="33" t="s">
        <v>1775</v>
      </c>
      <c r="E588" s="34" t="s">
        <v>1551</v>
      </c>
      <c r="F588" s="32" t="s">
        <v>1695</v>
      </c>
      <c r="G588" s="34" t="s">
        <v>169</v>
      </c>
      <c r="H588" s="37">
        <v>2</v>
      </c>
      <c r="I588" s="34" t="s">
        <v>170</v>
      </c>
      <c r="J588" s="34" t="s">
        <v>31</v>
      </c>
      <c r="K588" s="34" t="s">
        <v>32</v>
      </c>
      <c r="L588" s="34" t="s">
        <v>1755</v>
      </c>
      <c r="M588" s="34" t="s">
        <v>33</v>
      </c>
      <c r="N588" s="49">
        <v>13</v>
      </c>
      <c r="O588" s="50">
        <v>0</v>
      </c>
      <c r="P588" s="51">
        <v>120</v>
      </c>
      <c r="Q588" s="52">
        <v>22.209494899999999</v>
      </c>
      <c r="R588" s="52">
        <v>-100.9015162</v>
      </c>
      <c r="S588" s="74" t="s">
        <v>34</v>
      </c>
      <c r="T588" s="74"/>
      <c r="U588" s="74"/>
      <c r="V588" s="74"/>
      <c r="W588" s="74"/>
      <c r="X588" s="74"/>
      <c r="Y588" s="74"/>
      <c r="Z588" s="74"/>
      <c r="AA588" s="75"/>
      <c r="AB588" s="30">
        <f t="shared" si="9"/>
        <v>0.125</v>
      </c>
    </row>
    <row r="589" spans="1:28" x14ac:dyDescent="0.3">
      <c r="A589" s="34" t="s">
        <v>1700</v>
      </c>
      <c r="B589" s="37" t="s">
        <v>25</v>
      </c>
      <c r="C589" s="34" t="s">
        <v>672</v>
      </c>
      <c r="D589" s="33" t="s">
        <v>1775</v>
      </c>
      <c r="E589" s="34" t="s">
        <v>535</v>
      </c>
      <c r="F589" s="32" t="s">
        <v>1697</v>
      </c>
      <c r="G589" s="34" t="s">
        <v>169</v>
      </c>
      <c r="H589" s="37">
        <v>2</v>
      </c>
      <c r="I589" s="34" t="s">
        <v>170</v>
      </c>
      <c r="J589" s="34" t="s">
        <v>31</v>
      </c>
      <c r="K589" s="34" t="s">
        <v>32</v>
      </c>
      <c r="L589" s="34" t="s">
        <v>1755</v>
      </c>
      <c r="M589" s="34" t="s">
        <v>33</v>
      </c>
      <c r="N589" s="49">
        <v>19</v>
      </c>
      <c r="O589" s="50">
        <v>0</v>
      </c>
      <c r="P589" s="51">
        <v>256</v>
      </c>
      <c r="Q589" s="52">
        <v>24.8168142</v>
      </c>
      <c r="R589" s="52">
        <v>-107.4280536</v>
      </c>
      <c r="S589" s="74" t="s">
        <v>34</v>
      </c>
      <c r="T589" s="74"/>
      <c r="U589" s="74"/>
      <c r="V589" s="74"/>
      <c r="W589" s="74"/>
      <c r="X589" s="74"/>
      <c r="Y589" s="74"/>
      <c r="Z589" s="74"/>
      <c r="AA589" s="75"/>
      <c r="AB589" s="30">
        <f t="shared" si="9"/>
        <v>0.125</v>
      </c>
    </row>
    <row r="590" spans="1:28" x14ac:dyDescent="0.3">
      <c r="A590" s="34" t="s">
        <v>1701</v>
      </c>
      <c r="B590" s="37" t="s">
        <v>25</v>
      </c>
      <c r="C590" s="34" t="s">
        <v>954</v>
      </c>
      <c r="D590" s="33" t="s">
        <v>1775</v>
      </c>
      <c r="E590" s="34" t="s">
        <v>1316</v>
      </c>
      <c r="F590" s="32" t="s">
        <v>1699</v>
      </c>
      <c r="G590" s="34" t="s">
        <v>169</v>
      </c>
      <c r="H590" s="37">
        <v>2</v>
      </c>
      <c r="I590" s="34" t="s">
        <v>170</v>
      </c>
      <c r="J590" s="34" t="s">
        <v>31</v>
      </c>
      <c r="K590" s="34" t="s">
        <v>32</v>
      </c>
      <c r="L590" s="34" t="s">
        <v>1755</v>
      </c>
      <c r="M590" s="34" t="s">
        <v>33</v>
      </c>
      <c r="N590" s="49">
        <v>20</v>
      </c>
      <c r="O590" s="50">
        <v>0</v>
      </c>
      <c r="P590" s="51">
        <v>92</v>
      </c>
      <c r="Q590" s="52">
        <v>29.0813168</v>
      </c>
      <c r="R590" s="52">
        <v>-111.0050473</v>
      </c>
      <c r="S590" s="74" t="s">
        <v>34</v>
      </c>
      <c r="T590" s="74" t="s">
        <v>35</v>
      </c>
      <c r="U590" s="74" t="s">
        <v>35</v>
      </c>
      <c r="V590" s="74" t="s">
        <v>35</v>
      </c>
      <c r="W590" s="74" t="s">
        <v>1808</v>
      </c>
      <c r="X590" s="74"/>
      <c r="Y590" s="74"/>
      <c r="Z590" s="74"/>
      <c r="AA590" s="75"/>
      <c r="AB590" s="30">
        <f t="shared" si="9"/>
        <v>0.54166666666666663</v>
      </c>
    </row>
    <row r="591" spans="1:28" x14ac:dyDescent="0.3">
      <c r="A591" s="34" t="s">
        <v>1703</v>
      </c>
      <c r="B591" s="37" t="s">
        <v>25</v>
      </c>
      <c r="C591" s="34" t="s">
        <v>954</v>
      </c>
      <c r="D591" s="33" t="s">
        <v>1775</v>
      </c>
      <c r="E591" s="34" t="s">
        <v>705</v>
      </c>
      <c r="F591" s="32" t="s">
        <v>170</v>
      </c>
      <c r="G591" s="34" t="s">
        <v>169</v>
      </c>
      <c r="H591" s="37">
        <v>2</v>
      </c>
      <c r="I591" s="34" t="s">
        <v>170</v>
      </c>
      <c r="J591" s="34" t="s">
        <v>31</v>
      </c>
      <c r="K591" s="34" t="s">
        <v>32</v>
      </c>
      <c r="L591" s="34" t="s">
        <v>1755</v>
      </c>
      <c r="M591" s="34" t="s">
        <v>33</v>
      </c>
      <c r="N591" s="49">
        <v>16</v>
      </c>
      <c r="O591" s="50">
        <v>0</v>
      </c>
      <c r="P591" s="51">
        <v>58</v>
      </c>
      <c r="Q591" s="52">
        <v>29.071741599999999</v>
      </c>
      <c r="R591" s="52">
        <v>-110.955854</v>
      </c>
      <c r="S591" s="74" t="s">
        <v>34</v>
      </c>
      <c r="T591" s="74" t="s">
        <v>35</v>
      </c>
      <c r="U591" s="74" t="s">
        <v>35</v>
      </c>
      <c r="V591" s="74" t="s">
        <v>35</v>
      </c>
      <c r="W591" s="74" t="s">
        <v>1808</v>
      </c>
      <c r="X591" s="74"/>
      <c r="Y591" s="74"/>
      <c r="Z591" s="74"/>
      <c r="AA591" s="75"/>
      <c r="AB591" s="30">
        <f t="shared" si="9"/>
        <v>0.54166666666666663</v>
      </c>
    </row>
    <row r="592" spans="1:28" x14ac:dyDescent="0.3">
      <c r="A592" s="34" t="s">
        <v>1705</v>
      </c>
      <c r="B592" s="37" t="s">
        <v>25</v>
      </c>
      <c r="C592" s="34" t="s">
        <v>724</v>
      </c>
      <c r="D592" s="33" t="s">
        <v>1775</v>
      </c>
      <c r="E592" s="34" t="s">
        <v>1350</v>
      </c>
      <c r="F592" s="32" t="s">
        <v>1702</v>
      </c>
      <c r="G592" s="34" t="s">
        <v>169</v>
      </c>
      <c r="H592" s="37">
        <v>2</v>
      </c>
      <c r="I592" s="34" t="s">
        <v>170</v>
      </c>
      <c r="J592" s="34" t="s">
        <v>31</v>
      </c>
      <c r="K592" s="34" t="s">
        <v>32</v>
      </c>
      <c r="L592" s="34" t="s">
        <v>1755</v>
      </c>
      <c r="M592" s="34" t="s">
        <v>33</v>
      </c>
      <c r="N592" s="49">
        <v>12</v>
      </c>
      <c r="O592" s="50">
        <v>0</v>
      </c>
      <c r="P592" s="51">
        <v>87</v>
      </c>
      <c r="Q592" s="52">
        <v>18.014170700000001</v>
      </c>
      <c r="R592" s="52">
        <v>-92.920878999999999</v>
      </c>
      <c r="S592" s="74" t="s">
        <v>34</v>
      </c>
      <c r="T592" s="74"/>
      <c r="U592" s="74"/>
      <c r="V592" s="74"/>
      <c r="W592" s="74"/>
      <c r="X592" s="74"/>
      <c r="Y592" s="74"/>
      <c r="Z592" s="74"/>
      <c r="AA592" s="75"/>
      <c r="AB592" s="30">
        <f t="shared" si="9"/>
        <v>0.125</v>
      </c>
    </row>
    <row r="593" spans="1:31" x14ac:dyDescent="0.3">
      <c r="A593" s="34" t="s">
        <v>1707</v>
      </c>
      <c r="B593" s="37" t="s">
        <v>25</v>
      </c>
      <c r="C593" s="34" t="s">
        <v>159</v>
      </c>
      <c r="D593" s="33" t="s">
        <v>1775</v>
      </c>
      <c r="E593" s="34" t="s">
        <v>1350</v>
      </c>
      <c r="F593" s="32" t="s">
        <v>1704</v>
      </c>
      <c r="G593" s="34" t="s">
        <v>169</v>
      </c>
      <c r="H593" s="37">
        <v>2</v>
      </c>
      <c r="I593" s="34" t="s">
        <v>170</v>
      </c>
      <c r="J593" s="34" t="s">
        <v>31</v>
      </c>
      <c r="K593" s="34" t="s">
        <v>32</v>
      </c>
      <c r="L593" s="34" t="s">
        <v>1755</v>
      </c>
      <c r="M593" s="34" t="s">
        <v>33</v>
      </c>
      <c r="N593" s="49">
        <v>24</v>
      </c>
      <c r="O593" s="50">
        <v>0</v>
      </c>
      <c r="P593" s="51">
        <v>0</v>
      </c>
      <c r="Q593" s="52">
        <v>22.252884999999999</v>
      </c>
      <c r="R593" s="52">
        <v>-97.858569000000003</v>
      </c>
      <c r="S593" s="74" t="s">
        <v>34</v>
      </c>
      <c r="T593" s="74"/>
      <c r="U593" s="74"/>
      <c r="V593" s="74"/>
      <c r="W593" s="74"/>
      <c r="X593" s="74"/>
      <c r="Y593" s="74"/>
      <c r="Z593" s="74"/>
      <c r="AA593" s="75"/>
      <c r="AB593" s="30">
        <f t="shared" si="9"/>
        <v>0.125</v>
      </c>
    </row>
    <row r="594" spans="1:31" x14ac:dyDescent="0.3">
      <c r="A594" s="34" t="s">
        <v>1709</v>
      </c>
      <c r="B594" s="37" t="s">
        <v>25</v>
      </c>
      <c r="C594" s="34" t="s">
        <v>1510</v>
      </c>
      <c r="D594" s="33" t="s">
        <v>1775</v>
      </c>
      <c r="E594" s="34" t="s">
        <v>1372</v>
      </c>
      <c r="F594" s="32" t="s">
        <v>1706</v>
      </c>
      <c r="G594" s="34" t="s">
        <v>169</v>
      </c>
      <c r="H594" s="37">
        <v>2</v>
      </c>
      <c r="I594" s="34" t="s">
        <v>170</v>
      </c>
      <c r="J594" s="34" t="s">
        <v>31</v>
      </c>
      <c r="K594" s="34" t="s">
        <v>32</v>
      </c>
      <c r="L594" s="34" t="s">
        <v>1756</v>
      </c>
      <c r="M594" s="34" t="s">
        <v>33</v>
      </c>
      <c r="N594" s="49">
        <v>13</v>
      </c>
      <c r="O594" s="50">
        <v>0</v>
      </c>
      <c r="P594" s="51">
        <v>83</v>
      </c>
      <c r="Q594" s="52">
        <v>19.545672700000001</v>
      </c>
      <c r="R594" s="52">
        <v>-96.923429200000001</v>
      </c>
      <c r="S594" s="74" t="s">
        <v>34</v>
      </c>
      <c r="T594" s="74" t="s">
        <v>175</v>
      </c>
      <c r="U594" s="74"/>
      <c r="V594" s="74"/>
      <c r="W594" s="74"/>
      <c r="X594" s="74"/>
      <c r="Y594" s="74"/>
      <c r="Z594" s="74"/>
      <c r="AA594" s="75"/>
      <c r="AB594" s="30">
        <f t="shared" si="9"/>
        <v>0.125</v>
      </c>
    </row>
    <row r="595" spans="1:31" x14ac:dyDescent="0.3">
      <c r="A595" s="39" t="s">
        <v>1711</v>
      </c>
      <c r="B595" s="37" t="s">
        <v>210</v>
      </c>
      <c r="C595" s="34" t="s">
        <v>1774</v>
      </c>
      <c r="D595" s="33" t="s">
        <v>1775</v>
      </c>
      <c r="E595" s="34" t="s">
        <v>1423</v>
      </c>
      <c r="F595" s="32" t="s">
        <v>1708</v>
      </c>
      <c r="G595" s="34" t="s">
        <v>169</v>
      </c>
      <c r="H595" s="37">
        <v>2</v>
      </c>
      <c r="I595" s="34" t="s">
        <v>170</v>
      </c>
      <c r="J595" s="34" t="s">
        <v>31</v>
      </c>
      <c r="K595" s="34" t="s">
        <v>32</v>
      </c>
      <c r="L595" s="34" t="s">
        <v>1755</v>
      </c>
      <c r="M595" s="34" t="s">
        <v>33</v>
      </c>
      <c r="N595" s="49">
        <v>11</v>
      </c>
      <c r="O595" s="50">
        <v>0</v>
      </c>
      <c r="P595" s="51">
        <v>52</v>
      </c>
      <c r="Q595" s="60">
        <v>20.973250700000001</v>
      </c>
      <c r="R595" s="60">
        <v>-89.656283799999997</v>
      </c>
      <c r="S595" s="74" t="s">
        <v>34</v>
      </c>
      <c r="T595" s="74" t="s">
        <v>175</v>
      </c>
      <c r="U595" s="74" t="s">
        <v>213</v>
      </c>
      <c r="V595" s="74" t="s">
        <v>213</v>
      </c>
      <c r="W595" s="74"/>
      <c r="X595" s="74"/>
      <c r="Y595" s="74"/>
      <c r="Z595" s="74"/>
      <c r="AA595" s="75"/>
      <c r="AB595" s="30">
        <f t="shared" si="9"/>
        <v>0.29166666666666663</v>
      </c>
    </row>
    <row r="596" spans="1:31" x14ac:dyDescent="0.3">
      <c r="A596" s="34" t="s">
        <v>1713</v>
      </c>
      <c r="B596" s="37" t="s">
        <v>25</v>
      </c>
      <c r="C596" s="34" t="s">
        <v>837</v>
      </c>
      <c r="D596" s="33" t="s">
        <v>1775</v>
      </c>
      <c r="E596" s="34" t="s">
        <v>1468</v>
      </c>
      <c r="F596" s="32" t="s">
        <v>1710</v>
      </c>
      <c r="G596" s="34" t="s">
        <v>169</v>
      </c>
      <c r="H596" s="37">
        <v>2</v>
      </c>
      <c r="I596" s="34" t="s">
        <v>170</v>
      </c>
      <c r="J596" s="34" t="s">
        <v>31</v>
      </c>
      <c r="K596" s="34" t="s">
        <v>32</v>
      </c>
      <c r="L596" s="34" t="s">
        <v>1755</v>
      </c>
      <c r="M596" s="34" t="s">
        <v>33</v>
      </c>
      <c r="N596" s="49">
        <v>17</v>
      </c>
      <c r="O596" s="50">
        <v>0</v>
      </c>
      <c r="P596" s="51">
        <v>71</v>
      </c>
      <c r="Q596" s="52">
        <v>22.930294</v>
      </c>
      <c r="R596" s="52">
        <v>-102.684899</v>
      </c>
      <c r="S596" s="74" t="s">
        <v>34</v>
      </c>
      <c r="T596" s="74" t="s">
        <v>175</v>
      </c>
      <c r="U596" s="74" t="s">
        <v>213</v>
      </c>
      <c r="V596" s="74" t="s">
        <v>213</v>
      </c>
      <c r="W596" s="74"/>
      <c r="X596" s="74"/>
      <c r="Y596" s="74"/>
      <c r="Z596" s="74"/>
      <c r="AA596" s="75"/>
      <c r="AB596" s="30">
        <f t="shared" si="9"/>
        <v>0.29166666666666663</v>
      </c>
    </row>
    <row r="597" spans="1:31" x14ac:dyDescent="0.3">
      <c r="A597" s="34" t="s">
        <v>1759</v>
      </c>
      <c r="B597" s="37" t="s">
        <v>25</v>
      </c>
      <c r="C597" s="34" t="s">
        <v>1716</v>
      </c>
      <c r="D597" s="33" t="s">
        <v>1775</v>
      </c>
      <c r="E597" s="34" t="s">
        <v>1609</v>
      </c>
      <c r="F597" s="32" t="s">
        <v>1712</v>
      </c>
      <c r="G597" s="34" t="s">
        <v>169</v>
      </c>
      <c r="H597" s="37">
        <v>2</v>
      </c>
      <c r="I597" s="34" t="s">
        <v>170</v>
      </c>
      <c r="J597" s="34" t="s">
        <v>31</v>
      </c>
      <c r="K597" s="34" t="s">
        <v>32</v>
      </c>
      <c r="L597" s="34" t="s">
        <v>1755</v>
      </c>
      <c r="M597" s="34" t="s">
        <v>33</v>
      </c>
      <c r="N597" s="49">
        <v>33</v>
      </c>
      <c r="O597" s="50">
        <v>0</v>
      </c>
      <c r="P597" s="51">
        <v>134</v>
      </c>
      <c r="Q597" s="62">
        <v>209183611</v>
      </c>
      <c r="R597" s="62">
        <v>-1007520958</v>
      </c>
      <c r="S597" s="74" t="s">
        <v>34</v>
      </c>
      <c r="T597" s="74" t="s">
        <v>35</v>
      </c>
      <c r="U597" s="74" t="s">
        <v>35</v>
      </c>
      <c r="V597" s="74" t="s">
        <v>35</v>
      </c>
      <c r="W597" s="74" t="s">
        <v>35</v>
      </c>
      <c r="X597" s="74" t="s">
        <v>36</v>
      </c>
      <c r="Y597" s="74"/>
      <c r="Z597" s="74"/>
      <c r="AA597" s="75"/>
      <c r="AB597" s="30">
        <f t="shared" si="9"/>
        <v>0.75</v>
      </c>
    </row>
    <row r="598" spans="1:31" x14ac:dyDescent="0.3">
      <c r="A598" s="34" t="s">
        <v>1715</v>
      </c>
      <c r="B598" s="37" t="s">
        <v>25</v>
      </c>
      <c r="C598" s="34" t="s">
        <v>1771</v>
      </c>
      <c r="D598" s="34" t="s">
        <v>1771</v>
      </c>
      <c r="E598" s="34" t="s">
        <v>861</v>
      </c>
      <c r="F598" s="32" t="s">
        <v>1714</v>
      </c>
      <c r="G598" s="34" t="s">
        <v>169</v>
      </c>
      <c r="H598" s="37">
        <v>2</v>
      </c>
      <c r="I598" s="34" t="s">
        <v>170</v>
      </c>
      <c r="J598" s="34" t="s">
        <v>31</v>
      </c>
      <c r="K598" s="34" t="s">
        <v>32</v>
      </c>
      <c r="L598" s="34" t="s">
        <v>1755</v>
      </c>
      <c r="M598" s="34" t="s">
        <v>33</v>
      </c>
      <c r="N598" s="49">
        <v>8</v>
      </c>
      <c r="O598" s="50">
        <v>0</v>
      </c>
      <c r="P598" s="51">
        <v>38</v>
      </c>
      <c r="Q598" s="52">
        <v>21.0613651</v>
      </c>
      <c r="R598" s="52">
        <v>-101.5767015</v>
      </c>
      <c r="S598" s="74"/>
      <c r="T598" s="74"/>
      <c r="U598" s="74"/>
      <c r="V598" s="74"/>
      <c r="W598" s="74"/>
      <c r="X598" s="74"/>
      <c r="Y598" s="74"/>
      <c r="Z598" s="74"/>
      <c r="AA598" s="75"/>
      <c r="AB598" s="30">
        <f t="shared" si="9"/>
        <v>0</v>
      </c>
    </row>
    <row r="599" spans="1:31" x14ac:dyDescent="0.3">
      <c r="A599" s="35" t="s">
        <v>1719</v>
      </c>
      <c r="B599" s="41" t="s">
        <v>25</v>
      </c>
      <c r="C599" s="35" t="s">
        <v>187</v>
      </c>
      <c r="D599" s="33" t="s">
        <v>1775</v>
      </c>
      <c r="E599" s="34" t="s">
        <v>1752</v>
      </c>
      <c r="F599" s="32" t="s">
        <v>1753</v>
      </c>
      <c r="G599" s="34" t="s">
        <v>164</v>
      </c>
      <c r="H599" s="37">
        <v>2</v>
      </c>
      <c r="I599" s="61" t="s">
        <v>1722</v>
      </c>
      <c r="J599" s="34" t="s">
        <v>31</v>
      </c>
      <c r="K599" s="34" t="s">
        <v>32</v>
      </c>
      <c r="L599" s="34" t="s">
        <v>1755</v>
      </c>
      <c r="M599" s="34" t="s">
        <v>33</v>
      </c>
      <c r="N599" s="49"/>
      <c r="O599" s="50"/>
      <c r="P599" s="51"/>
      <c r="Q599" s="42">
        <v>19.817001999999999</v>
      </c>
      <c r="R599" s="42">
        <v>-90.525126999999998</v>
      </c>
      <c r="S599" s="74" t="s">
        <v>34</v>
      </c>
      <c r="T599" s="74" t="s">
        <v>175</v>
      </c>
      <c r="U599" s="74" t="s">
        <v>176</v>
      </c>
      <c r="V599" s="74" t="s">
        <v>176</v>
      </c>
      <c r="W599" s="74"/>
      <c r="X599" s="74"/>
      <c r="Y599" s="74"/>
      <c r="Z599" s="74"/>
      <c r="AA599" s="75"/>
      <c r="AB599" s="30">
        <f t="shared" si="9"/>
        <v>0.20833333333333331</v>
      </c>
    </row>
    <row r="600" spans="1:31" ht="30" x14ac:dyDescent="0.3">
      <c r="A600" s="35" t="s">
        <v>1724</v>
      </c>
      <c r="B600" s="41" t="s">
        <v>25</v>
      </c>
      <c r="C600" s="35" t="s">
        <v>477</v>
      </c>
      <c r="D600" s="33" t="s">
        <v>1775</v>
      </c>
      <c r="E600" s="34" t="s">
        <v>1717</v>
      </c>
      <c r="F600" s="84" t="s">
        <v>1718</v>
      </c>
      <c r="G600" s="34" t="s">
        <v>154</v>
      </c>
      <c r="H600" s="37">
        <v>1</v>
      </c>
      <c r="I600" s="34" t="s">
        <v>155</v>
      </c>
      <c r="J600" s="34" t="s">
        <v>31</v>
      </c>
      <c r="K600" s="34" t="s">
        <v>32</v>
      </c>
      <c r="L600" s="34" t="s">
        <v>1756</v>
      </c>
      <c r="M600" s="34" t="s">
        <v>33</v>
      </c>
      <c r="N600" s="49">
        <v>33</v>
      </c>
      <c r="O600" s="50">
        <v>10</v>
      </c>
      <c r="P600" s="51">
        <v>247</v>
      </c>
      <c r="Q600" s="42">
        <v>17.0745</v>
      </c>
      <c r="R600" s="42">
        <v>-96.726100000000002</v>
      </c>
      <c r="S600" s="74" t="s">
        <v>34</v>
      </c>
      <c r="T600" s="74"/>
      <c r="U600" s="74"/>
      <c r="V600" s="74"/>
      <c r="W600" s="74"/>
      <c r="X600" s="74"/>
      <c r="Y600" s="74"/>
      <c r="Z600" s="74"/>
      <c r="AA600" s="75"/>
      <c r="AB600" s="30">
        <f t="shared" si="9"/>
        <v>0.125</v>
      </c>
    </row>
    <row r="601" spans="1:31" x14ac:dyDescent="0.3">
      <c r="A601" s="35" t="s">
        <v>1726</v>
      </c>
      <c r="B601" s="41" t="s">
        <v>25</v>
      </c>
      <c r="C601" s="35" t="s">
        <v>535</v>
      </c>
      <c r="D601" s="33" t="s">
        <v>1775</v>
      </c>
      <c r="E601" s="35" t="s">
        <v>187</v>
      </c>
      <c r="F601" s="90" t="s">
        <v>1720</v>
      </c>
      <c r="G601" s="35" t="s">
        <v>1721</v>
      </c>
      <c r="H601" s="41">
        <v>3</v>
      </c>
      <c r="I601" s="35" t="s">
        <v>1722</v>
      </c>
      <c r="J601" s="35" t="s">
        <v>1723</v>
      </c>
      <c r="K601" s="35" t="s">
        <v>32</v>
      </c>
      <c r="L601" s="35" t="s">
        <v>1755</v>
      </c>
      <c r="M601" s="35" t="s">
        <v>33</v>
      </c>
      <c r="N601" s="41">
        <v>12</v>
      </c>
      <c r="O601" s="41">
        <v>0</v>
      </c>
      <c r="P601" s="41">
        <v>14</v>
      </c>
      <c r="Q601" s="42">
        <v>18.985352299999999</v>
      </c>
      <c r="R601" s="42">
        <v>-98.241913999999994</v>
      </c>
      <c r="S601" s="74" t="s">
        <v>34</v>
      </c>
      <c r="T601" s="74"/>
      <c r="U601" s="74"/>
      <c r="V601" s="74"/>
      <c r="W601" s="74"/>
      <c r="X601" s="74"/>
      <c r="Y601" s="74"/>
      <c r="Z601" s="74"/>
      <c r="AA601" s="75"/>
      <c r="AB601" s="30">
        <f t="shared" si="9"/>
        <v>0.125</v>
      </c>
      <c r="AE601" s="29"/>
    </row>
    <row r="602" spans="1:31" ht="30" x14ac:dyDescent="0.3">
      <c r="A602" s="35" t="s">
        <v>1728</v>
      </c>
      <c r="B602" s="41" t="s">
        <v>25</v>
      </c>
      <c r="C602" s="35" t="s">
        <v>886</v>
      </c>
      <c r="D602" s="33" t="s">
        <v>1775</v>
      </c>
      <c r="E602" s="91" t="s">
        <v>1201</v>
      </c>
      <c r="F602" s="92" t="s">
        <v>1839</v>
      </c>
      <c r="G602" s="93" t="s">
        <v>1721</v>
      </c>
      <c r="H602" s="41">
        <v>3</v>
      </c>
      <c r="I602" s="35" t="s">
        <v>1722</v>
      </c>
      <c r="J602" s="35" t="s">
        <v>1723</v>
      </c>
      <c r="K602" s="35" t="s">
        <v>32</v>
      </c>
      <c r="L602" s="35" t="s">
        <v>1755</v>
      </c>
      <c r="M602" s="35" t="s">
        <v>33</v>
      </c>
      <c r="N602" s="41">
        <v>2</v>
      </c>
      <c r="O602" s="41">
        <v>0</v>
      </c>
      <c r="P602" s="41">
        <v>4</v>
      </c>
      <c r="Q602" s="52">
        <v>24.110720000000001</v>
      </c>
      <c r="R602" s="52">
        <v>-110.31905</v>
      </c>
      <c r="S602" s="74" t="s">
        <v>34</v>
      </c>
      <c r="T602" s="74" t="s">
        <v>175</v>
      </c>
      <c r="U602" s="74" t="s">
        <v>213</v>
      </c>
      <c r="V602" s="74" t="s">
        <v>213</v>
      </c>
      <c r="W602" s="74"/>
      <c r="X602" s="74"/>
      <c r="Y602" s="74"/>
      <c r="Z602" s="74"/>
      <c r="AA602" s="75"/>
      <c r="AB602" s="30">
        <f t="shared" si="9"/>
        <v>0.29166666666666663</v>
      </c>
    </row>
    <row r="603" spans="1:31" ht="15" x14ac:dyDescent="0.3">
      <c r="A603" s="35" t="s">
        <v>1730</v>
      </c>
      <c r="B603" s="41" t="s">
        <v>25</v>
      </c>
      <c r="C603" s="35" t="s">
        <v>450</v>
      </c>
      <c r="D603" s="33" t="s">
        <v>1775</v>
      </c>
      <c r="E603" s="91" t="s">
        <v>535</v>
      </c>
      <c r="F603" s="92" t="s">
        <v>1727</v>
      </c>
      <c r="G603" s="93" t="s">
        <v>1721</v>
      </c>
      <c r="H603" s="41">
        <v>3</v>
      </c>
      <c r="I603" s="35" t="s">
        <v>1722</v>
      </c>
      <c r="J603" s="35" t="s">
        <v>1723</v>
      </c>
      <c r="K603" s="35" t="s">
        <v>32</v>
      </c>
      <c r="L603" s="35" t="s">
        <v>1755</v>
      </c>
      <c r="M603" s="35" t="s">
        <v>33</v>
      </c>
      <c r="N603" s="41">
        <v>9</v>
      </c>
      <c r="O603" s="41">
        <v>1</v>
      </c>
      <c r="P603" s="41">
        <v>3</v>
      </c>
      <c r="Q603" s="42">
        <v>21.501364800000001</v>
      </c>
      <c r="R603" s="42">
        <v>-104.89738389999999</v>
      </c>
      <c r="S603" s="74" t="s">
        <v>34</v>
      </c>
      <c r="T603" s="74"/>
      <c r="U603" s="74" t="s">
        <v>213</v>
      </c>
      <c r="V603" s="74" t="s">
        <v>213</v>
      </c>
      <c r="W603" s="74"/>
      <c r="X603" s="74"/>
      <c r="Y603" s="74"/>
      <c r="Z603" s="74"/>
      <c r="AA603" s="75"/>
      <c r="AB603" s="30">
        <f t="shared" si="9"/>
        <v>0.29166666666666663</v>
      </c>
    </row>
    <row r="604" spans="1:31" ht="30" x14ac:dyDescent="0.3">
      <c r="A604" s="35" t="s">
        <v>1732</v>
      </c>
      <c r="B604" s="41" t="s">
        <v>25</v>
      </c>
      <c r="C604" s="35" t="s">
        <v>672</v>
      </c>
      <c r="D604" s="33" t="s">
        <v>1775</v>
      </c>
      <c r="E604" s="91" t="s">
        <v>895</v>
      </c>
      <c r="F604" s="92" t="s">
        <v>1729</v>
      </c>
      <c r="G604" s="93" t="s">
        <v>180</v>
      </c>
      <c r="H604" s="41">
        <v>3</v>
      </c>
      <c r="I604" s="35" t="s">
        <v>181</v>
      </c>
      <c r="J604" s="35" t="s">
        <v>182</v>
      </c>
      <c r="K604" s="35" t="s">
        <v>32</v>
      </c>
      <c r="L604" s="35" t="s">
        <v>1755</v>
      </c>
      <c r="M604" s="35" t="s">
        <v>33</v>
      </c>
      <c r="N604" s="41">
        <v>8</v>
      </c>
      <c r="O604" s="41">
        <v>1</v>
      </c>
      <c r="P604" s="41">
        <v>6</v>
      </c>
      <c r="Q604" s="42">
        <v>24.820399999999999</v>
      </c>
      <c r="R604" s="42">
        <v>-107.405</v>
      </c>
      <c r="S604" s="74" t="s">
        <v>34</v>
      </c>
      <c r="T604" s="74"/>
      <c r="U604" s="74"/>
      <c r="V604" s="74"/>
      <c r="W604" s="74"/>
      <c r="X604" s="74"/>
      <c r="Y604" s="74"/>
      <c r="Z604" s="74"/>
      <c r="AA604" s="75"/>
      <c r="AB604" s="30">
        <f t="shared" si="9"/>
        <v>0.125</v>
      </c>
    </row>
    <row r="605" spans="1:31" ht="15" x14ac:dyDescent="0.3">
      <c r="A605" s="35" t="s">
        <v>1734</v>
      </c>
      <c r="B605" s="41" t="s">
        <v>25</v>
      </c>
      <c r="C605" s="35" t="s">
        <v>954</v>
      </c>
      <c r="D605" s="33" t="s">
        <v>1775</v>
      </c>
      <c r="E605" s="91" t="s">
        <v>1190</v>
      </c>
      <c r="F605" s="92" t="s">
        <v>1731</v>
      </c>
      <c r="G605" s="93" t="s">
        <v>180</v>
      </c>
      <c r="H605" s="41">
        <v>3</v>
      </c>
      <c r="I605" s="35" t="s">
        <v>181</v>
      </c>
      <c r="J605" s="35" t="s">
        <v>182</v>
      </c>
      <c r="K605" s="35" t="s">
        <v>32</v>
      </c>
      <c r="L605" s="35" t="s">
        <v>1755</v>
      </c>
      <c r="M605" s="35" t="s">
        <v>33</v>
      </c>
      <c r="N605" s="41">
        <v>10</v>
      </c>
      <c r="O605" s="41">
        <v>0</v>
      </c>
      <c r="P605" s="41">
        <v>1</v>
      </c>
      <c r="Q605" s="42">
        <v>29.064399999999999</v>
      </c>
      <c r="R605" s="42">
        <v>-110.962194</v>
      </c>
      <c r="S605" s="74" t="s">
        <v>34</v>
      </c>
      <c r="T605" s="74" t="s">
        <v>35</v>
      </c>
      <c r="U605" s="74" t="s">
        <v>35</v>
      </c>
      <c r="V605" s="74" t="s">
        <v>35</v>
      </c>
      <c r="W605" s="74" t="s">
        <v>1808</v>
      </c>
      <c r="X605" s="74"/>
      <c r="Y605" s="74"/>
      <c r="Z605" s="74"/>
      <c r="AA605" s="75"/>
      <c r="AB605" s="30">
        <f t="shared" si="9"/>
        <v>0.54166666666666663</v>
      </c>
    </row>
    <row r="606" spans="1:31" ht="15" x14ac:dyDescent="0.3">
      <c r="A606" s="35" t="s">
        <v>1736</v>
      </c>
      <c r="B606" s="41" t="s">
        <v>25</v>
      </c>
      <c r="C606" s="35" t="s">
        <v>159</v>
      </c>
      <c r="D606" s="33" t="s">
        <v>1775</v>
      </c>
      <c r="E606" s="91" t="s">
        <v>705</v>
      </c>
      <c r="F606" s="92" t="s">
        <v>1733</v>
      </c>
      <c r="G606" s="93" t="s">
        <v>180</v>
      </c>
      <c r="H606" s="41">
        <v>3</v>
      </c>
      <c r="I606" s="35" t="s">
        <v>181</v>
      </c>
      <c r="J606" s="35" t="s">
        <v>182</v>
      </c>
      <c r="K606" s="35" t="s">
        <v>32</v>
      </c>
      <c r="L606" s="35" t="s">
        <v>1755</v>
      </c>
      <c r="M606" s="35" t="s">
        <v>33</v>
      </c>
      <c r="N606" s="41">
        <v>11</v>
      </c>
      <c r="O606" s="41">
        <v>0</v>
      </c>
      <c r="P606" s="41">
        <v>4</v>
      </c>
      <c r="Q606" s="42">
        <v>23.722435999999998</v>
      </c>
      <c r="R606" s="42">
        <v>-99.164563000000001</v>
      </c>
      <c r="S606" s="74" t="s">
        <v>34</v>
      </c>
      <c r="T606" s="74"/>
      <c r="U606" s="74"/>
      <c r="V606" s="74"/>
      <c r="W606" s="74"/>
      <c r="X606" s="74"/>
      <c r="Y606" s="74"/>
      <c r="Z606" s="74"/>
      <c r="AA606" s="75"/>
      <c r="AB606" s="30">
        <f t="shared" si="9"/>
        <v>0.125</v>
      </c>
    </row>
    <row r="607" spans="1:31" ht="30" x14ac:dyDescent="0.3">
      <c r="A607" s="35" t="s">
        <v>1738</v>
      </c>
      <c r="B607" s="41" t="s">
        <v>25</v>
      </c>
      <c r="C607" s="35" t="s">
        <v>159</v>
      </c>
      <c r="D607" s="33" t="s">
        <v>1775</v>
      </c>
      <c r="E607" s="91" t="s">
        <v>1350</v>
      </c>
      <c r="F607" s="92" t="s">
        <v>1735</v>
      </c>
      <c r="G607" s="93" t="s">
        <v>180</v>
      </c>
      <c r="H607" s="41">
        <v>3</v>
      </c>
      <c r="I607" s="35" t="s">
        <v>181</v>
      </c>
      <c r="J607" s="35" t="s">
        <v>182</v>
      </c>
      <c r="K607" s="35" t="s">
        <v>32</v>
      </c>
      <c r="L607" s="35" t="s">
        <v>1755</v>
      </c>
      <c r="M607" s="35" t="s">
        <v>33</v>
      </c>
      <c r="N607" s="41">
        <v>16</v>
      </c>
      <c r="O607" s="41">
        <v>0</v>
      </c>
      <c r="P607" s="41">
        <v>6</v>
      </c>
      <c r="Q607" s="42">
        <v>27.477285999999999</v>
      </c>
      <c r="R607" s="42">
        <v>-99.547320999999997</v>
      </c>
      <c r="S607" s="74" t="s">
        <v>34</v>
      </c>
      <c r="T607" s="74"/>
      <c r="U607" s="74"/>
      <c r="V607" s="74"/>
      <c r="W607" s="74"/>
      <c r="X607" s="74"/>
      <c r="Y607" s="74"/>
      <c r="Z607" s="74"/>
      <c r="AA607" s="75"/>
      <c r="AB607" s="30">
        <f t="shared" si="9"/>
        <v>0.125</v>
      </c>
    </row>
    <row r="608" spans="1:31" ht="15" x14ac:dyDescent="0.3">
      <c r="A608" s="35" t="s">
        <v>1740</v>
      </c>
      <c r="B608" s="41" t="s">
        <v>25</v>
      </c>
      <c r="C608" s="35" t="s">
        <v>755</v>
      </c>
      <c r="D608" s="33" t="s">
        <v>1775</v>
      </c>
      <c r="E608" s="91" t="s">
        <v>160</v>
      </c>
      <c r="F608" s="92" t="s">
        <v>1737</v>
      </c>
      <c r="G608" s="93" t="s">
        <v>180</v>
      </c>
      <c r="H608" s="41">
        <v>3</v>
      </c>
      <c r="I608" s="35" t="s">
        <v>181</v>
      </c>
      <c r="J608" s="35" t="s">
        <v>182</v>
      </c>
      <c r="K608" s="35" t="s">
        <v>32</v>
      </c>
      <c r="L608" s="35" t="s">
        <v>1755</v>
      </c>
      <c r="M608" s="35" t="s">
        <v>33</v>
      </c>
      <c r="N608" s="41">
        <v>6</v>
      </c>
      <c r="O608" s="41">
        <v>0</v>
      </c>
      <c r="P608" s="41">
        <v>3</v>
      </c>
      <c r="Q608" s="42">
        <v>19.368091499999998</v>
      </c>
      <c r="R608" s="42">
        <v>-98.210456899999997</v>
      </c>
      <c r="S608" s="74" t="s">
        <v>34</v>
      </c>
      <c r="T608" s="74" t="s">
        <v>35</v>
      </c>
      <c r="U608" s="74" t="s">
        <v>213</v>
      </c>
      <c r="V608" s="74" t="s">
        <v>213</v>
      </c>
      <c r="W608" s="74"/>
      <c r="X608" s="74"/>
      <c r="Y608" s="74"/>
      <c r="Z608" s="74"/>
      <c r="AA608" s="75"/>
      <c r="AB608" s="30">
        <f t="shared" si="9"/>
        <v>0.41666666666666663</v>
      </c>
    </row>
    <row r="609" spans="1:28" ht="30" x14ac:dyDescent="0.3">
      <c r="A609" s="35" t="s">
        <v>1742</v>
      </c>
      <c r="B609" s="41" t="s">
        <v>25</v>
      </c>
      <c r="C609" s="35" t="s">
        <v>837</v>
      </c>
      <c r="D609" s="33" t="s">
        <v>1775</v>
      </c>
      <c r="E609" s="91" t="s">
        <v>1405</v>
      </c>
      <c r="F609" s="94" t="s">
        <v>1739</v>
      </c>
      <c r="G609" s="93" t="s">
        <v>180</v>
      </c>
      <c r="H609" s="41">
        <v>3</v>
      </c>
      <c r="I609" s="35" t="s">
        <v>181</v>
      </c>
      <c r="J609" s="35" t="s">
        <v>182</v>
      </c>
      <c r="K609" s="35" t="s">
        <v>32</v>
      </c>
      <c r="L609" s="35" t="s">
        <v>1755</v>
      </c>
      <c r="M609" s="35" t="s">
        <v>33</v>
      </c>
      <c r="N609" s="41">
        <v>5</v>
      </c>
      <c r="O609" s="41">
        <v>0</v>
      </c>
      <c r="P609" s="41">
        <v>2</v>
      </c>
      <c r="Q609" s="42">
        <v>22.752110999999999</v>
      </c>
      <c r="R609" s="42">
        <v>-102.502348</v>
      </c>
      <c r="S609" s="74" t="s">
        <v>34</v>
      </c>
      <c r="T609" s="74" t="s">
        <v>175</v>
      </c>
      <c r="U609" s="74" t="s">
        <v>213</v>
      </c>
      <c r="V609" s="74" t="s">
        <v>213</v>
      </c>
      <c r="W609" s="74"/>
      <c r="X609" s="74"/>
      <c r="Y609" s="74"/>
      <c r="Z609" s="74"/>
      <c r="AA609" s="75"/>
      <c r="AB609" s="30">
        <f t="shared" si="9"/>
        <v>0.29166666666666663</v>
      </c>
    </row>
    <row r="610" spans="1:28" x14ac:dyDescent="0.3">
      <c r="A610" s="35" t="s">
        <v>1744</v>
      </c>
      <c r="B610" s="41" t="s">
        <v>25</v>
      </c>
      <c r="C610" s="35" t="s">
        <v>159</v>
      </c>
      <c r="D610" s="33" t="s">
        <v>1775</v>
      </c>
      <c r="E610" s="35" t="s">
        <v>1441</v>
      </c>
      <c r="F610" s="95" t="s">
        <v>1741</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74" t="s">
        <v>34</v>
      </c>
      <c r="T610" s="74"/>
      <c r="U610" s="74"/>
      <c r="V610" s="74"/>
      <c r="W610" s="74"/>
      <c r="X610" s="74"/>
      <c r="Y610" s="74"/>
      <c r="Z610" s="74"/>
      <c r="AA610" s="75"/>
      <c r="AB610" s="30">
        <f t="shared" si="9"/>
        <v>0.125</v>
      </c>
    </row>
    <row r="611" spans="1:28" x14ac:dyDescent="0.3">
      <c r="A611" s="79" t="s">
        <v>1746</v>
      </c>
      <c r="B611" s="80" t="s">
        <v>210</v>
      </c>
      <c r="C611" s="80" t="s">
        <v>1774</v>
      </c>
      <c r="D611" s="33" t="s">
        <v>1775</v>
      </c>
      <c r="E611" s="35" t="s">
        <v>1572</v>
      </c>
      <c r="F611" s="35" t="s">
        <v>1743</v>
      </c>
      <c r="G611" s="35" t="s">
        <v>180</v>
      </c>
      <c r="H611" s="41">
        <v>3</v>
      </c>
      <c r="I611" s="35" t="s">
        <v>181</v>
      </c>
      <c r="J611" s="35" t="s">
        <v>182</v>
      </c>
      <c r="K611" s="35" t="s">
        <v>32</v>
      </c>
      <c r="L611" s="35" t="s">
        <v>1755</v>
      </c>
      <c r="M611" s="35" t="s">
        <v>33</v>
      </c>
      <c r="N611" s="41">
        <v>5</v>
      </c>
      <c r="O611" s="41">
        <v>0</v>
      </c>
      <c r="P611" s="41">
        <v>2</v>
      </c>
      <c r="Q611" s="36">
        <v>20.974905799999998</v>
      </c>
      <c r="R611" s="36">
        <v>-89.640565199999998</v>
      </c>
      <c r="S611" s="74" t="s">
        <v>34</v>
      </c>
      <c r="T611" s="74" t="s">
        <v>175</v>
      </c>
      <c r="U611" s="74" t="s">
        <v>213</v>
      </c>
      <c r="V611" s="74" t="s">
        <v>213</v>
      </c>
      <c r="W611" s="74"/>
      <c r="X611" s="74"/>
      <c r="Y611" s="74"/>
      <c r="Z611" s="74"/>
      <c r="AA611" s="75"/>
      <c r="AB611" s="30">
        <f t="shared" si="9"/>
        <v>0.29166666666666663</v>
      </c>
    </row>
    <row r="612" spans="1:28" x14ac:dyDescent="0.3">
      <c r="A612" s="36" t="s">
        <v>1820</v>
      </c>
      <c r="B612" s="36" t="s">
        <v>25</v>
      </c>
      <c r="C612" s="36" t="s">
        <v>450</v>
      </c>
      <c r="D612" s="83" t="s">
        <v>1775</v>
      </c>
      <c r="E612" s="35" t="s">
        <v>160</v>
      </c>
      <c r="F612" s="35" t="s">
        <v>1745</v>
      </c>
      <c r="G612" s="35" t="s">
        <v>180</v>
      </c>
      <c r="H612" s="41">
        <v>3</v>
      </c>
      <c r="I612" s="35" t="s">
        <v>181</v>
      </c>
      <c r="J612" s="35" t="s">
        <v>182</v>
      </c>
      <c r="K612" s="35" t="s">
        <v>32</v>
      </c>
      <c r="L612" s="35" t="s">
        <v>1755</v>
      </c>
      <c r="M612" s="35" t="s">
        <v>33</v>
      </c>
      <c r="N612" s="41">
        <v>2</v>
      </c>
      <c r="O612" s="41">
        <v>0</v>
      </c>
      <c r="P612" s="41">
        <v>0</v>
      </c>
      <c r="Q612" s="27">
        <v>21.47908</v>
      </c>
      <c r="R612" s="27">
        <v>-104.846994</v>
      </c>
      <c r="S612" s="74" t="s">
        <v>34</v>
      </c>
      <c r="T612" s="74"/>
      <c r="U612" s="74" t="s">
        <v>213</v>
      </c>
      <c r="V612" s="74" t="s">
        <v>213</v>
      </c>
      <c r="W612" s="74"/>
      <c r="X612" s="74"/>
      <c r="Y612" s="74"/>
      <c r="Z612" s="74"/>
      <c r="AA612" s="75"/>
      <c r="AB612" s="30">
        <f>(
IF(S612="ENVIADO A LA CE/UM",1/3,IF(S612="ENTREGADO/REVISIÓN",2/3,IF(S612="ENVIADO A TICS",1,0)))+
IF(T612="EN PROCESO",0,IF(T612="CONCLUIDO",1,0))+
IF(U612="ENVIADO A LA CE/UM",1/3,IF(U612="EN REVISIÓN CENTRAL",2/3,IF(U612="CONCLUIDO",1,0)))+
IF(V612="ENVIADO A LA CE/UM",1/3,IF(V612="EN REVISIÓN CENTRAL",2/3,IF(V612="CONCLUIDO",1,0)))+
IF(W612="ENVIADO",1/3,IF(W612="EN PROCESO",2/3,IF(W612="CONCLUIDO",1,0)))+
IF(X612="PROGRAMADAS",0,IF(X612="CONCLUIDAS",1,0))+
IF(Y612="SI",1,IF(Y612="NO",0,0))+
IF(Z612="SI",1,IF(Z612="NO",0,0))
)/8</f>
        <v>0.29166666666666663</v>
      </c>
    </row>
    <row r="613" spans="1:28" x14ac:dyDescent="0.3">
      <c r="A613" s="36" t="s">
        <v>1821</v>
      </c>
      <c r="B613" s="36" t="s">
        <v>25</v>
      </c>
      <c r="C613" s="36" t="s">
        <v>450</v>
      </c>
      <c r="D613" s="83" t="s">
        <v>1775</v>
      </c>
      <c r="E613" s="80" t="s">
        <v>1609</v>
      </c>
      <c r="F613" s="80" t="s">
        <v>1747</v>
      </c>
      <c r="G613" s="80" t="s">
        <v>1747</v>
      </c>
      <c r="H613" s="81">
        <v>3</v>
      </c>
      <c r="I613" s="80" t="s">
        <v>181</v>
      </c>
      <c r="J613" s="80" t="s">
        <v>182</v>
      </c>
      <c r="K613" s="80" t="s">
        <v>32</v>
      </c>
      <c r="L613" s="80" t="s">
        <v>1760</v>
      </c>
      <c r="M613" s="80" t="s">
        <v>33</v>
      </c>
      <c r="N613" s="82">
        <v>6</v>
      </c>
      <c r="O613" s="82">
        <v>1</v>
      </c>
      <c r="P613" s="82">
        <v>4</v>
      </c>
      <c r="Q613" s="27">
        <v>21.479264000000001</v>
      </c>
      <c r="R613" s="27">
        <v>-104.847415</v>
      </c>
      <c r="S613" s="74" t="s">
        <v>34</v>
      </c>
      <c r="T613" s="74"/>
      <c r="U613" s="74" t="s">
        <v>213</v>
      </c>
      <c r="V613" s="74" t="s">
        <v>213</v>
      </c>
      <c r="W613" s="74"/>
      <c r="X613" s="74"/>
      <c r="Y613" s="74"/>
      <c r="Z613" s="74"/>
      <c r="AA613" s="75"/>
      <c r="AB613" s="30">
        <f>(
IF(S613="ENVIADO A LA CE/UM",1/3,IF(S613="ENTREGADO/REVISIÓN",2/3,IF(S613="ENVIADO A TICS",1,0)))+
IF(T613="EN PROCESO",0,IF(T613="CONCLUIDO",1,0))+
IF(U613="ENVIADO A LA CE/UM",1/3,IF(U613="EN REVISIÓN CENTRAL",2/3,IF(U613="CONCLUIDO",1,0)))+
IF(V613="ENVIADO A LA CE/UM",1/3,IF(V613="EN REVISIÓN CENTRAL",2/3,IF(V613="CONCLUIDO",1,0)))+
IF(W613="ENVIADO",1/3,IF(W613="EN PROCESO",2/3,IF(W613="CONCLUIDO",1,0)))+
IF(X613="PROGRAMADAS",0,IF(X613="CONCLUIDAS",1,0))+
IF(Y613="SI",1,IF(Y613="NO",0,0))+
IF(Z613="SI",1,IF(Z613="NO",0,0))
)/8</f>
        <v>0.29166666666666663</v>
      </c>
    </row>
    <row r="614" spans="1:28" x14ac:dyDescent="0.3">
      <c r="E614" s="36" t="s">
        <v>1190</v>
      </c>
      <c r="F614" s="36" t="s">
        <v>1822</v>
      </c>
      <c r="G614" s="36" t="s">
        <v>1823</v>
      </c>
      <c r="H614" s="36">
        <v>3</v>
      </c>
      <c r="I614" s="36" t="s">
        <v>181</v>
      </c>
      <c r="J614" s="36" t="s">
        <v>1824</v>
      </c>
      <c r="K614" s="36" t="s">
        <v>32</v>
      </c>
      <c r="L614" s="36" t="s">
        <v>1755</v>
      </c>
      <c r="M614" s="36" t="s">
        <v>33</v>
      </c>
      <c r="N614" s="36">
        <v>3</v>
      </c>
      <c r="O614" s="36">
        <v>0</v>
      </c>
      <c r="P614" s="36">
        <v>0</v>
      </c>
    </row>
    <row r="615" spans="1:28" x14ac:dyDescent="0.3">
      <c r="E615" s="36" t="s">
        <v>1190</v>
      </c>
      <c r="F615" s="36" t="s">
        <v>1825</v>
      </c>
      <c r="G615" s="36" t="s">
        <v>1823</v>
      </c>
      <c r="H615" s="36">
        <v>3</v>
      </c>
      <c r="I615" s="36" t="s">
        <v>181</v>
      </c>
      <c r="J615" s="36" t="s">
        <v>1825</v>
      </c>
      <c r="K615" s="36" t="s">
        <v>32</v>
      </c>
      <c r="L615" s="36" t="s">
        <v>1755</v>
      </c>
      <c r="M615" s="36" t="s">
        <v>33</v>
      </c>
      <c r="N615" s="36">
        <v>4</v>
      </c>
      <c r="O615" s="36">
        <v>4</v>
      </c>
      <c r="P615" s="36">
        <v>10</v>
      </c>
    </row>
  </sheetData>
  <conditionalFormatting sqref="A300:A611">
    <cfRule type="duplicateValues" dxfId="78" priority="46"/>
  </conditionalFormatting>
  <conditionalFormatting sqref="A598:A609">
    <cfRule type="duplicateValues" dxfId="77" priority="47"/>
  </conditionalFormatting>
  <conditionalFormatting sqref="Q611">
    <cfRule type="containsText" dxfId="76" priority="288" operator="containsText" text="ENTREGADO/REVISIÓN">
      <formula>NOT(ISERROR(SEARCH("ENTREGADO/REVISIÓN",Q611)))</formula>
    </cfRule>
    <cfRule type="containsText" dxfId="75" priority="287" operator="containsText" text="ENVIADO A TICS">
      <formula>NOT(ISERROR(SEARCH("ENVIADO A TICS",Q611)))</formula>
    </cfRule>
    <cfRule type="containsText" dxfId="74" priority="289" operator="containsText" text="ENVIADO A LA CE/UM">
      <formula>NOT(ISERROR(SEARCH("ENVIADO A LA CE/UM",Q611)))</formula>
    </cfRule>
  </conditionalFormatting>
  <conditionalFormatting sqref="R611">
    <cfRule type="containsText" dxfId="73" priority="286" operator="containsText" text="EN PROCESO">
      <formula>NOT(ISERROR(SEARCH("EN PROCESO",R611)))</formula>
    </cfRule>
    <cfRule type="containsText" dxfId="72" priority="295" operator="containsText" text="CONCLUIDO">
      <formula>NOT(ISERROR(SEARCH("CONCLUIDO",R611)))</formula>
    </cfRule>
  </conditionalFormatting>
  <conditionalFormatting sqref="S1">
    <cfRule type="containsText" dxfId="71" priority="45" operator="containsText" text="ENVIADO A LA CE/UM">
      <formula>NOT(ISERROR(SEARCH("ENVIADO A LA CE/UM",S1)))</formula>
    </cfRule>
    <cfRule type="containsText" dxfId="70" priority="43" operator="containsText" text="ENVIADO A TICS">
      <formula>NOT(ISERROR(SEARCH("ENVIADO A TICS",S1)))</formula>
    </cfRule>
    <cfRule type="containsText" dxfId="69" priority="44" operator="containsText" text="ENTREGADO/REVISIÓN">
      <formula>NOT(ISERROR(SEARCH("ENTREGADO/REVISIÓN",S1)))</formula>
    </cfRule>
  </conditionalFormatting>
  <conditionalFormatting sqref="T1">
    <cfRule type="containsText" dxfId="68" priority="42" operator="containsText" text="EN PROCESO">
      <formula>NOT(ISERROR(SEARCH("EN PROCESO",T1)))</formula>
    </cfRule>
  </conditionalFormatting>
  <conditionalFormatting sqref="T1:W1">
    <cfRule type="containsText" dxfId="65" priority="37" operator="containsText" text="CONCLUIDO">
      <formula>NOT(ISERROR(SEARCH("CONCLUIDO",T1)))</formula>
    </cfRule>
  </conditionalFormatting>
  <conditionalFormatting sqref="U1">
    <cfRule type="containsText" dxfId="64" priority="371" operator="containsText" text="ENVIADO A LA CE/UM">
      <formula>NOT(ISERROR(SEARCH("ENVIADO A LA CE/UM",U1)))</formula>
    </cfRule>
  </conditionalFormatting>
  <conditionalFormatting sqref="U1:V1">
    <cfRule type="containsText" dxfId="61" priority="40" operator="containsText" text="EN REVISIÓN CENTRAL">
      <formula>NOT(ISERROR(SEARCH("EN REVISIÓN CENTRAL",U1)))</formula>
    </cfRule>
  </conditionalFormatting>
  <conditionalFormatting sqref="W1">
    <cfRule type="containsText" dxfId="57" priority="38" operator="containsText" text="EN PROCESO">
      <formula>NOT(ISERROR(SEARCH("EN PROCESO",W1)))</formula>
    </cfRule>
    <cfRule type="containsText" dxfId="56" priority="39" operator="containsText" text="ENVIADO">
      <formula>NOT(ISERROR(SEARCH("ENVIADO",W1)))</formula>
    </cfRule>
  </conditionalFormatting>
  <conditionalFormatting sqref="X1">
    <cfRule type="containsText" dxfId="53" priority="35" operator="containsText" text="CONCLUIDAS">
      <formula>NOT(ISERROR(SEARCH("CONCLUIDAS",X1)))</formula>
    </cfRule>
    <cfRule type="containsText" dxfId="52" priority="36" operator="containsText" text="PROGRAMADAS">
      <formula>NOT(ISERROR(SEARCH("PROGRAMADAS",X1)))</formula>
    </cfRule>
  </conditionalFormatting>
  <conditionalFormatting sqref="Y1:Z1">
    <cfRule type="containsText" dxfId="51" priority="34" operator="containsText" text="NO">
      <formula>NOT(ISERROR(SEARCH("NO",Y1)))</formula>
    </cfRule>
    <cfRule type="containsText" dxfId="50" priority="33" operator="containsText" text="SI">
      <formula>NOT(ISERROR(SEARCH("SI",Y1)))</formula>
    </cfRule>
  </conditionalFormatting>
  <conditionalFormatting sqref="AB1">
    <cfRule type="dataBar" priority="403">
      <dataBar>
        <cfvo type="min"/>
        <cfvo type="max"/>
        <color rgb="FF638EC6"/>
      </dataBar>
      <extLst>
        <ext xmlns:x14="http://schemas.microsoft.com/office/spreadsheetml/2009/9/main" uri="{B025F937-C7B1-47D3-B67F-A62EFF666E3E}">
          <x14:id>{F82929F4-7602-4E2A-A085-8C1020A82470}</x14:id>
        </ext>
      </extLst>
    </cfRule>
  </conditionalFormatting>
  <conditionalFormatting sqref="A2:A299">
    <cfRule type="duplicateValues" dxfId="22" priority="24"/>
  </conditionalFormatting>
  <conditionalFormatting sqref="S2:S613">
    <cfRule type="containsText" dxfId="21" priority="10" operator="containsText" text="ENVIADO A TICS">
      <formula>NOT(ISERROR(SEARCH("ENVIADO A TICS",S2)))</formula>
    </cfRule>
    <cfRule type="containsText" dxfId="20" priority="11" operator="containsText" text="ENTREGADO/REVISIÓN">
      <formula>NOT(ISERROR(SEARCH("ENTREGADO/REVISIÓN",S2)))</formula>
    </cfRule>
    <cfRule type="containsText" dxfId="19" priority="12" operator="containsText" text="ENVIADO A LA CE/UM">
      <formula>NOT(ISERROR(SEARCH("ENVIADO A LA CE/UM",S2)))</formula>
    </cfRule>
  </conditionalFormatting>
  <conditionalFormatting sqref="T611:U611 T612:W613 T2:W610">
    <cfRule type="containsText" dxfId="18" priority="18" operator="containsText" text="CONCLUIDO">
      <formula>NOT(ISERROR(SEARCH("CONCLUIDO",T2)))</formula>
    </cfRule>
  </conditionalFormatting>
  <conditionalFormatting sqref="T2:T610">
    <cfRule type="containsText" dxfId="17" priority="9" operator="containsText" text="EN PROCESO">
      <formula>NOT(ISERROR(SEARCH("EN PROCESO",T2)))</formula>
    </cfRule>
  </conditionalFormatting>
  <conditionalFormatting sqref="T612:T613">
    <cfRule type="containsText" dxfId="16" priority="23" operator="containsText" text="EN PROCESO">
      <formula>NOT(ISERROR(SEARCH("EN PROCESO",T612)))</formula>
    </cfRule>
  </conditionalFormatting>
  <conditionalFormatting sqref="T611">
    <cfRule type="containsText" dxfId="15" priority="7" operator="containsText" text="EN REVISIÓN CENTRAL">
      <formula>NOT(ISERROR(SEARCH("EN REVISIÓN CENTRAL",T611)))</formula>
    </cfRule>
    <cfRule type="containsText" dxfId="14" priority="8" operator="containsText" text="ENVIADO A LA CE/UM">
      <formula>NOT(ISERROR(SEARCH("ENVIADO A LA CE/UM",T611)))</formula>
    </cfRule>
  </conditionalFormatting>
  <conditionalFormatting sqref="U2:V610 U612:V613">
    <cfRule type="containsText" dxfId="13" priority="22" operator="containsText" text="ENVIADO A LA CE/UM">
      <formula>NOT(ISERROR(SEARCH("ENVIADO A LA CE/UM",U2)))</formula>
    </cfRule>
  </conditionalFormatting>
  <conditionalFormatting sqref="U611 W2:W610">
    <cfRule type="containsText" dxfId="12" priority="5" operator="containsText" text="EN PROCESO">
      <formula>NOT(ISERROR(SEARCH("EN PROCESO",U2)))</formula>
    </cfRule>
    <cfRule type="containsText" dxfId="11" priority="6" operator="containsText" text="ENVIADO">
      <formula>NOT(ISERROR(SEARCH("ENVIADO",U2)))</formula>
    </cfRule>
  </conditionalFormatting>
  <conditionalFormatting sqref="U612:V613 U2:V610">
    <cfRule type="containsText" dxfId="10" priority="21" operator="containsText" text="EN REVISIÓN CENTRAL">
      <formula>NOT(ISERROR(SEARCH("EN REVISIÓN CENTRAL",U2)))</formula>
    </cfRule>
  </conditionalFormatting>
  <conditionalFormatting sqref="V611 X2:X610">
    <cfRule type="containsText" dxfId="9" priority="3" operator="containsText" text="CONCLUIDAS">
      <formula>NOT(ISERROR(SEARCH("CONCLUIDAS",V2)))</formula>
    </cfRule>
    <cfRule type="containsText" dxfId="8" priority="4" operator="containsText" text="PROGRAMADAS">
      <formula>NOT(ISERROR(SEARCH("PROGRAMADAS",V2)))</formula>
    </cfRule>
  </conditionalFormatting>
  <conditionalFormatting sqref="W612:W613">
    <cfRule type="containsText" dxfId="7" priority="19" operator="containsText" text="EN PROCESO">
      <formula>NOT(ISERROR(SEARCH("EN PROCESO",W612)))</formula>
    </cfRule>
    <cfRule type="containsText" dxfId="6" priority="20" operator="containsText" text="ENVIADO">
      <formula>NOT(ISERROR(SEARCH("ENVIADO",W612)))</formula>
    </cfRule>
  </conditionalFormatting>
  <conditionalFormatting sqref="W611:Z611 Y2:Z610">
    <cfRule type="containsText" dxfId="5" priority="1" operator="containsText" text="SI">
      <formula>NOT(ISERROR(SEARCH("SI",W2)))</formula>
    </cfRule>
    <cfRule type="containsText" dxfId="4" priority="2" operator="containsText" text="NO">
      <formula>NOT(ISERROR(SEARCH("NO",W2)))</formula>
    </cfRule>
  </conditionalFormatting>
  <conditionalFormatting sqref="X612:X613">
    <cfRule type="containsText" dxfId="3" priority="16" operator="containsText" text="CONCLUIDAS">
      <formula>NOT(ISERROR(SEARCH("CONCLUIDAS",X612)))</formula>
    </cfRule>
    <cfRule type="containsText" dxfId="2" priority="17" operator="containsText" text="PROGRAMADAS">
      <formula>NOT(ISERROR(SEARCH("PROGRAMADAS",X612)))</formula>
    </cfRule>
  </conditionalFormatting>
  <conditionalFormatting sqref="Y612:Z613">
    <cfRule type="containsText" dxfId="1" priority="14" operator="containsText" text="SI">
      <formula>NOT(ISERROR(SEARCH("SI",Y612)))</formula>
    </cfRule>
    <cfRule type="containsText" dxfId="0" priority="15" operator="containsText" text="NO">
      <formula>NOT(ISERROR(SEARCH("NO",Y612)))</formula>
    </cfRule>
  </conditionalFormatting>
  <conditionalFormatting sqref="AB2:AB613">
    <cfRule type="dataBar" priority="13">
      <dataBar>
        <cfvo type="min"/>
        <cfvo type="max"/>
        <color rgb="FF638EC6"/>
      </dataBar>
      <extLst>
        <ext xmlns:x14="http://schemas.microsoft.com/office/spreadsheetml/2009/9/main" uri="{B025F937-C7B1-47D3-B67F-A62EFF666E3E}">
          <x14:id>{C88687AC-0B42-48B7-99A2-CAFA75C12EFD}</x14:id>
        </ext>
      </extLst>
    </cfRule>
  </conditionalFormatting>
  <dataValidations count="6">
    <dataValidation type="list" allowBlank="1" showInputMessage="1" showErrorMessage="1" sqref="U611 W612:W613 W2:W610" xr:uid="{E6592EFF-4B75-48CA-8B36-49E972B5B2CB}">
      <formula1>"ENVIADO,EN PROCESO,CONCLUIDO"</formula1>
    </dataValidation>
    <dataValidation type="list" allowBlank="1" showInputMessage="1" showErrorMessage="1" sqref="T611 U612:V613 U2:V610" xr:uid="{D043241F-42DE-4538-8EB3-714C174E155E}">
      <formula1>"ENVIADO A LA CE/UM,EN REVISIÓN CENTRAL,CONCLUIDO"</formula1>
    </dataValidation>
    <dataValidation type="list" allowBlank="1" showInputMessage="1" showErrorMessage="1" sqref="R611 T612:T613 T2:T610" xr:uid="{C8A9002E-7DB3-4A0D-979D-971BEFD31B66}">
      <formula1>"EN PROCESO,CONCLUIDO"</formula1>
    </dataValidation>
    <dataValidation type="list" allowBlank="1" showInputMessage="1" showErrorMessage="1" sqref="Q611 S2:S613" xr:uid="{75FCBD31-B148-470C-929E-44EBADF96C0C}">
      <formula1>"ENVIADO A LA CE/UM,ENTREGADO/REVISIÓN,ENVIADO A TICS"</formula1>
    </dataValidation>
    <dataValidation type="list" allowBlank="1" showInputMessage="1" showErrorMessage="1" sqref="V611 X612:X613 X2:X610" xr:uid="{EF05FDF3-B022-4027-839C-98FD9CC93BC8}">
      <formula1>"PROGRAMADAS,CONCLUIDAS"</formula1>
    </dataValidation>
    <dataValidation type="list" allowBlank="1" showInputMessage="1" showErrorMessage="1" sqref="W611:Z611 Y612:Z613 Y2:Z610" xr:uid="{105CAC5C-2C64-42F5-BDBF-781793530EF8}">
      <formula1>"SI,NO"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F82929F4-7602-4E2A-A085-8C1020A82470}">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C88687AC-0B42-48B7-99A2-CAFA75C12EFD}">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7"/>
  <sheetViews>
    <sheetView workbookViewId="0">
      <selection activeCell="D4" sqref="D4"/>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1810</v>
      </c>
      <c r="B1" s="43" t="s">
        <v>2</v>
      </c>
      <c r="C1" s="45" t="s">
        <v>1801</v>
      </c>
      <c r="D1" s="44" t="s">
        <v>1802</v>
      </c>
      <c r="E1" s="46" t="s">
        <v>1803</v>
      </c>
      <c r="F1" s="44" t="s">
        <v>1804</v>
      </c>
      <c r="G1" s="44" t="s">
        <v>1805</v>
      </c>
      <c r="H1" s="47" t="s">
        <v>1806</v>
      </c>
    </row>
    <row r="2" spans="1:8" x14ac:dyDescent="0.3">
      <c r="A2" s="65">
        <v>1</v>
      </c>
      <c r="B2" t="s">
        <v>1796</v>
      </c>
      <c r="C2">
        <v>395</v>
      </c>
      <c r="D2">
        <v>0</v>
      </c>
      <c r="E2">
        <v>58</v>
      </c>
      <c r="F2">
        <v>0</v>
      </c>
      <c r="G2">
        <v>49</v>
      </c>
      <c r="H2">
        <v>0</v>
      </c>
    </row>
    <row r="3" spans="1:8" x14ac:dyDescent="0.3">
      <c r="A3" s="65">
        <v>2</v>
      </c>
      <c r="B3" t="s">
        <v>1780</v>
      </c>
      <c r="C3">
        <v>722</v>
      </c>
      <c r="D3">
        <v>722</v>
      </c>
      <c r="E3">
        <v>94</v>
      </c>
      <c r="F3">
        <v>0</v>
      </c>
      <c r="G3">
        <v>245</v>
      </c>
      <c r="H3">
        <v>245</v>
      </c>
    </row>
    <row r="4" spans="1:8" x14ac:dyDescent="0.3">
      <c r="A4" s="65">
        <v>3</v>
      </c>
      <c r="B4" t="s">
        <v>1797</v>
      </c>
      <c r="C4">
        <v>114</v>
      </c>
      <c r="D4">
        <v>114</v>
      </c>
      <c r="E4">
        <v>104</v>
      </c>
      <c r="F4">
        <v>104</v>
      </c>
      <c r="G4">
        <v>158</v>
      </c>
      <c r="H4">
        <v>158</v>
      </c>
    </row>
    <row r="5" spans="1:8" x14ac:dyDescent="0.3">
      <c r="A5" s="65">
        <v>4</v>
      </c>
      <c r="B5" t="s">
        <v>1781</v>
      </c>
      <c r="C5">
        <v>0</v>
      </c>
      <c r="D5">
        <v>0</v>
      </c>
      <c r="E5">
        <v>36</v>
      </c>
      <c r="F5">
        <v>0</v>
      </c>
      <c r="G5">
        <v>60</v>
      </c>
      <c r="H5">
        <v>0</v>
      </c>
    </row>
    <row r="6" spans="1:8" x14ac:dyDescent="0.3">
      <c r="A6" s="66">
        <v>5</v>
      </c>
      <c r="B6" s="64" t="s">
        <v>1811</v>
      </c>
      <c r="C6" s="67">
        <v>1438</v>
      </c>
      <c r="D6" s="64">
        <v>0</v>
      </c>
      <c r="E6" s="64">
        <v>216</v>
      </c>
      <c r="F6" s="64">
        <v>0</v>
      </c>
      <c r="G6" s="64">
        <v>221</v>
      </c>
      <c r="H6" s="64">
        <v>0</v>
      </c>
    </row>
    <row r="7" spans="1:8" x14ac:dyDescent="0.3">
      <c r="A7" s="66">
        <v>6</v>
      </c>
      <c r="B7" s="64" t="s">
        <v>1812</v>
      </c>
      <c r="C7" s="67">
        <v>1249</v>
      </c>
      <c r="D7" s="64">
        <v>0</v>
      </c>
      <c r="E7" s="64">
        <v>188</v>
      </c>
      <c r="F7" s="64">
        <v>0</v>
      </c>
      <c r="G7" s="64">
        <v>158</v>
      </c>
      <c r="H7" s="64">
        <v>0</v>
      </c>
    </row>
    <row r="8" spans="1:8" x14ac:dyDescent="0.3">
      <c r="A8" s="65">
        <v>7</v>
      </c>
      <c r="B8" t="s">
        <v>1782</v>
      </c>
      <c r="C8">
        <v>510</v>
      </c>
      <c r="D8">
        <v>0</v>
      </c>
      <c r="E8">
        <v>82</v>
      </c>
      <c r="F8">
        <v>0</v>
      </c>
      <c r="G8">
        <v>0</v>
      </c>
      <c r="H8">
        <v>0</v>
      </c>
    </row>
    <row r="9" spans="1:8" x14ac:dyDescent="0.3">
      <c r="A9" s="65">
        <v>8</v>
      </c>
      <c r="B9" t="s">
        <v>1783</v>
      </c>
      <c r="C9">
        <v>347</v>
      </c>
      <c r="D9">
        <v>0</v>
      </c>
      <c r="E9">
        <v>35</v>
      </c>
      <c r="F9">
        <v>0</v>
      </c>
      <c r="G9">
        <v>0</v>
      </c>
      <c r="H9">
        <v>0</v>
      </c>
    </row>
    <row r="10" spans="1:8" x14ac:dyDescent="0.3">
      <c r="A10" s="65">
        <v>9</v>
      </c>
      <c r="B10" t="s">
        <v>1784</v>
      </c>
      <c r="C10">
        <v>175</v>
      </c>
      <c r="D10">
        <v>0</v>
      </c>
      <c r="E10">
        <v>64</v>
      </c>
      <c r="F10">
        <v>0</v>
      </c>
      <c r="G10">
        <v>18</v>
      </c>
      <c r="H10">
        <v>0</v>
      </c>
    </row>
    <row r="11" spans="1:8" x14ac:dyDescent="0.3">
      <c r="A11" s="65">
        <v>10</v>
      </c>
      <c r="B11" t="s">
        <v>1794</v>
      </c>
      <c r="C11">
        <v>486</v>
      </c>
      <c r="D11">
        <v>0</v>
      </c>
      <c r="E11">
        <v>77</v>
      </c>
      <c r="F11">
        <v>0</v>
      </c>
      <c r="G11">
        <v>0</v>
      </c>
      <c r="H11">
        <v>0</v>
      </c>
    </row>
    <row r="12" spans="1:8" x14ac:dyDescent="0.3">
      <c r="A12" s="65">
        <v>11</v>
      </c>
      <c r="B12" t="s">
        <v>1795</v>
      </c>
      <c r="C12">
        <v>332</v>
      </c>
      <c r="D12">
        <v>0</v>
      </c>
      <c r="E12">
        <v>42</v>
      </c>
      <c r="F12">
        <v>0</v>
      </c>
      <c r="G12">
        <v>20</v>
      </c>
      <c r="H12">
        <v>20</v>
      </c>
    </row>
    <row r="13" spans="1:8" x14ac:dyDescent="0.3">
      <c r="A13" s="65">
        <v>12</v>
      </c>
      <c r="B13" t="s">
        <v>1800</v>
      </c>
      <c r="C13">
        <v>468</v>
      </c>
      <c r="D13">
        <v>0</v>
      </c>
      <c r="E13">
        <v>82</v>
      </c>
      <c r="F13">
        <v>0</v>
      </c>
      <c r="G13">
        <v>113</v>
      </c>
      <c r="H13">
        <v>0</v>
      </c>
    </row>
    <row r="14" spans="1:8" x14ac:dyDescent="0.3">
      <c r="A14" s="65">
        <v>13</v>
      </c>
      <c r="B14" t="s">
        <v>1799</v>
      </c>
      <c r="C14">
        <v>138</v>
      </c>
      <c r="D14">
        <v>0</v>
      </c>
      <c r="E14">
        <v>30</v>
      </c>
      <c r="F14">
        <v>0</v>
      </c>
      <c r="G14">
        <v>114</v>
      </c>
      <c r="H14">
        <v>0</v>
      </c>
    </row>
    <row r="15" spans="1:8" x14ac:dyDescent="0.3">
      <c r="A15" s="65">
        <v>14</v>
      </c>
      <c r="B15" t="s">
        <v>1785</v>
      </c>
      <c r="C15">
        <v>507</v>
      </c>
      <c r="D15">
        <v>0</v>
      </c>
      <c r="E15">
        <v>61</v>
      </c>
      <c r="F15">
        <v>0</v>
      </c>
      <c r="G15">
        <v>36</v>
      </c>
      <c r="H15">
        <v>0</v>
      </c>
    </row>
    <row r="16" spans="1:8" x14ac:dyDescent="0.3">
      <c r="A16" s="65">
        <v>15</v>
      </c>
      <c r="B16" t="s">
        <v>1786</v>
      </c>
      <c r="C16">
        <v>742</v>
      </c>
      <c r="D16">
        <v>0</v>
      </c>
      <c r="E16">
        <v>89</v>
      </c>
      <c r="F16">
        <v>0</v>
      </c>
      <c r="G16">
        <v>197</v>
      </c>
      <c r="H16">
        <v>0</v>
      </c>
    </row>
    <row r="17" spans="1:8" x14ac:dyDescent="0.3">
      <c r="A17" s="65">
        <v>16</v>
      </c>
      <c r="B17" t="s">
        <v>1788</v>
      </c>
      <c r="C17">
        <v>185</v>
      </c>
      <c r="D17">
        <v>0</v>
      </c>
      <c r="E17">
        <v>154</v>
      </c>
      <c r="F17">
        <v>0</v>
      </c>
      <c r="G17">
        <v>244</v>
      </c>
      <c r="H17">
        <v>0</v>
      </c>
    </row>
    <row r="18" spans="1:8" x14ac:dyDescent="0.3">
      <c r="A18" s="65">
        <v>17</v>
      </c>
      <c r="B18" t="s">
        <v>1798</v>
      </c>
      <c r="C18">
        <v>1165</v>
      </c>
      <c r="D18">
        <v>0</v>
      </c>
      <c r="E18">
        <v>162</v>
      </c>
      <c r="F18">
        <v>0</v>
      </c>
      <c r="G18">
        <v>0</v>
      </c>
      <c r="H18">
        <v>0</v>
      </c>
    </row>
    <row r="19" spans="1:8" x14ac:dyDescent="0.3">
      <c r="A19" s="65">
        <v>18</v>
      </c>
      <c r="B19" t="s">
        <v>1793</v>
      </c>
      <c r="C19">
        <v>1106</v>
      </c>
      <c r="D19">
        <v>0</v>
      </c>
      <c r="E19">
        <v>154</v>
      </c>
      <c r="F19">
        <v>0</v>
      </c>
      <c r="G19">
        <v>0</v>
      </c>
      <c r="H19">
        <v>0</v>
      </c>
    </row>
    <row r="20" spans="1:8" x14ac:dyDescent="0.3">
      <c r="A20" s="65">
        <v>19</v>
      </c>
      <c r="B20" t="s">
        <v>1787</v>
      </c>
      <c r="C20">
        <v>396</v>
      </c>
      <c r="D20">
        <v>0</v>
      </c>
      <c r="E20">
        <v>144</v>
      </c>
      <c r="F20">
        <v>0</v>
      </c>
      <c r="G20">
        <v>48</v>
      </c>
      <c r="H20">
        <v>0</v>
      </c>
    </row>
    <row r="21" spans="1:8" x14ac:dyDescent="0.3">
      <c r="A21" s="65">
        <v>20</v>
      </c>
      <c r="B21" t="s">
        <v>1790</v>
      </c>
      <c r="C21">
        <v>847</v>
      </c>
      <c r="D21">
        <v>0</v>
      </c>
      <c r="E21">
        <v>226</v>
      </c>
      <c r="F21">
        <v>0</v>
      </c>
      <c r="G21">
        <v>343</v>
      </c>
      <c r="H21">
        <v>0</v>
      </c>
    </row>
    <row r="22" spans="1:8" x14ac:dyDescent="0.3">
      <c r="A22" s="65">
        <v>21</v>
      </c>
      <c r="B22" t="s">
        <v>1789</v>
      </c>
      <c r="C22">
        <v>1351</v>
      </c>
      <c r="D22">
        <v>0</v>
      </c>
      <c r="E22">
        <v>189</v>
      </c>
      <c r="F22">
        <v>0</v>
      </c>
      <c r="G22">
        <v>336</v>
      </c>
      <c r="H22">
        <v>0</v>
      </c>
    </row>
    <row r="23" spans="1:8" x14ac:dyDescent="0.3">
      <c r="A23" s="65">
        <v>22</v>
      </c>
      <c r="B23" t="s">
        <v>1791</v>
      </c>
      <c r="C23">
        <v>2446</v>
      </c>
      <c r="D23">
        <v>0</v>
      </c>
      <c r="E23">
        <v>317</v>
      </c>
      <c r="F23">
        <v>0</v>
      </c>
      <c r="G23">
        <v>521</v>
      </c>
      <c r="H23">
        <v>0</v>
      </c>
    </row>
    <row r="24" spans="1:8" x14ac:dyDescent="0.3">
      <c r="A24" s="65">
        <v>23</v>
      </c>
      <c r="B24" t="s">
        <v>1792</v>
      </c>
      <c r="C24">
        <v>2393</v>
      </c>
      <c r="D24">
        <v>0</v>
      </c>
      <c r="E24">
        <v>341</v>
      </c>
      <c r="F24">
        <v>0</v>
      </c>
      <c r="G24">
        <v>577</v>
      </c>
      <c r="H24">
        <v>0</v>
      </c>
    </row>
    <row r="25" spans="1:8" x14ac:dyDescent="0.3">
      <c r="A25" s="66">
        <v>24</v>
      </c>
      <c r="B25" s="64" t="s">
        <v>1813</v>
      </c>
      <c r="C25" s="64">
        <v>674</v>
      </c>
      <c r="D25" s="64">
        <v>0</v>
      </c>
      <c r="E25" s="64">
        <v>82</v>
      </c>
      <c r="F25" s="64">
        <v>0</v>
      </c>
      <c r="G25" s="64">
        <v>82</v>
      </c>
      <c r="H25" s="64">
        <v>0</v>
      </c>
    </row>
    <row r="26" spans="1:8" x14ac:dyDescent="0.3">
      <c r="A26" s="66">
        <v>25</v>
      </c>
      <c r="B26" s="64" t="s">
        <v>1814</v>
      </c>
      <c r="C26" s="64">
        <v>1873</v>
      </c>
      <c r="D26" s="64">
        <v>0</v>
      </c>
      <c r="E26" s="64">
        <v>269</v>
      </c>
      <c r="F26" s="64">
        <v>0</v>
      </c>
      <c r="G26" s="64">
        <v>441</v>
      </c>
      <c r="H26" s="64">
        <v>0</v>
      </c>
    </row>
    <row r="27" spans="1:8" x14ac:dyDescent="0.3">
      <c r="A27" s="65">
        <v>26</v>
      </c>
      <c r="B27" t="s">
        <v>1815</v>
      </c>
      <c r="C27">
        <v>0</v>
      </c>
      <c r="D27">
        <v>0</v>
      </c>
      <c r="E27">
        <v>0</v>
      </c>
      <c r="F27">
        <v>0</v>
      </c>
      <c r="G27">
        <v>0</v>
      </c>
      <c r="H27">
        <v>0</v>
      </c>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9" priority="27"/>
  </conditionalFormatting>
  <conditionalFormatting sqref="Q611">
    <cfRule type="containsText" dxfId="48" priority="10" operator="containsText" text="ENVIADO A TICS">
      <formula>NOT(ISERROR(SEARCH("ENVIADO A TICS",Q611)))</formula>
    </cfRule>
    <cfRule type="containsText" dxfId="47" priority="11" operator="containsText" text="ENTREGADO/REVISIÓN">
      <formula>NOT(ISERROR(SEARCH("ENTREGADO/REVISIÓN",Q611)))</formula>
    </cfRule>
    <cfRule type="containsText" dxfId="46" priority="12" operator="containsText" text="ENVIADO A LA CE/UM">
      <formula>NOT(ISERROR(SEARCH("ENVIADO A LA CE/UM",Q611)))</formula>
    </cfRule>
  </conditionalFormatting>
  <conditionalFormatting sqref="R611">
    <cfRule type="containsText" dxfId="45" priority="9" operator="containsText" text="EN PROCESO">
      <formula>NOT(ISERROR(SEARCH("EN PROCESO",R611)))</formula>
    </cfRule>
  </conditionalFormatting>
  <conditionalFormatting sqref="R611:U611 T1:W610">
    <cfRule type="containsText" dxfId="44" priority="18" operator="containsText" text="CONCLUIDO">
      <formula>NOT(ISERROR(SEARCH("CONCLUIDO",R1)))</formula>
    </cfRule>
  </conditionalFormatting>
  <conditionalFormatting sqref="S1:S610">
    <cfRule type="containsText" dxfId="43" priority="24" operator="containsText" text="ENVIADO A TICS">
      <formula>NOT(ISERROR(SEARCH("ENVIADO A TICS",S1)))</formula>
    </cfRule>
    <cfRule type="containsText" dxfId="42" priority="25" operator="containsText" text="ENTREGADO/REVISIÓN">
      <formula>NOT(ISERROR(SEARCH("ENTREGADO/REVISIÓN",S1)))</formula>
    </cfRule>
    <cfRule type="containsText" dxfId="41" priority="26" operator="containsText" text="ENVIADO A LA CE/UM">
      <formula>NOT(ISERROR(SEARCH("ENVIADO A LA CE/UM",S1)))</formula>
    </cfRule>
  </conditionalFormatting>
  <conditionalFormatting sqref="S611:T611">
    <cfRule type="containsText" dxfId="40" priority="7" operator="containsText" text="EN REVISIÓN CENTRAL">
      <formula>NOT(ISERROR(SEARCH("EN REVISIÓN CENTRAL",S611)))</formula>
    </cfRule>
    <cfRule type="containsText" dxfId="39" priority="8" operator="containsText" text="ENVIADO A LA CE/UM">
      <formula>NOT(ISERROR(SEARCH("ENVIADO A LA CE/UM",S611)))</formula>
    </cfRule>
  </conditionalFormatting>
  <conditionalFormatting sqref="T1:T610">
    <cfRule type="containsText" dxfId="38" priority="23" operator="containsText" text="EN PROCESO">
      <formula>NOT(ISERROR(SEARCH("EN PROCESO",T1)))</formula>
    </cfRule>
  </conditionalFormatting>
  <conditionalFormatting sqref="U1">
    <cfRule type="containsText" dxfId="37" priority="28" operator="containsText" text="ENVIADO A LA CE/UM">
      <formula>NOT(ISERROR(SEARCH("ENVIADO A LA CE/UM",U1)))</formula>
    </cfRule>
  </conditionalFormatting>
  <conditionalFormatting sqref="U611">
    <cfRule type="containsText" dxfId="36" priority="5" operator="containsText" text="EN PROCESO">
      <formula>NOT(ISERROR(SEARCH("EN PROCESO",U611)))</formula>
    </cfRule>
    <cfRule type="containsText" dxfId="35" priority="6" operator="containsText" text="ENVIADO">
      <formula>NOT(ISERROR(SEARCH("ENVIADO",U611)))</formula>
    </cfRule>
  </conditionalFormatting>
  <conditionalFormatting sqref="U1:V610">
    <cfRule type="containsText" dxfId="34" priority="21" operator="containsText" text="EN REVISIÓN CENTRAL">
      <formula>NOT(ISERROR(SEARCH("EN REVISIÓN CENTRAL",U1)))</formula>
    </cfRule>
  </conditionalFormatting>
  <conditionalFormatting sqref="U2:V610">
    <cfRule type="containsText" dxfId="33" priority="22" operator="containsText" text="ENVIADO A LA CE/UM">
      <formula>NOT(ISERROR(SEARCH("ENVIADO A LA CE/UM",U2)))</formula>
    </cfRule>
  </conditionalFormatting>
  <conditionalFormatting sqref="V611">
    <cfRule type="containsText" dxfId="32" priority="3" operator="containsText" text="CONCLUIDAS">
      <formula>NOT(ISERROR(SEARCH("CONCLUIDAS",V611)))</formula>
    </cfRule>
    <cfRule type="containsText" dxfId="31" priority="4" operator="containsText" text="PROGRAMADAS">
      <formula>NOT(ISERROR(SEARCH("PROGRAMADAS",V611)))</formula>
    </cfRule>
  </conditionalFormatting>
  <conditionalFormatting sqref="W1:W610">
    <cfRule type="containsText" dxfId="30" priority="19" operator="containsText" text="EN PROCESO">
      <formula>NOT(ISERROR(SEARCH("EN PROCESO",W1)))</formula>
    </cfRule>
    <cfRule type="containsText" dxfId="29" priority="20" operator="containsText" text="ENVIADO">
      <formula>NOT(ISERROR(SEARCH("ENVIADO",W1)))</formula>
    </cfRule>
  </conditionalFormatting>
  <conditionalFormatting sqref="W611:Z611">
    <cfRule type="containsText" dxfId="28" priority="1" operator="containsText" text="SI">
      <formula>NOT(ISERROR(SEARCH("SI",W611)))</formula>
    </cfRule>
    <cfRule type="containsText" dxfId="27" priority="2" operator="containsText" text="NO">
      <formula>NOT(ISERROR(SEARCH("NO",W611)))</formula>
    </cfRule>
  </conditionalFormatting>
  <conditionalFormatting sqref="X1:X610">
    <cfRule type="containsText" dxfId="26" priority="16" operator="containsText" text="CONCLUIDAS">
      <formula>NOT(ISERROR(SEARCH("CONCLUIDAS",X1)))</formula>
    </cfRule>
    <cfRule type="containsText" dxfId="25" priority="17" operator="containsText" text="PROGRAMADAS">
      <formula>NOT(ISERROR(SEARCH("PROGRAMADAS",X1)))</formula>
    </cfRule>
  </conditionalFormatting>
  <conditionalFormatting sqref="Y1:Z610">
    <cfRule type="containsText" dxfId="24" priority="14" operator="containsText" text="SI">
      <formula>NOT(ISERROR(SEARCH("SI",Y1)))</formula>
    </cfRule>
    <cfRule type="containsText" dxfId="23"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2026-06-26T01:09:31Z</dcterms:modified>
</cp:coreProperties>
</file>