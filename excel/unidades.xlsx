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68468E9-2949-4013-99CC-42C338CCFA75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Hoja1!$A$1:$AF$614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F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tc={BD7F422B-DB80-4CF0-87A1-F122DA389C5D}</author>
  </authors>
  <commentList>
    <comment ref="Q25" authorId="0" shapeId="0" xr:uid="{BD7F422B-DB80-4CF0-87A1-F122DA389C5D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<sst xmlns="http://schemas.openxmlformats.org/spreadsheetml/2006/main" count="19600" uniqueCount="1869">
  <si>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</si>
  <si>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</si>
  <si>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</si>
  <si>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</si>
  <si>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</si>
  <si>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</si>
  <si>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</si>
  <si>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</si>
  <si>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</si>
  <si>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</si>
  <si>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</si>
  <si>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</si>
  <si>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</si>
  <si>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</si>
  <si>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</si>
  <si>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</si>
  <si>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</si>
  <si>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</si>
  <si>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</si>
  <si>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</si>
  <si>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</si>
  <si>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</si>
  <si>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</si>
  <si>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</si>
  <si>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</si>
  <si>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</si>
  <si>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</si>
  <si>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</si>
  <si>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</si>
  <si>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</si>
  <si>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</si>
  <si>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</si>
  <si>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</si>
  <si>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</si>
  <si>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</si>
  <si>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</si>
  <si>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</si>
  <si>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</si>
  <si>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</si>
  <si>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</si>
  <si>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</si>
  <si>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</si>
  <si>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</si>
  <si>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</si>
  <si>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</si>
  <si>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</si>
  <si>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</si>
  <si>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</si>
  <si>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</si>
  <si>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</si>
  <si>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</si>
  <si>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</si>
  <si>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</si>
  <si>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</si>
  <si>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</si>
  <si>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</si>
  <si>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</si>
  <si>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</si>
  <si>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</si>
  <si>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</si>
  <si>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</si>
  <si>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</si>
  <si>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</si>
  <si>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</si>
  <si>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</si>
  <si>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</si>
  <si>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</si>
  <si>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</si>
  <si>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</si>
  <si>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</si>
  <si>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</si>
  <si>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</si>
  <si>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</si>
  <si>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</si>
  <si>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</si>
  <si>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</si>
  <si>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</si>
  <si>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</si>
  <si>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</si>
  <si>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</si>
  <si>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</si>
  <si>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</si>
  <si>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</si>
  <si>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</si>
  <si>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</si>
  <si>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</si>
  <si>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</si>
  <si>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</si>
  <si>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</si>
  <si>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</si>
  <si>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</si>
  <si>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</si>
  <si>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</si>
  <si>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</si>
  <si>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</si>
  <si>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</si>
  <si>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</si>
  <si>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</si>
  <si>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</si>
  <si>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</si>
  <si>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</si>
  <si>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</si>
  <si>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</si>
  <si>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</si>
  <si>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</si>
  <si>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</si>
  <si>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</si>
  <si>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</si>
  <si>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</si>
  <si>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</si>
  <si>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</si>
  <si>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</si>
  <si>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</si>
  <si>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</si>
  <si>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</si>
  <si>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</si>
  <si>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</si>
  <si>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</si>
  <si>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</si>
  <si>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</si>
  <si>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</si>
  <si>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</si>
  <si>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</si>
  <si>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</si>
  <si>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</si>
  <si>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</si>
  <si>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</si>
  <si>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</si>
  <si>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</si>
  <si>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</si>
  <si>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</si>
  <si>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</si>
  <si>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</si>
  <si>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</si>
  <si>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</si>
  <si>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</si>
  <si>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</si>
  <si>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</si>
  <si>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</si>
  <si>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</si>
  <si>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</si>
  <si>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</si>
  <si>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</si>
  <si>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</si>
  <si>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</si>
  <si>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</si>
  <si>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</si>
  <si>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</si>
  <si>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</si>
  <si>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</si>
  <si>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</si>
  <si>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</si>
  <si>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</si>
  <si>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</si>
  <si>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</si>
  <si>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</si>
  <si>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</si>
  <si>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</si>
  <si>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</si>
  <si>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</si>
  <si>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</si>
  <si>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</si>
  <si>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</si>
  <si>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</si>
  <si>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</si>
  <si>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</si>
  <si>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</si>
  <si>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</si>
  <si>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</si>
  <si>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</si>
  <si>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</si>
  <si>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</si>
  <si>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</si>
  <si>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</si>
  <si>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</si>
  <si>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</si>
  <si>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</si>
  <si>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</si>
  <si>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</si>
  <si>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</si>
  <si>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</si>
  <si>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</si>
  <si>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</si>
  <si>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</si>
  <si>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</si>
  <si>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</si>
  <si>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</si>
  <si>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</si>
  <si>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</si>
  <si>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</si>
  <si>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</si>
  <si>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</si>
  <si>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</si>
  <si>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</si>
  <si>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</si>
  <si>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</si>
  <si>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</si>
  <si>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</si>
  <si>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</si>
  <si>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</si>
  <si>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</si>
  <si>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</si>
  <si>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</si>
  <si>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</si>
  <si>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</si>
  <si>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</si>
  <si>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</si>
  <si>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</si>
  <si>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</si>
  <si>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</si>
  <si>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</si>
  <si>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</si>
  <si>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</si>
  <si>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</si>
  <si>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</si>
  <si>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</si>
  <si>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</si>
  <si>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</si>
  <si>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</si>
  <si>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</si>
  <si>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</si>
  <si>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</si>
  <si>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</si>
  <si>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</si>
  <si>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</si>
  <si>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</si>
  <si>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</si>
  <si>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</si>
  <si>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</si>
  <si>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</si>
  <si>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</si>
  <si>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</si>
  <si>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</si>
  <si>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</si>
  <si>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</si>
  <si>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</si>
  <si>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</si>
  <si>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</si>
  <si>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</si>
  <si>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</si>
  <si>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</si>
  <si>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</si>
  <si>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</si>
  <si>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</si>
  <si>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</si>
  <si>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</si>
  <si>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</si>
  <si>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</si>
  <si>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</si>
  <si>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</si>
  <si>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</si>
  <si>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</si>
  <si>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</si>
  <si>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</si>
  <si>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</si>
  <si>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</si>
  <si>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</si>
  <si>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</si>
  <si>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</si>
  <si>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</si>
  <si>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</si>
  <si>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</si>
  <si>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</si>
  <si>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</si>
  <si>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</si>
  <si>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</si>
  <si>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</si>
  <si>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</si>
  <si>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</si>
  <si>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</si>
  <si>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</si>
  <si>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</si>
  <si>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</si>
  <si>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</si>
  <si>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</si>
  <si>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</si>
  <si>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</si>
  <si>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</si>
  <si>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</si>
  <si>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</si>
  <si>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</si>
  <si>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</si>
  <si>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</si>
  <si>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</si>
  <si>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</si>
  <si>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</si>
  <si>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</si>
  <si>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</si>
  <si>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</si>
  <si>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</si>
  <si>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</si>
  <si>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</si>
  <si>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</si>
  <si>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</si>
  <si>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</si>
  <si>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</si>
  <si>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</si>
  <si>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</si>
  <si>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</si>
  <si>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</si>
  <si>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</si>
  <si>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</si>
  <si>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</si>
  <si>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</si>
  <si>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</si>
  <si>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</si>
  <si>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</si>
  <si>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</si>
  <si>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</si>
  <si>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</si>
  <si>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</si>
  <si>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</si>
  <si>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</si>
  <si>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</si>
  <si>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</si>
  <si>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</si>
  <si>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</si>
  <si>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</si>
  <si>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</si>
  <si>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</si>
  <si>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</si>
  <si>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</si>
  <si>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</si>
  <si>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</si>
  <si>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</si>
  <si>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</si>
  <si>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</si>
  <si>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</si>
  <si>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</si>
  <si>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</si>
  <si>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</si>
  <si>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</si>
  <si>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</si>
  <si>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</si>
  <si>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</si>
  <si>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</si>
  <si>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</si>
  <si>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</si>
  <si>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</si>
  <si>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</si>
  <si>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</si>
  <si>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</si>
  <si>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</si>
  <si>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</si>
  <si>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</si>
  <si>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</si>
  <si>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</si>
  <si>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</si>
  <si>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</si>
  <si>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</si>
  <si>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</si>
  <si>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</si>
  <si>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</si>
  <si>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</si>
  <si>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</si>
  <si>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</si>
  <si>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</si>
  <si>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</si>
  <si>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</si>
  <si>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</si>
  <si>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</si>
  <si>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</si>
  <si>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</si>
  <si>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</si>
  <si>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</si>
  <si>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</si>
  <si>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</si>
  <si>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</si>
  <si>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</si>
  <si>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</si>
  <si>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</si>
  <si>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</si>
  <si>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</si>
  <si>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</si>
  <si>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</si>
  <si>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</si>
  <si>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</si>
  <si>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</si>
  <si>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</si>
  <si>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</si>
  <si>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</si>
  <si>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</si>
  <si>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</si>
  <si>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</si>
  <si>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</si>
  <si>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</si>
  <si>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</si>
  <si>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</si>
  <si>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</si>
  <si>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</si>
  <si>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</si>
  <si>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</si>
  <si>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</si>
  <si>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</si>
  <si>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</si>
  <si>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</si>
  <si>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</si>
  <si>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</si>
  <si>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</si>
  <si>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</si>
  <si>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</si>
  <si>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</si>
  <si>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</si>
  <si>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</si>
  <si>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</si>
  <si>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</si>
  <si>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</si>
  <si>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</si>
  <si>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</si>
  <si>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</si>
  <si>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</si>
  <si>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</si>
  <si>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</si>
  <si>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</si>
  <si>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</si>
  <si>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</si>
  <si>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</si>
  <si>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</si>
  <si>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</si>
  <si>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</si>
  <si>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</si>
  <si>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</si>
  <si>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</si>
  <si>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</si>
  <si>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</si>
  <si>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</si>
  <si>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</si>
  <si>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</si>
  <si>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</si>
  <si>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</si>
  <si>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</si>
  <si>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</si>
  <si>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</si>
  <si>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</si>
  <si>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</si>
  <si>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</si>
  <si>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</si>
  <si>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</si>
  <si>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</si>
  <si>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</si>
  <si>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</si>
  <si>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</si>
  <si>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</si>
  <si>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</si>
  <si>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</si>
  <si>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</si>
  <si>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</si>
  <si>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</si>
  <si>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</si>
  <si>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</si>
  <si>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</si>
  <si>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</si>
  <si>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</si>
  <si>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</si>
  <si>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</si>
  <si>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</si>
  <si>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</si>
  <si>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</si>
  <si>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</si>
  <si>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</si>
  <si>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</si>
  <si>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</si>
  <si>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</si>
  <si>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</si>
  <si>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</si>
  <si>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</si>
  <si>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</si>
  <si>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</si>
  <si>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</si>
  <si>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</si>
  <si>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</si>
  <si>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</si>
  <si>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</si>
  <si>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</si>
  <si>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</si>
  <si>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</si>
  <si>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</si>
  <si>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</si>
  <si>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</si>
  <si>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</si>
  <si>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</si>
  <si>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</si>
  <si>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</si>
  <si>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</si>
  <si>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</si>
  <si>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</si>
  <si>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</si>
  <si>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</si>
  <si>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</si>
  <si>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</si>
  <si>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</si>
  <si>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</si>
  <si>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</si>
  <si>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</si>
  <si>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</si>
  <si>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</si>
  <si>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</si>
  <si>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</si>
  <si>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</si>
  <si>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</si>
  <si>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</si>
  <si>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</si>
  <si>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</si>
  <si>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</si>
  <si>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</si>
  <si>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</si>
  <si>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</si>
  <si>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</si>
  <si>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</si>
  <si>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</si>
  <si>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</si>
  <si>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</si>
  <si>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</si>
  <si>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</si>
  <si>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</si>
  <si>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</si>
  <si>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</si>
  <si>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</si>
  <si>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</si>
  <si>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</si>
  <si>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</si>
  <si>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</si>
  <si>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</si>
  <si>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</si>
  <si>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</si>
  <si>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</si>
  <si>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</si>
  <si>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</si>
  <si>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</si>
  <si>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</si>
  <si>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</si>
  <si>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</si>
  <si>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</si>
  <si>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</si>
  <si>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</si>
  <si>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</si>
  <si>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</si>
  <si>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</si>
  <si>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</si>
  <si>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</si>
  <si>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</si>
  <si>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</si>
  <si>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</si>
  <si>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</si>
  <si>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</si>
  <si>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</si>
  <si>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</si>
  <si>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</si>
  <si>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</si>
  <si>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</si>
  <si>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</si>
  <si>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</si>
  <si>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</si>
  <si>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</si>
  <si>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</si>
  <si>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</si>
  <si>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</si>
  <si>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</si>
  <si>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</si>
  <si>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</si>
  <si>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</si>
  <si>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</si>
  <si>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</si>
  <si>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</si>
  <si>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</si>
  <si>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</si>
  <si>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</si>
  <si>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</si>
  <si>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</si>
  <si>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</si>
  <si>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</si>
  <si>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</si>
  <si>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</si>
  <si>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</si>
  <si>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</si>
  <si>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</si>
  <si>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</si>
  <si>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</si>
  <si>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</si>
  <si>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</si>
  <si>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</si>
  <si>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</si>
  <si>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</si>
  <si>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</si>
  <si>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</si>
  <si>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</si>
  <si>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</si>
  <si>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</si>
  <si>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</si>
  <si>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</si>
  <si>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</si>
  <si>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</si>
  <si>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</si>
  <si>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</si>
  <si>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</si>
  <si>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</si>
  <si>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</si>
  <si>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</si>
  <si>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</si>
  <si>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</si>
  <si>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</si>
  <si>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</si>
  <si>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</si>
  <si>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</si>
  <si>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</si>
  <si>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</si>
  <si>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</si>
  <si>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</si>
  <si>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</si>
  <si>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</si>
  <si>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</si>
  <si>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</si>
  <si>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</si>
  <si>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</si>
  <si>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</si>
  <si>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</si>
  <si>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</si>
  <si>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</si>
  <si>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</si>
  <si>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</si>
  <si>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</si>
  <si>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</si>
  <si>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</si>
  <si>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</si>
  <si>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</si>
  <si>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</si>
  <si>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</si>
  <si>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</si>
  <si>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</si>
  <si>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</si>
  <si>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</si>
  <si>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</si>
  <si>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</si>
  <si>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</si>
  <si>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</si>
  <si>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</si>
  <si>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</si>
  <si>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</si>
  <si>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</si>
  <si>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</si>
  <si>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</si>
  <si>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</si>
  <si>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</si>
  <si>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</si>
  <si>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</si>
  <si>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</si>
  <si>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</si>
  <si>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</si>
  <si>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</si>
  <si>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</si>
  <si>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</si>
  <si>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</si>
  <si>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</si>
  <si>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</si>
  <si>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</si>
  <si>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</si>
  <si>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</si>
  <si>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</si>
  <si>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</si>
  <si>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</si>
  <si>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</si>
  <si>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</si>
  <si>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</si>
  <si>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</si>
  <si>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</si>
  <si>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</si>
  <si>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</si>
  <si>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</si>
  <si>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</si>
  <si>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</si>
  <si>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</si>
  <si>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</si>
  <si>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</si>
  <si>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</si>
  <si>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</si>
  <si>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</si>
  <si>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</si>
  <si>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</si>
  <si>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</si>
  <si>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</si>
  <si>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</si>
  <si>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</si>
  <si>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</si>
  <si>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</si>
  <si>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</si>
  <si>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</si>
  <si>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</si>
  <si>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</si>
  <si>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</si>
  <si>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</si>
  <si>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</si>
  <si>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</si>
  <si>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</si>
  <si>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</si>
  <si>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</si>
  <si>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</si>
  <si>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</si>
  <si>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</si>
  <si>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</si>
  <si>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</si>
  <si>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</si>
  <si>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</si>
  <si>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</si>
  <si>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</si>
  <si>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</si>
  <si>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</si>
  <si>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</si>
  <si>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</si>
  <si>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</si>
  <si>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</si>
  <si>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</si>
  <si>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</si>
  <si>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</si>
  <si>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</si>
  <si>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</si>
  <si>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</si>
  <si>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</si>
  <si>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</si>
  <si>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</si>
  <si>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</si>
  <si>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</si>
  <si>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</si>
  <si>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</si>
  <si>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</si>
  <si>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</si>
  <si>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</si>
  <si>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</si>
  <si>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</si>
  <si>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</si>
  <si>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</si>
  <si>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</si>
  <si>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</si>
  <si>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</si>
  <si>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</si>
  <si>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</si>
  <si>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</si>
  <si>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</si>
  <si>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</si>
  <si>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</si>
  <si>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</si>
  <si>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</si>
  <si>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</si>
  <si>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</si>
  <si>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</si>
  <si>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</si>
  <si>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</si>
  <si>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</si>
  <si>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</si>
  <si>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</si>
  <si>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</si>
  <si>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</si>
  <si>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</si>
  <si>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</si>
  <si>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</si>
  <si>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</si>
  <si>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</si>
  <si>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</si>
  <si>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</si>
  <si>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</si>
  <si>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</si>
  <si>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</si>
  <si>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</si>
  <si>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</si>
  <si>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</si>
  <si>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</si>
  <si>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</si>
  <si>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</si>
  <si>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</si>
  <si>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</si>
  <si>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</si>
  <si>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</si>
  <si>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</si>
  <si>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</si>
  <si>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</si>
  <si>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</si>
  <si>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</si>
  <si>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</si>
  <si>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</si>
  <si>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</si>
  <si>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</si>
  <si>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</si>
  <si>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</si>
  <si>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</si>
  <si>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</si>
  <si>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</si>
  <si>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</si>
  <si>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</si>
  <si>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</si>
  <si>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</si>
  <si>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</si>
  <si>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</si>
  <si>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</si>
  <si>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</si>
  <si>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</si>
  <si>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</si>
  <si>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</si>
  <si>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</si>
  <si>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</si>
  <si>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</si>
  <si>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</si>
  <si>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</si>
  <si>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</si>
  <si>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</si>
  <si>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</si>
  <si>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</si>
  <si>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</si>
  <si>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</si>
  <si>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</si>
  <si>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</si>
  <si>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</si>
  <si>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</si>
  <si>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</si>
  <si>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</si>
  <si>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</si>
  <si>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</si>
  <si>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</si>
  <si>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</si>
  <si>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</si>
  <si>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</si>
  <si>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</si>
  <si>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</si>
  <si>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</si>
  <si>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</si>
  <si>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</si>
  <si>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</si>
  <si>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</si>
  <si>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</si>
  <si>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</si>
  <si>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</si>
  <si>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</si>
  <si>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</si>
  <si>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</si>
  <si>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</si>
  <si>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</si>
  <si>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</si>
  <si>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</si>
  <si>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</si>
  <si>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</si>
  <si>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</si>
  <si>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</si>
  <si>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</si>
  <si>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</si>
  <si>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</si>
  <si>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</si>
  <si>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</si>
  <si>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</si>
  <si>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</si>
  <si>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</si>
  <si>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</si>
  <si>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</si>
  <si>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</si>
  <si>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</si>
  <si>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</si>
  <si>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</si>
  <si>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</si>
  <si>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</si>
  <si>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</si>
  <si>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</si>
  <si>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</si>
  <si>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</si>
  <si>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</si>
  <si>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</si>
  <si>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</si>
  <si>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</si>
  <si>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</si>
  <si>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</si>
  <si>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</si>
  <si>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</si>
  <si>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</si>
  <si>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</si>
  <si>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</si>
  <si>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</si>
  <si>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</si>
  <si>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</si>
  <si>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</si>
  <si>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</si>
  <si>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</si>
  <si>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</si>
  <si>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</si>
  <si>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</si>
  <si>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</si>
  <si>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</si>
  <si>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</si>
  <si>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</si>
  <si>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</si>
  <si>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</si>
  <si>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</si>
  <si>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</si>
  <si>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</si>
  <si>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</si>
  <si>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</si>
  <si>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</si>
  <si>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</si>
  <si>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</si>
  <si>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</si>
  <si>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</si>
  <si>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</si>
  <si>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</si>
  <si>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</si>
  <si>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</si>
  <si>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</si>
  <si>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</si>
  <si>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</si>
  <si>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</si>
  <si>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</si>
  <si>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</si>
  <si>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</si>
  <si>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</si>
  <si>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</si>
  <si>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</si>
  <si>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</si>
  <si>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</si>
  <si>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</si>
  <si>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</si>
  <si>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</si>
  <si>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</si>
  <si>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</si>
  <si>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</si>
  <si>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</si>
  <si>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</si>
  <si>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</si>
  <si>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</si>
  <si>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</si>
  <si>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</si>
  <si>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</si>
  <si>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</si>
  <si>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</si>
  <si>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</si>
  <si>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</si>
  <si>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</si>
  <si>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</si>
  <si>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</si>
  <si>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</si>
  <si>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</si>
  <si>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</si>
  <si>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</si>
  <si>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</si>
  <si>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</si>
  <si>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</si>
  <si>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</si>
  <si>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</si>
  <si>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</si>
  <si>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</si>
  <si>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</si>
  <si>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</si>
  <si>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</si>
  <si>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</si>
  <si>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</si>
  <si>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</si>
  <si>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</si>
  <si>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</si>
  <si>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</si>
  <si>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</si>
  <si>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</si>
  <si>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</si>
  <si>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</si>
  <si>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</si>
  <si>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</si>
  <si>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</si>
  <si>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</si>
  <si>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</si>
  <si>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</si>
  <si>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</si>
  <si>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</si>
  <si>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</si>
  <si>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</si>
  <si>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</si>
  <si>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</si>
  <si>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</si>
  <si>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</si>
  <si>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</si>
  <si>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</si>
  <si>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</si>
  <si>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</si>
  <si>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</si>
  <si>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</si>
  <si>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</si>
  <si>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</si>
  <si>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</si>
  <si>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</si>
  <si>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</si>
  <si>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</si>
  <si>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</si>
  <si>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</si>
  <si>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</si>
  <si>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</si>
  <si>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</si>
  <si>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</si>
  <si>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</si>
  <si>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</si>
  <si>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</si>
  <si>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</si>
  <si>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</si>
  <si>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</si>
  <si>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</si>
  <si>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</si>
  <si>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</si>
  <si>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</si>
  <si>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</si>
  <si>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</si>
  <si>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</si>
  <si>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</si>
  <si>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</si>
  <si>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</si>
  <si>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</si>
  <si>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</si>
  <si>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</si>
  <si>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</si>
  <si>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</si>
  <si>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</si>
  <si>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</si>
  <si>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</si>
  <si>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</si>
  <si>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</si>
  <si>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</si>
  <si>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</si>
  <si>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</si>
  <si>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</si>
  <si>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</si>
  <si>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</si>
  <si>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</si>
  <si>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</si>
  <si>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</si>
  <si>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</si>
  <si>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</si>
  <si>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</si>
  <si>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</si>
  <si>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</si>
  <si>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</si>
  <si>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</si>
  <si>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</si>
  <si>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</si>
  <si>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</si>
  <si>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</si>
  <si>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</si>
  <si>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</si>
  <si>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</si>
  <si>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</si>
  <si>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</si>
  <si>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</si>
  <si>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</si>
  <si>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</si>
  <si>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</si>
  <si>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</si>
  <si>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</si>
  <si>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</si>
  <si>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</si>
  <si>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</si>
  <si>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</si>
  <si>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</si>
  <si>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</si>
  <si>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</si>
  <si>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</si>
  <si>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</si>
  <si>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</si>
  <si>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</si>
  <si>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</si>
  <si>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</si>
  <si>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</si>
  <si>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</si>
  <si>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</si>
  <si>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</si>
  <si>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</si>
  <si>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</si>
  <si>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</si>
  <si>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</si>
  <si>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</si>
  <si>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</si>
  <si>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</si>
  <si>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</si>
  <si>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</si>
  <si>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</si>
  <si>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</si>
  <si>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</si>
  <si>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</si>
  <si>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</si>
  <si>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</si>
  <si>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</si>
  <si>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</si>
  <si>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</si>
  <si>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</si>
  <si>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</si>
  <si>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</si>
  <si>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</si>
  <si>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</si>
  <si>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</si>
  <si>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</si>
  <si>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</si>
  <si>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</si>
  <si>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</si>
  <si>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</si>
  <si>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</si>
  <si>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</si>
  <si>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</si>
  <si>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</si>
  <si>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</si>
  <si>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</si>
  <si>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</si>
  <si>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</si>
  <si>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</si>
  <si>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</si>
  <si>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</si>
  <si>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</si>
  <si>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</si>
  <si>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</si>
  <si>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</si>
  <si>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</si>
  <si>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</si>
  <si>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</si>
  <si>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</si>
  <si>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</si>
  <si>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</si>
  <si>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</si>
  <si>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</si>
  <si>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</si>
  <si>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</si>
  <si>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</si>
  <si>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</si>
  <si>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</si>
  <si>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</si>
  <si>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</si>
  <si>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</si>
  <si>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</si>
  <si>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</si>
  <si>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</si>
  <si>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</si>
  <si>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</si>
  <si>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</si>
  <si>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</si>
  <si>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</si>
  <si>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</si>
  <si>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</si>
  <si>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</si>
  <si>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</si>
  <si>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</si>
  <si>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</si>
  <si>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</si>
  <si>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</si>
  <si>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</si>
  <si>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</si>
  <si>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</si>
  <si>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</si>
  <si>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</si>
  <si>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</si>
  <si>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</si>
  <si>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</si>
  <si>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</si>
  <si>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</si>
  <si>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</si>
  <si>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</si>
  <si>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</si>
  <si>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</si>
  <si>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</si>
  <si>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</si>
  <si>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</si>
  <si>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</si>
  <si>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</si>
  <si>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</si>
  <si>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</si>
  <si>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</si>
  <si>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</si>
  <si>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</si>
  <si>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</si>
  <si>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</si>
  <si>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</si>
  <si>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</si>
  <si>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</si>
  <si>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</si>
  <si>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</si>
  <si>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</si>
  <si>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</si>
  <si>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</si>
  <si>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</si>
  <si>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</si>
  <si>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</si>
  <si>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</si>
  <si>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</si>
  <si>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</si>
  <si>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</si>
  <si>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</si>
  <si>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</si>
  <si>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</si>
  <si>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</si>
  <si>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</si>
  <si>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</si>
  <si>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</si>
  <si>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</si>
  <si>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</si>
  <si>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</si>
  <si>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</si>
  <si>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</si>
  <si>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</si>
  <si>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</si>
  <si>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</si>
  <si>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</si>
  <si>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</si>
  <si>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</si>
  <si>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</si>
  <si>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</si>
  <si>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</si>
  <si>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</si>
  <si>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</si>
  <si>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</si>
  <si>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</si>
  <si>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</si>
  <si>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</si>
  <si>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</si>
  <si>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</si>
  <si>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</si>
  <si>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</si>
  <si>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</si>
  <si>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</si>
  <si>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</si>
  <si>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</si>
  <si>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</si>
  <si>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</si>
  <si>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</si>
  <si>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</si>
  <si>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</si>
  <si>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</si>
  <si>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</si>
  <si>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</si>
  <si>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</si>
  <si>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</si>
  <si>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</si>
  <si>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</si>
  <si>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</si>
  <si>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</si>
  <si>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</si>
  <si>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</si>
  <si>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</si>
  <si>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</si>
  <si>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</si>
  <si>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</si>
  <si>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</si>
  <si>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</si>
  <si>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</si>
  <si>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</si>
  <si>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</si>
  <si>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</si>
  <si>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</si>
  <si>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</si>
  <si>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</si>
  <si>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</si>
  <si>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</si>
  <si>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</si>
  <si>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</si>
  <si>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</si>
  <si>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</si>
  <si>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</si>
  <si>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</si>
  <si>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</si>
  <si>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</si>
  <si>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</si>
  <si>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</si>
  <si>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</si>
  <si>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</si>
  <si>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</si>
  <si>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</si>
  <si>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</si>
  <si>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</si>
  <si>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</si>
  <si>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</si>
  <si>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</si>
  <si>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</si>
  <si>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</si>
  <si>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</si>
  <si>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</si>
  <si>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</si>
  <si>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</si>
  <si>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</si>
  <si>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</si>
  <si>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</si>
  <si>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</si>
  <si>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</si>
  <si>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</si>
  <si>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</si>
  <si>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</si>
  <si>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</si>
  <si>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</si>
  <si>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</si>
  <si>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</si>
  <si>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</si>
  <si>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</si>
  <si>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</si>
  <si>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</si>
  <si>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</si>
  <si>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</si>
  <si>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</si>
  <si>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</si>
  <si>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</si>
  <si>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</si>
  <si>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</si>
  <si>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</si>
  <si>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</si>
  <si>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</si>
  <si>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</si>
  <si>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</si>
  <si>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</si>
  <si>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</si>
  <si>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</si>
  <si>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</si>
  <si>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</si>
  <si>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</si>
  <si>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</si>
  <si>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</si>
  <si>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</si>
  <si>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</si>
  <si>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</si>
  <si>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</si>
  <si>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</si>
  <si>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</si>
  <si>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</si>
  <si>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</si>
  <si>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</si>
  <si>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</si>
  <si>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</si>
  <si>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</si>
  <si>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</si>
  <si>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</si>
  <si>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</si>
  <si>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</si>
  <si>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</si>
  <si>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</si>
  <si>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</si>
  <si>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</si>
  <si>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</si>
  <si>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</si>
  <si>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</si>
  <si>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</si>
  <si>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</si>
  <si>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</si>
  <si>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</si>
  <si>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</si>
  <si>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</si>
  <si>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</si>
  <si>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</si>
  <si>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</si>
  <si>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</si>
  <si>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</si>
  <si>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</si>
  <si>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</si>
  <si>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</si>
  <si>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</si>
  <si>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</si>
  <si>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</si>
  <si>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</si>
  <si>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</si>
  <si>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</si>
  <si>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</si>
  <si>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</si>
  <si>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</si>
  <si>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</si>
  <si>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</si>
  <si>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</si>
  <si>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</si>
  <si>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</si>
  <si>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</si>
  <si>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</si>
  <si>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</si>
  <si>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</si>
  <si>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</si>
  <si>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</si>
  <si>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</si>
  <si>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</si>
  <si>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</si>
  <si>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</si>
  <si>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</si>
  <si>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</si>
  <si>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</si>
  <si>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</si>
  <si>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</si>
  <si>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</si>
  <si>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</si>
  <si>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</si>
  <si>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</si>
  <si>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</si>
  <si>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</si>
  <si>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</si>
  <si>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</si>
  <si>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</si>
  <si>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</si>
  <si>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</si>
  <si>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</si>
  <si>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</si>
  <si>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</si>
  <si>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</si>
  <si>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</si>
  <si>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</si>
  <si>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</si>
  <si>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</si>
  <si>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</si>
  <si>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</si>
  <si>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</si>
  <si>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</si>
  <si>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</si>
  <si>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</si>
  <si>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</si>
  <si>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</si>
  <si>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</si>
  <si>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</si>
  <si>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</si>
  <si>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</si>
  <si>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</si>
  <si>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</si>
  <si>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</si>
  <si>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</si>
  <si>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</si>
  <si>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</si>
  <si>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</si>
  <si>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</si>
  <si>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</si>
  <si>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</si>
  <si>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</si>
  <si>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</si>
  <si>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</si>
  <si>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</si>
  <si>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</si>
  <si>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</si>
  <si>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</si>
  <si>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</si>
  <si>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</si>
  <si>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</si>
  <si>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</si>
  <si>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</si>
  <si>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</si>
  <si>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</si>
  <si>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</si>
  <si>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</si>
  <si>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</si>
  <si>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</si>
  <si>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</si>
  <si>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</si>
  <si>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</si>
  <si>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</si>
  <si>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</si>
  <si>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</si>
  <si>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</si>
  <si>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</si>
  <si>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</si>
  <si>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</si>
  <si>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</si>
  <si>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</si>
  <si>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</si>
  <si>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</si>
  <si>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</si>
  <si>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</si>
  <si>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</si>
  <si>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</si>
  <si>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</si>
  <si>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</si>
  <si>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</si>
  <si>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</si>
  <si>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</si>
  <si>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</si>
  <si>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</si>
  <si>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</si>
  <si>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</si>
  <si>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</si>
  <si>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</si>
  <si>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</si>
  <si>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</si>
  <si>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</si>
  <si>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</si>
  <si>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</si>
  <si>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</si>
  <si>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</si>
  <si>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</si>
  <si>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</si>
  <si>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</si>
  <si>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</si>
  <si>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</si>
  <si>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</si>
  <si>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</si>
  <si>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</si>
  <si>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</si>
  <si>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</si>
  <si>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</si>
  <si>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</si>
  <si>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</si>
  <si>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</si>
  <si>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</si>
  <si>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</si>
  <si>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</si>
  <si>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</si>
  <si>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</si>
  <si>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</si>
  <si>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</si>
  <si>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</si>
  <si>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</si>
  <si>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</si>
  <si>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</si>
  <si>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</si>
  <si>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</si>
  <si>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</si>
  <si>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</si>
  <si>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</si>
  <si>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</si>
  <si>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</si>
  <si>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</si>
  <si>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</si>
  <si>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</si>
  <si>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</si>
  <si>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</si>
  <si>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</si>
  <si>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</si>
  <si>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</si>
  <si>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</si>
  <si>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</si>
  <si>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</si>
  <si>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</si>
  <si>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</si>
  <si>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</si>
  <si>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</si>
  <si>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</si>
  <si>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</si>
  <si>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</si>
  <si>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</si>
  <si>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</si>
  <si>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</si>
  <si>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</si>
  <si>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</si>
  <si>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</si>
  <si>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</si>
  <si>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</si>
  <si>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</si>
  <si>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</si>
  <si>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</si>
  <si>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</si>
  <si>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</si>
  <si>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</si>
  <si>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</si>
  <si>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</si>
  <si>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</si>
  <si>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</si>
  <si>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</si>
  <si>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</si>
  <si>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</si>
  <si>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</si>
  <si>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</si>
  <si>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</si>
  <si>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</si>
  <si>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</si>
  <si>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</si>
  <si>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</si>
  <si>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</si>
  <si>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</si>
  <si>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</si>
  <si>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</si>
  <si>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</si>
  <si>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</si>
  <si>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</si>
  <si>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</si>
  <si>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</si>
  <si>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</si>
  <si>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</si>
  <si>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</si>
  <si>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</si>
  <si>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</si>
  <si>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</si>
  <si>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</si>
  <si>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</si>
  <si>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</si>
  <si>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</si>
  <si>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</si>
  <si>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</si>
  <si>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</si>
  <si>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</si>
  <si>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</si>
  <si>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</si>
  <si>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</si>
  <si>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</si>
  <si>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</si>
  <si>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</si>
  <si>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</si>
  <si>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</si>
  <si>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</si>
  <si>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</si>
  <si>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</si>
  <si>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</si>
  <si>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</si>
  <si>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</si>
  <si>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</si>
  <si>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</si>
  <si>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</si>
  <si>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</si>
  <si>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</si>
  <si>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</si>
  <si>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</si>
  <si>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</si>
  <si>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</si>
  <si>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</si>
  <si>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</si>
  <si>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</si>
  <si>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</si>
  <si>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</si>
  <si>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</si>
  <si>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</si>
  <si>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</si>
  <si>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</si>
  <si>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</si>
  <si>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</si>
  <si>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</si>
  <si>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</si>
  <si>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</si>
  <si>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</si>
  <si>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</si>
  <si>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</si>
  <si>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</si>
  <si>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</si>
  <si>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</si>
  <si>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</si>
  <si>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</si>
  <si>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</si>
  <si>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</si>
  <si>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</si>
  <si>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</si>
  <si>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</si>
  <si>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</si>
  <si>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</si>
  <si>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</si>
  <si>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</si>
  <si>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</si>
  <si>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</si>
  <si>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</si>
  <si>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</si>
  <si>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</si>
  <si>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</si>
  <si>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</si>
  <si>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</si>
  <si>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</si>
  <si>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</si>
  <si>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</si>
  <si>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</si>
  <si>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</si>
  <si>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</si>
  <si>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</si>
  <si>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</si>
  <si>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</si>
  <si>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</si>
  <si>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</si>
  <si>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</si>
  <si>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</si>
  <si>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</si>
  <si>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</si>
  <si>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</si>
  <si>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</si>
  <si>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</si>
  <si>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</si>
  <si>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</si>
  <si>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</si>
  <si>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</si>
  <si>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</si>
  <si>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</si>
  <si>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</si>
  <si>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</si>
  <si>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</si>
  <si>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</si>
  <si>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</si>
  <si>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</si>
  <si>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</si>
  <si>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</si>
  <si>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</si>
  <si>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</si>
  <si>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</si>
  <si>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</si>
  <si>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</si>
  <si>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</si>
  <si>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</si>
  <si>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</si>
  <si>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</si>
  <si>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</si>
  <si>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</si>
  <si>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</si>
  <si>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</si>
  <si>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</si>
  <si>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</si>
  <si>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</si>
  <si>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</si>
  <si>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</si>
  <si>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</si>
  <si>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</si>
  <si>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</si>
  <si>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</si>
  <si>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</si>
  <si>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</si>
  <si>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</si>
  <si>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</si>
  <si>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</si>
  <si>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</si>
  <si>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</si>
  <si>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</si>
  <si>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</si>
  <si>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</si>
  <si>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</si>
  <si>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</si>
  <si>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</si>
  <si>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</si>
  <si>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</si>
  <si>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</si>
  <si>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</si>
  <si>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</si>
  <si>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</si>
  <si>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</si>
  <si>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</si>
  <si>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</si>
  <si>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</si>
  <si>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</si>
  <si>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</si>
  <si>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</si>
  <si>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</si>
  <si>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</si>
  <si>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</si>
  <si>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</si>
  <si>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</si>
  <si>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</si>
  <si>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</si>
  <si>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</si>
  <si>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</si>
  <si>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</si>
  <si>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</si>
  <si>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</si>
  <si>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</si>
  <si>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</si>
  <si>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</si>
  <si>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</si>
  <si>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</si>
  <si>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</si>
  <si>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</si>
  <si>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</si>
  <si>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</si>
  <si>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</si>
  <si>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</si>
  <si>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</si>
  <si>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</si>
  <si>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</si>
  <si>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</si>
  <si>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</si>
  <si>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</si>
  <si>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</si>
  <si>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</si>
  <si>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</si>
  <si>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</si>
  <si>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</si>
  <si>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</si>
  <si>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</si>
  <si>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</si>
  <si>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</si>
  <si>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</si>
  <si>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</si>
  <si>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</si>
  <si>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</si>
  <si>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</si>
  <si>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</si>
  <si>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</si>
  <si>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</si>
  <si>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</si>
  <si>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</si>
  <si>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</si>
  <si>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</si>
  <si>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</si>
  <si>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</si>
  <si>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</si>
  <si>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</si>
  <si>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</si>
  <si>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</si>
  <si>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</si>
  <si>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</si>
  <si>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</si>
  <si>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</si>
  <si>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</si>
  <si>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</si>
  <si>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</si>
  <si>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</si>
  <si>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</si>
  <si>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</si>
  <si>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</si>
  <si>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</si>
  <si>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</si>
  <si>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</si>
  <si>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</si>
  <si>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</si>
  <si>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</si>
  <si>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</si>
  <si>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</si>
  <si>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</si>
  <si>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</si>
  <si>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</si>
  <si>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</si>
  <si>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</si>
  <si>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</si>
  <si>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</si>
  <si>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</si>
  <si>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</si>
  <si>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</si>
  <si>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</si>
  <si>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</si>
  <si>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</si>
  <si>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</si>
  <si>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</si>
  <si>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</si>
  <si>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</si>
  <si>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</si>
  <si>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</si>
  <si>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</si>
  <si>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</si>
  <si>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</si>
  <si>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</si>
  <si>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</si>
  <si>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</si>
  <si>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</si>
  <si>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>Espacio físico parcialmente rentado — limita intervenciones de infraestructura permanente.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</si>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</sst>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164" fontId="5" fillId="0" borderId="0" xfId="0" applyNumberFormat="1" applyFont="1"/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904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BD7F422B-DB80-4CF0-87A1-F122DA389C5D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2A3D67BD-E7EF-42C8-B966-1EC8E86E561E}" parentId="{BD7F422B-DB80-4CF0-87A1-F122DA389C5D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8"/>
  <sheetViews>
    <sheetView tabSelected="1" zoomScaleNormal="100" workbookViewId="0">
      <pane xSplit="1" ySplit="1" topLeftCell="T597" activePane="bottomRight" state="frozen"/>
      <selection pane="topRight" activeCell="B1" sqref="B1"/>
      <selection pane="bottomLeft" activeCell="A2" sqref="A2"/>
      <selection pane="bottomRight" activeCell="AD613" sqref="AD613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1818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1816</v>
      </c>
      <c r="X1" s="3" t="s">
        <v>1817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1857</v>
      </c>
      <c r="AE1" s="3" t="s">
        <v>1858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1799</v>
      </c>
      <c r="Z2" s="66"/>
      <c r="AA2" s="66"/>
      <c r="AB2" s="67" t="s">
        <v>1865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0.72222222222222221</v>
      </c>
      <c r="AD2" s="92">
        <v>1</v>
      </c>
      <c r="AE2" s="64" t="s">
        <v>1829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1799</v>
      </c>
      <c r="Z3" s="66"/>
      <c r="AA3" s="66"/>
      <c r="AB3" s="67"/>
      <c r="AC3" s="87">
        <f t="shared" si="0"/>
        <v>0.72222222222222221</v>
      </c>
      <c r="AD3" s="92">
        <v>1</v>
      </c>
      <c r="AE3" s="64" t="s">
        <v>1829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175</v>
      </c>
      <c r="Y4" s="66"/>
      <c r="Z4" s="66"/>
      <c r="AA4" s="66"/>
      <c r="AB4" s="67"/>
      <c r="AC4" s="87">
        <f t="shared" si="0"/>
        <v>0.55555555555555558</v>
      </c>
      <c r="AD4" s="92">
        <v>1</v>
      </c>
      <c r="AE4" s="64" t="s">
        <v>1829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/>
      <c r="Z5" s="66"/>
      <c r="AA5" s="66"/>
      <c r="AB5" s="67"/>
      <c r="AC5" s="87">
        <f t="shared" si="0"/>
        <v>0.61111111111111116</v>
      </c>
      <c r="AD5" s="92">
        <v>1</v>
      </c>
      <c r="AE5" s="64" t="s">
        <v>1829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175</v>
      </c>
      <c r="Y6" s="66"/>
      <c r="Z6" s="66"/>
      <c r="AA6" s="66"/>
      <c r="AB6" s="67"/>
      <c r="AC6" s="87">
        <f t="shared" si="0"/>
        <v>0.55555555555555558</v>
      </c>
      <c r="AD6" s="92">
        <v>1</v>
      </c>
      <c r="AE6" s="64" t="s">
        <v>1829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/>
      <c r="Z7" s="66"/>
      <c r="AA7" s="66"/>
      <c r="AB7" s="67"/>
      <c r="AC7" s="87">
        <f t="shared" si="0"/>
        <v>0.61111111111111116</v>
      </c>
      <c r="AD7" s="92">
        <v>1</v>
      </c>
      <c r="AE7" s="64" t="s">
        <v>1829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/>
      <c r="Z8" s="66"/>
      <c r="AA8" s="66"/>
      <c r="AB8" s="67"/>
      <c r="AC8" s="87">
        <f t="shared" si="0"/>
        <v>0.61111111111111116</v>
      </c>
      <c r="AD8" s="92">
        <v>1</v>
      </c>
      <c r="AE8" s="64" t="s">
        <v>1829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/>
      <c r="Z9" s="66"/>
      <c r="AA9" s="66"/>
      <c r="AB9" s="67"/>
      <c r="AC9" s="87">
        <f t="shared" si="0"/>
        <v>0.61111111111111116</v>
      </c>
      <c r="AD9" s="92">
        <v>1</v>
      </c>
      <c r="AE9" s="64" t="s">
        <v>1829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/>
      <c r="Z10" s="66"/>
      <c r="AA10" s="66"/>
      <c r="AB10" s="67"/>
      <c r="AC10" s="87">
        <f t="shared" si="0"/>
        <v>0.61111111111111116</v>
      </c>
      <c r="AD10" s="92">
        <v>1</v>
      </c>
      <c r="AE10" s="64" t="s">
        <v>1829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175</v>
      </c>
      <c r="Y11" s="66"/>
      <c r="Z11" s="66"/>
      <c r="AA11" s="66"/>
      <c r="AB11" s="67"/>
      <c r="AC11" s="87">
        <f t="shared" si="0"/>
        <v>0.55555555555555558</v>
      </c>
      <c r="AD11" s="92">
        <v>1</v>
      </c>
      <c r="AE11" s="64" t="s">
        <v>1829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1830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1865</v>
      </c>
      <c r="AC13" s="87">
        <f t="shared" si="0"/>
        <v>0.77777777777777779</v>
      </c>
      <c r="AD13" s="92">
        <v>2</v>
      </c>
      <c r="AE13" s="107" t="s">
        <v>1830</v>
      </c>
    </row>
    <row r="14" spans="1:31" x14ac:dyDescent="0.3">
      <c r="A14" s="84" t="s">
        <v>1824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1825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1820</v>
      </c>
      <c r="AA14" s="66"/>
      <c r="AB14" s="73" t="s">
        <v>1865</v>
      </c>
      <c r="AC14" s="87">
        <f t="shared" si="0"/>
        <v>0.72222222222222221</v>
      </c>
      <c r="AD14" s="92">
        <v>2</v>
      </c>
      <c r="AE14" s="107" t="s">
        <v>1830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1865</v>
      </c>
      <c r="AC15" s="87">
        <f t="shared" si="0"/>
        <v>0.77777777777777779</v>
      </c>
      <c r="AD15" s="92">
        <v>2</v>
      </c>
      <c r="AE15" s="107" t="s">
        <v>1830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213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0.51851851851851849</v>
      </c>
      <c r="AD16" s="92">
        <v>2</v>
      </c>
      <c r="AE16" s="107" t="s">
        <v>1830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1830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1830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1830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1830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176</v>
      </c>
      <c r="V23" s="66" t="s">
        <v>176</v>
      </c>
      <c r="W23" s="66"/>
      <c r="X23" s="66"/>
      <c r="Y23" s="66"/>
      <c r="Z23" s="66"/>
      <c r="AA23" s="66"/>
      <c r="AB23" s="67"/>
      <c r="AC23" s="87">
        <f t="shared" si="0"/>
        <v>0.24074074074074073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1826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1826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1826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1826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1826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1826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1826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1826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1826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1826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1826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1826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1826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1826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1826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1826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1826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1826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1826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1826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1826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1826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1826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1826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1826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1826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1826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1826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1826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1826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1826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1826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1826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1826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1826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1826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1826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1826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1826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1826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8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1831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8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1831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1826</v>
      </c>
      <c r="AE76" s="64" t="s">
        <v>1832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8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1831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8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1831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8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1831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8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74</v>
      </c>
      <c r="AA80" s="66" t="s">
        <v>37</v>
      </c>
      <c r="AB80" s="70" t="s">
        <v>1795</v>
      </c>
      <c r="AC80" s="87">
        <f t="shared" si="1"/>
        <v>0.88888888888888884</v>
      </c>
      <c r="AD80" s="92">
        <v>8</v>
      </c>
      <c r="AE80" s="107" t="s">
        <v>1831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8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1831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8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1823</v>
      </c>
      <c r="AC82" s="87">
        <f t="shared" si="1"/>
        <v>0.83333333333333337</v>
      </c>
      <c r="AD82" s="92">
        <v>7</v>
      </c>
      <c r="AE82" s="107" t="s">
        <v>1831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8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74</v>
      </c>
      <c r="AA83" s="66" t="s">
        <v>37</v>
      </c>
      <c r="AB83" s="70" t="s">
        <v>1795</v>
      </c>
      <c r="AC83" s="87">
        <f t="shared" si="1"/>
        <v>0.83333333333333337</v>
      </c>
      <c r="AD83" s="92">
        <v>8</v>
      </c>
      <c r="AE83" s="107" t="s">
        <v>1831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74</v>
      </c>
      <c r="AA84" s="66" t="s">
        <v>74</v>
      </c>
      <c r="AB84" s="67" t="s">
        <v>1795</v>
      </c>
      <c r="AC84" s="87">
        <f t="shared" si="1"/>
        <v>0.77777777777777779</v>
      </c>
      <c r="AD84" s="92">
        <v>7</v>
      </c>
      <c r="AE84" s="107" t="s">
        <v>1831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8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1821</v>
      </c>
      <c r="AC85" s="87">
        <f t="shared" si="1"/>
        <v>0.83333333333333337</v>
      </c>
      <c r="AD85" s="92">
        <v>7</v>
      </c>
      <c r="AE85" s="107" t="s">
        <v>1831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8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1831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8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1831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8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74</v>
      </c>
      <c r="AB88" s="67" t="s">
        <v>1795</v>
      </c>
      <c r="AC88" s="87">
        <f t="shared" si="1"/>
        <v>0.72222222222222221</v>
      </c>
      <c r="AD88" s="92">
        <v>8</v>
      </c>
      <c r="AE88" s="107" t="s">
        <v>1831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8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9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74</v>
      </c>
      <c r="AA89" s="66" t="s">
        <v>37</v>
      </c>
      <c r="AB89" s="70" t="s">
        <v>1795</v>
      </c>
      <c r="AC89" s="87">
        <f t="shared" si="1"/>
        <v>0.88888888888888884</v>
      </c>
      <c r="AD89" s="92">
        <v>8</v>
      </c>
      <c r="AE89" s="107" t="s">
        <v>1831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9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74</v>
      </c>
      <c r="AB90" s="70" t="s">
        <v>1795</v>
      </c>
      <c r="AC90" s="87">
        <f t="shared" si="1"/>
        <v>0.72222222222222221</v>
      </c>
      <c r="AD90" s="92">
        <v>8</v>
      </c>
      <c r="AE90" s="107" t="s">
        <v>1831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9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1831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175</v>
      </c>
      <c r="Y92" s="66" t="s">
        <v>36</v>
      </c>
      <c r="Z92" s="66" t="s">
        <v>74</v>
      </c>
      <c r="AA92" s="66" t="s">
        <v>74</v>
      </c>
      <c r="AB92" s="72" t="s">
        <v>1822</v>
      </c>
      <c r="AC92" s="87">
        <f t="shared" si="1"/>
        <v>0.66666666666666663</v>
      </c>
      <c r="AD92" s="92">
        <v>7</v>
      </c>
      <c r="AE92" s="107" t="s">
        <v>1831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1833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1833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1833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1833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1833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1833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1833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1834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1834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1834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1834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1834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1834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1834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1834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213</v>
      </c>
      <c r="V116" s="66" t="s">
        <v>213</v>
      </c>
      <c r="W116" s="66"/>
      <c r="X116" s="66"/>
      <c r="Y116" s="66"/>
      <c r="Z116" s="66"/>
      <c r="AA116" s="66"/>
      <c r="AB116" s="67"/>
      <c r="AC116" s="87">
        <f t="shared" si="1"/>
        <v>0.31481481481481477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1835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1835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1835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1835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1835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1835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1835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1835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1835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1835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1835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1835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1835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1835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1835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1835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1835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1868</v>
      </c>
      <c r="AC173" s="87">
        <f t="shared" si="2"/>
        <v>0.77777777777777779</v>
      </c>
      <c r="AD173" s="92">
        <v>4</v>
      </c>
      <c r="AE173" s="64" t="s">
        <v>1835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1826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1826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1826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1826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/>
      <c r="AA178" s="66"/>
      <c r="AB178" s="70" t="s">
        <v>1815</v>
      </c>
      <c r="AC178" s="87">
        <f t="shared" si="2"/>
        <v>0.77777777777777779</v>
      </c>
      <c r="AD178" s="92">
        <v>3</v>
      </c>
      <c r="AE178" s="110" t="s">
        <v>1836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1837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1838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1867</v>
      </c>
      <c r="AC182" s="87">
        <f t="shared" si="2"/>
        <v>0.61111111111111116</v>
      </c>
      <c r="AD182" s="92">
        <v>9</v>
      </c>
      <c r="AE182" s="107" t="s">
        <v>1837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1867</v>
      </c>
      <c r="AC183" s="87">
        <f t="shared" si="2"/>
        <v>0.61111111111111116</v>
      </c>
      <c r="AD183" s="92">
        <v>9</v>
      </c>
      <c r="AE183" s="107" t="s">
        <v>1837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1838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1812</v>
      </c>
      <c r="AC185" s="87">
        <f t="shared" si="2"/>
        <v>0.48148148148148145</v>
      </c>
      <c r="AD185" s="92">
        <v>2</v>
      </c>
      <c r="AE185" s="107" t="s">
        <v>1838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1867</v>
      </c>
      <c r="AC186" s="87">
        <f t="shared" si="2"/>
        <v>0.77777777777777779</v>
      </c>
      <c r="AD186" s="92">
        <v>9</v>
      </c>
      <c r="AE186" s="107" t="s">
        <v>1837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175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1799</v>
      </c>
      <c r="Z187" s="66"/>
      <c r="AA187" s="66"/>
      <c r="AB187" s="73"/>
      <c r="AC187" s="87">
        <f t="shared" si="2"/>
        <v>0.66666666666666663</v>
      </c>
      <c r="AD187" s="92">
        <v>1</v>
      </c>
      <c r="AE187" s="107" t="s">
        <v>1839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1867</v>
      </c>
      <c r="AC188" s="87">
        <f t="shared" si="2"/>
        <v>0.61111111111111116</v>
      </c>
      <c r="AD188" s="92">
        <v>9</v>
      </c>
      <c r="AE188" s="107" t="s">
        <v>1837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1867</v>
      </c>
      <c r="AC189" s="87">
        <f t="shared" si="2"/>
        <v>0.61111111111111116</v>
      </c>
      <c r="AD189" s="92">
        <v>9</v>
      </c>
      <c r="AE189" s="107" t="s">
        <v>1837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175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1799</v>
      </c>
      <c r="Z190" s="66"/>
      <c r="AA190" s="66"/>
      <c r="AB190" s="73"/>
      <c r="AC190" s="87">
        <f t="shared" si="2"/>
        <v>0.66666666666666663</v>
      </c>
      <c r="AD190" s="92">
        <v>1</v>
      </c>
      <c r="AE190" s="107" t="s">
        <v>1839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175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1799</v>
      </c>
      <c r="Z191" s="66"/>
      <c r="AA191" s="66"/>
      <c r="AB191" s="73"/>
      <c r="AC191" s="87">
        <f t="shared" si="2"/>
        <v>0.66666666666666663</v>
      </c>
      <c r="AD191" s="92">
        <v>1</v>
      </c>
      <c r="AE191" s="107" t="s">
        <v>1839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1838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1867</v>
      </c>
      <c r="AC193" s="87">
        <f t="shared" si="2"/>
        <v>0.77777777777777779</v>
      </c>
      <c r="AD193" s="92">
        <v>9</v>
      </c>
      <c r="AE193" s="107" t="s">
        <v>1837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1867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1837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1838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1839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1838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1799</v>
      </c>
      <c r="Z198" s="66"/>
      <c r="AA198" s="66"/>
      <c r="AB198" s="73"/>
      <c r="AC198" s="87">
        <f t="shared" si="3"/>
        <v>0.66666666666666663</v>
      </c>
      <c r="AD198" s="92">
        <v>1</v>
      </c>
      <c r="AE198" s="107" t="s">
        <v>1839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1838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1839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1799</v>
      </c>
      <c r="Z201" s="66"/>
      <c r="AA201" s="66"/>
      <c r="AB201" s="73"/>
      <c r="AC201" s="87">
        <f t="shared" si="3"/>
        <v>0.66666666666666663</v>
      </c>
      <c r="AD201" s="92">
        <v>1</v>
      </c>
      <c r="AE201" s="107" t="s">
        <v>1839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1867</v>
      </c>
      <c r="AC202" s="87">
        <f t="shared" si="3"/>
        <v>0.61111111111111116</v>
      </c>
      <c r="AD202" s="92">
        <v>9</v>
      </c>
      <c r="AE202" s="107" t="s">
        <v>1837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1799</v>
      </c>
      <c r="Z203" s="66"/>
      <c r="AA203" s="66"/>
      <c r="AB203" s="73"/>
      <c r="AC203" s="87">
        <f t="shared" si="3"/>
        <v>0.66666666666666663</v>
      </c>
      <c r="AD203" s="92">
        <v>1</v>
      </c>
      <c r="AE203" s="107" t="s">
        <v>1839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74</v>
      </c>
      <c r="AA204" s="66" t="s">
        <v>74</v>
      </c>
      <c r="AB204" s="67"/>
      <c r="AC204" s="87">
        <f t="shared" si="3"/>
        <v>0.77777777777777779</v>
      </c>
      <c r="AD204" s="92">
        <v>2</v>
      </c>
      <c r="AE204" s="107" t="s">
        <v>1838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 t="s">
        <v>1811</v>
      </c>
      <c r="AC205" s="87">
        <f t="shared" si="3"/>
        <v>0.16666666666666666</v>
      </c>
      <c r="AD205" s="92">
        <v>1</v>
      </c>
      <c r="AE205" s="107" t="s">
        <v>1840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1840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1840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1840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1840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1840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1840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1840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1841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1841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1841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1841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1841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1841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1841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1841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1841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1841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1840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1841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1841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1840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1840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1840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1841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1840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1841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1841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1840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1840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1841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1840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1840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1841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1840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1841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1840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1840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1841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1840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1841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1841</v>
      </c>
    </row>
    <row r="247" spans="1:31" x14ac:dyDescent="0.3">
      <c r="A247" s="84" t="s">
        <v>411</v>
      </c>
      <c r="B247" s="94" t="s">
        <v>1813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1840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1840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1840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1841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1842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1842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1842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1842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1842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1842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1842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1842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1842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1842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1842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1842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1842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1842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1842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1842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1842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1842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1842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1842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1842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1842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1842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1842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1842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1842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1842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1843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1799</v>
      </c>
      <c r="Z279" s="66" t="s">
        <v>74</v>
      </c>
      <c r="AA279" s="66" t="s">
        <v>74</v>
      </c>
      <c r="AB279" s="67"/>
      <c r="AC279" s="87">
        <f t="shared" si="4"/>
        <v>0.66666666666666663</v>
      </c>
      <c r="AD279" s="92">
        <v>9</v>
      </c>
      <c r="AE279" s="110" t="s">
        <v>1843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1799</v>
      </c>
      <c r="Z280" s="66" t="s">
        <v>74</v>
      </c>
      <c r="AA280" s="66" t="s">
        <v>74</v>
      </c>
      <c r="AB280" s="67"/>
      <c r="AC280" s="87">
        <f t="shared" si="4"/>
        <v>0.66666666666666663</v>
      </c>
      <c r="AD280" s="92">
        <v>9</v>
      </c>
      <c r="AE280" s="110" t="s">
        <v>1843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1799</v>
      </c>
      <c r="Z281" s="66" t="s">
        <v>74</v>
      </c>
      <c r="AA281" s="66" t="s">
        <v>74</v>
      </c>
      <c r="AB281" s="67"/>
      <c r="AC281" s="87">
        <f t="shared" si="4"/>
        <v>0.66666666666666663</v>
      </c>
      <c r="AD281" s="92">
        <v>9</v>
      </c>
      <c r="AE281" s="110" t="s">
        <v>1843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1799</v>
      </c>
      <c r="Z282" s="66" t="s">
        <v>74</v>
      </c>
      <c r="AA282" s="66" t="s">
        <v>74</v>
      </c>
      <c r="AB282" s="67"/>
      <c r="AC282" s="87">
        <f t="shared" si="4"/>
        <v>0.66666666666666663</v>
      </c>
      <c r="AD282" s="92">
        <v>9</v>
      </c>
      <c r="AE282" s="110" t="s">
        <v>1843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1799</v>
      </c>
      <c r="Z283" s="66" t="s">
        <v>74</v>
      </c>
      <c r="AA283" s="66" t="s">
        <v>74</v>
      </c>
      <c r="AB283" s="67"/>
      <c r="AC283" s="87">
        <f t="shared" si="4"/>
        <v>0.72222222222222221</v>
      </c>
      <c r="AD283" s="92">
        <v>9</v>
      </c>
      <c r="AE283" s="110" t="s">
        <v>1843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1799</v>
      </c>
      <c r="Z284" s="66" t="s">
        <v>74</v>
      </c>
      <c r="AA284" s="66" t="s">
        <v>74</v>
      </c>
      <c r="AB284" s="67"/>
      <c r="AC284" s="87">
        <f t="shared" si="4"/>
        <v>0.72222222222222221</v>
      </c>
      <c r="AD284" s="92">
        <v>9</v>
      </c>
      <c r="AE284" s="110" t="s">
        <v>1843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1799</v>
      </c>
      <c r="Z285" s="66" t="s">
        <v>74</v>
      </c>
      <c r="AA285" s="66" t="s">
        <v>74</v>
      </c>
      <c r="AB285" s="67"/>
      <c r="AC285" s="87">
        <f t="shared" si="4"/>
        <v>0.66666666666666663</v>
      </c>
      <c r="AD285" s="92">
        <v>9</v>
      </c>
      <c r="AE285" s="110" t="s">
        <v>1843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1799</v>
      </c>
      <c r="Z286" s="66" t="s">
        <v>74</v>
      </c>
      <c r="AA286" s="66" t="s">
        <v>74</v>
      </c>
      <c r="AB286" s="67"/>
      <c r="AC286" s="87">
        <f t="shared" si="4"/>
        <v>0.72222222222222221</v>
      </c>
      <c r="AD286" s="92">
        <v>9</v>
      </c>
      <c r="AE286" s="110" t="s">
        <v>1843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1799</v>
      </c>
      <c r="Z287" s="66" t="s">
        <v>74</v>
      </c>
      <c r="AA287" s="66" t="s">
        <v>74</v>
      </c>
      <c r="AB287" s="67"/>
      <c r="AC287" s="87">
        <f t="shared" si="4"/>
        <v>0.72222222222222221</v>
      </c>
      <c r="AD287" s="92">
        <v>9</v>
      </c>
      <c r="AE287" s="110" t="s">
        <v>1843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1799</v>
      </c>
      <c r="Z288" s="66" t="s">
        <v>74</v>
      </c>
      <c r="AA288" s="66" t="s">
        <v>74</v>
      </c>
      <c r="AB288" s="67"/>
      <c r="AC288" s="87">
        <f t="shared" si="4"/>
        <v>0.66666666666666663</v>
      </c>
      <c r="AD288" s="92">
        <v>9</v>
      </c>
      <c r="AE288" s="110" t="s">
        <v>1843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1799</v>
      </c>
      <c r="Z289" s="66" t="s">
        <v>74</v>
      </c>
      <c r="AA289" s="66" t="s">
        <v>74</v>
      </c>
      <c r="AB289" s="67"/>
      <c r="AC289" s="87">
        <f t="shared" si="4"/>
        <v>0.66666666666666663</v>
      </c>
      <c r="AD289" s="92">
        <v>9</v>
      </c>
      <c r="AE289" s="110" t="s">
        <v>1843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213</v>
      </c>
      <c r="W290" s="66" t="s">
        <v>1820</v>
      </c>
      <c r="X290" s="66"/>
      <c r="Y290" s="66"/>
      <c r="Z290" s="66" t="s">
        <v>1820</v>
      </c>
      <c r="AA290" s="66"/>
      <c r="AB290" s="67"/>
      <c r="AC290" s="87">
        <f t="shared" si="4"/>
        <v>0.51851851851851849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/>
      <c r="AA307" s="66"/>
      <c r="AB307" s="70" t="s">
        <v>1815</v>
      </c>
      <c r="AC307" s="87">
        <f t="shared" si="4"/>
        <v>0.77777777777777779</v>
      </c>
      <c r="AD307" s="92">
        <v>3</v>
      </c>
      <c r="AE307" s="110" t="s">
        <v>1836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1814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1815</v>
      </c>
      <c r="AC343" s="87">
        <f t="shared" si="5"/>
        <v>0.5</v>
      </c>
      <c r="AD343" s="92">
        <v>3</v>
      </c>
      <c r="AE343" s="110" t="s">
        <v>1836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/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 s="67"/>
      <c r="AC345" s="87">
        <f t="shared" si="5"/>
        <v>0.25925925925925924</v>
      </c>
      <c r="AD345" s="92">
        <v>5</v>
      </c>
      <c r="AE345" s="110" t="s">
        <v>1844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/>
      <c r="U346" s="66" t="s">
        <v>213</v>
      </c>
      <c r="V346" s="66" t="s">
        <v>213</v>
      </c>
      <c r="W346" s="66"/>
      <c r="X346" s="66"/>
      <c r="Y346" s="66"/>
      <c r="Z346" s="66"/>
      <c r="AA346" s="66"/>
      <c r="AB346" s="67"/>
      <c r="AC346" s="87">
        <f t="shared" si="5"/>
        <v>0.25925925925925924</v>
      </c>
      <c r="AD346" s="92">
        <v>5</v>
      </c>
      <c r="AE346" s="110" t="s">
        <v>1844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5"/>
        <v>0.25925925925925924</v>
      </c>
      <c r="AD347" s="92">
        <v>5</v>
      </c>
      <c r="AE347" s="110" t="s">
        <v>1844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5"/>
        <v>0.25925925925925924</v>
      </c>
      <c r="AD348" s="92">
        <v>5</v>
      </c>
      <c r="AE348" s="110" t="s">
        <v>1844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5"/>
        <v>0.25925925925925924</v>
      </c>
      <c r="AD349" s="92">
        <v>5</v>
      </c>
      <c r="AE349" s="110" t="s">
        <v>1844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5"/>
        <v>0.25925925925925924</v>
      </c>
      <c r="AD350" s="92">
        <v>5</v>
      </c>
      <c r="AE350" s="110" t="s">
        <v>1844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/>
      <c r="U351" s="66" t="s">
        <v>213</v>
      </c>
      <c r="V351" s="66" t="s">
        <v>213</v>
      </c>
      <c r="W351" s="66"/>
      <c r="X351" s="66"/>
      <c r="Y351" s="66"/>
      <c r="Z351" s="66"/>
      <c r="AA351" s="66"/>
      <c r="AB351" s="67"/>
      <c r="AC351" s="87">
        <f t="shared" si="5"/>
        <v>0.25925925925925924</v>
      </c>
      <c r="AD351" s="92">
        <v>5</v>
      </c>
      <c r="AE351" s="110" t="s">
        <v>1844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5"/>
        <v>0.25925925925925924</v>
      </c>
      <c r="AD352" s="92">
        <v>5</v>
      </c>
      <c r="AE352" s="110" t="s">
        <v>1844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/>
      <c r="U353" s="66" t="s">
        <v>213</v>
      </c>
      <c r="V353" s="66" t="s">
        <v>213</v>
      </c>
      <c r="W353" s="66"/>
      <c r="X353" s="66"/>
      <c r="Y353" s="66"/>
      <c r="Z353" s="66"/>
      <c r="AA353" s="66"/>
      <c r="AB353" s="67"/>
      <c r="AC353" s="87">
        <f t="shared" si="5"/>
        <v>0.25925925925925924</v>
      </c>
      <c r="AD353" s="92">
        <v>5</v>
      </c>
      <c r="AE353" s="110" t="s">
        <v>1844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/>
      <c r="U354" s="66" t="s">
        <v>213</v>
      </c>
      <c r="V354" s="66" t="s">
        <v>213</v>
      </c>
      <c r="W354" s="66"/>
      <c r="X354" s="66"/>
      <c r="Y354" s="66"/>
      <c r="Z354" s="66"/>
      <c r="AA354" s="66"/>
      <c r="AB354" s="67"/>
      <c r="AC354" s="87">
        <f t="shared" si="5"/>
        <v>0.25925925925925924</v>
      </c>
      <c r="AD354" s="92">
        <v>5</v>
      </c>
      <c r="AE354" s="110" t="s">
        <v>1844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/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0.18518518518518517</v>
      </c>
      <c r="AD355" s="92">
        <v>5</v>
      </c>
      <c r="AE355" s="110" t="s">
        <v>1844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/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0.18518518518518517</v>
      </c>
      <c r="AD356" s="92">
        <v>5</v>
      </c>
      <c r="AE356" s="110" t="s">
        <v>1844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/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0.18518518518518517</v>
      </c>
      <c r="AD357" s="92">
        <v>5</v>
      </c>
      <c r="AE357" s="110" t="s">
        <v>1844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/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0.18518518518518517</v>
      </c>
      <c r="AD358" s="92">
        <v>5</v>
      </c>
      <c r="AE358" s="110" t="s">
        <v>1844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/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0.18518518518518517</v>
      </c>
      <c r="AD359" s="92">
        <v>5</v>
      </c>
      <c r="AE359" s="110" t="s">
        <v>1844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/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0.18518518518518517</v>
      </c>
      <c r="AD360" s="92">
        <v>5</v>
      </c>
      <c r="AE360" s="110" t="s">
        <v>1844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/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0.18518518518518517</v>
      </c>
      <c r="AD361" s="92">
        <v>5</v>
      </c>
      <c r="AE361" s="110" t="s">
        <v>1844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1844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/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0.18518518518518517</v>
      </c>
      <c r="AD363" s="92">
        <v>5</v>
      </c>
      <c r="AE363" s="110" t="s">
        <v>1844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0.18518518518518517</v>
      </c>
      <c r="AD364" s="92">
        <v>5</v>
      </c>
      <c r="AE364" s="110" t="s">
        <v>1844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0.18518518518518517</v>
      </c>
      <c r="AD365" s="92">
        <v>5</v>
      </c>
      <c r="AE365" s="110" t="s">
        <v>1844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0.18518518518518517</v>
      </c>
      <c r="AD366" s="92">
        <v>5</v>
      </c>
      <c r="AE366" s="110" t="s">
        <v>1844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/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0.18518518518518517</v>
      </c>
      <c r="AD367" s="92">
        <v>5</v>
      </c>
      <c r="AE367" s="110" t="s">
        <v>1844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0.18518518518518517</v>
      </c>
      <c r="AD368" s="92">
        <v>5</v>
      </c>
      <c r="AE368" s="110" t="s">
        <v>1844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0.18518518518518517</v>
      </c>
      <c r="AD369" s="92">
        <v>5</v>
      </c>
      <c r="AE369" s="110" t="s">
        <v>1844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/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0.25925925925925924</v>
      </c>
      <c r="AD370" s="92">
        <v>7</v>
      </c>
      <c r="AE370" s="64" t="s">
        <v>1845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/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0.25925925925925924</v>
      </c>
      <c r="AD371" s="92">
        <v>7</v>
      </c>
      <c r="AE371" s="64" t="s">
        <v>1845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/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0.25925925925925924</v>
      </c>
      <c r="AD372" s="92">
        <v>7</v>
      </c>
      <c r="AE372" s="64" t="s">
        <v>1845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/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0.25925925925925924</v>
      </c>
      <c r="AD373" s="92">
        <v>7</v>
      </c>
      <c r="AE373" s="64" t="s">
        <v>1845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/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0.25925925925925924</v>
      </c>
      <c r="AD374" s="92">
        <v>7</v>
      </c>
      <c r="AE374" s="64" t="s">
        <v>1845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/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0.25925925925925924</v>
      </c>
      <c r="AD375" s="92">
        <v>7</v>
      </c>
      <c r="AE375" s="64" t="s">
        <v>1845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/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0.25925925925925924</v>
      </c>
      <c r="AD376" s="92">
        <v>7</v>
      </c>
      <c r="AE376" s="64" t="s">
        <v>1845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/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0.25925925925925924</v>
      </c>
      <c r="AD377" s="92">
        <v>7</v>
      </c>
      <c r="AE377" s="64" t="s">
        <v>1845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/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0.25925925925925924</v>
      </c>
      <c r="AD378" s="92">
        <v>7</v>
      </c>
      <c r="AE378" s="64" t="s">
        <v>1845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/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0.25925925925925924</v>
      </c>
      <c r="AD379" s="92">
        <v>7</v>
      </c>
      <c r="AE379" s="64" t="s">
        <v>1845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/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0.25925925925925924</v>
      </c>
      <c r="AD380" s="92">
        <v>7</v>
      </c>
      <c r="AE380" s="64" t="s">
        <v>1845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/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0.25925925925925924</v>
      </c>
      <c r="AD381" s="92">
        <v>7</v>
      </c>
      <c r="AE381" s="64" t="s">
        <v>1845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/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0.25925925925925924</v>
      </c>
      <c r="AD382" s="92">
        <v>7</v>
      </c>
      <c r="AE382" s="64" t="s">
        <v>1845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/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0.25925925925925924</v>
      </c>
      <c r="AD383" s="92">
        <v>7</v>
      </c>
      <c r="AE383" s="64" t="s">
        <v>1845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/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0.25925925925925924</v>
      </c>
      <c r="AD384" s="92">
        <v>7</v>
      </c>
      <c r="AE384" s="64" t="s">
        <v>1845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/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0.25925925925925924</v>
      </c>
      <c r="AD385" s="92">
        <v>7</v>
      </c>
      <c r="AE385" s="64" t="s">
        <v>1845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/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0.25925925925925924</v>
      </c>
      <c r="AD386" s="92">
        <v>7</v>
      </c>
      <c r="AE386" s="64" t="s">
        <v>1845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/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0.25925925925925924</v>
      </c>
      <c r="AD387" s="92">
        <v>7</v>
      </c>
      <c r="AE387" s="64" t="s">
        <v>1845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/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0.25925925925925924</v>
      </c>
      <c r="AD388" s="92">
        <v>7</v>
      </c>
      <c r="AE388" s="64" t="s">
        <v>1845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/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0.25925925925925924</v>
      </c>
      <c r="AD389" s="92">
        <v>7</v>
      </c>
      <c r="AE389" s="64" t="s">
        <v>1845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/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0.25925925925925924</v>
      </c>
      <c r="AD390" s="92">
        <v>7</v>
      </c>
      <c r="AE390" s="64" t="s">
        <v>1845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/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0.25925925925925924</v>
      </c>
      <c r="AD391" s="92">
        <v>7</v>
      </c>
      <c r="AE391" s="64" t="s">
        <v>1845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/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0.25925925925925924</v>
      </c>
      <c r="AD392" s="92">
        <v>7</v>
      </c>
      <c r="AE392" s="64" t="s">
        <v>1845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/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0.25925925925925924</v>
      </c>
      <c r="AD393" s="92">
        <v>7</v>
      </c>
      <c r="AE393" s="64" t="s">
        <v>1845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/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0.25925925925925924</v>
      </c>
      <c r="AD394" s="92">
        <v>7</v>
      </c>
      <c r="AE394" s="64" t="s">
        <v>1845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/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0.25925925925925924</v>
      </c>
      <c r="AD395" s="92">
        <v>7</v>
      </c>
      <c r="AE395" s="64" t="s">
        <v>1845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/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0.25925925925925924</v>
      </c>
      <c r="AD396" s="92">
        <v>7</v>
      </c>
      <c r="AE396" s="64" t="s">
        <v>1845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/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0.25925925925925924</v>
      </c>
      <c r="AD397" s="92">
        <v>7</v>
      </c>
      <c r="AE397" s="64" t="s">
        <v>1845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/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0.25925925925925924</v>
      </c>
      <c r="AD398" s="92">
        <v>7</v>
      </c>
      <c r="AE398" s="64" t="s">
        <v>1845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176</v>
      </c>
      <c r="V399" s="66" t="s">
        <v>176</v>
      </c>
      <c r="W399" s="66"/>
      <c r="X399" s="66"/>
      <c r="Y399" s="66"/>
      <c r="Z399" s="66"/>
      <c r="AA399" s="66"/>
      <c r="AB399" s="67"/>
      <c r="AC399" s="87">
        <f t="shared" si="6"/>
        <v>0.24074074074074073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176</v>
      </c>
      <c r="V400" s="66" t="s">
        <v>176</v>
      </c>
      <c r="W400" s="66"/>
      <c r="X400" s="66"/>
      <c r="Y400" s="66"/>
      <c r="Z400" s="66"/>
      <c r="AA400" s="66"/>
      <c r="AB400" s="67"/>
      <c r="AC400" s="87">
        <f t="shared" si="6"/>
        <v>0.24074074074074073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176</v>
      </c>
      <c r="V401" s="66" t="s">
        <v>176</v>
      </c>
      <c r="W401" s="66"/>
      <c r="X401" s="66"/>
      <c r="Y401" s="66"/>
      <c r="Z401" s="66"/>
      <c r="AA401" s="66"/>
      <c r="AB401" s="67"/>
      <c r="AC401" s="87">
        <f t="shared" si="6"/>
        <v>0.24074074074074073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176</v>
      </c>
      <c r="V402" s="66" t="s">
        <v>176</v>
      </c>
      <c r="W402" s="66"/>
      <c r="X402" s="66"/>
      <c r="Y402" s="66"/>
      <c r="Z402" s="66"/>
      <c r="AA402" s="66"/>
      <c r="AB402" s="67"/>
      <c r="AC402" s="87">
        <f t="shared" si="6"/>
        <v>0.24074074074074073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176</v>
      </c>
      <c r="V403" s="66" t="s">
        <v>176</v>
      </c>
      <c r="W403" s="66"/>
      <c r="X403" s="66"/>
      <c r="Y403" s="66"/>
      <c r="Z403" s="66"/>
      <c r="AA403" s="66"/>
      <c r="AB403" s="67"/>
      <c r="AC403" s="87">
        <f t="shared" si="6"/>
        <v>0.24074074074074073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176</v>
      </c>
      <c r="V404" s="66" t="s">
        <v>176</v>
      </c>
      <c r="W404" s="66"/>
      <c r="X404" s="66"/>
      <c r="Y404" s="66"/>
      <c r="Z404" s="66"/>
      <c r="AA404" s="66"/>
      <c r="AB404" s="67"/>
      <c r="AC404" s="87">
        <f t="shared" si="6"/>
        <v>0.24074074074074073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176</v>
      </c>
      <c r="V405" s="66" t="s">
        <v>176</v>
      </c>
      <c r="W405" s="66"/>
      <c r="X405" s="66"/>
      <c r="Y405" s="66"/>
      <c r="Z405" s="66"/>
      <c r="AA405" s="66"/>
      <c r="AB405" s="67"/>
      <c r="AC405" s="87">
        <f t="shared" si="6"/>
        <v>0.24074074074074073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176</v>
      </c>
      <c r="V406" s="66" t="s">
        <v>176</v>
      </c>
      <c r="W406" s="66"/>
      <c r="X406" s="66"/>
      <c r="Y406" s="66"/>
      <c r="Z406" s="66"/>
      <c r="AA406" s="66"/>
      <c r="AB406" s="67"/>
      <c r="AC406" s="87">
        <f t="shared" si="6"/>
        <v>0.24074074074074073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176</v>
      </c>
      <c r="V407" s="66" t="s">
        <v>176</v>
      </c>
      <c r="W407" s="66"/>
      <c r="X407" s="66"/>
      <c r="Y407" s="66"/>
      <c r="Z407" s="66"/>
      <c r="AA407" s="66"/>
      <c r="AB407" s="67"/>
      <c r="AC407" s="87">
        <f t="shared" si="6"/>
        <v>0.24074074074074073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176</v>
      </c>
      <c r="V408" s="66" t="s">
        <v>176</v>
      </c>
      <c r="W408" s="66"/>
      <c r="X408" s="66"/>
      <c r="Y408" s="66"/>
      <c r="Z408" s="66"/>
      <c r="AA408" s="66"/>
      <c r="AB408" s="67"/>
      <c r="AC408" s="87">
        <f t="shared" si="6"/>
        <v>0.24074074074074073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176</v>
      </c>
      <c r="V409" s="66" t="s">
        <v>176</v>
      </c>
      <c r="W409" s="66"/>
      <c r="X409" s="66"/>
      <c r="Y409" s="66"/>
      <c r="Z409" s="66"/>
      <c r="AA409" s="66"/>
      <c r="AB409" s="67"/>
      <c r="AC409" s="87">
        <f t="shared" si="6"/>
        <v>0.24074074074074073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176</v>
      </c>
      <c r="V410" s="66" t="s">
        <v>176</v>
      </c>
      <c r="W410" s="66"/>
      <c r="X410" s="66"/>
      <c r="Y410" s="66"/>
      <c r="Z410" s="66"/>
      <c r="AA410" s="66"/>
      <c r="AB410" s="67"/>
      <c r="AC410" s="87">
        <f t="shared" si="6"/>
        <v>0.24074074074074073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6"/>
        <v>0.24074074074074073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/>
      <c r="U412" s="66" t="s">
        <v>176</v>
      </c>
      <c r="V412" s="66" t="s">
        <v>176</v>
      </c>
      <c r="W412" s="66"/>
      <c r="X412" s="66"/>
      <c r="Y412" s="66"/>
      <c r="Z412" s="66"/>
      <c r="AA412" s="66"/>
      <c r="AB412" s="67"/>
      <c r="AC412" s="87">
        <f t="shared" si="6"/>
        <v>0.18518518518518517</v>
      </c>
      <c r="AD412" s="92">
        <v>5</v>
      </c>
      <c r="AE412" s="110" t="s">
        <v>1846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/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0.18518518518518517</v>
      </c>
      <c r="AD413" s="92">
        <v>5</v>
      </c>
      <c r="AE413" s="110" t="s">
        <v>1846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/>
      <c r="U414" s="66" t="s">
        <v>176</v>
      </c>
      <c r="V414" s="66" t="s">
        <v>176</v>
      </c>
      <c r="W414" s="66"/>
      <c r="X414" s="66"/>
      <c r="Y414" s="66"/>
      <c r="Z414" s="66"/>
      <c r="AA414" s="66"/>
      <c r="AB414" s="67"/>
      <c r="AC414" s="87">
        <f t="shared" si="6"/>
        <v>0.18518518518518517</v>
      </c>
      <c r="AD414" s="92">
        <v>5</v>
      </c>
      <c r="AE414" s="110" t="s">
        <v>1846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/>
      <c r="U415" s="66" t="s">
        <v>176</v>
      </c>
      <c r="V415" s="66" t="s">
        <v>176</v>
      </c>
      <c r="W415" s="66"/>
      <c r="X415" s="66"/>
      <c r="Y415" s="66"/>
      <c r="Z415" s="66"/>
      <c r="AA415" s="66"/>
      <c r="AB415" s="67"/>
      <c r="AC415" s="87">
        <f t="shared" si="6"/>
        <v>0.18518518518518517</v>
      </c>
      <c r="AD415" s="92">
        <v>5</v>
      </c>
      <c r="AE415" s="110" t="s">
        <v>1846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/>
      <c r="U416" s="66" t="s">
        <v>176</v>
      </c>
      <c r="V416" s="66" t="s">
        <v>176</v>
      </c>
      <c r="W416" s="66"/>
      <c r="X416" s="66"/>
      <c r="Y416" s="66"/>
      <c r="Z416" s="66"/>
      <c r="AA416" s="66"/>
      <c r="AB416" s="67"/>
      <c r="AC416" s="87">
        <f t="shared" si="6"/>
        <v>0.18518518518518517</v>
      </c>
      <c r="AD416" s="92">
        <v>5</v>
      </c>
      <c r="AE416" s="110" t="s">
        <v>1846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/>
      <c r="U417" s="66" t="s">
        <v>176</v>
      </c>
      <c r="V417" s="66" t="s">
        <v>176</v>
      </c>
      <c r="W417" s="66"/>
      <c r="X417" s="66"/>
      <c r="Y417" s="66"/>
      <c r="Z417" s="66"/>
      <c r="AA417" s="66"/>
      <c r="AB417" s="67"/>
      <c r="AC417" s="87">
        <f t="shared" si="6"/>
        <v>0.18518518518518517</v>
      </c>
      <c r="AD417" s="92">
        <v>5</v>
      </c>
      <c r="AE417" s="110" t="s">
        <v>1846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/>
      <c r="U418" s="66" t="s">
        <v>176</v>
      </c>
      <c r="V418" s="66" t="s">
        <v>176</v>
      </c>
      <c r="W418" s="66"/>
      <c r="X418" s="66"/>
      <c r="Y418" s="66"/>
      <c r="Z418" s="66"/>
      <c r="AA418" s="66"/>
      <c r="AB418" s="67"/>
      <c r="AC418" s="87">
        <f t="shared" si="6"/>
        <v>0.18518518518518517</v>
      </c>
      <c r="AD418" s="92">
        <v>5</v>
      </c>
      <c r="AE418" s="110" t="s">
        <v>1846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/>
      <c r="U419" s="66" t="s">
        <v>176</v>
      </c>
      <c r="V419" s="66" t="s">
        <v>176</v>
      </c>
      <c r="W419" s="66"/>
      <c r="X419" s="66"/>
      <c r="Y419" s="66"/>
      <c r="Z419" s="66"/>
      <c r="AA419" s="66"/>
      <c r="AB419" s="67"/>
      <c r="AC419" s="87">
        <f t="shared" si="6"/>
        <v>0.18518518518518517</v>
      </c>
      <c r="AD419" s="92">
        <v>5</v>
      </c>
      <c r="AE419" s="110" t="s">
        <v>1846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/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0.18518518518518517</v>
      </c>
      <c r="AD420" s="92">
        <v>5</v>
      </c>
      <c r="AE420" s="110" t="s">
        <v>1846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/>
      <c r="U421" s="66" t="s">
        <v>176</v>
      </c>
      <c r="V421" s="66" t="s">
        <v>176</v>
      </c>
      <c r="W421" s="66"/>
      <c r="X421" s="66"/>
      <c r="Y421" s="66"/>
      <c r="Z421" s="66"/>
      <c r="AA421" s="66"/>
      <c r="AB421" s="67"/>
      <c r="AC421" s="87">
        <f t="shared" si="6"/>
        <v>0.18518518518518517</v>
      </c>
      <c r="AD421" s="92">
        <v>5</v>
      </c>
      <c r="AE421" s="110" t="s">
        <v>1846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/>
      <c r="U422" s="66" t="s">
        <v>176</v>
      </c>
      <c r="V422" s="66" t="s">
        <v>176</v>
      </c>
      <c r="W422" s="66"/>
      <c r="X422" s="66"/>
      <c r="Y422" s="66"/>
      <c r="Z422" s="66"/>
      <c r="AA422" s="66"/>
      <c r="AB422" s="67"/>
      <c r="AC422" s="87">
        <f t="shared" si="6"/>
        <v>0.18518518518518517</v>
      </c>
      <c r="AD422" s="92">
        <v>5</v>
      </c>
      <c r="AE422" s="110" t="s">
        <v>1846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/>
      <c r="U423" s="66" t="s">
        <v>176</v>
      </c>
      <c r="V423" s="66" t="s">
        <v>176</v>
      </c>
      <c r="W423" s="66"/>
      <c r="X423" s="66"/>
      <c r="Y423" s="66"/>
      <c r="Z423" s="66"/>
      <c r="AA423" s="66"/>
      <c r="AB423" s="67"/>
      <c r="AC423" s="87">
        <f t="shared" si="6"/>
        <v>0.18518518518518517</v>
      </c>
      <c r="AD423" s="92">
        <v>5</v>
      </c>
      <c r="AE423" s="110" t="s">
        <v>1846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/>
      <c r="U424" s="66" t="s">
        <v>176</v>
      </c>
      <c r="V424" s="66" t="s">
        <v>176</v>
      </c>
      <c r="W424" s="66"/>
      <c r="X424" s="66"/>
      <c r="Y424" s="66"/>
      <c r="Z424" s="66"/>
      <c r="AA424" s="66"/>
      <c r="AB424" s="67"/>
      <c r="AC424" s="87">
        <f t="shared" si="6"/>
        <v>0.18518518518518517</v>
      </c>
      <c r="AD424" s="92">
        <v>5</v>
      </c>
      <c r="AE424" s="110" t="s">
        <v>1846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/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0.18518518518518517</v>
      </c>
      <c r="AD425" s="92">
        <v>5</v>
      </c>
      <c r="AE425" s="110" t="s">
        <v>1846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/>
      <c r="U426" s="66" t="s">
        <v>176</v>
      </c>
      <c r="V426" s="66" t="s">
        <v>176</v>
      </c>
      <c r="W426" s="66"/>
      <c r="X426" s="66"/>
      <c r="Y426" s="66"/>
      <c r="Z426" s="66"/>
      <c r="AA426" s="66"/>
      <c r="AB426" s="67"/>
      <c r="AC426" s="87">
        <f t="shared" si="6"/>
        <v>0.18518518518518517</v>
      </c>
      <c r="AD426" s="92">
        <v>5</v>
      </c>
      <c r="AE426" s="110" t="s">
        <v>1846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175</v>
      </c>
      <c r="X428" s="66" t="s">
        <v>175</v>
      </c>
      <c r="Y428" s="66"/>
      <c r="Z428" s="66"/>
      <c r="AA428" s="66"/>
      <c r="AB428" s="67"/>
      <c r="AC428" s="87">
        <f t="shared" si="6"/>
        <v>0.44444444444444442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/>
      <c r="AC429" s="87">
        <f t="shared" si="6"/>
        <v>0.25925925925925924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/>
      <c r="AC431" s="87">
        <f t="shared" si="6"/>
        <v>0.25925925925925924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176</v>
      </c>
      <c r="V433" s="66" t="s">
        <v>176</v>
      </c>
      <c r="W433" s="66"/>
      <c r="X433" s="66"/>
      <c r="Y433" s="66"/>
      <c r="Z433" s="66"/>
      <c r="AA433" s="66"/>
      <c r="AB433" s="67"/>
      <c r="AC433" s="87">
        <f t="shared" si="6"/>
        <v>0.18518518518518517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176</v>
      </c>
      <c r="V436" s="66" t="s">
        <v>176</v>
      </c>
      <c r="W436" s="66"/>
      <c r="X436" s="66"/>
      <c r="Y436" s="66"/>
      <c r="Z436" s="66"/>
      <c r="AA436" s="66"/>
      <c r="AB436" s="67"/>
      <c r="AC436" s="87">
        <f t="shared" si="6"/>
        <v>0.18518518518518517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176</v>
      </c>
      <c r="V439" s="66" t="s">
        <v>176</v>
      </c>
      <c r="W439" s="66"/>
      <c r="X439" s="66"/>
      <c r="Y439" s="66"/>
      <c r="Z439" s="66"/>
      <c r="AA439" s="66"/>
      <c r="AB439" s="67"/>
      <c r="AC439" s="87">
        <f t="shared" si="6"/>
        <v>0.18518518518518517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>(
IF(S443="ENVIADO A LA CE/UM",1/3,IF(S443="ENTREGADO/REVISIÓN",2/3,IF(S443="ENVIADO A TICS",1,0)))+
IF(T443="EN PROCESO",1/2,IF(T443="CONCLUIDO",1,0))+
IF(OR(U443="CONCLUIDO",U443="NO APLICA"),1,IF(U443="EN REVISIÓN CENTRAL",2/3,IF(U443="ENVIADO A LA CE/UM",1/3,0)))+
IF(OR(V443="CONCLUIDO",V443="NO APLICA"),1,IF(V443="EN REVISIÓN CENTRAL",2/3,IF(V443="ENVIADO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IF(OR(W443="CONCLUIDO",W443="NO APLICA"),1,IF(W443="EN PROCESO",0.5,0))+
IF(OR(X443="CONCLUIDO",X443="NO APLICA"),1,IF(X443="EN PROCESO",0.5,0))+
IF(Y443="PROGRAMADAS",1/2,IF(Y443="CONCLUIDAS",1,0))+
IF(OR(Z443="SI",Z443="NO APLICA"),1,0)+
IF(OR(AA443="SI",AA443="NO APLICA"),1,0)
)/9</f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/>
      <c r="AC445" s="87">
        <f t="shared" si="6"/>
        <v>0.25925925925925924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176</v>
      </c>
      <c r="V446" s="66" t="s">
        <v>176</v>
      </c>
      <c r="W446" s="66"/>
      <c r="X446" s="66"/>
      <c r="Y446" s="66"/>
      <c r="Z446" s="66"/>
      <c r="AA446" s="66"/>
      <c r="AB446" s="67"/>
      <c r="AC446" s="87">
        <f t="shared" si="6"/>
        <v>0.18518518518518517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176</v>
      </c>
      <c r="V447" s="66" t="s">
        <v>176</v>
      </c>
      <c r="W447" s="66"/>
      <c r="X447" s="66"/>
      <c r="Y447" s="66"/>
      <c r="Z447" s="66"/>
      <c r="AA447" s="66"/>
      <c r="AB447" s="67"/>
      <c r="AC447" s="87">
        <f t="shared" si="6"/>
        <v>0.18518518518518517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176</v>
      </c>
      <c r="V448" s="66" t="s">
        <v>176</v>
      </c>
      <c r="W448" s="66"/>
      <c r="X448" s="66"/>
      <c r="Y448" s="66"/>
      <c r="Z448" s="66"/>
      <c r="AA448" s="66"/>
      <c r="AB448" s="67"/>
      <c r="AC448" s="87">
        <f t="shared" si="6"/>
        <v>0.18518518518518517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/>
      <c r="X449" s="66"/>
      <c r="Y449" s="66"/>
      <c r="Z449" s="66"/>
      <c r="AA449" s="66"/>
      <c r="AB449" s="67"/>
      <c r="AC449" s="87">
        <f t="shared" si="6"/>
        <v>0.33333333333333331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1847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1847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1866</v>
      </c>
      <c r="AC452" s="87">
        <f t="shared" si="7"/>
        <v>0.77777777777777779</v>
      </c>
      <c r="AD452" s="92">
        <v>5</v>
      </c>
      <c r="AE452" s="110" t="s">
        <v>1847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1847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1847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1847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1847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1847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/>
      <c r="AC458" s="87">
        <f t="shared" si="7"/>
        <v>0.77777777777777779</v>
      </c>
      <c r="AD458" s="92">
        <v>5</v>
      </c>
      <c r="AE458" s="110" t="s">
        <v>1847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1847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1847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1847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1847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1847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1847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1847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1847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1847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1847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1847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1847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1848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1848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1848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1848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1848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1848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1848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1848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1848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1848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1848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213</v>
      </c>
      <c r="V482" s="66" t="s">
        <v>213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0.25925925925925924</v>
      </c>
      <c r="AD482" s="92">
        <v>8</v>
      </c>
      <c r="AE482" s="110" t="s">
        <v>1848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213</v>
      </c>
      <c r="V483" s="66" t="s">
        <v>213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0.25925925925925924</v>
      </c>
      <c r="AD483" s="92">
        <v>8</v>
      </c>
      <c r="AE483" s="110" t="s">
        <v>1848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1848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1848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1848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1848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1848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1848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1848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1848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1848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1848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1820</v>
      </c>
      <c r="X494" s="66"/>
      <c r="Y494" s="66"/>
      <c r="Z494" s="66" t="s">
        <v>1820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213</v>
      </c>
      <c r="V495" s="66" t="s">
        <v>213</v>
      </c>
      <c r="W495" s="66" t="s">
        <v>175</v>
      </c>
      <c r="X495" s="66"/>
      <c r="Y495" s="66" t="s">
        <v>1799</v>
      </c>
      <c r="Z495" s="66"/>
      <c r="AA495" s="66"/>
      <c r="AB495" s="67"/>
      <c r="AC495" s="87">
        <f t="shared" si="7"/>
        <v>0.37037037037037035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1820</v>
      </c>
      <c r="X515" s="66" t="s">
        <v>35</v>
      </c>
      <c r="Y515" s="66" t="s">
        <v>36</v>
      </c>
      <c r="Z515" s="66" t="s">
        <v>1820</v>
      </c>
      <c r="AA515" s="66"/>
      <c r="AB515" s="67" t="s">
        <v>1819</v>
      </c>
      <c r="AC515" s="87">
        <f t="shared" si="8"/>
        <v>0.83333333333333337</v>
      </c>
      <c r="AD515" s="92">
        <v>3</v>
      </c>
      <c r="AE515" s="110" t="s">
        <v>1849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1849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1849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1849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1849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1849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1849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1849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1849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1849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1849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1849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1849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/>
      <c r="AA528" s="66"/>
      <c r="AB528" s="67"/>
      <c r="AC528" s="87">
        <f t="shared" si="8"/>
        <v>0.24074074074074073</v>
      </c>
      <c r="AD528" s="92">
        <v>9</v>
      </c>
      <c r="AE528" s="107" t="s">
        <v>1850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1851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1851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67"/>
      <c r="AC531" s="87">
        <f t="shared" si="8"/>
        <v>0.24074074074074073</v>
      </c>
      <c r="AD531" s="92">
        <v>9</v>
      </c>
      <c r="AE531" s="107" t="s">
        <v>1850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1851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1851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1851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8"/>
        <v>0.24074074074074073</v>
      </c>
      <c r="AD535" s="92">
        <v>9</v>
      </c>
      <c r="AE535" s="107" t="s">
        <v>1850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8"/>
        <v>0.24074074074074073</v>
      </c>
      <c r="AD536" s="92">
        <v>9</v>
      </c>
      <c r="AE536" s="107" t="s">
        <v>1850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1852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1851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8"/>
        <v>0.24074074074074073</v>
      </c>
      <c r="AD539" s="92">
        <v>9</v>
      </c>
      <c r="AE539" s="107" t="s">
        <v>1850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8"/>
        <v>0.24074074074074073</v>
      </c>
      <c r="AD540" s="92">
        <v>9</v>
      </c>
      <c r="AE540" s="107" t="s">
        <v>1850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8"/>
        <v>0.24074074074074073</v>
      </c>
      <c r="AD541" s="92">
        <v>9</v>
      </c>
      <c r="AE541" s="107" t="s">
        <v>1850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8"/>
        <v>0.24074074074074073</v>
      </c>
      <c r="AD542" s="92">
        <v>9</v>
      </c>
      <c r="AE542" s="107" t="s">
        <v>1850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1851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8"/>
        <v>0.24074074074074073</v>
      </c>
      <c r="AD544" s="92">
        <v>9</v>
      </c>
      <c r="AE544" s="107" t="s">
        <v>1850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1851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8"/>
        <v>0.24074074074074073</v>
      </c>
      <c r="AD546" s="92">
        <v>9</v>
      </c>
      <c r="AE546" s="107" t="s">
        <v>1850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1852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1852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8"/>
        <v>0.24074074074074073</v>
      </c>
      <c r="AD549" s="92">
        <v>9</v>
      </c>
      <c r="AE549" s="107" t="s">
        <v>1850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1851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1852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1851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1851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1851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1852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1852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/>
      <c r="AA557" s="66"/>
      <c r="AB557" s="67"/>
      <c r="AC557" s="87">
        <f t="shared" si="8"/>
        <v>0.24074074074074073</v>
      </c>
      <c r="AD557" s="92">
        <v>9</v>
      </c>
      <c r="AE557" s="107" t="s">
        <v>1850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1851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1851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/>
      <c r="AA560" s="66"/>
      <c r="AB560" s="67"/>
      <c r="AC560" s="87">
        <f t="shared" si="8"/>
        <v>0.24074074074074073</v>
      </c>
      <c r="AD560" s="92">
        <v>9</v>
      </c>
      <c r="AE560" s="107" t="s">
        <v>1850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1852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1851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1851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1851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1851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1851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1851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1852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8"/>
        <v>0.24074074074074073</v>
      </c>
      <c r="AD569" s="92">
        <v>9</v>
      </c>
      <c r="AE569" s="107" t="s">
        <v>1850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1851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1852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1851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1851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/>
      <c r="AA574" s="66"/>
      <c r="AB574" s="67"/>
      <c r="AC574" s="87">
        <f t="shared" si="8"/>
        <v>0.24074074074074073</v>
      </c>
      <c r="AD574" s="92">
        <v>9</v>
      </c>
      <c r="AE574" s="107" t="s">
        <v>1850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1851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1851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1851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/>
      <c r="AA578" s="66"/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1850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1851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1851</v>
      </c>
    </row>
    <row r="581" spans="1:31" x14ac:dyDescent="0.3">
      <c r="A581" s="95" t="s">
        <v>1827</v>
      </c>
      <c r="B581" s="96" t="s">
        <v>25</v>
      </c>
      <c r="C581" s="96" t="s">
        <v>1828</v>
      </c>
      <c r="D581" s="33" t="s">
        <v>1775</v>
      </c>
      <c r="E581" s="35" t="s">
        <v>1853</v>
      </c>
      <c r="F581" s="35" t="s">
        <v>1854</v>
      </c>
      <c r="G581" s="35" t="s">
        <v>1803</v>
      </c>
      <c r="H581" s="39">
        <v>3</v>
      </c>
      <c r="I581" s="35" t="s">
        <v>181</v>
      </c>
      <c r="J581" s="35" t="s">
        <v>1855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1852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1851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9"/>
        <v>0.24074074074074073</v>
      </c>
      <c r="AD583" s="92">
        <v>9</v>
      </c>
      <c r="AE583" s="107" t="s">
        <v>1850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1852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1851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1852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1826</v>
      </c>
      <c r="AE587" s="110" t="s">
        <v>1856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1856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1856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1856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1856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1856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1856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1856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1856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1799</v>
      </c>
      <c r="Z596" s="66"/>
      <c r="AA596" s="66"/>
      <c r="AB596" s="67"/>
      <c r="AC596" s="87">
        <f t="shared" si="9"/>
        <v>0.72222222222222221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1799</v>
      </c>
      <c r="Z597" s="66"/>
      <c r="AA597" s="66"/>
      <c r="AB597" s="67"/>
      <c r="AC597" s="87">
        <f t="shared" si="9"/>
        <v>0.72222222222222221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1799</v>
      </c>
      <c r="Z598" s="66"/>
      <c r="AA598" s="66"/>
      <c r="AB598" s="67"/>
      <c r="AC598" s="87">
        <f t="shared" si="9"/>
        <v>0.72222222222222221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1799</v>
      </c>
      <c r="Z599" s="66"/>
      <c r="AA599" s="66"/>
      <c r="AB599" s="67"/>
      <c r="AC599" s="87">
        <f t="shared" si="9"/>
        <v>0.72222222222222221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1799</v>
      </c>
      <c r="Z600" s="66"/>
      <c r="AA600" s="66"/>
      <c r="AB600" s="67"/>
      <c r="AC600" s="87">
        <f t="shared" si="9"/>
        <v>0.72222222222222221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1799</v>
      </c>
      <c r="Z601" s="66"/>
      <c r="AA601" s="66"/>
      <c r="AB601" s="67"/>
      <c r="AC601" s="87">
        <f t="shared" si="9"/>
        <v>0.72222222222222221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1799</v>
      </c>
      <c r="Z602" s="66"/>
      <c r="AA602" s="66"/>
      <c r="AB602" s="67"/>
      <c r="AC602" s="87">
        <f t="shared" si="9"/>
        <v>0.72222222222222221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1799</v>
      </c>
      <c r="Z603" s="66"/>
      <c r="AA603" s="66"/>
      <c r="AB603" s="67"/>
      <c r="AC603" s="87">
        <f t="shared" si="9"/>
        <v>0.72222222222222221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1799</v>
      </c>
      <c r="Z604" s="66"/>
      <c r="AA604" s="66"/>
      <c r="AB604" s="67"/>
      <c r="AC604" s="87">
        <f t="shared" si="9"/>
        <v>0.72222222222222221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1799</v>
      </c>
      <c r="Z605" s="66"/>
      <c r="AA605" s="66"/>
      <c r="AB605" s="67"/>
      <c r="AC605" s="87">
        <f t="shared" si="9"/>
        <v>0.72222222222222221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1799</v>
      </c>
      <c r="Z606" s="66"/>
      <c r="AA606" s="66"/>
      <c r="AB606" s="67"/>
      <c r="AC606" s="87">
        <f t="shared" si="9"/>
        <v>0.72222222222222221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1799</v>
      </c>
      <c r="Z607" s="66"/>
      <c r="AA607" s="66"/>
      <c r="AB607" s="67"/>
      <c r="AC607" s="87">
        <f t="shared" si="9"/>
        <v>0.72222222222222221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1799</v>
      </c>
      <c r="Z608" s="66"/>
      <c r="AA608" s="66"/>
      <c r="AB608" s="67"/>
      <c r="AC608" s="87">
        <f t="shared" si="9"/>
        <v>0.72222222222222221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1799</v>
      </c>
      <c r="Z609" s="66"/>
      <c r="AA609" s="66"/>
      <c r="AB609" s="67"/>
      <c r="AC609" s="87">
        <f t="shared" si="9"/>
        <v>0.72222222222222221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1799</v>
      </c>
      <c r="Z610" s="66"/>
      <c r="AA610" s="66"/>
      <c r="AB610" s="67"/>
      <c r="AC610" s="87">
        <f t="shared" si="9"/>
        <v>0.72222222222222221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1799</v>
      </c>
      <c r="Z611" s="66"/>
      <c r="AA611" s="66"/>
      <c r="AB611" s="67"/>
      <c r="AC611" s="87">
        <f t="shared" si="9"/>
        <v>0.72222222222222221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1799</v>
      </c>
      <c r="Z612" s="66"/>
      <c r="AA612" s="66"/>
      <c r="AB612" s="67"/>
      <c r="AC612" s="87">
        <f t="shared" si="9"/>
        <v>0.72222222222222221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1799</v>
      </c>
      <c r="Z613" s="74"/>
      <c r="AA613" s="74"/>
      <c r="AB613" s="74"/>
      <c r="AC613" s="87">
        <f t="shared" si="9"/>
        <v>0.72222222222222221</v>
      </c>
      <c r="AD613" s="55">
        <v>4</v>
      </c>
      <c r="AE613" s="64" t="s">
        <v>1786</v>
      </c>
    </row>
    <row r="614" spans="1:32" x14ac:dyDescent="0.3">
      <c r="AC614" s="118">
        <f>SUM(AC2:AC613)</f>
        <v>254.75925925925955</v>
      </c>
      <c r="AF614">
        <f>AC614/612*100</f>
        <v>41.627329944323456</v>
      </c>
    </row>
    <row r="618" spans="1:32" x14ac:dyDescent="0.3">
      <c r="AE618" s="29"/>
    </row>
  </sheetData>
  <conditionalFormatting sqref="S1">
    <cfRule type="containsText" dxfId="903" priority="871" operator="containsText" text="ENTREGADO/REVISIÓN">
      <formula>NOT(ISERROR(SEARCH("ENTREGADO/REVISIÓN",S1)))</formula>
    </cfRule>
    <cfRule type="containsText" dxfId="902" priority="872" operator="containsText" text="ENVIADO A LA CE/UM">
      <formula>NOT(ISERROR(SEARCH("ENVIADO A LA CE/UM",S1)))</formula>
    </cfRule>
    <cfRule type="containsText" dxfId="901" priority="870" operator="containsText" text="ENVIADO A TICS">
      <formula>NOT(ISERROR(SEARCH("ENVIADO A TICS",S1)))</formula>
    </cfRule>
  </conditionalFormatting>
  <conditionalFormatting sqref="T1">
    <cfRule type="containsText" dxfId="900" priority="869" operator="containsText" text="EN PROCESO">
      <formula>NOT(ISERROR(SEARCH("EN PROCESO",T1)))</formula>
    </cfRule>
  </conditionalFormatting>
  <conditionalFormatting sqref="W1:X1">
    <cfRule type="containsText" dxfId="878" priority="453" operator="containsText" text="EN PROCESO">
      <formula>NOT(ISERROR(SEARCH("EN PROCESO",W1)))</formula>
    </cfRule>
  </conditionalFormatting>
  <conditionalFormatting sqref="T1:X1">
    <cfRule type="containsText" dxfId="766" priority="874" operator="containsText" text="CONCLUIDO">
      <formula>NOT(ISERROR(SEARCH("CONCLUIDO",T1)))</formula>
    </cfRule>
  </conditionalFormatting>
  <conditionalFormatting sqref="U1">
    <cfRule type="containsText" dxfId="765" priority="876" operator="containsText" text="ENVIADO A LA CE/UM">
      <formula>NOT(ISERROR(SEARCH("ENVIADO A LA CE/UM",U1)))</formula>
    </cfRule>
  </conditionalFormatting>
  <conditionalFormatting sqref="U1:V1">
    <cfRule type="containsText" dxfId="762" priority="875" operator="containsText" text="EN REVISIÓN CENTRAL">
      <formula>NOT(ISERROR(SEARCH("EN REVISIÓN CENTRAL",U1)))</formula>
    </cfRule>
  </conditionalFormatting>
  <conditionalFormatting sqref="Z1:AA1">
    <cfRule type="containsText" dxfId="509" priority="863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66" operator="containsText" text="PROGRAMADAS">
      <formula>NOT(ISERROR(SEARCH("PROGRAMADAS",Y1)))</formula>
    </cfRule>
    <cfRule type="containsText" dxfId="461" priority="865" operator="containsText" text="CONCLUIDAS">
      <formula>NOT(ISERROR(SEARCH("CONCLUIDAS",Y1)))</formula>
    </cfRule>
  </conditionalFormatting>
  <conditionalFormatting sqref="Z1:AA1">
    <cfRule type="containsText" dxfId="460" priority="864" operator="containsText" text="NO">
      <formula>NOT(ISERROR(SEARCH("NO",Z1)))</formula>
    </cfRule>
  </conditionalFormatting>
  <conditionalFormatting sqref="AC1">
    <cfRule type="dataBar" priority="116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3089" operator="containsText" text="EN PROCESO">
      <formula>NOT(ISERROR(SEARCH("EN PROCESO",AD1)))</formula>
    </cfRule>
    <cfRule type="containsText" dxfId="458" priority="3090" operator="containsText" text="ENVIADO">
      <formula>NOT(ISERROR(SEARCH("ENVIADO",AD1)))</formula>
    </cfRule>
    <cfRule type="containsText" dxfId="457" priority="3091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{3A485966-276B-40E6-97CB-0DB67302DCF2}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{2D9FF6C2-59B0-48DE-8E99-9D934EBC0CEB}</x14:id>
        </ext>
      </extLst>
    </cfRule>
  </conditionalFormatting>
  <dataValidations count="11">
    <dataValidation type="list" allowBlank="1" showInputMessage="1" showErrorMessage="1" sqref="T610 V286:V287" xr:uid="{70C6F2AF-F7BB-4547-ACC7-FCB3D17CD750}">
      <formula1>"ENVIADO A LA CE/UM,EN REVISIÓN CENTRAL,CONCLUIDO"</formula1>
    </dataValidation>
    <dataValidation type="list" allowBlank="1" showInputMessage="1" showErrorMessage="1" sqref="R610 T611:T613 T64:T88 T96:T97 T99 T103 T609 T293:T294 T296 T298:T302 T304 T306 T308 T315:T328 T338:T384 T456:T516 T522:T540 T542:T543 T546 T548:T565 T582:T589 T592:T595 T597:T603 T605:T607 T107:T108 T156:T291 T567:T580 T113:T114 T386:T445" xr:uid="{7973B441-805D-477B-AB55-F250480DDC85}">
      <formula1>"EN PROCESO,CONCLUIDO"</formula1>
    </dataValidation>
    <dataValidation type="list" allowBlank="1" showInputMessage="1" showErrorMessage="1" sqref="Q610 S2:S613" xr:uid="{415675C1-45DF-4AA4-999A-33717CA874ED}">
      <formula1>"ENVIADO A LA CE/UM,ENTREGADO/REVISIÓN,ENVIADO A TICS"</formula1>
    </dataValidation>
    <dataValidation type="list" allowBlank="1" showInputMessage="1" showErrorMessage="1" sqref="Y2:Y613" xr:uid="{59C08596-E901-4D7D-808E-2D1414334FD9}">
      <formula1>"PROGRAMADAS,CONCLUIDAS"</formula1>
    </dataValidation>
    <dataValidation type="list" allowBlank="1" showInputMessage="1" showErrorMessage="1" sqref="U64:U88 U97:V97 U99:V99 U243:U291 U229:U238 U567:U580 U319 U399:V409 U485:U517 U522:U531 U533:U540 U542:U543 U546:V546 U565:V565 U547:U563 U592:U595 U597:U603 U605:U606 U52:U62 U108:V108 U301:V301 U50 V547:V564 U608 U612:V613 U610 V98 V100:V107 V2:V96 V288:V300 U582:U589 U156:U222 V156:V285 V521:V545 V109:V114 U343 V302:V343 U352:V357 W7 V566:V611 U456:U483 V440:V517 U433:V439 U440:U445" xr:uid="{1AA19472-95DE-401D-A216-0BFF3EF11C1D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51 U446:U455 U484 U611 U520:U521 U532 U541 U544:U545 U2:U49 U564 U566 U581 U590:U591 U596 U604 U607 U609 U518:V519 V520 U109:U155 V115:V155 U410:V432 U358:V398" xr:uid="{EF99B73E-99A4-44B0-BFD9-C122872278AD}">
      <formula1>"ENVIADO A LA CE/UM,EN REVISIÓN CENTRAL,CONCLUIDO, NO APLICA"</formula1>
    </dataValidation>
    <dataValidation type="list" allowBlank="1" showInputMessage="1" showErrorMessage="1" sqref="AA2:AA613" xr:uid="{A81F2644-DB54-435F-AA17-9B0234C73E80}">
      <formula1>"SI,NO,NO APLICA"</formula1>
    </dataValidation>
    <dataValidation type="list" allowBlank="1" showInputMessage="1" showErrorMessage="1" sqref="W520:W613 W49:W518" xr:uid="{0C903810-C0DF-4F40-9A37-8A3BE10937BA}">
      <formula1>"EN PROCESO,CONCLUIDO,NO APLICA"</formula1>
    </dataValidation>
    <dataValidation type="list" allowBlank="1" showInputMessage="1" showErrorMessage="1" sqref="W2:W6 W8:W48" xr:uid="{3561A385-15D7-427E-A47F-EE491B62A2C5}">
      <formula1>" EN PROCESO,CONCLUIDO,NO APLICA"</formula1>
    </dataValidation>
    <dataValidation type="list" allowBlank="1" showInputMessage="1" showErrorMessage="1" sqref="T608 T89:T95 T98 T100:T102 T104:T106 T109:T112 T292 T295 T297 T303 T305 T307 T309:T314 T329:T337 T385 T446:T455 T517:T521 T541 T544:T545 T547 T566 T581 T590:T591 T604 T2:T63 T596 X520:X613 T115:T155 X2:X518" xr:uid="{4C352CAE-1384-4486-BFFE-F40D2B90B18B}">
      <formula1>"EN PROCESO,CONCLUIDO, NO APLICA"</formula1>
    </dataValidation>
    <dataValidation type="list" allowBlank="1" showInputMessage="1" showErrorMessage="1" sqref="Z2:Z613" xr:uid="{B040E33D-AC57-4F13-96FC-E3B790F0CCCD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3A485966-276B-40E6-97CB-0DB67302DCF2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2D9FF6C2-59B0-48DE-8E99-9D934EBC0CE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9" t="s">
        <v>149</v>
      </c>
      <c r="C2" s="120">
        <v>395</v>
      </c>
      <c r="D2" s="121">
        <v>75</v>
      </c>
      <c r="E2" s="122">
        <v>58</v>
      </c>
      <c r="F2" s="122">
        <v>0</v>
      </c>
      <c r="G2" s="122">
        <v>49</v>
      </c>
      <c r="H2" s="121">
        <v>10</v>
      </c>
    </row>
    <row r="3" spans="1:8" ht="15" x14ac:dyDescent="0.35">
      <c r="A3" s="55">
        <v>2</v>
      </c>
      <c r="B3" s="119" t="s">
        <v>954</v>
      </c>
      <c r="C3" s="123">
        <v>722</v>
      </c>
      <c r="D3" s="123">
        <v>722</v>
      </c>
      <c r="E3" s="122">
        <v>97</v>
      </c>
      <c r="F3" s="122">
        <v>0</v>
      </c>
      <c r="G3" s="123">
        <v>245</v>
      </c>
      <c r="H3" s="123">
        <v>245</v>
      </c>
    </row>
    <row r="4" spans="1:8" ht="15" x14ac:dyDescent="0.35">
      <c r="A4" s="55">
        <v>3</v>
      </c>
      <c r="B4" s="124" t="s">
        <v>1859</v>
      </c>
      <c r="C4" s="123">
        <v>0</v>
      </c>
      <c r="D4" s="123">
        <v>0</v>
      </c>
      <c r="E4" s="123">
        <v>104</v>
      </c>
      <c r="F4" s="123">
        <v>104</v>
      </c>
      <c r="G4" s="123">
        <v>106</v>
      </c>
      <c r="H4" s="123">
        <v>106</v>
      </c>
    </row>
    <row r="5" spans="1:8" ht="15" x14ac:dyDescent="0.35">
      <c r="A5" s="55">
        <v>4</v>
      </c>
      <c r="B5" s="119" t="s">
        <v>708</v>
      </c>
      <c r="C5" s="122">
        <v>0</v>
      </c>
      <c r="D5" s="122">
        <v>0</v>
      </c>
      <c r="E5" s="122">
        <v>21</v>
      </c>
      <c r="F5" s="122">
        <v>0</v>
      </c>
      <c r="G5" s="123">
        <v>60</v>
      </c>
      <c r="H5" s="123">
        <v>60</v>
      </c>
    </row>
    <row r="6" spans="1:8" ht="15" x14ac:dyDescent="0.35">
      <c r="A6" s="56">
        <v>5</v>
      </c>
      <c r="B6" s="124" t="s">
        <v>1860</v>
      </c>
      <c r="C6" s="125">
        <v>1438</v>
      </c>
      <c r="D6" s="126">
        <v>500</v>
      </c>
      <c r="E6" s="125">
        <v>216</v>
      </c>
      <c r="F6" s="125">
        <v>0</v>
      </c>
      <c r="G6" s="123">
        <v>221</v>
      </c>
      <c r="H6" s="123">
        <v>221</v>
      </c>
    </row>
    <row r="7" spans="1:8" ht="15" x14ac:dyDescent="0.35">
      <c r="A7" s="56">
        <v>6</v>
      </c>
      <c r="B7" s="124" t="s">
        <v>1861</v>
      </c>
      <c r="C7" s="125">
        <v>1249</v>
      </c>
      <c r="D7" s="126">
        <v>349</v>
      </c>
      <c r="E7" s="125">
        <v>188</v>
      </c>
      <c r="F7" s="125">
        <v>0</v>
      </c>
      <c r="G7" s="123">
        <v>170</v>
      </c>
      <c r="H7" s="123">
        <v>170</v>
      </c>
    </row>
    <row r="8" spans="1:8" ht="15" x14ac:dyDescent="0.35">
      <c r="A8" s="55">
        <v>7</v>
      </c>
      <c r="B8" s="119" t="s">
        <v>172</v>
      </c>
      <c r="C8" s="122">
        <v>510</v>
      </c>
      <c r="D8" s="121">
        <v>200</v>
      </c>
      <c r="E8" s="122">
        <v>67</v>
      </c>
      <c r="F8" s="122">
        <v>0</v>
      </c>
      <c r="G8" s="122">
        <v>0</v>
      </c>
      <c r="H8" s="122">
        <v>0</v>
      </c>
    </row>
    <row r="9" spans="1:8" ht="15" x14ac:dyDescent="0.35">
      <c r="A9" s="55">
        <v>8</v>
      </c>
      <c r="B9" s="119" t="s">
        <v>886</v>
      </c>
      <c r="C9" s="122">
        <v>347</v>
      </c>
      <c r="D9" s="121">
        <v>347</v>
      </c>
      <c r="E9" s="122">
        <v>35</v>
      </c>
      <c r="F9" s="122">
        <v>0</v>
      </c>
      <c r="G9" s="122">
        <v>0</v>
      </c>
      <c r="H9" s="122">
        <v>0</v>
      </c>
    </row>
    <row r="10" spans="1:8" ht="15" x14ac:dyDescent="0.35">
      <c r="A10" s="55">
        <v>9</v>
      </c>
      <c r="B10" s="119" t="s">
        <v>440</v>
      </c>
      <c r="C10" s="122">
        <v>175</v>
      </c>
      <c r="D10" s="121">
        <v>58</v>
      </c>
      <c r="E10" s="122">
        <v>51</v>
      </c>
      <c r="F10" s="122">
        <v>0</v>
      </c>
      <c r="G10" s="123">
        <v>18</v>
      </c>
      <c r="H10" s="123">
        <v>18</v>
      </c>
    </row>
    <row r="11" spans="1:8" ht="15" x14ac:dyDescent="0.35">
      <c r="A11" s="55">
        <v>10</v>
      </c>
      <c r="B11" s="119" t="s">
        <v>837</v>
      </c>
      <c r="C11" s="123">
        <v>486</v>
      </c>
      <c r="D11" s="123">
        <v>486</v>
      </c>
      <c r="E11" s="122">
        <v>77</v>
      </c>
      <c r="F11" s="122">
        <v>0</v>
      </c>
      <c r="G11" s="122">
        <v>0</v>
      </c>
      <c r="H11" s="122">
        <v>0</v>
      </c>
    </row>
    <row r="12" spans="1:8" ht="15" x14ac:dyDescent="0.35">
      <c r="A12" s="55">
        <v>11</v>
      </c>
      <c r="B12" s="119" t="s">
        <v>755</v>
      </c>
      <c r="C12" s="122">
        <v>332</v>
      </c>
      <c r="D12" s="122">
        <v>0</v>
      </c>
      <c r="E12" s="122">
        <v>25</v>
      </c>
      <c r="F12" s="122">
        <v>0</v>
      </c>
      <c r="G12" s="123">
        <v>20</v>
      </c>
      <c r="H12" s="123">
        <v>20</v>
      </c>
    </row>
    <row r="13" spans="1:8" ht="15" x14ac:dyDescent="0.35">
      <c r="A13" s="55">
        <v>12</v>
      </c>
      <c r="B13" s="119" t="s">
        <v>628</v>
      </c>
      <c r="C13" s="122">
        <v>468</v>
      </c>
      <c r="D13" s="122">
        <v>0</v>
      </c>
      <c r="E13" s="122">
        <v>63</v>
      </c>
      <c r="F13" s="122">
        <v>0</v>
      </c>
      <c r="G13" s="123">
        <v>113</v>
      </c>
      <c r="H13" s="123">
        <v>113</v>
      </c>
    </row>
    <row r="14" spans="1:8" ht="15" x14ac:dyDescent="0.35">
      <c r="A14" s="55">
        <v>13</v>
      </c>
      <c r="B14" s="119" t="s">
        <v>187</v>
      </c>
      <c r="C14" s="122">
        <v>138</v>
      </c>
      <c r="D14" s="122">
        <v>0</v>
      </c>
      <c r="E14" s="122">
        <v>31</v>
      </c>
      <c r="F14" s="122">
        <v>0</v>
      </c>
      <c r="G14" s="123">
        <v>100</v>
      </c>
      <c r="H14" s="123">
        <v>100</v>
      </c>
    </row>
    <row r="15" spans="1:8" ht="15" x14ac:dyDescent="0.35">
      <c r="A15" s="55">
        <v>14</v>
      </c>
      <c r="B15" s="119" t="s">
        <v>450</v>
      </c>
      <c r="C15" s="122">
        <v>507</v>
      </c>
      <c r="D15" s="122">
        <v>0</v>
      </c>
      <c r="E15" s="122">
        <v>61</v>
      </c>
      <c r="F15" s="122">
        <v>0</v>
      </c>
      <c r="G15" s="123">
        <v>36</v>
      </c>
      <c r="H15" s="123">
        <v>36</v>
      </c>
    </row>
    <row r="16" spans="1:8" ht="15" x14ac:dyDescent="0.35">
      <c r="A16" s="55">
        <v>15</v>
      </c>
      <c r="B16" s="119" t="s">
        <v>647</v>
      </c>
      <c r="C16" s="122">
        <v>742</v>
      </c>
      <c r="D16" s="122">
        <v>0</v>
      </c>
      <c r="E16" s="122">
        <v>26</v>
      </c>
      <c r="F16" s="122">
        <v>0</v>
      </c>
      <c r="G16" s="122">
        <v>197</v>
      </c>
      <c r="H16" s="122">
        <v>0</v>
      </c>
    </row>
    <row r="17" spans="1:8" ht="15" x14ac:dyDescent="0.35">
      <c r="A17" s="55">
        <v>16</v>
      </c>
      <c r="B17" s="119" t="s">
        <v>724</v>
      </c>
      <c r="C17" s="122">
        <v>185</v>
      </c>
      <c r="D17" s="122">
        <v>0</v>
      </c>
      <c r="E17" s="122">
        <v>135</v>
      </c>
      <c r="F17" s="122">
        <v>0</v>
      </c>
      <c r="G17" s="123">
        <v>244</v>
      </c>
      <c r="H17" s="123">
        <v>244</v>
      </c>
    </row>
    <row r="18" spans="1:8" ht="15" x14ac:dyDescent="0.35">
      <c r="A18" s="55">
        <v>17</v>
      </c>
      <c r="B18" s="119" t="s">
        <v>418</v>
      </c>
      <c r="C18" s="122">
        <v>1165</v>
      </c>
      <c r="D18" s="121">
        <v>30</v>
      </c>
      <c r="E18" s="122">
        <v>162</v>
      </c>
      <c r="F18" s="122">
        <v>0</v>
      </c>
      <c r="G18" s="122">
        <v>0</v>
      </c>
      <c r="H18" s="122">
        <v>0</v>
      </c>
    </row>
    <row r="19" spans="1:8" ht="15" x14ac:dyDescent="0.35">
      <c r="A19" s="55">
        <v>18</v>
      </c>
      <c r="B19" s="119" t="s">
        <v>672</v>
      </c>
      <c r="C19" s="122">
        <v>1106</v>
      </c>
      <c r="D19" s="122">
        <v>0</v>
      </c>
      <c r="E19" s="122">
        <v>154</v>
      </c>
      <c r="F19" s="122">
        <v>0</v>
      </c>
      <c r="G19" s="122">
        <v>0</v>
      </c>
      <c r="H19" s="122">
        <v>0</v>
      </c>
    </row>
    <row r="20" spans="1:8" ht="15" x14ac:dyDescent="0.35">
      <c r="A20" s="55">
        <v>19</v>
      </c>
      <c r="B20" s="119" t="s">
        <v>159</v>
      </c>
      <c r="C20" s="122">
        <v>396</v>
      </c>
      <c r="D20" s="122">
        <v>0</v>
      </c>
      <c r="E20" s="122">
        <v>125</v>
      </c>
      <c r="F20" s="122">
        <v>15</v>
      </c>
      <c r="G20" s="122">
        <v>48</v>
      </c>
      <c r="H20" s="122">
        <v>0</v>
      </c>
    </row>
    <row r="21" spans="1:8" ht="15" x14ac:dyDescent="0.35">
      <c r="A21" s="55">
        <v>20</v>
      </c>
      <c r="B21" s="119" t="s">
        <v>229</v>
      </c>
      <c r="C21" s="122">
        <v>727</v>
      </c>
      <c r="D21" s="122">
        <v>0</v>
      </c>
      <c r="E21" s="122">
        <v>223</v>
      </c>
      <c r="F21" s="122">
        <v>0</v>
      </c>
      <c r="G21" s="122">
        <v>34</v>
      </c>
      <c r="H21" s="122">
        <v>0</v>
      </c>
    </row>
    <row r="22" spans="1:8" ht="15" x14ac:dyDescent="0.35">
      <c r="A22" s="55">
        <v>21</v>
      </c>
      <c r="B22" s="119" t="s">
        <v>477</v>
      </c>
      <c r="C22" s="122">
        <v>1351</v>
      </c>
      <c r="D22" s="122">
        <v>0</v>
      </c>
      <c r="E22" s="122">
        <v>175</v>
      </c>
      <c r="F22" s="122">
        <v>0</v>
      </c>
      <c r="G22" s="122">
        <v>86</v>
      </c>
      <c r="H22" s="122">
        <v>0</v>
      </c>
    </row>
    <row r="23" spans="1:8" ht="15" x14ac:dyDescent="0.35">
      <c r="A23" s="55">
        <v>22</v>
      </c>
      <c r="B23" s="119" t="s">
        <v>535</v>
      </c>
      <c r="C23" s="122">
        <v>2446</v>
      </c>
      <c r="D23" s="122">
        <v>0</v>
      </c>
      <c r="E23" s="122">
        <v>317</v>
      </c>
      <c r="F23" s="122">
        <v>0</v>
      </c>
      <c r="G23" s="122">
        <v>521</v>
      </c>
      <c r="H23" s="122">
        <v>0</v>
      </c>
    </row>
    <row r="24" spans="1:8" ht="15" x14ac:dyDescent="0.35">
      <c r="A24" s="55">
        <v>23</v>
      </c>
      <c r="B24" s="119" t="s">
        <v>218</v>
      </c>
      <c r="C24" s="122">
        <v>2583</v>
      </c>
      <c r="D24" s="122">
        <v>0</v>
      </c>
      <c r="E24" s="122">
        <v>355</v>
      </c>
      <c r="F24" s="122">
        <v>0</v>
      </c>
      <c r="G24" s="122">
        <v>324</v>
      </c>
      <c r="H24" s="122">
        <v>0</v>
      </c>
    </row>
    <row r="25" spans="1:8" ht="15" x14ac:dyDescent="0.35">
      <c r="A25" s="56">
        <v>24</v>
      </c>
      <c r="B25" s="124" t="s">
        <v>1862</v>
      </c>
      <c r="C25" s="125">
        <v>674</v>
      </c>
      <c r="D25" s="125">
        <v>0</v>
      </c>
      <c r="E25" s="125">
        <v>82</v>
      </c>
      <c r="F25" s="125">
        <v>0</v>
      </c>
      <c r="G25" s="125">
        <v>70</v>
      </c>
      <c r="H25" s="125">
        <v>0</v>
      </c>
    </row>
    <row r="26" spans="1:8" ht="15" x14ac:dyDescent="0.35">
      <c r="A26" s="56">
        <v>25</v>
      </c>
      <c r="B26" s="124" t="s">
        <v>1863</v>
      </c>
      <c r="C26" s="125">
        <v>1873</v>
      </c>
      <c r="D26" s="125">
        <v>0</v>
      </c>
      <c r="E26" s="125">
        <v>269</v>
      </c>
      <c r="F26" s="125">
        <v>0</v>
      </c>
      <c r="G26" s="125">
        <v>441</v>
      </c>
      <c r="H26" s="125">
        <v>0</v>
      </c>
    </row>
    <row r="27" spans="1:8" ht="15" x14ac:dyDescent="0.35">
      <c r="A27" s="55">
        <v>26</v>
      </c>
      <c r="B27" s="119" t="s">
        <v>1716</v>
      </c>
      <c r="C27" s="122">
        <v>0</v>
      </c>
      <c r="D27" s="122">
        <v>0</v>
      </c>
      <c r="E27" s="122">
        <v>6</v>
      </c>
      <c r="F27" s="122">
        <v>0</v>
      </c>
      <c r="G27" s="122">
        <v>0</v>
      </c>
      <c r="H27" s="122">
        <v>0</v>
      </c>
    </row>
    <row r="28" spans="1:8" ht="15" x14ac:dyDescent="0.35">
      <c r="A28" s="55">
        <v>27</v>
      </c>
      <c r="B28" s="124" t="s">
        <v>1864</v>
      </c>
      <c r="C28" s="123">
        <v>114</v>
      </c>
      <c r="D28" s="123">
        <v>114</v>
      </c>
      <c r="E28" s="125">
        <v>0</v>
      </c>
      <c r="F28" s="125">
        <v>0</v>
      </c>
      <c r="G28" s="123">
        <v>52</v>
      </c>
      <c r="H28" s="123">
        <v>52</v>
      </c>
    </row>
    <row r="29" spans="1:8" ht="15" x14ac:dyDescent="0.35">
      <c r="B29" s="119" t="s">
        <v>26</v>
      </c>
      <c r="C29" s="123">
        <v>1000</v>
      </c>
      <c r="D29" s="123">
        <v>1000</v>
      </c>
      <c r="E29" s="122">
        <v>39</v>
      </c>
      <c r="F29" s="122">
        <v>34</v>
      </c>
      <c r="G29" s="123">
        <v>698</v>
      </c>
      <c r="H29" s="123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2026-08-07T19:02:46Z</dcterms:modified>
</cp:coreProperties>
</file>