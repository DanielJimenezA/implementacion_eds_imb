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57F8CB12-51C8-4984-828B-3F0DF3D5D242}" xr6:coauthVersionLast="47" xr6:coauthVersionMax="47" xr10:uidLastSave="{00000000-0000-0000-0000-000000000000}"/>
  <bookViews>
    <workbookView xWindow="-108" yWindow="-108" windowWidth="23256" windowHeight="12456" xr2:uid="{A71EBC0A-EF77-4480-B2A6-100C25EC669C}"/>
  </bookViews>
  <sheets>
    <sheet name="Hoja1" sheetId="1" r:id="rId1"/>
    <sheet name="equipamiento" sheetId="4" r:id="rId2"/>
    <sheet name="Hoja2" sheetId="3" r:id="rId3"/>
  </sheets>
  <definedNames>
    <definedName name="_xlnm._FilterDatabase" localSheetId="0" hidden="1">Hoja1!$A$1:$AD$614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tc={A96DEFA9-4A2E-427E-BBB9-27B495E065F5}</author>
    <author>tc={357D848B-62B4-43C9-BD55-7FA6F157CCBE}</author>
  </authors>
  <commentList>
    <comment ref="Q53" authorId="0" shapeId="0" xr:uid="{A96DEFA9-4A2E-427E-BBB9-27B495E065F5}">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357D848B-62B4-43C9-BD55-7FA6F157CCBE}">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<sst xmlns="http://schemas.openxmlformats.org/spreadsheetml/2006/main" count="18097" uniqueCount="1849">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</sst>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8">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8" xfId="0" applyFont="1" applyBorder="1" applyAlignment="1">
      <alignment horizontal="center"/>
    </xf>
  </cellXfs>
  <cellStyles count="3">
    <cellStyle name="Normal" xfId="0" builtinId="0"/>
    <cellStyle name="Normal 2 2" xfId="1" xr:uid="{BBAC9C38-E6FF-4A4E-98C5-89F45FD601CF}"/>
    <cellStyle name="Notas" xfId="2" builtinId="10"/>
  </cellStyles>
  <dxfs count="942">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A96DEFA9-4A2E-427E-BBB9-27B495E065F5}">
    <text>¡NOTA IMPORTANTE!
1. Al agregar un nuevo hospital es importante llenar todos los campos necesarios.
2. No dejar filas filtradas.
3. No ocultar columnas ni filas.</text>
  </threadedComment>
  <threadedComment ref="F600" dT="2026-06-17T01:21:33.31" personId="{0E7B108A-53C5-4565-83D9-CBA790F4A4FB}" id="{357D848B-62B4-43C9-BD55-7FA6F157CCBE}">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20"/>
  <sheetViews>
    <sheetView tabSelected="1" zoomScaleNormal="100" workbookViewId="0">
      <pane xSplit="1" ySplit="1" topLeftCell="R602" activePane="bottomRight" state="frozen"/>
      <selection pane="topRight" activeCell="B1" sqref="B1"/>
      <selection pane="bottomLeft" activeCell="A2" sqref="A2"/>
      <selection pane="bottomRight" activeCell="AF614" sqref="AF614"/>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1844</v>
      </c>
      <c r="K1" s="1" t="s">
        <v>8</v>
      </c>
      <c r="L1" s="1" t="s">
        <v>1762</v>
      </c>
      <c r="M1" s="1" t="s">
        <v>9</v>
      </c>
      <c r="N1" s="1" t="s">
        <v>10</v>
      </c>
      <c r="O1" s="1" t="s">
        <v>11</v>
      </c>
      <c r="P1" s="1" t="s">
        <v>1763</v>
      </c>
      <c r="Q1" s="1" t="s">
        <v>12</v>
      </c>
      <c r="R1" s="1" t="s">
        <v>13</v>
      </c>
      <c r="S1" s="2" t="s">
        <v>14</v>
      </c>
      <c r="T1" s="2" t="s">
        <v>15</v>
      </c>
      <c r="U1" s="2" t="s">
        <v>16</v>
      </c>
      <c r="V1" s="2" t="s">
        <v>17</v>
      </c>
      <c r="W1" s="3" t="s">
        <v>1842</v>
      </c>
      <c r="X1" s="3" t="s">
        <v>1843</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10</v>
      </c>
      <c r="O3" s="50">
        <v>2</v>
      </c>
      <c r="P3" s="51">
        <v>31</v>
      </c>
      <c r="Q3" s="52">
        <v>16.166713000000001</v>
      </c>
      <c r="R3" s="52">
        <v>-93.079977</v>
      </c>
      <c r="S3" s="94" t="s">
        <v>34</v>
      </c>
      <c r="T3" s="94" t="s">
        <v>35</v>
      </c>
      <c r="U3" s="94" t="s">
        <v>35</v>
      </c>
      <c r="V3" s="94" t="s">
        <v>35</v>
      </c>
      <c r="W3" s="94" t="s">
        <v>35</v>
      </c>
      <c r="X3" s="94" t="s">
        <v>35</v>
      </c>
      <c r="Y3" s="94" t="s">
        <v>36</v>
      </c>
      <c r="Z3" s="94" t="s">
        <v>37</v>
      </c>
      <c r="AA3" s="94" t="s">
        <v>37</v>
      </c>
      <c r="AB3" s="95"/>
      <c r="AC3" s="30">
        <f t="shared" si="0"/>
        <v>1</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7</v>
      </c>
      <c r="O4" s="50">
        <v>2</v>
      </c>
      <c r="P4" s="51">
        <v>8</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934</v>
      </c>
      <c r="B5" s="37" t="s">
        <v>25</v>
      </c>
      <c r="C5" s="34" t="s">
        <v>1776</v>
      </c>
      <c r="D5" s="33" t="s">
        <v>1775</v>
      </c>
      <c r="E5" s="34" t="s">
        <v>909</v>
      </c>
      <c r="F5" s="38" t="s">
        <v>935</v>
      </c>
      <c r="G5" s="34" t="s">
        <v>111</v>
      </c>
      <c r="H5" s="37">
        <v>1</v>
      </c>
      <c r="I5" s="34" t="s">
        <v>112</v>
      </c>
      <c r="J5" s="34" t="s">
        <v>31</v>
      </c>
      <c r="K5" s="34" t="s">
        <v>32</v>
      </c>
      <c r="L5" s="34" t="s">
        <v>1755</v>
      </c>
      <c r="M5" s="34" t="s">
        <v>33</v>
      </c>
      <c r="N5" s="49">
        <v>18</v>
      </c>
      <c r="O5" s="50">
        <v>5</v>
      </c>
      <c r="P5" s="51">
        <v>109</v>
      </c>
      <c r="Q5" s="52">
        <v>19.199019400000001</v>
      </c>
      <c r="R5" s="52">
        <v>-99.141540300000003</v>
      </c>
      <c r="S5" s="94" t="s">
        <v>34</v>
      </c>
      <c r="T5" s="94" t="s">
        <v>35</v>
      </c>
      <c r="U5" s="94" t="s">
        <v>35</v>
      </c>
      <c r="V5" s="94" t="s">
        <v>35</v>
      </c>
      <c r="W5" s="94" t="s">
        <v>35</v>
      </c>
      <c r="X5" s="94" t="s">
        <v>35</v>
      </c>
      <c r="Y5" s="94" t="s">
        <v>36</v>
      </c>
      <c r="Z5" s="94" t="s">
        <v>37</v>
      </c>
      <c r="AA5" s="94" t="s">
        <v>37</v>
      </c>
      <c r="AB5" s="95" t="s">
        <v>1807</v>
      </c>
      <c r="AC5" s="30">
        <f t="shared" si="0"/>
        <v>1</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7</v>
      </c>
      <c r="O6" s="50">
        <v>2</v>
      </c>
      <c r="P6" s="51">
        <v>23</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3</v>
      </c>
      <c r="O7" s="50">
        <v>2</v>
      </c>
      <c r="P7" s="51">
        <v>19</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11</v>
      </c>
      <c r="O8" s="50">
        <v>2</v>
      </c>
      <c r="P8" s="51">
        <v>20</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11</v>
      </c>
      <c r="O9" s="50">
        <v>1</v>
      </c>
      <c r="P9" s="51">
        <v>9</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9</v>
      </c>
      <c r="O10" s="50">
        <v>1</v>
      </c>
      <c r="P10" s="51">
        <v>22</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7</v>
      </c>
      <c r="O11" s="50">
        <v>1</v>
      </c>
      <c r="P11" s="51">
        <v>28</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21</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7</v>
      </c>
      <c r="O13" s="50">
        <v>0</v>
      </c>
      <c r="P13" s="51">
        <v>20</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10</v>
      </c>
      <c r="O14" s="50">
        <v>2</v>
      </c>
      <c r="P14" s="51">
        <v>27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24</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1</v>
      </c>
      <c r="P16" s="51">
        <v>17</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6</v>
      </c>
      <c r="O17" s="50">
        <v>2</v>
      </c>
      <c r="P17" s="51">
        <v>17</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8</v>
      </c>
      <c r="O18" s="50">
        <v>0</v>
      </c>
      <c r="P18" s="51">
        <v>23</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8</v>
      </c>
      <c r="O19" s="50">
        <v>2</v>
      </c>
      <c r="P19" s="51">
        <v>21</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21</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9</v>
      </c>
      <c r="O21" s="50">
        <v>2</v>
      </c>
      <c r="P21" s="51">
        <v>22</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9</v>
      </c>
      <c r="O22" s="50">
        <v>2</v>
      </c>
      <c r="P22" s="51">
        <v>16</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8</v>
      </c>
      <c r="O23" s="50">
        <v>2</v>
      </c>
      <c r="P23" s="51">
        <v>29</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7</v>
      </c>
      <c r="O24" s="50">
        <v>1</v>
      </c>
      <c r="P24" s="51">
        <v>9</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20</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9</v>
      </c>
      <c r="O26" s="50">
        <v>2</v>
      </c>
      <c r="P26" s="51">
        <v>34</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11</v>
      </c>
      <c r="O27" s="50">
        <v>2</v>
      </c>
      <c r="P27" s="51">
        <v>40</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10</v>
      </c>
      <c r="O28" s="50">
        <v>5</v>
      </c>
      <c r="P28" s="51">
        <v>105</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9</v>
      </c>
      <c r="O29" s="50">
        <v>3</v>
      </c>
      <c r="P29" s="51">
        <v>68</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17</v>
      </c>
      <c r="O30" s="50">
        <v>3</v>
      </c>
      <c r="P30" s="51">
        <v>90</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14</v>
      </c>
      <c r="O31" s="50">
        <v>3</v>
      </c>
      <c r="P31" s="51">
        <v>33</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10</v>
      </c>
      <c r="O32" s="50">
        <v>2</v>
      </c>
      <c r="P32" s="51">
        <v>47</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23</v>
      </c>
      <c r="O33" s="50">
        <v>9</v>
      </c>
      <c r="P33" s="51">
        <v>94</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8</v>
      </c>
      <c r="O34" s="50">
        <v>3</v>
      </c>
      <c r="P34" s="51">
        <v>55</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6</v>
      </c>
      <c r="O35" s="50">
        <v>2</v>
      </c>
      <c r="P35" s="51">
        <v>63</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29</v>
      </c>
      <c r="O36" s="50">
        <v>6</v>
      </c>
      <c r="P36" s="51">
        <v>205</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13</v>
      </c>
      <c r="O37" s="50">
        <v>3</v>
      </c>
      <c r="P37" s="51">
        <v>116</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9</v>
      </c>
      <c r="O38" s="50">
        <v>6</v>
      </c>
      <c r="P38" s="51">
        <v>98</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39</v>
      </c>
      <c r="O39" s="50">
        <v>6</v>
      </c>
      <c r="P39" s="51">
        <v>222</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8</v>
      </c>
      <c r="O40" s="50">
        <v>2</v>
      </c>
      <c r="P40" s="51">
        <v>73</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36</v>
      </c>
      <c r="O41" s="50">
        <v>5</v>
      </c>
      <c r="P41" s="51">
        <v>137</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24</v>
      </c>
      <c r="O42" s="50">
        <v>4</v>
      </c>
      <c r="P42" s="51">
        <v>106</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37</v>
      </c>
      <c r="O43" s="50">
        <v>8</v>
      </c>
      <c r="P43" s="51">
        <v>179</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11</v>
      </c>
      <c r="O44" s="50">
        <v>5</v>
      </c>
      <c r="P44" s="51">
        <v>106</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9</v>
      </c>
      <c r="O45" s="50">
        <v>3</v>
      </c>
      <c r="P45" s="51">
        <v>81</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49">
        <v>6</v>
      </c>
      <c r="O46" s="50">
        <v>0</v>
      </c>
      <c r="P46" s="51">
        <v>15</v>
      </c>
      <c r="Q46" s="52">
        <v>19.524347599999999</v>
      </c>
      <c r="R46" s="52">
        <v>-99.140138399999998</v>
      </c>
      <c r="S46" s="94" t="s">
        <v>34</v>
      </c>
      <c r="T46" s="94" t="s">
        <v>35</v>
      </c>
      <c r="U46" s="94" t="s">
        <v>35</v>
      </c>
      <c r="V46" s="94" t="s">
        <v>35</v>
      </c>
      <c r="W46" s="94" t="s">
        <v>35</v>
      </c>
      <c r="X46" s="94" t="s">
        <v>35</v>
      </c>
      <c r="Y46" s="94" t="s">
        <v>36</v>
      </c>
      <c r="Z46" s="94" t="s">
        <v>37</v>
      </c>
      <c r="AA46" s="94" t="s">
        <v>37</v>
      </c>
      <c r="AB46" s="95"/>
      <c r="AC46" s="30">
        <f t="shared" si="0"/>
        <v>1</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v>7</v>
      </c>
      <c r="O47" s="50">
        <v>0</v>
      </c>
      <c r="P47" s="51">
        <v>32</v>
      </c>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35</v>
      </c>
      <c r="U49" s="94" t="s">
        <v>35</v>
      </c>
      <c r="V49" s="94" t="s">
        <v>35</v>
      </c>
      <c r="W49" s="94" t="s">
        <v>35</v>
      </c>
      <c r="X49" s="94" t="s">
        <v>35</v>
      </c>
      <c r="Y49" s="94" t="s">
        <v>36</v>
      </c>
      <c r="Z49" s="94" t="s">
        <v>37</v>
      </c>
      <c r="AA49" s="94" t="s">
        <v>37</v>
      </c>
      <c r="AB49" s="95" t="s">
        <v>1807</v>
      </c>
      <c r="AC49" s="30">
        <f t="shared" si="0"/>
        <v>1</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35</v>
      </c>
      <c r="U50" s="94" t="s">
        <v>35</v>
      </c>
      <c r="V50" s="94" t="s">
        <v>35</v>
      </c>
      <c r="W50" s="94" t="s">
        <v>35</v>
      </c>
      <c r="X50" s="94" t="s">
        <v>35</v>
      </c>
      <c r="Y50" s="94" t="s">
        <v>36</v>
      </c>
      <c r="Z50" s="94" t="s">
        <v>74</v>
      </c>
      <c r="AA50" s="94" t="s">
        <v>74</v>
      </c>
      <c r="AB50" s="95" t="s">
        <v>1847</v>
      </c>
      <c r="AC50" s="30">
        <f t="shared" si="0"/>
        <v>0.77777777777777779</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35</v>
      </c>
      <c r="U51" s="94" t="s">
        <v>35</v>
      </c>
      <c r="V51" s="94" t="s">
        <v>35</v>
      </c>
      <c r="W51" s="94" t="s">
        <v>35</v>
      </c>
      <c r="X51" s="94" t="s">
        <v>35</v>
      </c>
      <c r="Y51" s="94" t="s">
        <v>36</v>
      </c>
      <c r="Z51" s="94" t="s">
        <v>74</v>
      </c>
      <c r="AA51" s="94" t="s">
        <v>74</v>
      </c>
      <c r="AB51" s="95" t="s">
        <v>1848</v>
      </c>
      <c r="AC51" s="30">
        <f t="shared" si="0"/>
        <v>0.77777777777777779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35</v>
      </c>
      <c r="U52" s="94" t="s">
        <v>35</v>
      </c>
      <c r="V52" s="94" t="s">
        <v>35</v>
      </c>
      <c r="W52" s="94" t="s">
        <v>35</v>
      </c>
      <c r="X52" s="94" t="s">
        <v>35</v>
      </c>
      <c r="Y52" s="94" t="s">
        <v>36</v>
      </c>
      <c r="Z52" s="94" t="s">
        <v>74</v>
      </c>
      <c r="AA52" s="94" t="s">
        <v>74</v>
      </c>
      <c r="AB52" s="95"/>
      <c r="AC52" s="30">
        <f t="shared" si="0"/>
        <v>0.77777777777777779</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35</v>
      </c>
      <c r="U53" s="94" t="s">
        <v>35</v>
      </c>
      <c r="V53" s="94" t="s">
        <v>35</v>
      </c>
      <c r="W53" s="94" t="s">
        <v>35</v>
      </c>
      <c r="X53" s="94" t="s">
        <v>35</v>
      </c>
      <c r="Y53" s="94" t="s">
        <v>36</v>
      </c>
      <c r="Z53" s="94" t="s">
        <v>37</v>
      </c>
      <c r="AA53" s="94" t="s">
        <v>37</v>
      </c>
      <c r="AB53" s="95"/>
      <c r="AC53" s="30">
        <f t="shared" si="0"/>
        <v>1</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35</v>
      </c>
      <c r="U54" s="94" t="s">
        <v>35</v>
      </c>
      <c r="V54" s="94" t="s">
        <v>35</v>
      </c>
      <c r="W54" s="94" t="s">
        <v>35</v>
      </c>
      <c r="X54" s="94" t="s">
        <v>35</v>
      </c>
      <c r="Y54" s="94" t="s">
        <v>36</v>
      </c>
      <c r="Z54" s="94" t="s">
        <v>74</v>
      </c>
      <c r="AA54" s="94" t="s">
        <v>74</v>
      </c>
      <c r="AB54" s="95" t="s">
        <v>1841</v>
      </c>
      <c r="AC54" s="30">
        <f t="shared" si="0"/>
        <v>0.77777777777777779</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35</v>
      </c>
      <c r="U55" s="94" t="s">
        <v>35</v>
      </c>
      <c r="V55" s="94" t="s">
        <v>35</v>
      </c>
      <c r="W55" s="94" t="s">
        <v>35</v>
      </c>
      <c r="X55" s="94" t="s">
        <v>35</v>
      </c>
      <c r="Y55" s="94" t="s">
        <v>36</v>
      </c>
      <c r="Z55" s="94" t="s">
        <v>74</v>
      </c>
      <c r="AA55" s="94" t="s">
        <v>74</v>
      </c>
      <c r="AB55" s="102"/>
      <c r="AC55" s="30">
        <f t="shared" si="0"/>
        <v>0.77777777777777779</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35</v>
      </c>
      <c r="U56" s="94" t="s">
        <v>35</v>
      </c>
      <c r="V56" s="94" t="s">
        <v>35</v>
      </c>
      <c r="W56" s="94" t="s">
        <v>35</v>
      </c>
      <c r="X56" s="94" t="s">
        <v>35</v>
      </c>
      <c r="Y56" s="94" t="s">
        <v>36</v>
      </c>
      <c r="Z56" s="94" t="s">
        <v>74</v>
      </c>
      <c r="AA56" s="94" t="s">
        <v>74</v>
      </c>
      <c r="AB56" s="95" t="s">
        <v>1848</v>
      </c>
      <c r="AC56" s="30">
        <f t="shared" si="0"/>
        <v>0.77777777777777779</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35</v>
      </c>
      <c r="U57" s="94" t="s">
        <v>35</v>
      </c>
      <c r="V57" s="94" t="s">
        <v>35</v>
      </c>
      <c r="W57" s="94" t="s">
        <v>35</v>
      </c>
      <c r="X57" s="94" t="s">
        <v>35</v>
      </c>
      <c r="Y57" s="94" t="s">
        <v>36</v>
      </c>
      <c r="Z57" s="94" t="s">
        <v>74</v>
      </c>
      <c r="AA57" s="94" t="s">
        <v>74</v>
      </c>
      <c r="AB57" s="103" t="s">
        <v>1816</v>
      </c>
      <c r="AC57" s="30">
        <f t="shared" si="0"/>
        <v>0.77777777777777779</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35</v>
      </c>
      <c r="U58" s="94" t="s">
        <v>35</v>
      </c>
      <c r="V58" s="94" t="s">
        <v>35</v>
      </c>
      <c r="W58" s="94" t="s">
        <v>35</v>
      </c>
      <c r="X58" s="94" t="s">
        <v>35</v>
      </c>
      <c r="Y58" s="94" t="s">
        <v>36</v>
      </c>
      <c r="Z58" s="94" t="s">
        <v>74</v>
      </c>
      <c r="AA58" s="94" t="s">
        <v>74</v>
      </c>
      <c r="AB58" s="103" t="s">
        <v>1817</v>
      </c>
      <c r="AC58" s="30">
        <f t="shared" si="0"/>
        <v>0.77777777777777779</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35</v>
      </c>
      <c r="U59" s="94" t="s">
        <v>35</v>
      </c>
      <c r="V59" s="94" t="s">
        <v>35</v>
      </c>
      <c r="W59" s="94" t="s">
        <v>35</v>
      </c>
      <c r="X59" s="94" t="s">
        <v>35</v>
      </c>
      <c r="Y59" s="94" t="s">
        <v>36</v>
      </c>
      <c r="Z59" s="94" t="s">
        <v>74</v>
      </c>
      <c r="AA59" s="94" t="s">
        <v>74</v>
      </c>
      <c r="AB59" s="95" t="s">
        <v>1832</v>
      </c>
      <c r="AC59" s="30">
        <f t="shared" si="0"/>
        <v>0.77777777777777779</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35</v>
      </c>
      <c r="U60" s="94" t="s">
        <v>35</v>
      </c>
      <c r="V60" s="94" t="s">
        <v>35</v>
      </c>
      <c r="W60" s="94" t="s">
        <v>35</v>
      </c>
      <c r="X60" s="94" t="s">
        <v>35</v>
      </c>
      <c r="Y60" s="94" t="s">
        <v>36</v>
      </c>
      <c r="Z60" s="94" t="s">
        <v>74</v>
      </c>
      <c r="AA60" s="94" t="s">
        <v>74</v>
      </c>
      <c r="AB60" s="103" t="s">
        <v>1834</v>
      </c>
      <c r="AC60" s="30">
        <f t="shared" si="0"/>
        <v>0.77777777777777779</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35</v>
      </c>
      <c r="U61" s="94" t="s">
        <v>35</v>
      </c>
      <c r="V61" s="94" t="s">
        <v>35</v>
      </c>
      <c r="W61" s="94" t="s">
        <v>175</v>
      </c>
      <c r="X61" s="94" t="s">
        <v>35</v>
      </c>
      <c r="Y61" s="94" t="s">
        <v>36</v>
      </c>
      <c r="Z61" s="94" t="s">
        <v>74</v>
      </c>
      <c r="AA61" s="94" t="s">
        <v>74</v>
      </c>
      <c r="AB61" s="95" t="s">
        <v>1835</v>
      </c>
      <c r="AC61" s="30">
        <f t="shared" si="0"/>
        <v>0.72222222222222221</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35</v>
      </c>
      <c r="U62" s="94" t="s">
        <v>35</v>
      </c>
      <c r="V62" s="94" t="s">
        <v>35</v>
      </c>
      <c r="W62" s="94" t="s">
        <v>35</v>
      </c>
      <c r="X62" s="94" t="s">
        <v>35</v>
      </c>
      <c r="Y62" s="94" t="s">
        <v>36</v>
      </c>
      <c r="Z62" s="94" t="s">
        <v>74</v>
      </c>
      <c r="AA62" s="94" t="s">
        <v>74</v>
      </c>
      <c r="AB62" s="95" t="s">
        <v>1836</v>
      </c>
      <c r="AC62" s="30">
        <f t="shared" si="0"/>
        <v>0.77777777777777779</v>
      </c>
    </row>
    <row r="63" spans="1:29"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49">
        <v>29</v>
      </c>
      <c r="O63" s="50">
        <v>8</v>
      </c>
      <c r="P63" s="51">
        <v>253</v>
      </c>
      <c r="Q63" s="52">
        <v>19.359813599999999</v>
      </c>
      <c r="R63" s="52">
        <v>-99.163239399999995</v>
      </c>
      <c r="S63" s="94" t="s">
        <v>34</v>
      </c>
      <c r="T63" s="94" t="s">
        <v>35</v>
      </c>
      <c r="U63" s="94" t="s">
        <v>35</v>
      </c>
      <c r="V63" s="94" t="s">
        <v>35</v>
      </c>
      <c r="W63" s="94" t="s">
        <v>35</v>
      </c>
      <c r="X63" s="94" t="s">
        <v>35</v>
      </c>
      <c r="Y63" s="94" t="s">
        <v>36</v>
      </c>
      <c r="Z63" s="94" t="s">
        <v>74</v>
      </c>
      <c r="AA63" s="94" t="s">
        <v>74</v>
      </c>
      <c r="AB63" s="95" t="s">
        <v>1839</v>
      </c>
      <c r="AC63" s="30">
        <f t="shared" si="0"/>
        <v>0.77777777777777779</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34</v>
      </c>
      <c r="T64" s="94" t="s">
        <v>35</v>
      </c>
      <c r="U64" s="94" t="s">
        <v>35</v>
      </c>
      <c r="V64" s="94" t="s">
        <v>35</v>
      </c>
      <c r="W64" s="94" t="s">
        <v>35</v>
      </c>
      <c r="X64" s="94" t="s">
        <v>35</v>
      </c>
      <c r="Y64" s="94" t="s">
        <v>36</v>
      </c>
      <c r="Z64" s="94" t="s">
        <v>74</v>
      </c>
      <c r="AA64" s="94" t="s">
        <v>74</v>
      </c>
      <c r="AB64" s="95" t="s">
        <v>1839</v>
      </c>
      <c r="AC64" s="30">
        <f t="shared" si="0"/>
        <v>0.77777777777777779</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34</v>
      </c>
      <c r="T65" s="94" t="s">
        <v>35</v>
      </c>
      <c r="U65" s="94" t="s">
        <v>35</v>
      </c>
      <c r="V65" s="94" t="s">
        <v>35</v>
      </c>
      <c r="W65" s="94" t="s">
        <v>35</v>
      </c>
      <c r="X65" s="94" t="s">
        <v>35</v>
      </c>
      <c r="Y65" s="94" t="s">
        <v>36</v>
      </c>
      <c r="Z65" s="94" t="s">
        <v>74</v>
      </c>
      <c r="AA65" s="94" t="s">
        <v>74</v>
      </c>
      <c r="AB65" s="95" t="s">
        <v>1839</v>
      </c>
      <c r="AC65" s="30">
        <f t="shared" si="0"/>
        <v>0.77777777777777779</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34</v>
      </c>
      <c r="T66" s="94" t="s">
        <v>35</v>
      </c>
      <c r="U66" s="94" t="s">
        <v>35</v>
      </c>
      <c r="V66" s="94" t="s">
        <v>35</v>
      </c>
      <c r="W66" s="94" t="s">
        <v>35</v>
      </c>
      <c r="X66" s="94" t="s">
        <v>35</v>
      </c>
      <c r="Y66" s="94" t="s">
        <v>36</v>
      </c>
      <c r="Z66" s="94"/>
      <c r="AA66" s="94"/>
      <c r="AB66" s="95"/>
      <c r="AC66" s="30">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0.77777777777777779</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34</v>
      </c>
      <c r="T67" s="94" t="s">
        <v>35</v>
      </c>
      <c r="U67" s="94" t="s">
        <v>35</v>
      </c>
      <c r="V67" s="94" t="s">
        <v>35</v>
      </c>
      <c r="W67" s="94" t="s">
        <v>35</v>
      </c>
      <c r="X67" s="94" t="s">
        <v>35</v>
      </c>
      <c r="Y67" s="94" t="s">
        <v>36</v>
      </c>
      <c r="Z67" s="94"/>
      <c r="AA67" s="94"/>
      <c r="AB67" s="95"/>
      <c r="AC67" s="30">
        <f t="shared" si="1"/>
        <v>0.77777777777777779</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34</v>
      </c>
      <c r="T68" s="94" t="s">
        <v>35</v>
      </c>
      <c r="U68" s="94" t="s">
        <v>35</v>
      </c>
      <c r="V68" s="94" t="s">
        <v>35</v>
      </c>
      <c r="W68" s="94" t="s">
        <v>35</v>
      </c>
      <c r="X68" s="94" t="s">
        <v>35</v>
      </c>
      <c r="Y68" s="94" t="s">
        <v>36</v>
      </c>
      <c r="Z68" s="94"/>
      <c r="AA68" s="94"/>
      <c r="AB68" s="95"/>
      <c r="AC68" s="30">
        <f t="shared" si="1"/>
        <v>0.77777777777777779</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34</v>
      </c>
      <c r="T69" s="94" t="s">
        <v>35</v>
      </c>
      <c r="U69" s="94" t="s">
        <v>35</v>
      </c>
      <c r="V69" s="94" t="s">
        <v>35</v>
      </c>
      <c r="W69" s="94" t="s">
        <v>35</v>
      </c>
      <c r="X69" s="94" t="s">
        <v>35</v>
      </c>
      <c r="Y69" s="94" t="s">
        <v>36</v>
      </c>
      <c r="Z69" s="94"/>
      <c r="AA69" s="94"/>
      <c r="AB69" s="95"/>
      <c r="AC69" s="30">
        <f t="shared" si="1"/>
        <v>0.77777777777777779</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34</v>
      </c>
      <c r="T70" s="94" t="s">
        <v>35</v>
      </c>
      <c r="U70" s="94" t="s">
        <v>35</v>
      </c>
      <c r="V70" s="94" t="s">
        <v>35</v>
      </c>
      <c r="W70" s="94" t="s">
        <v>35</v>
      </c>
      <c r="X70" s="94" t="s">
        <v>35</v>
      </c>
      <c r="Y70" s="94" t="s">
        <v>36</v>
      </c>
      <c r="Z70" s="94"/>
      <c r="AA70" s="94"/>
      <c r="AB70" s="95"/>
      <c r="AC70" s="30">
        <f t="shared" si="1"/>
        <v>0.77777777777777779</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34</v>
      </c>
      <c r="T71" s="94" t="s">
        <v>35</v>
      </c>
      <c r="U71" s="94" t="s">
        <v>35</v>
      </c>
      <c r="V71" s="94" t="s">
        <v>35</v>
      </c>
      <c r="W71" s="94" t="s">
        <v>35</v>
      </c>
      <c r="X71" s="94" t="s">
        <v>35</v>
      </c>
      <c r="Y71" s="94" t="s">
        <v>36</v>
      </c>
      <c r="Z71" s="94"/>
      <c r="AA71" s="94"/>
      <c r="AB71" s="95"/>
      <c r="AC71" s="30">
        <f t="shared" si="1"/>
        <v>0.77777777777777779</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34</v>
      </c>
      <c r="T72" s="94" t="s">
        <v>35</v>
      </c>
      <c r="U72" s="94" t="s">
        <v>213</v>
      </c>
      <c r="V72" s="94" t="s">
        <v>213</v>
      </c>
      <c r="W72" s="94"/>
      <c r="X72" s="94"/>
      <c r="Y72" s="94"/>
      <c r="Z72" s="94"/>
      <c r="AA72" s="94"/>
      <c r="AB72" s="95"/>
      <c r="AC72" s="30">
        <f t="shared" si="1"/>
        <v>0.37037037037037035</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34</v>
      </c>
      <c r="T73" s="94" t="s">
        <v>35</v>
      </c>
      <c r="U73" s="94" t="s">
        <v>213</v>
      </c>
      <c r="V73" s="94" t="s">
        <v>213</v>
      </c>
      <c r="W73" s="94"/>
      <c r="X73" s="94"/>
      <c r="Y73" s="94"/>
      <c r="Z73" s="94"/>
      <c r="AA73" s="94"/>
      <c r="AB73" s="95"/>
      <c r="AC73" s="30">
        <f t="shared" si="1"/>
        <v>0.37037037037037035</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34</v>
      </c>
      <c r="T74" s="94" t="s">
        <v>35</v>
      </c>
      <c r="U74" s="94" t="s">
        <v>213</v>
      </c>
      <c r="V74" s="94" t="s">
        <v>213</v>
      </c>
      <c r="W74" s="94"/>
      <c r="X74" s="94"/>
      <c r="Y74" s="94"/>
      <c r="Z74" s="94"/>
      <c r="AA74" s="94"/>
      <c r="AB74" s="95"/>
      <c r="AC74" s="30">
        <f t="shared" si="1"/>
        <v>0.37037037037037035</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34</v>
      </c>
      <c r="T75" s="94" t="s">
        <v>35</v>
      </c>
      <c r="U75" s="94" t="s">
        <v>213</v>
      </c>
      <c r="V75" s="94" t="s">
        <v>213</v>
      </c>
      <c r="W75" s="94"/>
      <c r="X75" s="94"/>
      <c r="Y75" s="94"/>
      <c r="Z75" s="94"/>
      <c r="AA75" s="94"/>
      <c r="AB75" s="95"/>
      <c r="AC75" s="30">
        <f t="shared" si="1"/>
        <v>0.37037037037037035</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34</v>
      </c>
      <c r="T76" s="94" t="s">
        <v>35</v>
      </c>
      <c r="U76" s="94" t="s">
        <v>213</v>
      </c>
      <c r="V76" s="94" t="s">
        <v>213</v>
      </c>
      <c r="W76" s="94"/>
      <c r="X76" s="94"/>
      <c r="Y76" s="94"/>
      <c r="Z76" s="94"/>
      <c r="AA76" s="94"/>
      <c r="AB76" s="95"/>
      <c r="AC76" s="30">
        <f t="shared" si="1"/>
        <v>0.37037037037037035</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34</v>
      </c>
      <c r="T77" s="94" t="s">
        <v>35</v>
      </c>
      <c r="U77" s="94" t="s">
        <v>213</v>
      </c>
      <c r="V77" s="94" t="s">
        <v>213</v>
      </c>
      <c r="W77" s="94"/>
      <c r="X77" s="94"/>
      <c r="Y77" s="94"/>
      <c r="Z77" s="94"/>
      <c r="AA77" s="94"/>
      <c r="AB77" s="95"/>
      <c r="AC77" s="30">
        <f t="shared" si="1"/>
        <v>0.37037037037037035</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34</v>
      </c>
      <c r="T78" s="94" t="s">
        <v>35</v>
      </c>
      <c r="U78" s="94" t="s">
        <v>35</v>
      </c>
      <c r="V78" s="94" t="s">
        <v>35</v>
      </c>
      <c r="W78" s="94"/>
      <c r="X78" s="94"/>
      <c r="Y78" s="94"/>
      <c r="Z78" s="94"/>
      <c r="AA78" s="94"/>
      <c r="AB78" s="95"/>
      <c r="AC78" s="30">
        <f t="shared" si="1"/>
        <v>0.44444444444444442</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34</v>
      </c>
      <c r="T79" s="94" t="s">
        <v>35</v>
      </c>
      <c r="U79" s="94" t="s">
        <v>35</v>
      </c>
      <c r="V79" s="94" t="s">
        <v>35</v>
      </c>
      <c r="W79" s="94"/>
      <c r="X79" s="94"/>
      <c r="Y79" s="94"/>
      <c r="Z79" s="94"/>
      <c r="AA79" s="94"/>
      <c r="AB79" s="95"/>
      <c r="AC79" s="30">
        <f t="shared" si="1"/>
        <v>0.44444444444444442</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34</v>
      </c>
      <c r="T80" s="94" t="s">
        <v>35</v>
      </c>
      <c r="U80" s="94" t="s">
        <v>35</v>
      </c>
      <c r="V80" s="94" t="s">
        <v>35</v>
      </c>
      <c r="W80" s="94"/>
      <c r="X80" s="94"/>
      <c r="Y80" s="94"/>
      <c r="Z80" s="94"/>
      <c r="AA80" s="94"/>
      <c r="AB80" s="95"/>
      <c r="AC80" s="30">
        <f t="shared" si="1"/>
        <v>0.44444444444444442</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34</v>
      </c>
      <c r="T81" s="94" t="s">
        <v>35</v>
      </c>
      <c r="U81" s="94" t="s">
        <v>35</v>
      </c>
      <c r="V81" s="94" t="s">
        <v>35</v>
      </c>
      <c r="W81" s="94"/>
      <c r="X81" s="94"/>
      <c r="Y81" s="94"/>
      <c r="Z81" s="94"/>
      <c r="AA81" s="94"/>
      <c r="AB81" s="95"/>
      <c r="AC81" s="30">
        <f t="shared" si="1"/>
        <v>0.44444444444444442</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34</v>
      </c>
      <c r="T82" s="94" t="s">
        <v>35</v>
      </c>
      <c r="U82" s="94" t="s">
        <v>213</v>
      </c>
      <c r="V82" s="94" t="s">
        <v>213</v>
      </c>
      <c r="W82" s="94"/>
      <c r="X82" s="94"/>
      <c r="Y82" s="94"/>
      <c r="Z82" s="94"/>
      <c r="AA82" s="94"/>
      <c r="AB82" s="95"/>
      <c r="AC82" s="30">
        <f t="shared" si="1"/>
        <v>0.37037037037037035</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7" t="s">
        <v>34</v>
      </c>
      <c r="T83" s="94" t="s">
        <v>35</v>
      </c>
      <c r="U83" s="94" t="s">
        <v>35</v>
      </c>
      <c r="V83" s="94" t="s">
        <v>35</v>
      </c>
      <c r="W83" s="94" t="s">
        <v>35</v>
      </c>
      <c r="X83" s="94" t="s">
        <v>35</v>
      </c>
      <c r="Y83" s="97" t="s">
        <v>36</v>
      </c>
      <c r="Z83" s="94" t="s">
        <v>37</v>
      </c>
      <c r="AA83" s="94" t="s">
        <v>37</v>
      </c>
      <c r="AB83" s="98"/>
      <c r="AC83" s="30">
        <f t="shared" si="1"/>
        <v>1</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34</v>
      </c>
      <c r="T84" s="94" t="s">
        <v>35</v>
      </c>
      <c r="U84" s="94" t="s">
        <v>35</v>
      </c>
      <c r="V84" s="94" t="s">
        <v>35</v>
      </c>
      <c r="W84" s="94" t="s">
        <v>35</v>
      </c>
      <c r="X84" s="94" t="s">
        <v>35</v>
      </c>
      <c r="Y84" s="94" t="s">
        <v>36</v>
      </c>
      <c r="Z84" s="94" t="s">
        <v>74</v>
      </c>
      <c r="AA84" s="94" t="s">
        <v>74</v>
      </c>
      <c r="AB84" s="95" t="s">
        <v>1807</v>
      </c>
      <c r="AC84" s="30">
        <f t="shared" si="1"/>
        <v>0.77777777777777779</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7" t="s">
        <v>34</v>
      </c>
      <c r="T85" s="94" t="s">
        <v>35</v>
      </c>
      <c r="U85" s="94" t="s">
        <v>35</v>
      </c>
      <c r="V85" s="94" t="s">
        <v>35</v>
      </c>
      <c r="W85" s="94" t="s">
        <v>35</v>
      </c>
      <c r="X85" s="94" t="s">
        <v>35</v>
      </c>
      <c r="Y85" s="97" t="s">
        <v>36</v>
      </c>
      <c r="Z85" s="94" t="s">
        <v>74</v>
      </c>
      <c r="AA85" s="94" t="s">
        <v>74</v>
      </c>
      <c r="AB85" s="98" t="s">
        <v>1807</v>
      </c>
      <c r="AC85" s="30">
        <f t="shared" si="1"/>
        <v>0.77777777777777779</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34</v>
      </c>
      <c r="T86" s="94" t="s">
        <v>35</v>
      </c>
      <c r="U86" s="94" t="s">
        <v>35</v>
      </c>
      <c r="V86" s="94" t="s">
        <v>35</v>
      </c>
      <c r="W86" s="94" t="s">
        <v>35</v>
      </c>
      <c r="X86" s="94" t="s">
        <v>35</v>
      </c>
      <c r="Y86" s="94" t="s">
        <v>36</v>
      </c>
      <c r="Z86" s="94" t="s">
        <v>74</v>
      </c>
      <c r="AA86" s="94" t="s">
        <v>74</v>
      </c>
      <c r="AB86" s="95" t="s">
        <v>1807</v>
      </c>
      <c r="AC86" s="30">
        <f t="shared" si="1"/>
        <v>0.77777777777777779</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34</v>
      </c>
      <c r="T87" s="94" t="s">
        <v>35</v>
      </c>
      <c r="U87" s="94" t="s">
        <v>35</v>
      </c>
      <c r="V87" s="94" t="s">
        <v>35</v>
      </c>
      <c r="W87" s="94" t="s">
        <v>35</v>
      </c>
      <c r="X87" s="94" t="s">
        <v>35</v>
      </c>
      <c r="Y87" s="94" t="s">
        <v>36</v>
      </c>
      <c r="Z87" s="94" t="s">
        <v>74</v>
      </c>
      <c r="AA87" s="94" t="s">
        <v>37</v>
      </c>
      <c r="AB87" s="95" t="s">
        <v>1807</v>
      </c>
      <c r="AC87" s="30">
        <f t="shared" si="1"/>
        <v>0.88888888888888884</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34</v>
      </c>
      <c r="T88" s="94" t="s">
        <v>35</v>
      </c>
      <c r="U88" s="94" t="s">
        <v>35</v>
      </c>
      <c r="V88" s="94" t="s">
        <v>35</v>
      </c>
      <c r="W88" s="94" t="s">
        <v>35</v>
      </c>
      <c r="X88" s="94" t="s">
        <v>35</v>
      </c>
      <c r="Y88" s="94" t="s">
        <v>36</v>
      </c>
      <c r="Z88" s="94" t="s">
        <v>74</v>
      </c>
      <c r="AA88" s="94" t="s">
        <v>37</v>
      </c>
      <c r="AB88" s="95" t="s">
        <v>1807</v>
      </c>
      <c r="AC88" s="30">
        <f t="shared" si="1"/>
        <v>0.88888888888888884</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7" t="s">
        <v>34</v>
      </c>
      <c r="T89" s="94" t="s">
        <v>35</v>
      </c>
      <c r="U89" s="94" t="s">
        <v>35</v>
      </c>
      <c r="V89" s="94" t="s">
        <v>35</v>
      </c>
      <c r="W89" s="94" t="s">
        <v>35</v>
      </c>
      <c r="X89" s="94" t="s">
        <v>35</v>
      </c>
      <c r="Y89" s="97" t="s">
        <v>36</v>
      </c>
      <c r="Z89" s="94" t="s">
        <v>74</v>
      </c>
      <c r="AA89" s="94" t="s">
        <v>74</v>
      </c>
      <c r="AB89" s="98" t="s">
        <v>1807</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175</v>
      </c>
      <c r="X90" s="94" t="s">
        <v>175</v>
      </c>
      <c r="Y90" s="94" t="s">
        <v>36</v>
      </c>
      <c r="Z90" s="94"/>
      <c r="AA90" s="94"/>
      <c r="AB90" s="95"/>
      <c r="AC90" s="30">
        <f t="shared" si="1"/>
        <v>0.66666666666666663</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175</v>
      </c>
      <c r="X91" s="94" t="s">
        <v>175</v>
      </c>
      <c r="Y91" s="94" t="s">
        <v>36</v>
      </c>
      <c r="Z91" s="94"/>
      <c r="AA91" s="94"/>
      <c r="AB91" s="95"/>
      <c r="AC91" s="30">
        <f t="shared" si="1"/>
        <v>0.66666666666666663</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c r="AA92" s="94"/>
      <c r="AB92" s="95"/>
      <c r="AC92" s="30">
        <f t="shared" si="1"/>
        <v>0.77777777777777779</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c r="AA93" s="94"/>
      <c r="AB93" s="95"/>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175</v>
      </c>
      <c r="X94" s="94" t="s">
        <v>175</v>
      </c>
      <c r="Y94" s="94" t="s">
        <v>36</v>
      </c>
      <c r="Z94" s="94"/>
      <c r="AA94" s="94"/>
      <c r="AB94" s="95"/>
      <c r="AC94" s="30">
        <f t="shared" si="1"/>
        <v>0.66666666666666663</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6</v>
      </c>
      <c r="O96" s="50">
        <v>0</v>
      </c>
      <c r="P96" s="51">
        <v>37</v>
      </c>
      <c r="Q96" s="52">
        <v>19.746403000000001</v>
      </c>
      <c r="R96" s="52">
        <v>-98.971474999999998</v>
      </c>
      <c r="S96" s="94" t="s">
        <v>34</v>
      </c>
      <c r="T96" s="94" t="s">
        <v>35</v>
      </c>
      <c r="U96" s="94" t="s">
        <v>35</v>
      </c>
      <c r="V96" s="94" t="s">
        <v>35</v>
      </c>
      <c r="W96" s="94" t="s">
        <v>35</v>
      </c>
      <c r="X96" s="94" t="s">
        <v>35</v>
      </c>
      <c r="Y96" s="94" t="s">
        <v>36</v>
      </c>
      <c r="Z96" s="94" t="s">
        <v>37</v>
      </c>
      <c r="AA96" s="94" t="s">
        <v>37</v>
      </c>
      <c r="AB96" s="95"/>
      <c r="AC96" s="30">
        <f t="shared" si="1"/>
        <v>1</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31</v>
      </c>
      <c r="O97" s="50">
        <v>6</v>
      </c>
      <c r="P97" s="51">
        <v>185</v>
      </c>
      <c r="Q97" s="52">
        <v>19.546222</v>
      </c>
      <c r="R97" s="52">
        <v>-99.237508000000005</v>
      </c>
      <c r="S97" s="94" t="s">
        <v>34</v>
      </c>
      <c r="T97" s="94" t="s">
        <v>35</v>
      </c>
      <c r="U97" s="94" t="s">
        <v>35</v>
      </c>
      <c r="V97" s="94" t="s">
        <v>35</v>
      </c>
      <c r="W97" s="94" t="s">
        <v>35</v>
      </c>
      <c r="X97" s="94" t="s">
        <v>35</v>
      </c>
      <c r="Y97" s="94" t="s">
        <v>36</v>
      </c>
      <c r="Z97" s="94" t="s">
        <v>37</v>
      </c>
      <c r="AA97" s="94" t="s">
        <v>37</v>
      </c>
      <c r="AB97" s="95"/>
      <c r="AC97" s="30">
        <f t="shared" si="1"/>
        <v>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6</v>
      </c>
      <c r="O98" s="50">
        <v>2</v>
      </c>
      <c r="P98" s="51">
        <v>48</v>
      </c>
      <c r="Q98" s="52">
        <v>19.454329399999999</v>
      </c>
      <c r="R98" s="52">
        <v>-98.872573799999998</v>
      </c>
      <c r="S98" s="94" t="s">
        <v>34</v>
      </c>
      <c r="T98" s="94" t="s">
        <v>35</v>
      </c>
      <c r="U98" s="94" t="s">
        <v>35</v>
      </c>
      <c r="V98" s="94" t="s">
        <v>35</v>
      </c>
      <c r="W98" s="94" t="s">
        <v>35</v>
      </c>
      <c r="X98" s="94" t="s">
        <v>35</v>
      </c>
      <c r="Y98" s="94" t="s">
        <v>36</v>
      </c>
      <c r="Z98" s="94" t="s">
        <v>37</v>
      </c>
      <c r="AA98" s="94" t="s">
        <v>37</v>
      </c>
      <c r="AB98" s="95"/>
      <c r="AC98" s="30">
        <f t="shared" si="1"/>
        <v>1</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20</v>
      </c>
      <c r="O99" s="50">
        <v>7</v>
      </c>
      <c r="P99" s="51">
        <v>229</v>
      </c>
      <c r="Q99" s="52">
        <v>19.664501000000001</v>
      </c>
      <c r="R99" s="52">
        <v>-99.178701000000004</v>
      </c>
      <c r="S99" s="94" t="s">
        <v>34</v>
      </c>
      <c r="T99" s="94" t="s">
        <v>35</v>
      </c>
      <c r="U99" s="94" t="s">
        <v>35</v>
      </c>
      <c r="V99" s="94" t="s">
        <v>35</v>
      </c>
      <c r="W99" s="94" t="s">
        <v>35</v>
      </c>
      <c r="X99" s="94" t="s">
        <v>35</v>
      </c>
      <c r="Y99" s="94" t="s">
        <v>36</v>
      </c>
      <c r="Z99" s="94" t="s">
        <v>37</v>
      </c>
      <c r="AA99" s="94" t="s">
        <v>37</v>
      </c>
      <c r="AB99" s="95"/>
      <c r="AC99" s="30">
        <f t="shared" si="1"/>
        <v>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8</v>
      </c>
      <c r="O100" s="50">
        <v>5</v>
      </c>
      <c r="P100" s="51">
        <v>117</v>
      </c>
      <c r="Q100" s="52">
        <v>19.213963</v>
      </c>
      <c r="R100" s="52">
        <v>-98.922724000000002</v>
      </c>
      <c r="S100" s="94" t="s">
        <v>34</v>
      </c>
      <c r="T100" s="94" t="s">
        <v>35</v>
      </c>
      <c r="U100" s="94" t="s">
        <v>35</v>
      </c>
      <c r="V100" s="94" t="s">
        <v>35</v>
      </c>
      <c r="W100" s="94" t="s">
        <v>35</v>
      </c>
      <c r="X100" s="94" t="s">
        <v>35</v>
      </c>
      <c r="Y100" s="94" t="s">
        <v>36</v>
      </c>
      <c r="Z100" s="94" t="s">
        <v>37</v>
      </c>
      <c r="AA100" s="94" t="s">
        <v>37</v>
      </c>
      <c r="AB100" s="95"/>
      <c r="AC100" s="30">
        <f t="shared" si="1"/>
        <v>1</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19.268018699999999</v>
      </c>
      <c r="R101" s="52">
        <v>-98.893699100000006</v>
      </c>
      <c r="S101" s="94" t="s">
        <v>34</v>
      </c>
      <c r="T101" s="94" t="s">
        <v>35</v>
      </c>
      <c r="U101" s="94" t="s">
        <v>35</v>
      </c>
      <c r="V101" s="94" t="s">
        <v>35</v>
      </c>
      <c r="W101" s="94" t="s">
        <v>35</v>
      </c>
      <c r="X101" s="94" t="s">
        <v>35</v>
      </c>
      <c r="Y101" s="94" t="s">
        <v>36</v>
      </c>
      <c r="Z101" s="94" t="s">
        <v>37</v>
      </c>
      <c r="AA101" s="94" t="s">
        <v>37</v>
      </c>
      <c r="AB101" s="95"/>
      <c r="AC101" s="30">
        <f t="shared" si="1"/>
        <v>1</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7</v>
      </c>
      <c r="O102" s="50">
        <v>3</v>
      </c>
      <c r="P102" s="51">
        <v>66</v>
      </c>
      <c r="Q102" s="52">
        <v>19.3870401</v>
      </c>
      <c r="R102" s="52">
        <v>-98.960401000000005</v>
      </c>
      <c r="S102" s="94" t="s">
        <v>34</v>
      </c>
      <c r="T102" s="94" t="s">
        <v>35</v>
      </c>
      <c r="U102" s="94" t="s">
        <v>35</v>
      </c>
      <c r="V102" s="94" t="s">
        <v>35</v>
      </c>
      <c r="W102" s="94" t="s">
        <v>35</v>
      </c>
      <c r="X102" s="94" t="s">
        <v>35</v>
      </c>
      <c r="Y102" s="94" t="s">
        <v>36</v>
      </c>
      <c r="Z102" s="94" t="s">
        <v>37</v>
      </c>
      <c r="AA102" s="94" t="s">
        <v>37</v>
      </c>
      <c r="AB102" s="95"/>
      <c r="AC102" s="30">
        <f t="shared" si="1"/>
        <v>1</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23</v>
      </c>
      <c r="O103" s="50">
        <v>2</v>
      </c>
      <c r="P103" s="51">
        <v>188</v>
      </c>
      <c r="Q103" s="52">
        <v>19.611498000000001</v>
      </c>
      <c r="R103" s="52">
        <v>-98.941027500000004</v>
      </c>
      <c r="S103" s="94" t="s">
        <v>34</v>
      </c>
      <c r="T103" s="94" t="s">
        <v>35</v>
      </c>
      <c r="U103" s="94" t="s">
        <v>35</v>
      </c>
      <c r="V103" s="94" t="s">
        <v>35</v>
      </c>
      <c r="W103" s="94" t="s">
        <v>35</v>
      </c>
      <c r="X103" s="94" t="s">
        <v>35</v>
      </c>
      <c r="Y103" s="94" t="s">
        <v>36</v>
      </c>
      <c r="Z103" s="94" t="s">
        <v>37</v>
      </c>
      <c r="AA103" s="94" t="s">
        <v>37</v>
      </c>
      <c r="AB103" s="95"/>
      <c r="AC103" s="30">
        <f t="shared" si="1"/>
        <v>1</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175</v>
      </c>
      <c r="Y104" s="94" t="s">
        <v>36</v>
      </c>
      <c r="Z104" s="94"/>
      <c r="AA104" s="94"/>
      <c r="AB104" s="95"/>
      <c r="AC104" s="30">
        <f t="shared" si="1"/>
        <v>0.66666666666666663</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175</v>
      </c>
      <c r="X105" s="94" t="s">
        <v>175</v>
      </c>
      <c r="Y105" s="94" t="s">
        <v>36</v>
      </c>
      <c r="Z105" s="94"/>
      <c r="AA105" s="94"/>
      <c r="AB105" s="95"/>
      <c r="AC105" s="30">
        <f t="shared" si="1"/>
        <v>0.66666666666666663</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14</v>
      </c>
      <c r="O106" s="50">
        <v>2</v>
      </c>
      <c r="P106" s="51">
        <v>43</v>
      </c>
      <c r="Q106" s="52">
        <v>19.374755</v>
      </c>
      <c r="R106" s="52">
        <v>-98.944597000000002</v>
      </c>
      <c r="S106" s="94" t="s">
        <v>34</v>
      </c>
      <c r="T106" s="94" t="s">
        <v>35</v>
      </c>
      <c r="U106" s="94" t="s">
        <v>35</v>
      </c>
      <c r="V106" s="94" t="s">
        <v>35</v>
      </c>
      <c r="W106" s="94" t="s">
        <v>175</v>
      </c>
      <c r="X106" s="94" t="s">
        <v>175</v>
      </c>
      <c r="Y106" s="94" t="s">
        <v>36</v>
      </c>
      <c r="Z106" s="94"/>
      <c r="AA106" s="94"/>
      <c r="AB106" s="95"/>
      <c r="AC106" s="30">
        <f t="shared" si="1"/>
        <v>0.66666666666666663</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11</v>
      </c>
      <c r="O107" s="50">
        <v>3</v>
      </c>
      <c r="P107" s="51">
        <v>52</v>
      </c>
      <c r="Q107" s="52">
        <v>19.543561</v>
      </c>
      <c r="R107" s="52">
        <v>-98.897240999999994</v>
      </c>
      <c r="S107" s="94" t="s">
        <v>34</v>
      </c>
      <c r="T107" s="94" t="s">
        <v>35</v>
      </c>
      <c r="U107" s="94" t="s">
        <v>35</v>
      </c>
      <c r="V107" s="94" t="s">
        <v>35</v>
      </c>
      <c r="W107" s="94" t="s">
        <v>175</v>
      </c>
      <c r="X107" s="94" t="s">
        <v>175</v>
      </c>
      <c r="Y107" s="94" t="s">
        <v>36</v>
      </c>
      <c r="Z107" s="94"/>
      <c r="AA107" s="94"/>
      <c r="AB107" s="95"/>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35</v>
      </c>
      <c r="U108" s="94" t="s">
        <v>35</v>
      </c>
      <c r="V108" s="94" t="s">
        <v>35</v>
      </c>
      <c r="W108" s="94" t="s">
        <v>175</v>
      </c>
      <c r="X108" s="94" t="s">
        <v>175</v>
      </c>
      <c r="Y108" s="94" t="s">
        <v>36</v>
      </c>
      <c r="Z108" s="94"/>
      <c r="AA108" s="94"/>
      <c r="AB108" s="95"/>
      <c r="AC108" s="30">
        <f t="shared" si="1"/>
        <v>0.66666666666666663</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14</v>
      </c>
      <c r="O109" s="50">
        <v>6</v>
      </c>
      <c r="P109" s="51">
        <v>194</v>
      </c>
      <c r="Q109" s="52">
        <v>19.514533100000001</v>
      </c>
      <c r="R109" s="52">
        <v>-99.038108300000005</v>
      </c>
      <c r="S109" s="94" t="s">
        <v>34</v>
      </c>
      <c r="T109" s="94" t="s">
        <v>35</v>
      </c>
      <c r="U109" s="94" t="s">
        <v>35</v>
      </c>
      <c r="V109" s="94" t="s">
        <v>35</v>
      </c>
      <c r="W109" s="94" t="s">
        <v>175</v>
      </c>
      <c r="X109" s="94" t="s">
        <v>175</v>
      </c>
      <c r="Y109" s="94" t="s">
        <v>36</v>
      </c>
      <c r="Z109" s="94"/>
      <c r="AA109" s="94"/>
      <c r="AB109" s="95"/>
      <c r="AC109" s="30">
        <f t="shared" si="1"/>
        <v>0.66666666666666663</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18</v>
      </c>
      <c r="O110" s="50">
        <v>8</v>
      </c>
      <c r="P110" s="51">
        <v>246</v>
      </c>
      <c r="Q110" s="52">
        <v>19.5936922</v>
      </c>
      <c r="R110" s="52">
        <v>-99.018878299999997</v>
      </c>
      <c r="S110" s="94" t="s">
        <v>34</v>
      </c>
      <c r="T110" s="94" t="s">
        <v>35</v>
      </c>
      <c r="U110" s="94" t="s">
        <v>35</v>
      </c>
      <c r="V110" s="94" t="s">
        <v>35</v>
      </c>
      <c r="W110" s="94" t="s">
        <v>35</v>
      </c>
      <c r="X110" s="94" t="s">
        <v>35</v>
      </c>
      <c r="Y110" s="94" t="s">
        <v>36</v>
      </c>
      <c r="Z110" s="94"/>
      <c r="AA110" s="94"/>
      <c r="AB110" s="95"/>
      <c r="AC110" s="30">
        <f t="shared" si="1"/>
        <v>0.77777777777777779</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36</v>
      </c>
      <c r="O111" s="50">
        <v>9</v>
      </c>
      <c r="P111" s="51">
        <v>224</v>
      </c>
      <c r="Q111" s="52">
        <v>19.387644000000002</v>
      </c>
      <c r="R111" s="52">
        <v>-98.989264000000006</v>
      </c>
      <c r="S111" s="94" t="s">
        <v>34</v>
      </c>
      <c r="T111" s="94" t="s">
        <v>35</v>
      </c>
      <c r="U111" s="94" t="s">
        <v>35</v>
      </c>
      <c r="V111" s="94" t="s">
        <v>35</v>
      </c>
      <c r="W111" s="94" t="s">
        <v>35</v>
      </c>
      <c r="X111" s="94" t="s">
        <v>35</v>
      </c>
      <c r="Y111" s="94" t="s">
        <v>36</v>
      </c>
      <c r="Z111" s="94"/>
      <c r="AA111" s="94"/>
      <c r="AB111" s="95"/>
      <c r="AC111" s="30">
        <f t="shared" si="1"/>
        <v>0.77777777777777779</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19</v>
      </c>
      <c r="O112" s="50">
        <v>3</v>
      </c>
      <c r="P112" s="51">
        <v>79</v>
      </c>
      <c r="Q112" s="52">
        <v>19.319448000000001</v>
      </c>
      <c r="R112" s="52">
        <v>-98.852671000000001</v>
      </c>
      <c r="S112" s="94" t="s">
        <v>34</v>
      </c>
      <c r="T112" s="94" t="s">
        <v>35</v>
      </c>
      <c r="U112" s="94" t="s">
        <v>35</v>
      </c>
      <c r="V112" s="94" t="s">
        <v>35</v>
      </c>
      <c r="W112" s="94" t="s">
        <v>175</v>
      </c>
      <c r="X112" s="94" t="s">
        <v>175</v>
      </c>
      <c r="Y112" s="94" t="s">
        <v>36</v>
      </c>
      <c r="Z112" s="94"/>
      <c r="AA112" s="94"/>
      <c r="AB112" s="95"/>
      <c r="AC112" s="30">
        <f t="shared" si="1"/>
        <v>0.66666666666666663</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20</v>
      </c>
      <c r="O113" s="50">
        <v>4</v>
      </c>
      <c r="P113" s="51">
        <v>184</v>
      </c>
      <c r="Q113" s="52">
        <v>19.422298000000001</v>
      </c>
      <c r="R113" s="52">
        <v>-99.014920099999998</v>
      </c>
      <c r="S113" s="94" t="s">
        <v>34</v>
      </c>
      <c r="T113" s="94" t="s">
        <v>35</v>
      </c>
      <c r="U113" s="94" t="s">
        <v>35</v>
      </c>
      <c r="V113" s="94" t="s">
        <v>35</v>
      </c>
      <c r="W113" s="94" t="s">
        <v>175</v>
      </c>
      <c r="X113" s="94" t="s">
        <v>175</v>
      </c>
      <c r="Y113" s="94" t="s">
        <v>36</v>
      </c>
      <c r="Z113" s="94"/>
      <c r="AA113" s="94"/>
      <c r="AB113" s="95"/>
      <c r="AC113" s="30">
        <f t="shared" si="1"/>
        <v>0.66666666666666663</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6</v>
      </c>
      <c r="O114" s="50">
        <v>4</v>
      </c>
      <c r="P114" s="51">
        <v>112</v>
      </c>
      <c r="Q114" s="52">
        <v>19.4422201</v>
      </c>
      <c r="R114" s="52">
        <v>-98.972637500000005</v>
      </c>
      <c r="S114" s="94" t="s">
        <v>34</v>
      </c>
      <c r="T114" s="94" t="s">
        <v>35</v>
      </c>
      <c r="U114" s="94" t="s">
        <v>35</v>
      </c>
      <c r="V114" s="94" t="s">
        <v>35</v>
      </c>
      <c r="W114" s="94" t="s">
        <v>35</v>
      </c>
      <c r="X114" s="94" t="s">
        <v>35</v>
      </c>
      <c r="Y114" s="94" t="s">
        <v>36</v>
      </c>
      <c r="Z114" s="94"/>
      <c r="AA114" s="94"/>
      <c r="AB114" s="95"/>
      <c r="AC114" s="30">
        <f t="shared" si="1"/>
        <v>0.77777777777777779</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15</v>
      </c>
      <c r="O115" s="50">
        <v>0</v>
      </c>
      <c r="P115" s="51">
        <v>237</v>
      </c>
      <c r="Q115" s="52">
        <v>19.611996399999999</v>
      </c>
      <c r="R115" s="52">
        <v>-98.951946899999996</v>
      </c>
      <c r="S115" s="94" t="s">
        <v>34</v>
      </c>
      <c r="T115" s="94" t="s">
        <v>35</v>
      </c>
      <c r="U115" s="94" t="s">
        <v>213</v>
      </c>
      <c r="V115" s="94" t="s">
        <v>213</v>
      </c>
      <c r="W115" s="94"/>
      <c r="X115" s="94"/>
      <c r="Y115" s="94"/>
      <c r="Z115" s="94"/>
      <c r="AA115" s="94"/>
      <c r="AB115" s="95"/>
      <c r="AC115" s="30">
        <f t="shared" si="1"/>
        <v>0.37037037037037035</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17</v>
      </c>
      <c r="O116" s="50">
        <v>0</v>
      </c>
      <c r="P116" s="51">
        <v>213</v>
      </c>
      <c r="Q116" s="52">
        <v>19.611483</v>
      </c>
      <c r="R116" s="52">
        <v>-98.944547999999998</v>
      </c>
      <c r="S116" s="94" t="s">
        <v>34</v>
      </c>
      <c r="T116" s="94" t="s">
        <v>35</v>
      </c>
      <c r="U116" s="94" t="s">
        <v>35</v>
      </c>
      <c r="V116" s="94" t="s">
        <v>35</v>
      </c>
      <c r="W116" s="94"/>
      <c r="X116" s="94"/>
      <c r="Y116" s="94"/>
      <c r="Z116" s="94"/>
      <c r="AA116" s="94"/>
      <c r="AB116" s="95"/>
      <c r="AC116" s="30">
        <f t="shared" si="1"/>
        <v>0.44444444444444442</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29</v>
      </c>
      <c r="O117" s="50">
        <v>0</v>
      </c>
      <c r="P117" s="51">
        <v>161</v>
      </c>
      <c r="Q117" s="52">
        <v>19.316490600000002</v>
      </c>
      <c r="R117" s="52">
        <v>-98.854220699999999</v>
      </c>
      <c r="S117" s="94" t="s">
        <v>34</v>
      </c>
      <c r="T117" s="94" t="s">
        <v>35</v>
      </c>
      <c r="U117" s="94" t="s">
        <v>35</v>
      </c>
      <c r="V117" s="94" t="s">
        <v>35</v>
      </c>
      <c r="W117" s="94" t="s">
        <v>35</v>
      </c>
      <c r="X117" s="94" t="s">
        <v>35</v>
      </c>
      <c r="Y117" s="94"/>
      <c r="Z117" s="94"/>
      <c r="AA117" s="94"/>
      <c r="AB117" s="95"/>
      <c r="AC117" s="30">
        <f t="shared" si="1"/>
        <v>0.66666666666666663</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9</v>
      </c>
      <c r="O118" s="50">
        <v>4</v>
      </c>
      <c r="P118" s="51">
        <v>132</v>
      </c>
      <c r="Q118" s="52">
        <v>19.273453</v>
      </c>
      <c r="R118" s="52">
        <v>-98.941742000000005</v>
      </c>
      <c r="S118" s="94" t="s">
        <v>34</v>
      </c>
      <c r="T118" s="94" t="s">
        <v>35</v>
      </c>
      <c r="U118" s="94" t="s">
        <v>35</v>
      </c>
      <c r="V118" s="94" t="s">
        <v>35</v>
      </c>
      <c r="W118" s="94"/>
      <c r="X118" s="94"/>
      <c r="Y118" s="94"/>
      <c r="Z118" s="94"/>
      <c r="AA118" s="94"/>
      <c r="AB118" s="95"/>
      <c r="AC118" s="30">
        <f t="shared" si="1"/>
        <v>0.44444444444444442</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7</v>
      </c>
      <c r="O119" s="50">
        <v>2</v>
      </c>
      <c r="P119" s="51">
        <v>43</v>
      </c>
      <c r="Q119" s="52">
        <v>19.029802</v>
      </c>
      <c r="R119" s="52">
        <v>-98.817108000000005</v>
      </c>
      <c r="S119" s="97" t="s">
        <v>34</v>
      </c>
      <c r="T119" s="94" t="s">
        <v>35</v>
      </c>
      <c r="U119" s="94" t="s">
        <v>35</v>
      </c>
      <c r="V119" s="94" t="s">
        <v>35</v>
      </c>
      <c r="W119" s="94" t="s">
        <v>35</v>
      </c>
      <c r="X119" s="94" t="s">
        <v>35</v>
      </c>
      <c r="Y119" s="97" t="s">
        <v>36</v>
      </c>
      <c r="Z119" s="94"/>
      <c r="AA119" s="94"/>
      <c r="AB119" s="98" t="s">
        <v>1839</v>
      </c>
      <c r="AC119" s="30">
        <f t="shared" si="1"/>
        <v>0.77777777777777779</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8</v>
      </c>
      <c r="O120" s="50">
        <v>4</v>
      </c>
      <c r="P120" s="51">
        <v>105</v>
      </c>
      <c r="Q120" s="52">
        <v>19.144895000000002</v>
      </c>
      <c r="R120" s="52">
        <v>-98.785050999999996</v>
      </c>
      <c r="S120" s="94" t="s">
        <v>34</v>
      </c>
      <c r="T120" s="94" t="s">
        <v>35</v>
      </c>
      <c r="U120" s="94" t="s">
        <v>213</v>
      </c>
      <c r="V120" s="94" t="s">
        <v>213</v>
      </c>
      <c r="W120" s="94"/>
      <c r="X120" s="94"/>
      <c r="Y120" s="94"/>
      <c r="Z120" s="94"/>
      <c r="AA120" s="94"/>
      <c r="AB120" s="95"/>
      <c r="AC120" s="30">
        <f t="shared" si="1"/>
        <v>0.37037037037037035</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8</v>
      </c>
      <c r="O121" s="50">
        <v>2</v>
      </c>
      <c r="P121" s="51">
        <v>28</v>
      </c>
      <c r="Q121" s="52">
        <v>19.306515999999998</v>
      </c>
      <c r="R121" s="52">
        <v>-98.859460100000007</v>
      </c>
      <c r="S121" s="94" t="s">
        <v>34</v>
      </c>
      <c r="T121" s="94" t="s">
        <v>35</v>
      </c>
      <c r="U121" s="94" t="s">
        <v>35</v>
      </c>
      <c r="V121" s="94" t="s">
        <v>35</v>
      </c>
      <c r="W121" s="94" t="s">
        <v>175</v>
      </c>
      <c r="X121" s="94" t="s">
        <v>175</v>
      </c>
      <c r="Y121" s="94" t="s">
        <v>36</v>
      </c>
      <c r="Z121" s="94"/>
      <c r="AA121" s="94"/>
      <c r="AB121" s="95"/>
      <c r="AC121" s="30">
        <f t="shared" si="1"/>
        <v>0.66666666666666663</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6</v>
      </c>
      <c r="O122" s="50">
        <v>2</v>
      </c>
      <c r="P122" s="51">
        <v>31</v>
      </c>
      <c r="Q122" s="52">
        <v>18.947174</v>
      </c>
      <c r="R122" s="52">
        <v>-99.491534000000001</v>
      </c>
      <c r="S122" s="94" t="s">
        <v>34</v>
      </c>
      <c r="T122" s="94" t="s">
        <v>35</v>
      </c>
      <c r="U122" s="94" t="s">
        <v>35</v>
      </c>
      <c r="V122" s="94" t="s">
        <v>35</v>
      </c>
      <c r="W122" s="94" t="s">
        <v>175</v>
      </c>
      <c r="X122" s="94" t="s">
        <v>175</v>
      </c>
      <c r="Y122" s="94" t="s">
        <v>36</v>
      </c>
      <c r="Z122" s="94"/>
      <c r="AA122" s="94"/>
      <c r="AB122" s="95"/>
      <c r="AC122" s="30">
        <f t="shared" si="1"/>
        <v>0.66666666666666663</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11</v>
      </c>
      <c r="O123" s="50">
        <v>2</v>
      </c>
      <c r="P123" s="51">
        <v>20</v>
      </c>
      <c r="Q123" s="52">
        <v>19.181763</v>
      </c>
      <c r="R123" s="52">
        <v>-99.490306000000004</v>
      </c>
      <c r="S123" s="94" t="s">
        <v>34</v>
      </c>
      <c r="T123" s="94" t="s">
        <v>35</v>
      </c>
      <c r="U123" s="94" t="s">
        <v>35</v>
      </c>
      <c r="V123" s="94" t="s">
        <v>35</v>
      </c>
      <c r="W123" s="94" t="s">
        <v>35</v>
      </c>
      <c r="X123" s="94" t="s">
        <v>35</v>
      </c>
      <c r="Y123" s="94" t="s">
        <v>36</v>
      </c>
      <c r="Z123" s="94" t="s">
        <v>37</v>
      </c>
      <c r="AA123" s="94" t="s">
        <v>37</v>
      </c>
      <c r="AB123" s="95"/>
      <c r="AC123" s="30">
        <f t="shared" si="1"/>
        <v>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11</v>
      </c>
      <c r="O124" s="50">
        <v>2</v>
      </c>
      <c r="P124" s="51">
        <v>22</v>
      </c>
      <c r="Q124" s="52">
        <v>18.920839999999998</v>
      </c>
      <c r="R124" s="52">
        <v>-99.765491999999995</v>
      </c>
      <c r="S124" s="94" t="s">
        <v>34</v>
      </c>
      <c r="T124" s="94" t="s">
        <v>35</v>
      </c>
      <c r="U124" s="94" t="s">
        <v>35</v>
      </c>
      <c r="V124" s="94" t="s">
        <v>35</v>
      </c>
      <c r="W124" s="94" t="s">
        <v>35</v>
      </c>
      <c r="X124" s="94" t="s">
        <v>35</v>
      </c>
      <c r="Y124" s="94" t="s">
        <v>36</v>
      </c>
      <c r="Z124" s="94"/>
      <c r="AA124" s="94"/>
      <c r="AB124" s="95"/>
      <c r="AC124" s="30">
        <f t="shared" si="1"/>
        <v>0.77777777777777779</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11</v>
      </c>
      <c r="O125" s="50">
        <v>2</v>
      </c>
      <c r="P125" s="51">
        <v>30</v>
      </c>
      <c r="Q125" s="52">
        <v>19.828700000000001</v>
      </c>
      <c r="R125" s="52">
        <v>-99.230800000000002</v>
      </c>
      <c r="S125" s="94" t="s">
        <v>34</v>
      </c>
      <c r="T125" s="94" t="s">
        <v>35</v>
      </c>
      <c r="U125" s="94" t="s">
        <v>35</v>
      </c>
      <c r="V125" s="94" t="s">
        <v>35</v>
      </c>
      <c r="W125" s="94" t="s">
        <v>35</v>
      </c>
      <c r="X125" s="94" t="s">
        <v>35</v>
      </c>
      <c r="Y125" s="94" t="s">
        <v>36</v>
      </c>
      <c r="Z125" s="94" t="s">
        <v>37</v>
      </c>
      <c r="AA125" s="94" t="s">
        <v>37</v>
      </c>
      <c r="AB125" s="95"/>
      <c r="AC125" s="30">
        <f t="shared" si="1"/>
        <v>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t="s">
        <v>35</v>
      </c>
      <c r="U126" s="94" t="s">
        <v>35</v>
      </c>
      <c r="V126" s="94" t="s">
        <v>35</v>
      </c>
      <c r="W126" s="94" t="s">
        <v>35</v>
      </c>
      <c r="X126" s="94" t="s">
        <v>35</v>
      </c>
      <c r="Y126" s="94" t="s">
        <v>36</v>
      </c>
      <c r="Z126" s="94" t="s">
        <v>37</v>
      </c>
      <c r="AA126" s="94" t="s">
        <v>37</v>
      </c>
      <c r="AB126" s="95"/>
      <c r="AC126" s="30">
        <f t="shared" si="1"/>
        <v>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t="s">
        <v>35</v>
      </c>
      <c r="U127" s="94" t="s">
        <v>35</v>
      </c>
      <c r="V127" s="94" t="s">
        <v>35</v>
      </c>
      <c r="W127" s="94" t="s">
        <v>175</v>
      </c>
      <c r="X127" s="94" t="s">
        <v>175</v>
      </c>
      <c r="Y127" s="94" t="s">
        <v>36</v>
      </c>
      <c r="Z127" s="94"/>
      <c r="AA127" s="94"/>
      <c r="AB127" s="95"/>
      <c r="AC127" s="30">
        <f t="shared" si="1"/>
        <v>0.66666666666666663</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t="s">
        <v>35</v>
      </c>
      <c r="U128" s="94" t="s">
        <v>35</v>
      </c>
      <c r="V128" s="94" t="s">
        <v>35</v>
      </c>
      <c r="W128" s="94" t="s">
        <v>35</v>
      </c>
      <c r="X128" s="94" t="s">
        <v>35</v>
      </c>
      <c r="Y128" s="94" t="s">
        <v>36</v>
      </c>
      <c r="Z128" s="94"/>
      <c r="AA128" s="94"/>
      <c r="AB128" s="95"/>
      <c r="AC128" s="30">
        <f t="shared" si="1"/>
        <v>0.77777777777777779</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t="s">
        <v>35</v>
      </c>
      <c r="U129" s="94" t="s">
        <v>213</v>
      </c>
      <c r="V129" s="94" t="s">
        <v>213</v>
      </c>
      <c r="W129" s="94"/>
      <c r="X129" s="94"/>
      <c r="Y129" s="94"/>
      <c r="Z129" s="94"/>
      <c r="AA129" s="94"/>
      <c r="AB129" s="95"/>
      <c r="AC129" s="30">
        <f t="shared" si="1"/>
        <v>0.37037037037037035</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t="s">
        <v>35</v>
      </c>
      <c r="U130" s="94" t="s">
        <v>35</v>
      </c>
      <c r="V130" s="94" t="s">
        <v>35</v>
      </c>
      <c r="W130" s="94" t="s">
        <v>35</v>
      </c>
      <c r="X130" s="94"/>
      <c r="Y130" s="94" t="s">
        <v>36</v>
      </c>
      <c r="Z130" s="94"/>
      <c r="AA130" s="94"/>
      <c r="AB130" s="95"/>
      <c r="AC130" s="30">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0.66666666666666663</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t="s">
        <v>35</v>
      </c>
      <c r="U131" s="94" t="s">
        <v>35</v>
      </c>
      <c r="V131" s="94" t="s">
        <v>35</v>
      </c>
      <c r="W131" s="94" t="s">
        <v>35</v>
      </c>
      <c r="X131" s="94" t="s">
        <v>35</v>
      </c>
      <c r="Y131" s="94" t="s">
        <v>36</v>
      </c>
      <c r="Z131" s="94"/>
      <c r="AA131" s="94"/>
      <c r="AB131" s="95"/>
      <c r="AC131" s="30">
        <f t="shared" si="2"/>
        <v>0.77777777777777779</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t="s">
        <v>35</v>
      </c>
      <c r="U132" s="94" t="s">
        <v>213</v>
      </c>
      <c r="V132" s="94" t="s">
        <v>213</v>
      </c>
      <c r="W132" s="94"/>
      <c r="X132" s="94"/>
      <c r="Y132" s="94"/>
      <c r="Z132" s="94"/>
      <c r="AA132" s="94"/>
      <c r="AB132" s="95"/>
      <c r="AC132" s="30">
        <f t="shared" si="2"/>
        <v>0.37037037037037035</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t="s">
        <v>175</v>
      </c>
      <c r="U133" s="94" t="s">
        <v>35</v>
      </c>
      <c r="V133" s="94" t="s">
        <v>35</v>
      </c>
      <c r="W133" s="94" t="s">
        <v>175</v>
      </c>
      <c r="X133" s="94" t="s">
        <v>175</v>
      </c>
      <c r="Y133" s="94"/>
      <c r="Z133" s="94"/>
      <c r="AA133" s="94"/>
      <c r="AB133" s="95"/>
      <c r="AC133" s="30">
        <f t="shared" si="2"/>
        <v>0.5</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t="s">
        <v>175</v>
      </c>
      <c r="U134" s="94" t="s">
        <v>35</v>
      </c>
      <c r="V134" s="94" t="s">
        <v>35</v>
      </c>
      <c r="W134" s="94" t="s">
        <v>175</v>
      </c>
      <c r="X134" s="94" t="s">
        <v>175</v>
      </c>
      <c r="Y134" s="94"/>
      <c r="Z134" s="94"/>
      <c r="AA134" s="94"/>
      <c r="AB134" s="95"/>
      <c r="AC134" s="30">
        <f t="shared" si="2"/>
        <v>0.5</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t="s">
        <v>175</v>
      </c>
      <c r="U135" s="94" t="s">
        <v>35</v>
      </c>
      <c r="V135" s="94" t="s">
        <v>35</v>
      </c>
      <c r="W135" s="94" t="s">
        <v>175</v>
      </c>
      <c r="X135" s="94" t="s">
        <v>175</v>
      </c>
      <c r="Y135" s="94"/>
      <c r="Z135" s="94"/>
      <c r="AA135" s="94"/>
      <c r="AB135" s="95"/>
      <c r="AC135" s="30">
        <f t="shared" si="2"/>
        <v>0.5</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t="s">
        <v>175</v>
      </c>
      <c r="U136" s="94" t="s">
        <v>213</v>
      </c>
      <c r="V136" s="94" t="s">
        <v>213</v>
      </c>
      <c r="W136" s="94"/>
      <c r="X136" s="94"/>
      <c r="Y136" s="94"/>
      <c r="Z136" s="94"/>
      <c r="AA136" s="94"/>
      <c r="AB136" s="95"/>
      <c r="AC136" s="30">
        <f t="shared" si="2"/>
        <v>0.31481481481481477</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t="s">
        <v>175</v>
      </c>
      <c r="U137" s="94" t="s">
        <v>213</v>
      </c>
      <c r="V137" s="94" t="s">
        <v>213</v>
      </c>
      <c r="W137" s="94"/>
      <c r="X137" s="94"/>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t="s">
        <v>175</v>
      </c>
      <c r="U138" s="94" t="s">
        <v>213</v>
      </c>
      <c r="V138" s="94" t="s">
        <v>213</v>
      </c>
      <c r="W138" s="94"/>
      <c r="X138" s="94"/>
      <c r="Y138" s="94"/>
      <c r="Z138" s="94"/>
      <c r="AA138" s="94"/>
      <c r="AB138" s="95"/>
      <c r="AC138" s="30">
        <f t="shared" si="2"/>
        <v>0.31481481481481477</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t="s">
        <v>175</v>
      </c>
      <c r="U139" s="94" t="s">
        <v>213</v>
      </c>
      <c r="V139" s="94" t="s">
        <v>213</v>
      </c>
      <c r="W139" s="94"/>
      <c r="X139" s="94"/>
      <c r="Y139" s="94"/>
      <c r="Z139" s="94"/>
      <c r="AA139" s="94"/>
      <c r="AB139" s="95"/>
      <c r="AC139" s="30">
        <f t="shared" si="2"/>
        <v>0.31481481481481477</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t="s">
        <v>175</v>
      </c>
      <c r="U140" s="94" t="s">
        <v>213</v>
      </c>
      <c r="V140" s="94" t="s">
        <v>213</v>
      </c>
      <c r="W140" s="94"/>
      <c r="X140" s="94"/>
      <c r="Y140" s="94"/>
      <c r="Z140" s="94"/>
      <c r="AA140" s="94"/>
      <c r="AB140" s="95"/>
      <c r="AC140" s="30">
        <f t="shared" si="2"/>
        <v>0.31481481481481477</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t="s">
        <v>175</v>
      </c>
      <c r="U141" s="94" t="s">
        <v>213</v>
      </c>
      <c r="V141" s="94" t="s">
        <v>213</v>
      </c>
      <c r="W141" s="94"/>
      <c r="X141" s="94"/>
      <c r="Y141" s="94"/>
      <c r="Z141" s="94"/>
      <c r="AA141" s="94"/>
      <c r="AB141" s="95"/>
      <c r="AC141" s="30">
        <f t="shared" si="2"/>
        <v>0.31481481481481477</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t="s">
        <v>175</v>
      </c>
      <c r="U142" s="94" t="s">
        <v>213</v>
      </c>
      <c r="V142" s="94" t="s">
        <v>213</v>
      </c>
      <c r="W142" s="94"/>
      <c r="X142" s="94"/>
      <c r="Y142" s="94"/>
      <c r="Z142" s="94"/>
      <c r="AA142" s="94"/>
      <c r="AB142" s="95"/>
      <c r="AC142" s="30">
        <f t="shared" si="2"/>
        <v>0.31481481481481477</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t="s">
        <v>175</v>
      </c>
      <c r="U143" s="94" t="s">
        <v>213</v>
      </c>
      <c r="V143" s="94" t="s">
        <v>213</v>
      </c>
      <c r="W143" s="94"/>
      <c r="X143" s="94"/>
      <c r="Y143" s="94"/>
      <c r="Z143" s="94"/>
      <c r="AA143" s="94"/>
      <c r="AB143" s="95"/>
      <c r="AC143" s="30">
        <f t="shared" si="2"/>
        <v>0.31481481481481477</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t="s">
        <v>175</v>
      </c>
      <c r="U144" s="94" t="s">
        <v>213</v>
      </c>
      <c r="V144" s="94" t="s">
        <v>213</v>
      </c>
      <c r="W144" s="94"/>
      <c r="X144" s="94"/>
      <c r="Y144" s="94"/>
      <c r="Z144" s="94"/>
      <c r="AA144" s="94"/>
      <c r="AB144" s="95"/>
      <c r="AC144" s="30">
        <f t="shared" si="2"/>
        <v>0.31481481481481477</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t="s">
        <v>175</v>
      </c>
      <c r="U145" s="94"/>
      <c r="V145" s="94"/>
      <c r="W145" s="94"/>
      <c r="X145" s="94"/>
      <c r="Y145" s="94"/>
      <c r="Z145" s="94"/>
      <c r="AA145" s="94"/>
      <c r="AB145" s="95"/>
      <c r="AC145" s="30">
        <f t="shared" si="2"/>
        <v>0.16666666666666666</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t="s">
        <v>175</v>
      </c>
      <c r="U146" s="94"/>
      <c r="V146" s="94"/>
      <c r="W146" s="94"/>
      <c r="X146" s="94"/>
      <c r="Y146" s="94"/>
      <c r="Z146" s="94"/>
      <c r="AA146" s="94"/>
      <c r="AB146" s="95"/>
      <c r="AC146" s="30">
        <f t="shared" si="2"/>
        <v>0.16666666666666666</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t="s">
        <v>175</v>
      </c>
      <c r="U147" s="94" t="s">
        <v>35</v>
      </c>
      <c r="V147" s="94" t="s">
        <v>35</v>
      </c>
      <c r="W147" s="94" t="s">
        <v>35</v>
      </c>
      <c r="X147" s="94" t="s">
        <v>35</v>
      </c>
      <c r="Y147" s="94" t="s">
        <v>1815</v>
      </c>
      <c r="Z147" s="94" t="s">
        <v>74</v>
      </c>
      <c r="AA147" s="94" t="s">
        <v>74</v>
      </c>
      <c r="AB147" s="95" t="s">
        <v>1825</v>
      </c>
      <c r="AC147" s="30">
        <f t="shared" si="2"/>
        <v>0.66666666666666663</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t="s">
        <v>175</v>
      </c>
      <c r="U148" s="94" t="s">
        <v>35</v>
      </c>
      <c r="V148" s="94" t="s">
        <v>35</v>
      </c>
      <c r="W148" s="94" t="s">
        <v>35</v>
      </c>
      <c r="X148" s="94" t="s">
        <v>35</v>
      </c>
      <c r="Y148" s="94" t="s">
        <v>1815</v>
      </c>
      <c r="Z148" s="94" t="s">
        <v>74</v>
      </c>
      <c r="AA148" s="94" t="s">
        <v>74</v>
      </c>
      <c r="AB148" s="95" t="s">
        <v>1829</v>
      </c>
      <c r="AC148" s="30">
        <f t="shared" si="2"/>
        <v>0.66666666666666663</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t="s">
        <v>175</v>
      </c>
      <c r="U149" s="94" t="s">
        <v>35</v>
      </c>
      <c r="V149" s="94" t="s">
        <v>35</v>
      </c>
      <c r="W149" s="94" t="s">
        <v>35</v>
      </c>
      <c r="X149" s="94" t="s">
        <v>35</v>
      </c>
      <c r="Y149" s="94"/>
      <c r="Z149" s="94" t="s">
        <v>74</v>
      </c>
      <c r="AA149" s="94" t="s">
        <v>74</v>
      </c>
      <c r="AB149" s="103" t="s">
        <v>1818</v>
      </c>
      <c r="AC149" s="30">
        <f t="shared" si="2"/>
        <v>0.61111111111111116</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t="s">
        <v>175</v>
      </c>
      <c r="U150" s="94" t="s">
        <v>35</v>
      </c>
      <c r="V150" s="94" t="s">
        <v>35</v>
      </c>
      <c r="W150" s="94" t="s">
        <v>35</v>
      </c>
      <c r="X150" s="94" t="s">
        <v>35</v>
      </c>
      <c r="Y150" s="94" t="s">
        <v>1815</v>
      </c>
      <c r="Z150" s="94" t="s">
        <v>74</v>
      </c>
      <c r="AA150" s="94" t="s">
        <v>74</v>
      </c>
      <c r="AB150" s="95" t="s">
        <v>1826</v>
      </c>
      <c r="AC150" s="30">
        <f t="shared" si="2"/>
        <v>0.66666666666666663</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t="s">
        <v>175</v>
      </c>
      <c r="U151" s="94" t="s">
        <v>213</v>
      </c>
      <c r="V151" s="94" t="s">
        <v>213</v>
      </c>
      <c r="W151" s="94" t="s">
        <v>175</v>
      </c>
      <c r="X151" s="94" t="s">
        <v>175</v>
      </c>
      <c r="Y151" s="94" t="s">
        <v>1815</v>
      </c>
      <c r="Z151" s="94" t="s">
        <v>74</v>
      </c>
      <c r="AA151" s="94" t="s">
        <v>74</v>
      </c>
      <c r="AB151" s="103" t="s">
        <v>1833</v>
      </c>
      <c r="AC151" s="30">
        <f t="shared" si="2"/>
        <v>0.48148148148148145</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t="s">
        <v>175</v>
      </c>
      <c r="U152" s="94" t="s">
        <v>35</v>
      </c>
      <c r="V152" s="94" t="s">
        <v>35</v>
      </c>
      <c r="W152" s="94" t="s">
        <v>35</v>
      </c>
      <c r="X152" s="94" t="s">
        <v>35</v>
      </c>
      <c r="Y152" s="94"/>
      <c r="Z152" s="94" t="s">
        <v>74</v>
      </c>
      <c r="AA152" s="94" t="s">
        <v>74</v>
      </c>
      <c r="AB152" s="95" t="s">
        <v>1839</v>
      </c>
      <c r="AC152" s="30">
        <f t="shared" si="2"/>
        <v>0.61111111111111116</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t="s">
        <v>175</v>
      </c>
      <c r="U153" s="94" t="s">
        <v>35</v>
      </c>
      <c r="V153" s="94" t="s">
        <v>35</v>
      </c>
      <c r="W153" s="94" t="s">
        <v>35</v>
      </c>
      <c r="X153" s="94" t="s">
        <v>175</v>
      </c>
      <c r="Y153" s="94"/>
      <c r="Z153" s="94" t="s">
        <v>74</v>
      </c>
      <c r="AA153" s="94" t="s">
        <v>74</v>
      </c>
      <c r="AB153" s="95" t="s">
        <v>1839</v>
      </c>
      <c r="AC153" s="30">
        <f t="shared" si="2"/>
        <v>0.55555555555555558</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t="s">
        <v>175</v>
      </c>
      <c r="U154" s="94" t="s">
        <v>35</v>
      </c>
      <c r="V154" s="94" t="s">
        <v>35</v>
      </c>
      <c r="W154" s="94" t="s">
        <v>35</v>
      </c>
      <c r="X154" s="94" t="s">
        <v>175</v>
      </c>
      <c r="Y154" s="94"/>
      <c r="Z154" s="94" t="s">
        <v>74</v>
      </c>
      <c r="AA154" s="94" t="s">
        <v>74</v>
      </c>
      <c r="AB154" s="95" t="s">
        <v>1839</v>
      </c>
      <c r="AC154" s="30">
        <f t="shared" si="2"/>
        <v>0.55555555555555558</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t="s">
        <v>175</v>
      </c>
      <c r="U155" s="94" t="s">
        <v>35</v>
      </c>
      <c r="V155" s="94" t="s">
        <v>35</v>
      </c>
      <c r="W155" s="94" t="s">
        <v>35</v>
      </c>
      <c r="X155" s="94" t="s">
        <v>35</v>
      </c>
      <c r="Y155" s="94"/>
      <c r="Z155" s="94" t="s">
        <v>74</v>
      </c>
      <c r="AA155" s="94" t="s">
        <v>74</v>
      </c>
      <c r="AB155" s="95" t="s">
        <v>1839</v>
      </c>
      <c r="AC155" s="30">
        <f t="shared" si="2"/>
        <v>0.61111111111111116</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t="s">
        <v>175</v>
      </c>
      <c r="U156" s="94" t="s">
        <v>35</v>
      </c>
      <c r="V156" s="94" t="s">
        <v>35</v>
      </c>
      <c r="W156" s="94" t="s">
        <v>35</v>
      </c>
      <c r="X156" s="94" t="s">
        <v>35</v>
      </c>
      <c r="Y156" s="94"/>
      <c r="Z156" s="94" t="s">
        <v>74</v>
      </c>
      <c r="AA156" s="94" t="s">
        <v>74</v>
      </c>
      <c r="AB156" s="95" t="s">
        <v>1839</v>
      </c>
      <c r="AC156" s="30">
        <f t="shared" si="2"/>
        <v>0.61111111111111116</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t="s">
        <v>175</v>
      </c>
      <c r="U157" s="94" t="s">
        <v>35</v>
      </c>
      <c r="V157" s="94" t="s">
        <v>35</v>
      </c>
      <c r="W157" s="94" t="s">
        <v>35</v>
      </c>
      <c r="X157" s="94" t="s">
        <v>35</v>
      </c>
      <c r="Y157" s="94"/>
      <c r="Z157" s="94" t="s">
        <v>74</v>
      </c>
      <c r="AA157" s="94" t="s">
        <v>74</v>
      </c>
      <c r="AB157" s="95" t="s">
        <v>1839</v>
      </c>
      <c r="AC157" s="30">
        <f t="shared" si="2"/>
        <v>0.61111111111111116</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t="s">
        <v>175</v>
      </c>
      <c r="U158" s="94" t="s">
        <v>35</v>
      </c>
      <c r="V158" s="94" t="s">
        <v>35</v>
      </c>
      <c r="W158" s="94" t="s">
        <v>35</v>
      </c>
      <c r="X158" s="94" t="s">
        <v>35</v>
      </c>
      <c r="Y158" s="94"/>
      <c r="Z158" s="94" t="s">
        <v>74</v>
      </c>
      <c r="AA158" s="94" t="s">
        <v>74</v>
      </c>
      <c r="AB158" s="95" t="s">
        <v>1839</v>
      </c>
      <c r="AC158" s="30">
        <f t="shared" si="2"/>
        <v>0.61111111111111116</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t="s">
        <v>175</v>
      </c>
      <c r="U159" s="94" t="s">
        <v>35</v>
      </c>
      <c r="V159" s="94" t="s">
        <v>35</v>
      </c>
      <c r="W159" s="94" t="s">
        <v>35</v>
      </c>
      <c r="X159" s="94" t="s">
        <v>35</v>
      </c>
      <c r="Y159" s="94"/>
      <c r="Z159" s="94" t="s">
        <v>74</v>
      </c>
      <c r="AA159" s="94" t="s">
        <v>74</v>
      </c>
      <c r="AB159" s="95" t="s">
        <v>1839</v>
      </c>
      <c r="AC159" s="30">
        <f t="shared" si="2"/>
        <v>0.61111111111111116</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t="s">
        <v>175</v>
      </c>
      <c r="U160" s="94" t="s">
        <v>35</v>
      </c>
      <c r="V160" s="94" t="s">
        <v>35</v>
      </c>
      <c r="W160" s="94" t="s">
        <v>35</v>
      </c>
      <c r="X160" s="94" t="s">
        <v>35</v>
      </c>
      <c r="Y160" s="94"/>
      <c r="Z160" s="94" t="s">
        <v>74</v>
      </c>
      <c r="AA160" s="94" t="s">
        <v>74</v>
      </c>
      <c r="AB160" s="95" t="s">
        <v>1839</v>
      </c>
      <c r="AC160" s="30">
        <f t="shared" si="2"/>
        <v>0.61111111111111116</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t="s">
        <v>175</v>
      </c>
      <c r="U161" s="94" t="s">
        <v>35</v>
      </c>
      <c r="V161" s="94" t="s">
        <v>35</v>
      </c>
      <c r="W161" s="94" t="s">
        <v>35</v>
      </c>
      <c r="X161" s="94" t="s">
        <v>35</v>
      </c>
      <c r="Y161" s="94"/>
      <c r="Z161" s="94" t="s">
        <v>74</v>
      </c>
      <c r="AA161" s="94" t="s">
        <v>74</v>
      </c>
      <c r="AB161" s="103" t="s">
        <v>1828</v>
      </c>
      <c r="AC161" s="30">
        <f t="shared" si="2"/>
        <v>0.61111111111111116</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t="s">
        <v>175</v>
      </c>
      <c r="U162" s="94" t="s">
        <v>35</v>
      </c>
      <c r="V162" s="94" t="s">
        <v>35</v>
      </c>
      <c r="W162" s="94" t="s">
        <v>35</v>
      </c>
      <c r="X162" s="94" t="s">
        <v>35</v>
      </c>
      <c r="Y162" s="94" t="s">
        <v>1815</v>
      </c>
      <c r="Z162" s="94"/>
      <c r="AA162" s="94"/>
      <c r="AB162" s="95"/>
      <c r="AC162" s="30">
        <f t="shared" si="2"/>
        <v>0.66666666666666663</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t="s">
        <v>175</v>
      </c>
      <c r="U163" s="94" t="s">
        <v>35</v>
      </c>
      <c r="V163" s="94" t="s">
        <v>35</v>
      </c>
      <c r="W163" s="94" t="s">
        <v>35</v>
      </c>
      <c r="X163" s="94" t="s">
        <v>35</v>
      </c>
      <c r="Y163" s="94" t="s">
        <v>1815</v>
      </c>
      <c r="Z163" s="94"/>
      <c r="AA163" s="94"/>
      <c r="AB163" s="95"/>
      <c r="AC163" s="30">
        <f t="shared" si="2"/>
        <v>0.66666666666666663</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t="s">
        <v>175</v>
      </c>
      <c r="U164" s="94" t="s">
        <v>35</v>
      </c>
      <c r="V164" s="94" t="s">
        <v>35</v>
      </c>
      <c r="W164" s="94" t="s">
        <v>35</v>
      </c>
      <c r="X164" s="94" t="s">
        <v>35</v>
      </c>
      <c r="Y164" s="94" t="s">
        <v>1815</v>
      </c>
      <c r="Z164" s="94"/>
      <c r="AA164" s="94"/>
      <c r="AB164" s="95"/>
      <c r="AC164" s="30">
        <f t="shared" si="2"/>
        <v>0.66666666666666663</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t="s">
        <v>175</v>
      </c>
      <c r="U165" s="94" t="s">
        <v>35</v>
      </c>
      <c r="V165" s="94" t="s">
        <v>35</v>
      </c>
      <c r="W165" s="94" t="s">
        <v>35</v>
      </c>
      <c r="X165" s="94" t="s">
        <v>35</v>
      </c>
      <c r="Y165" s="94" t="s">
        <v>1815</v>
      </c>
      <c r="Z165" s="94"/>
      <c r="AA165" s="94"/>
      <c r="AB165" s="95"/>
      <c r="AC165" s="30">
        <f t="shared" si="2"/>
        <v>0.66666666666666663</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t="s">
        <v>175</v>
      </c>
      <c r="U166" s="94"/>
      <c r="V166" s="94"/>
      <c r="W166" s="94"/>
      <c r="X166" s="94"/>
      <c r="Y166" s="94"/>
      <c r="Z166" s="94"/>
      <c r="AA166" s="94"/>
      <c r="AB166" s="95"/>
      <c r="AC166" s="30">
        <f t="shared" si="2"/>
        <v>0.16666666666666666</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t="s">
        <v>175</v>
      </c>
      <c r="U167" s="94"/>
      <c r="V167" s="94"/>
      <c r="W167" s="94"/>
      <c r="X167" s="94"/>
      <c r="Y167" s="94"/>
      <c r="Z167" s="94"/>
      <c r="AA167" s="94"/>
      <c r="AB167" s="95"/>
      <c r="AC167" s="30">
        <f t="shared" si="2"/>
        <v>0.16666666666666666</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t="s">
        <v>175</v>
      </c>
      <c r="U168" s="94"/>
      <c r="V168" s="94"/>
      <c r="W168" s="94"/>
      <c r="X168" s="94"/>
      <c r="Y168" s="94"/>
      <c r="Z168" s="94"/>
      <c r="AA168" s="94"/>
      <c r="AB168" s="95"/>
      <c r="AC168" s="30">
        <f t="shared" si="2"/>
        <v>0.16666666666666666</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t="s">
        <v>175</v>
      </c>
      <c r="U169" s="94"/>
      <c r="V169" s="94"/>
      <c r="W169" s="94"/>
      <c r="X169" s="94"/>
      <c r="Y169" s="94"/>
      <c r="Z169" s="94"/>
      <c r="AA169" s="94"/>
      <c r="AB169" s="95"/>
      <c r="AC169" s="30">
        <f t="shared" si="2"/>
        <v>0.16666666666666666</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t="s">
        <v>175</v>
      </c>
      <c r="U170" s="94"/>
      <c r="V170" s="94"/>
      <c r="W170" s="94"/>
      <c r="X170" s="94"/>
      <c r="Y170" s="94"/>
      <c r="Z170" s="94"/>
      <c r="AA170" s="94"/>
      <c r="AB170" s="95"/>
      <c r="AC170" s="30">
        <f t="shared" si="2"/>
        <v>0.16666666666666666</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t="s">
        <v>175</v>
      </c>
      <c r="U171" s="94"/>
      <c r="V171" s="94"/>
      <c r="W171" s="94"/>
      <c r="X171" s="94"/>
      <c r="Y171" s="94"/>
      <c r="Z171" s="94"/>
      <c r="AA171" s="94"/>
      <c r="AB171" s="95"/>
      <c r="AC171" s="30">
        <f t="shared" si="2"/>
        <v>0.16666666666666666</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t="s">
        <v>175</v>
      </c>
      <c r="U172" s="94"/>
      <c r="V172" s="94"/>
      <c r="W172" s="94"/>
      <c r="X172" s="94"/>
      <c r="Y172" s="94"/>
      <c r="Z172" s="94"/>
      <c r="AA172" s="94"/>
      <c r="AB172" s="95"/>
      <c r="AC172" s="30">
        <f t="shared" si="2"/>
        <v>0.16666666666666666</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t="s">
        <v>175</v>
      </c>
      <c r="U173" s="94"/>
      <c r="V173" s="94"/>
      <c r="W173" s="94"/>
      <c r="X173" s="94"/>
      <c r="Y173" s="94"/>
      <c r="Z173" s="94"/>
      <c r="AA173" s="94"/>
      <c r="AB173" s="95"/>
      <c r="AC173" s="30">
        <f t="shared" si="2"/>
        <v>0.16666666666666666</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t="s">
        <v>175</v>
      </c>
      <c r="U174" s="94"/>
      <c r="V174" s="94"/>
      <c r="W174" s="94"/>
      <c r="X174" s="94"/>
      <c r="Y174" s="94"/>
      <c r="Z174" s="94"/>
      <c r="AA174" s="94"/>
      <c r="AB174" s="95"/>
      <c r="AC174" s="30">
        <f t="shared" si="2"/>
        <v>0.16666666666666666</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t="s">
        <v>175</v>
      </c>
      <c r="U175" s="94"/>
      <c r="V175" s="94"/>
      <c r="W175" s="94"/>
      <c r="X175" s="94"/>
      <c r="Y175" s="94"/>
      <c r="Z175" s="94"/>
      <c r="AA175" s="94"/>
      <c r="AB175" s="95"/>
      <c r="AC175" s="30">
        <f t="shared" si="2"/>
        <v>0.16666666666666666</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t="s">
        <v>175</v>
      </c>
      <c r="U176" s="94"/>
      <c r="V176" s="94"/>
      <c r="W176" s="94"/>
      <c r="X176" s="94"/>
      <c r="Y176" s="94"/>
      <c r="Z176" s="94"/>
      <c r="AA176" s="94"/>
      <c r="AB176" s="95"/>
      <c r="AC176" s="30">
        <f t="shared" si="2"/>
        <v>0.16666666666666666</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t="s">
        <v>175</v>
      </c>
      <c r="U177" s="94"/>
      <c r="V177" s="94"/>
      <c r="W177" s="94"/>
      <c r="X177" s="94"/>
      <c r="Y177" s="94"/>
      <c r="Z177" s="94"/>
      <c r="AA177" s="94"/>
      <c r="AB177" s="95"/>
      <c r="AC177" s="30">
        <f t="shared" si="2"/>
        <v>0.16666666666666666</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t="s">
        <v>175</v>
      </c>
      <c r="U178" s="94"/>
      <c r="V178" s="94"/>
      <c r="W178" s="94"/>
      <c r="X178" s="94"/>
      <c r="Y178" s="94"/>
      <c r="Z178" s="94"/>
      <c r="AA178" s="94"/>
      <c r="AB178" s="95"/>
      <c r="AC178" s="30">
        <f t="shared" si="2"/>
        <v>0.16666666666666666</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t="s">
        <v>175</v>
      </c>
      <c r="U179" s="94"/>
      <c r="V179" s="94"/>
      <c r="W179" s="94"/>
      <c r="X179" s="94"/>
      <c r="Y179" s="94"/>
      <c r="Z179" s="94"/>
      <c r="AA179" s="94"/>
      <c r="AB179" s="95"/>
      <c r="AC179" s="30">
        <f t="shared" si="2"/>
        <v>0.16666666666666666</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t="s">
        <v>175</v>
      </c>
      <c r="U180" s="94"/>
      <c r="V180" s="94"/>
      <c r="W180" s="94"/>
      <c r="X180" s="94"/>
      <c r="Y180" s="94"/>
      <c r="Z180" s="94"/>
      <c r="AA180" s="94"/>
      <c r="AB180" s="95"/>
      <c r="AC180" s="30">
        <f t="shared" si="2"/>
        <v>0.16666666666666666</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t="s">
        <v>175</v>
      </c>
      <c r="U181" s="94"/>
      <c r="V181" s="94"/>
      <c r="W181" s="94"/>
      <c r="X181" s="94"/>
      <c r="Y181" s="94"/>
      <c r="Z181" s="94"/>
      <c r="AA181" s="94"/>
      <c r="AB181" s="95"/>
      <c r="AC181" s="30">
        <f t="shared" si="2"/>
        <v>0.16666666666666666</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t="s">
        <v>175</v>
      </c>
      <c r="U182" s="94"/>
      <c r="V182" s="94"/>
      <c r="W182" s="94"/>
      <c r="X182" s="94"/>
      <c r="Y182" s="94"/>
      <c r="Z182" s="94"/>
      <c r="AA182" s="94"/>
      <c r="AB182" s="95"/>
      <c r="AC182" s="30">
        <f t="shared" si="2"/>
        <v>0.16666666666666666</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t="s">
        <v>175</v>
      </c>
      <c r="U183" s="94"/>
      <c r="V183" s="94"/>
      <c r="W183" s="94"/>
      <c r="X183" s="94"/>
      <c r="Y183" s="94"/>
      <c r="Z183" s="94"/>
      <c r="AA183" s="94"/>
      <c r="AB183" s="95"/>
      <c r="AC183" s="30">
        <f t="shared" si="2"/>
        <v>0.16666666666666666</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t="s">
        <v>175</v>
      </c>
      <c r="U184" s="94"/>
      <c r="V184" s="94"/>
      <c r="W184" s="94"/>
      <c r="X184" s="94"/>
      <c r="Y184" s="94"/>
      <c r="Z184" s="94"/>
      <c r="AA184" s="94"/>
      <c r="AB184" s="95"/>
      <c r="AC184" s="30">
        <f t="shared" si="2"/>
        <v>0.16666666666666666</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t="s">
        <v>175</v>
      </c>
      <c r="U185" s="94"/>
      <c r="V185" s="94"/>
      <c r="W185" s="94"/>
      <c r="X185" s="94"/>
      <c r="Y185" s="94"/>
      <c r="Z185" s="94"/>
      <c r="AA185" s="94"/>
      <c r="AB185" s="95"/>
      <c r="AC185" s="30">
        <f t="shared" si="2"/>
        <v>0.16666666666666666</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t="s">
        <v>175</v>
      </c>
      <c r="U186" s="94"/>
      <c r="V186" s="94"/>
      <c r="W186" s="94"/>
      <c r="X186" s="94"/>
      <c r="Y186" s="94"/>
      <c r="Z186" s="94"/>
      <c r="AA186" s="94"/>
      <c r="AB186" s="95"/>
      <c r="AC186" s="30">
        <f t="shared" si="2"/>
        <v>0.16666666666666666</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t="s">
        <v>175</v>
      </c>
      <c r="U187" s="94"/>
      <c r="V187" s="94"/>
      <c r="W187" s="94"/>
      <c r="X187" s="94"/>
      <c r="Y187" s="94"/>
      <c r="Z187" s="94"/>
      <c r="AA187" s="94"/>
      <c r="AB187" s="95"/>
      <c r="AC187" s="30">
        <f t="shared" si="2"/>
        <v>0.16666666666666666</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t="s">
        <v>175</v>
      </c>
      <c r="U188" s="94"/>
      <c r="V188" s="94"/>
      <c r="W188" s="94"/>
      <c r="X188" s="94"/>
      <c r="Y188" s="94"/>
      <c r="Z188" s="94"/>
      <c r="AA188" s="94"/>
      <c r="AB188" s="95"/>
      <c r="AC188" s="30">
        <f t="shared" si="2"/>
        <v>0.16666666666666666</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t="s">
        <v>175</v>
      </c>
      <c r="U189" s="94" t="s">
        <v>35</v>
      </c>
      <c r="V189" s="94" t="s">
        <v>35</v>
      </c>
      <c r="W189" s="94" t="s">
        <v>175</v>
      </c>
      <c r="X189" s="94" t="s">
        <v>175</v>
      </c>
      <c r="Y189" s="94"/>
      <c r="Z189" s="94"/>
      <c r="AA189" s="94"/>
      <c r="AB189" s="95"/>
      <c r="AC189" s="30">
        <f t="shared" si="2"/>
        <v>0.5</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t="s">
        <v>175</v>
      </c>
      <c r="U190" s="94" t="s">
        <v>35</v>
      </c>
      <c r="V190" s="94" t="s">
        <v>35</v>
      </c>
      <c r="W190" s="94" t="s">
        <v>175</v>
      </c>
      <c r="X190" s="94" t="s">
        <v>175</v>
      </c>
      <c r="Y190" s="94"/>
      <c r="Z190" s="94"/>
      <c r="AA190" s="94"/>
      <c r="AB190" s="95"/>
      <c r="AC190" s="30">
        <f t="shared" si="2"/>
        <v>0.5</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t="s">
        <v>175</v>
      </c>
      <c r="U191" s="94" t="s">
        <v>35</v>
      </c>
      <c r="V191" s="94" t="s">
        <v>35</v>
      </c>
      <c r="W191" s="94" t="s">
        <v>175</v>
      </c>
      <c r="X191" s="94" t="s">
        <v>175</v>
      </c>
      <c r="Y191" s="94"/>
      <c r="Z191" s="94"/>
      <c r="AA191" s="94"/>
      <c r="AB191" s="95"/>
      <c r="AC191" s="30">
        <f t="shared" si="2"/>
        <v>0.5</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t="s">
        <v>175</v>
      </c>
      <c r="U192" s="94" t="s">
        <v>35</v>
      </c>
      <c r="V192" s="94" t="s">
        <v>35</v>
      </c>
      <c r="W192" s="94" t="s">
        <v>175</v>
      </c>
      <c r="X192" s="94" t="s">
        <v>175</v>
      </c>
      <c r="Y192" s="94"/>
      <c r="Z192" s="94"/>
      <c r="AA192" s="94"/>
      <c r="AB192" s="95"/>
      <c r="AC192" s="30">
        <f t="shared" si="2"/>
        <v>0.5</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t="s">
        <v>175</v>
      </c>
      <c r="U193" s="94" t="s">
        <v>35</v>
      </c>
      <c r="V193" s="94" t="s">
        <v>35</v>
      </c>
      <c r="W193" s="94" t="s">
        <v>175</v>
      </c>
      <c r="X193" s="94" t="s">
        <v>175</v>
      </c>
      <c r="Y193" s="94"/>
      <c r="Z193" s="94"/>
      <c r="AA193" s="94"/>
      <c r="AB193" s="95"/>
      <c r="AC193" s="30">
        <f t="shared" si="2"/>
        <v>0.5</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t="s">
        <v>175</v>
      </c>
      <c r="U194" s="94" t="s">
        <v>35</v>
      </c>
      <c r="V194" s="94" t="s">
        <v>35</v>
      </c>
      <c r="W194" s="94" t="s">
        <v>175</v>
      </c>
      <c r="X194" s="94" t="s">
        <v>175</v>
      </c>
      <c r="Y194" s="94"/>
      <c r="Z194" s="94"/>
      <c r="AA194" s="94"/>
      <c r="AB194" s="95"/>
      <c r="AC194" s="30">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0.5</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t="s">
        <v>175</v>
      </c>
      <c r="U195" s="94" t="s">
        <v>35</v>
      </c>
      <c r="V195" s="94" t="s">
        <v>35</v>
      </c>
      <c r="W195" s="94" t="s">
        <v>175</v>
      </c>
      <c r="X195" s="94" t="s">
        <v>175</v>
      </c>
      <c r="Y195" s="94"/>
      <c r="Z195" s="94"/>
      <c r="AA195" s="94"/>
      <c r="AB195" s="95"/>
      <c r="AC195" s="30">
        <f t="shared" si="3"/>
        <v>0.5</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34</v>
      </c>
      <c r="T196" s="94" t="s">
        <v>175</v>
      </c>
      <c r="U196" s="94" t="s">
        <v>213</v>
      </c>
      <c r="V196" s="94" t="s">
        <v>213</v>
      </c>
      <c r="W196" s="94"/>
      <c r="X196" s="94"/>
      <c r="Y196" s="94"/>
      <c r="Z196" s="94"/>
      <c r="AA196" s="94"/>
      <c r="AB196" s="95"/>
      <c r="AC196" s="30">
        <f t="shared" si="3"/>
        <v>0.31481481481481477</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34</v>
      </c>
      <c r="T197" s="94" t="s">
        <v>175</v>
      </c>
      <c r="U197" s="94" t="s">
        <v>213</v>
      </c>
      <c r="V197" s="94" t="s">
        <v>213</v>
      </c>
      <c r="W197" s="94"/>
      <c r="X197" s="94"/>
      <c r="Y197" s="94"/>
      <c r="Z197" s="94"/>
      <c r="AA197" s="94"/>
      <c r="AB197" s="95"/>
      <c r="AC197" s="30">
        <f t="shared" si="3"/>
        <v>0.31481481481481477</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34</v>
      </c>
      <c r="T198" s="94" t="s">
        <v>175</v>
      </c>
      <c r="U198" s="94" t="s">
        <v>176</v>
      </c>
      <c r="V198" s="94" t="s">
        <v>176</v>
      </c>
      <c r="W198" s="94"/>
      <c r="X198" s="94"/>
      <c r="Y198" s="94"/>
      <c r="Z198" s="94"/>
      <c r="AA198" s="94"/>
      <c r="AB198" s="95"/>
      <c r="AC198" s="30">
        <f t="shared" si="3"/>
        <v>0.24074074074074073</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34</v>
      </c>
      <c r="T199" s="94" t="s">
        <v>175</v>
      </c>
      <c r="U199" s="94" t="s">
        <v>176</v>
      </c>
      <c r="V199" s="94" t="s">
        <v>176</v>
      </c>
      <c r="W199" s="94"/>
      <c r="X199" s="94"/>
      <c r="Y199" s="94"/>
      <c r="Z199" s="94"/>
      <c r="AA199" s="94"/>
      <c r="AB199" s="95"/>
      <c r="AC199" s="30">
        <f t="shared" si="3"/>
        <v>0.24074074074074073</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34</v>
      </c>
      <c r="T200" s="94" t="s">
        <v>175</v>
      </c>
      <c r="U200" s="94" t="s">
        <v>213</v>
      </c>
      <c r="V200" s="94" t="s">
        <v>213</v>
      </c>
      <c r="W200" s="94"/>
      <c r="X200" s="94"/>
      <c r="Y200" s="94"/>
      <c r="Z200" s="94"/>
      <c r="AA200" s="94"/>
      <c r="AB200" s="95"/>
      <c r="AC200" s="30">
        <f t="shared" si="3"/>
        <v>0.31481481481481477</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34</v>
      </c>
      <c r="T201" s="94" t="s">
        <v>175</v>
      </c>
      <c r="U201" s="94" t="s">
        <v>213</v>
      </c>
      <c r="V201" s="94" t="s">
        <v>213</v>
      </c>
      <c r="W201" s="94"/>
      <c r="X201" s="94"/>
      <c r="Y201" s="94"/>
      <c r="Z201" s="94"/>
      <c r="AA201" s="94"/>
      <c r="AB201" s="95"/>
      <c r="AC201" s="30">
        <f t="shared" si="3"/>
        <v>0.31481481481481477</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t="s">
        <v>175</v>
      </c>
      <c r="U202" s="94" t="s">
        <v>213</v>
      </c>
      <c r="V202" s="94" t="s">
        <v>213</v>
      </c>
      <c r="W202" s="94"/>
      <c r="X202" s="94"/>
      <c r="Y202" s="94"/>
      <c r="Z202" s="94"/>
      <c r="AA202" s="94"/>
      <c r="AB202" s="95"/>
      <c r="AC202" s="30">
        <f t="shared" si="3"/>
        <v>0.31481481481481477</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t="s">
        <v>175</v>
      </c>
      <c r="U203" s="94" t="s">
        <v>213</v>
      </c>
      <c r="V203" s="94" t="s">
        <v>213</v>
      </c>
      <c r="W203" s="94"/>
      <c r="X203" s="94"/>
      <c r="Y203" s="94"/>
      <c r="Z203" s="94"/>
      <c r="AA203" s="94"/>
      <c r="AB203" s="95"/>
      <c r="AC203" s="30">
        <f t="shared" si="3"/>
        <v>0.31481481481481477</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7" t="s">
        <v>34</v>
      </c>
      <c r="T204" s="97" t="s">
        <v>175</v>
      </c>
      <c r="U204" s="94" t="s">
        <v>35</v>
      </c>
      <c r="V204" s="94" t="s">
        <v>35</v>
      </c>
      <c r="W204" s="94" t="s">
        <v>175</v>
      </c>
      <c r="X204" s="94" t="s">
        <v>175</v>
      </c>
      <c r="Y204" s="97" t="s">
        <v>36</v>
      </c>
      <c r="Z204" s="94" t="s">
        <v>74</v>
      </c>
      <c r="AA204" s="94" t="s">
        <v>74</v>
      </c>
      <c r="AB204" s="98" t="s">
        <v>1807</v>
      </c>
      <c r="AC204" s="30">
        <f t="shared" si="3"/>
        <v>0.61111111111111116</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t="s">
        <v>175</v>
      </c>
      <c r="U205" s="94" t="s">
        <v>35</v>
      </c>
      <c r="V205" s="94" t="s">
        <v>35</v>
      </c>
      <c r="W205" s="94" t="s">
        <v>175</v>
      </c>
      <c r="X205" s="94" t="s">
        <v>175</v>
      </c>
      <c r="Y205" s="94" t="s">
        <v>36</v>
      </c>
      <c r="Z205" s="94" t="s">
        <v>74</v>
      </c>
      <c r="AA205" s="94" t="s">
        <v>74</v>
      </c>
      <c r="AB205" s="95" t="s">
        <v>1807</v>
      </c>
      <c r="AC205" s="30">
        <f t="shared" si="3"/>
        <v>0.61111111111111116</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7" t="s">
        <v>34</v>
      </c>
      <c r="T206" s="97" t="s">
        <v>175</v>
      </c>
      <c r="U206" s="94" t="s">
        <v>35</v>
      </c>
      <c r="V206" s="94" t="s">
        <v>35</v>
      </c>
      <c r="W206" s="94" t="s">
        <v>175</v>
      </c>
      <c r="X206" s="94" t="s">
        <v>175</v>
      </c>
      <c r="Y206" s="97" t="s">
        <v>36</v>
      </c>
      <c r="Z206" s="94" t="s">
        <v>74</v>
      </c>
      <c r="AA206" s="94" t="s">
        <v>74</v>
      </c>
      <c r="AB206" s="98" t="s">
        <v>1807</v>
      </c>
      <c r="AC206" s="30">
        <f t="shared" si="3"/>
        <v>0.61111111111111116</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7" t="s">
        <v>34</v>
      </c>
      <c r="T207" s="97" t="s">
        <v>175</v>
      </c>
      <c r="U207" s="94" t="s">
        <v>35</v>
      </c>
      <c r="V207" s="94" t="s">
        <v>35</v>
      </c>
      <c r="W207" s="94" t="s">
        <v>35</v>
      </c>
      <c r="X207" s="94" t="s">
        <v>175</v>
      </c>
      <c r="Y207" s="97" t="s">
        <v>36</v>
      </c>
      <c r="Z207" s="94" t="s">
        <v>74</v>
      </c>
      <c r="AA207" s="94" t="s">
        <v>74</v>
      </c>
      <c r="AB207" s="98" t="s">
        <v>1807</v>
      </c>
      <c r="AC207" s="30">
        <f t="shared" si="3"/>
        <v>0.66666666666666663</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7" t="s">
        <v>34</v>
      </c>
      <c r="T208" s="97" t="s">
        <v>175</v>
      </c>
      <c r="U208" s="94" t="s">
        <v>35</v>
      </c>
      <c r="V208" s="94" t="s">
        <v>35</v>
      </c>
      <c r="W208" s="94" t="s">
        <v>35</v>
      </c>
      <c r="X208" s="94" t="s">
        <v>175</v>
      </c>
      <c r="Y208" s="97" t="s">
        <v>36</v>
      </c>
      <c r="Z208" s="94" t="s">
        <v>74</v>
      </c>
      <c r="AA208" s="94" t="s">
        <v>74</v>
      </c>
      <c r="AB208" s="98" t="s">
        <v>1807</v>
      </c>
      <c r="AC208" s="30">
        <f t="shared" si="3"/>
        <v>0.66666666666666663</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t="s">
        <v>175</v>
      </c>
      <c r="U209" s="94" t="s">
        <v>35</v>
      </c>
      <c r="V209" s="94" t="s">
        <v>35</v>
      </c>
      <c r="W209" s="94" t="s">
        <v>35</v>
      </c>
      <c r="X209" s="94" t="s">
        <v>35</v>
      </c>
      <c r="Y209" s="94" t="s">
        <v>36</v>
      </c>
      <c r="Z209" s="94" t="s">
        <v>74</v>
      </c>
      <c r="AA209" s="94" t="s">
        <v>74</v>
      </c>
      <c r="AB209" s="95" t="s">
        <v>1807</v>
      </c>
      <c r="AC209" s="30">
        <f t="shared" si="3"/>
        <v>0.72222222222222221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t="s">
        <v>175</v>
      </c>
      <c r="U210" s="94" t="s">
        <v>213</v>
      </c>
      <c r="V210" s="94" t="s">
        <v>213</v>
      </c>
      <c r="W210" s="94"/>
      <c r="X210" s="94"/>
      <c r="Y210" s="94"/>
      <c r="Z210" s="94"/>
      <c r="AA210" s="94"/>
      <c r="AB210" s="95"/>
      <c r="AC210" s="30">
        <f t="shared" si="3"/>
        <v>0.31481481481481477</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t="s">
        <v>175</v>
      </c>
      <c r="U211" s="94" t="s">
        <v>35</v>
      </c>
      <c r="V211" s="94" t="s">
        <v>213</v>
      </c>
      <c r="W211" s="94" t="s">
        <v>35</v>
      </c>
      <c r="X211" s="94" t="s">
        <v>175</v>
      </c>
      <c r="Y211" s="94" t="s">
        <v>36</v>
      </c>
      <c r="Z211" s="94" t="s">
        <v>74</v>
      </c>
      <c r="AA211" s="94" t="s">
        <v>74</v>
      </c>
      <c r="AB211" s="95" t="s">
        <v>1807</v>
      </c>
      <c r="AC211" s="30">
        <f t="shared" si="3"/>
        <v>0.62962962962962954</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t="s">
        <v>175</v>
      </c>
      <c r="U212" s="94" t="s">
        <v>35</v>
      </c>
      <c r="V212" s="94" t="s">
        <v>35</v>
      </c>
      <c r="W212" s="94" t="s">
        <v>35</v>
      </c>
      <c r="X212" s="94" t="s">
        <v>175</v>
      </c>
      <c r="Y212" s="94" t="s">
        <v>36</v>
      </c>
      <c r="Z212" s="94" t="s">
        <v>74</v>
      </c>
      <c r="AA212" s="94" t="s">
        <v>74</v>
      </c>
      <c r="AB212" s="95" t="s">
        <v>1807</v>
      </c>
      <c r="AC212" s="30">
        <f t="shared" si="3"/>
        <v>0.66666666666666663</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t="s">
        <v>175</v>
      </c>
      <c r="U213" s="94" t="s">
        <v>35</v>
      </c>
      <c r="V213" s="94" t="s">
        <v>35</v>
      </c>
      <c r="W213" s="94" t="s">
        <v>35</v>
      </c>
      <c r="X213" s="94" t="s">
        <v>35</v>
      </c>
      <c r="Y213" s="94" t="s">
        <v>36</v>
      </c>
      <c r="Z213" s="94" t="s">
        <v>74</v>
      </c>
      <c r="AA213" s="94" t="s">
        <v>74</v>
      </c>
      <c r="AB213" s="95" t="s">
        <v>1807</v>
      </c>
      <c r="AC213" s="30">
        <f t="shared" si="3"/>
        <v>0.72222222222222221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7" t="s">
        <v>34</v>
      </c>
      <c r="T214" s="97" t="s">
        <v>175</v>
      </c>
      <c r="U214" s="94" t="s">
        <v>35</v>
      </c>
      <c r="V214" s="94" t="s">
        <v>35</v>
      </c>
      <c r="W214" s="94" t="s">
        <v>35</v>
      </c>
      <c r="X214" s="94" t="s">
        <v>175</v>
      </c>
      <c r="Y214" s="97" t="s">
        <v>36</v>
      </c>
      <c r="Z214" s="94" t="s">
        <v>74</v>
      </c>
      <c r="AA214" s="94" t="s">
        <v>74</v>
      </c>
      <c r="AB214" s="98" t="s">
        <v>1807</v>
      </c>
      <c r="AC214" s="30">
        <f t="shared" si="3"/>
        <v>0.66666666666666663</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t="s">
        <v>175</v>
      </c>
      <c r="U215" s="94" t="s">
        <v>213</v>
      </c>
      <c r="V215" s="94" t="s">
        <v>213</v>
      </c>
      <c r="W215" s="94"/>
      <c r="X215" s="94"/>
      <c r="Y215" s="94"/>
      <c r="Z215" s="94"/>
      <c r="AA215" s="94"/>
      <c r="AB215" s="95"/>
      <c r="AC215" s="30">
        <f t="shared" si="3"/>
        <v>0.31481481481481477</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7" t="s">
        <v>34</v>
      </c>
      <c r="T216" s="97" t="s">
        <v>175</v>
      </c>
      <c r="U216" s="94" t="s">
        <v>213</v>
      </c>
      <c r="V216" s="94" t="s">
        <v>213</v>
      </c>
      <c r="W216" s="94"/>
      <c r="X216" s="94"/>
      <c r="Y216" s="97" t="s">
        <v>1815</v>
      </c>
      <c r="Z216" s="94"/>
      <c r="AA216" s="94"/>
      <c r="AB216" s="98"/>
      <c r="AC216" s="30">
        <f t="shared" si="3"/>
        <v>0.37037037037037035</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t="s">
        <v>175</v>
      </c>
      <c r="U217" s="94" t="s">
        <v>213</v>
      </c>
      <c r="V217" s="94" t="s">
        <v>213</v>
      </c>
      <c r="W217" s="94"/>
      <c r="X217" s="94"/>
      <c r="Y217" s="94" t="s">
        <v>1815</v>
      </c>
      <c r="Z217" s="94"/>
      <c r="AA217" s="94"/>
      <c r="AB217" s="95"/>
      <c r="AC217" s="30">
        <f t="shared" si="3"/>
        <v>0.37037037037037035</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7" t="s">
        <v>34</v>
      </c>
      <c r="T218" s="97" t="s">
        <v>175</v>
      </c>
      <c r="U218" s="94" t="s">
        <v>213</v>
      </c>
      <c r="V218" s="94" t="s">
        <v>213</v>
      </c>
      <c r="W218" s="94"/>
      <c r="X218" s="94"/>
      <c r="Y218" s="97" t="s">
        <v>1815</v>
      </c>
      <c r="Z218" s="94"/>
      <c r="AA218" s="94"/>
      <c r="AB218" s="98"/>
      <c r="AC218" s="30">
        <f t="shared" si="3"/>
        <v>0.37037037037037035</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t="s">
        <v>175</v>
      </c>
      <c r="U219" s="94" t="s">
        <v>35</v>
      </c>
      <c r="V219" s="94" t="s">
        <v>35</v>
      </c>
      <c r="W219" s="94" t="s">
        <v>175</v>
      </c>
      <c r="X219" s="94" t="s">
        <v>175</v>
      </c>
      <c r="Y219" s="94" t="s">
        <v>1815</v>
      </c>
      <c r="Z219" s="94"/>
      <c r="AA219" s="94"/>
      <c r="AB219" s="95"/>
      <c r="AC219" s="30">
        <f t="shared" si="3"/>
        <v>0.55555555555555558</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t="s">
        <v>175</v>
      </c>
      <c r="U220" s="94" t="s">
        <v>213</v>
      </c>
      <c r="V220" s="94" t="s">
        <v>213</v>
      </c>
      <c r="W220" s="94"/>
      <c r="X220" s="94"/>
      <c r="Y220" s="94" t="s">
        <v>1815</v>
      </c>
      <c r="Z220" s="94"/>
      <c r="AA220" s="94"/>
      <c r="AB220" s="95"/>
      <c r="AC220" s="30">
        <f t="shared" si="3"/>
        <v>0.37037037037037035</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t="s">
        <v>175</v>
      </c>
      <c r="U221" s="94" t="s">
        <v>213</v>
      </c>
      <c r="V221" s="94" t="s">
        <v>213</v>
      </c>
      <c r="W221" s="94"/>
      <c r="X221" s="94"/>
      <c r="Y221" s="94" t="s">
        <v>1815</v>
      </c>
      <c r="Z221" s="94"/>
      <c r="AA221" s="94"/>
      <c r="AB221" s="95"/>
      <c r="AC221" s="30">
        <f t="shared" si="3"/>
        <v>0.37037037037037035</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c r="V222" s="94"/>
      <c r="W222" s="94"/>
      <c r="X222" s="94"/>
      <c r="Y222" s="94"/>
      <c r="Z222" s="94"/>
      <c r="AA222" s="94"/>
      <c r="AB222" s="95"/>
      <c r="AC222" s="30">
        <f t="shared" si="3"/>
        <v>0.16666666666666666</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c r="V223" s="94"/>
      <c r="W223" s="94"/>
      <c r="X223" s="94"/>
      <c r="Y223" s="94"/>
      <c r="Z223" s="94"/>
      <c r="AA223" s="94"/>
      <c r="AB223" s="95"/>
      <c r="AC223" s="30">
        <f t="shared" si="3"/>
        <v>0.16666666666666666</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c r="V224" s="94"/>
      <c r="W224" s="94"/>
      <c r="X224" s="94"/>
      <c r="Y224" s="94"/>
      <c r="Z224" s="94"/>
      <c r="AA224" s="94"/>
      <c r="AB224" s="95"/>
      <c r="AC224" s="30">
        <f t="shared" si="3"/>
        <v>0.16666666666666666</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c r="V225" s="94"/>
      <c r="W225" s="94"/>
      <c r="X225" s="94"/>
      <c r="Y225" s="94"/>
      <c r="Z225" s="94"/>
      <c r="AA225" s="94"/>
      <c r="AB225" s="95"/>
      <c r="AC225" s="30">
        <f t="shared" si="3"/>
        <v>0.16666666666666666</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c r="V226" s="94"/>
      <c r="W226" s="94"/>
      <c r="X226" s="94"/>
      <c r="Y226" s="94"/>
      <c r="Z226" s="94"/>
      <c r="AA226" s="94"/>
      <c r="AB226" s="95"/>
      <c r="AC226" s="30">
        <f t="shared" si="3"/>
        <v>0.16666666666666666</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c r="V227" s="94"/>
      <c r="W227" s="94"/>
      <c r="X227" s="94"/>
      <c r="Y227" s="94"/>
      <c r="Z227" s="94"/>
      <c r="AA227" s="94"/>
      <c r="AB227" s="95"/>
      <c r="AC227" s="30">
        <f t="shared" si="3"/>
        <v>0.16666666666666666</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t="s">
        <v>175</v>
      </c>
      <c r="U228" s="94"/>
      <c r="V228" s="94"/>
      <c r="W228" s="94"/>
      <c r="X228" s="94"/>
      <c r="Y228" s="94"/>
      <c r="Z228" s="94"/>
      <c r="AA228" s="94"/>
      <c r="AB228" s="95"/>
      <c r="AC228" s="30">
        <f t="shared" si="3"/>
        <v>0.16666666666666666</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t="s">
        <v>175</v>
      </c>
      <c r="U229" s="94"/>
      <c r="V229" s="94"/>
      <c r="W229" s="94"/>
      <c r="X229" s="94"/>
      <c r="Y229" s="94"/>
      <c r="Z229" s="94"/>
      <c r="AA229" s="94"/>
      <c r="AB229" s="95"/>
      <c r="AC229" s="30">
        <f t="shared" si="3"/>
        <v>0.16666666666666666</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t="s">
        <v>175</v>
      </c>
      <c r="U230" s="94"/>
      <c r="V230" s="94"/>
      <c r="W230" s="94"/>
      <c r="X230" s="94"/>
      <c r="Y230" s="94"/>
      <c r="Z230" s="94"/>
      <c r="AA230" s="94"/>
      <c r="AB230" s="95"/>
      <c r="AC230" s="30">
        <f t="shared" si="3"/>
        <v>0.16666666666666666</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t="s">
        <v>175</v>
      </c>
      <c r="U231" s="94"/>
      <c r="V231" s="94"/>
      <c r="W231" s="94"/>
      <c r="X231" s="94"/>
      <c r="Y231" s="94"/>
      <c r="Z231" s="94"/>
      <c r="AA231" s="94"/>
      <c r="AB231" s="95"/>
      <c r="AC231" s="30">
        <f t="shared" si="3"/>
        <v>0.16666666666666666</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t="s">
        <v>175</v>
      </c>
      <c r="U232" s="94"/>
      <c r="V232" s="94"/>
      <c r="W232" s="94"/>
      <c r="X232" s="94"/>
      <c r="Y232" s="94"/>
      <c r="Z232" s="94"/>
      <c r="AA232" s="94"/>
      <c r="AB232" s="95"/>
      <c r="AC232" s="30">
        <f t="shared" si="3"/>
        <v>0.16666666666666666</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t="s">
        <v>175</v>
      </c>
      <c r="U233" s="94"/>
      <c r="V233" s="94"/>
      <c r="W233" s="94"/>
      <c r="X233" s="94"/>
      <c r="Y233" s="94"/>
      <c r="Z233" s="94"/>
      <c r="AA233" s="94"/>
      <c r="AB233" s="95"/>
      <c r="AC233" s="30">
        <f t="shared" si="3"/>
        <v>0.16666666666666666</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t="s">
        <v>175</v>
      </c>
      <c r="U234" s="94"/>
      <c r="V234" s="94"/>
      <c r="W234" s="94"/>
      <c r="X234" s="94"/>
      <c r="Y234" s="94"/>
      <c r="Z234" s="94"/>
      <c r="AA234" s="94"/>
      <c r="AB234" s="95"/>
      <c r="AC234" s="30">
        <f t="shared" si="3"/>
        <v>0.16666666666666666</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t="s">
        <v>175</v>
      </c>
      <c r="U235" s="94"/>
      <c r="V235" s="94"/>
      <c r="W235" s="94"/>
      <c r="X235" s="94"/>
      <c r="Y235" s="94"/>
      <c r="Z235" s="94"/>
      <c r="AA235" s="94"/>
      <c r="AB235" s="95"/>
      <c r="AC235" s="30">
        <f t="shared" si="3"/>
        <v>0.16666666666666666</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t="s">
        <v>175</v>
      </c>
      <c r="U236" s="94"/>
      <c r="V236" s="94"/>
      <c r="W236" s="94"/>
      <c r="X236" s="94"/>
      <c r="Y236" s="94"/>
      <c r="Z236" s="94"/>
      <c r="AA236" s="94"/>
      <c r="AB236" s="95"/>
      <c r="AC236" s="30">
        <f t="shared" si="3"/>
        <v>0.16666666666666666</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t="s">
        <v>175</v>
      </c>
      <c r="U237" s="94"/>
      <c r="V237" s="94"/>
      <c r="W237" s="94"/>
      <c r="X237" s="94"/>
      <c r="Y237" s="94"/>
      <c r="Z237" s="94"/>
      <c r="AA237" s="94"/>
      <c r="AB237" s="95"/>
      <c r="AC237" s="30">
        <f t="shared" si="3"/>
        <v>0.16666666666666666</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c r="V238" s="94"/>
      <c r="W238" s="94"/>
      <c r="X238" s="94"/>
      <c r="Y238" s="94"/>
      <c r="Z238" s="94"/>
      <c r="AA238" s="94"/>
      <c r="AB238" s="95"/>
      <c r="AC238" s="30">
        <f t="shared" si="3"/>
        <v>0.16666666666666666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c r="V239" s="94"/>
      <c r="W239" s="94"/>
      <c r="X239" s="94"/>
      <c r="Y239" s="94"/>
      <c r="Z239" s="94"/>
      <c r="AA239" s="94"/>
      <c r="AB239" s="95"/>
      <c r="AC239" s="30">
        <f t="shared" si="3"/>
        <v>0.16666666666666666</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c r="V240" s="94"/>
      <c r="W240" s="94"/>
      <c r="X240" s="94"/>
      <c r="Y240" s="94"/>
      <c r="Z240" s="94"/>
      <c r="AA240" s="94"/>
      <c r="AB240" s="95"/>
      <c r="AC240" s="30">
        <f t="shared" si="3"/>
        <v>0.16666666666666666</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c r="V241" s="94"/>
      <c r="W241" s="94"/>
      <c r="X241" s="94"/>
      <c r="Y241" s="94"/>
      <c r="Z241" s="94"/>
      <c r="AA241" s="94"/>
      <c r="AB241" s="95"/>
      <c r="AC241" s="30">
        <f t="shared" si="3"/>
        <v>0.16666666666666666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t="s">
        <v>35</v>
      </c>
      <c r="V252" s="94" t="s">
        <v>35</v>
      </c>
      <c r="W252" s="94" t="s">
        <v>35</v>
      </c>
      <c r="X252" s="94" t="s">
        <v>35</v>
      </c>
      <c r="Y252" s="94" t="s">
        <v>1815</v>
      </c>
      <c r="Z252" s="94"/>
      <c r="AA252" s="94"/>
      <c r="AB252" s="95"/>
      <c r="AC252" s="30">
        <f t="shared" si="3"/>
        <v>0.66666666666666663</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t="s">
        <v>213</v>
      </c>
      <c r="V253" s="94" t="s">
        <v>35</v>
      </c>
      <c r="W253" s="94" t="s">
        <v>175</v>
      </c>
      <c r="X253" s="94"/>
      <c r="Y253" s="94" t="s">
        <v>1815</v>
      </c>
      <c r="Z253" s="94"/>
      <c r="AA253" s="94"/>
      <c r="AB253" s="95"/>
      <c r="AC253" s="30">
        <f t="shared" si="3"/>
        <v>0.46296296296296291</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t="s">
        <v>213</v>
      </c>
      <c r="V254" s="94" t="s">
        <v>213</v>
      </c>
      <c r="W254" s="94"/>
      <c r="X254" s="94"/>
      <c r="Y254" s="94"/>
      <c r="Z254" s="94"/>
      <c r="AA254" s="94"/>
      <c r="AB254" s="95"/>
      <c r="AC254" s="30">
        <f t="shared" si="3"/>
        <v>0.31481481481481477</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t="s">
        <v>213</v>
      </c>
      <c r="V255" s="94" t="s">
        <v>213</v>
      </c>
      <c r="W255" s="94"/>
      <c r="X255" s="94"/>
      <c r="Y255" s="94"/>
      <c r="Z255" s="94"/>
      <c r="AA255" s="94"/>
      <c r="AB255" s="95"/>
      <c r="AC255" s="30">
        <f t="shared" si="3"/>
        <v>0.31481481481481477</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t="s">
        <v>213</v>
      </c>
      <c r="V257" s="94" t="s">
        <v>213</v>
      </c>
      <c r="W257" s="94"/>
      <c r="X257" s="94"/>
      <c r="Y257" s="94"/>
      <c r="Z257" s="94"/>
      <c r="AA257" s="94"/>
      <c r="AB257" s="95"/>
      <c r="AC257" s="30">
        <f t="shared" si="3"/>
        <v>0.31481481481481477</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t="s">
        <v>213</v>
      </c>
      <c r="V258" s="94" t="s">
        <v>213</v>
      </c>
      <c r="W258" s="94"/>
      <c r="X258" s="94"/>
      <c r="Y258" s="94"/>
      <c r="Z258" s="94"/>
      <c r="AA258" s="94"/>
      <c r="AB258" s="95"/>
      <c r="AC258" s="30">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0.31481481481481477</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t="s">
        <v>213</v>
      </c>
      <c r="V259" s="94" t="s">
        <v>213</v>
      </c>
      <c r="W259" s="94"/>
      <c r="X259" s="94"/>
      <c r="Y259" s="94"/>
      <c r="Z259" s="94"/>
      <c r="AA259" s="94"/>
      <c r="AB259" s="95"/>
      <c r="AC259" s="30">
        <f t="shared" si="4"/>
        <v>0.31481481481481477</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t="s">
        <v>213</v>
      </c>
      <c r="V262" s="94" t="s">
        <v>213</v>
      </c>
      <c r="W262" s="94"/>
      <c r="X262" s="94"/>
      <c r="Y262" s="94"/>
      <c r="Z262" s="94"/>
      <c r="AA262" s="94"/>
      <c r="AB262" s="95"/>
      <c r="AC262" s="30">
        <f t="shared" si="4"/>
        <v>0.31481481481481477</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t="s">
        <v>213</v>
      </c>
      <c r="V263" s="94" t="s">
        <v>213</v>
      </c>
      <c r="W263" s="94"/>
      <c r="X263" s="94"/>
      <c r="Y263" s="94"/>
      <c r="Z263" s="94"/>
      <c r="AA263" s="94"/>
      <c r="AB263" s="95"/>
      <c r="AC263" s="30">
        <f t="shared" si="4"/>
        <v>0.31481481481481477</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t="s">
        <v>213</v>
      </c>
      <c r="V264" s="94" t="s">
        <v>213</v>
      </c>
      <c r="W264" s="94"/>
      <c r="X264" s="94"/>
      <c r="Y264" s="94"/>
      <c r="Z264" s="94"/>
      <c r="AA264" s="94"/>
      <c r="AB264" s="95"/>
      <c r="AC264" s="30">
        <f t="shared" si="4"/>
        <v>0.31481481481481477</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175</v>
      </c>
      <c r="U265" s="94" t="s">
        <v>35</v>
      </c>
      <c r="V265" s="94" t="s">
        <v>35</v>
      </c>
      <c r="W265" s="94" t="s">
        <v>1846</v>
      </c>
      <c r="X265" s="94" t="s">
        <v>35</v>
      </c>
      <c r="Y265" s="107" t="s">
        <v>1815</v>
      </c>
      <c r="Z265" s="94" t="s">
        <v>1846</v>
      </c>
      <c r="AA265" s="94"/>
      <c r="AB265" s="95" t="s">
        <v>1845</v>
      </c>
      <c r="AC265" s="30">
        <f t="shared" si="4"/>
        <v>0.77777777777777779</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175</v>
      </c>
      <c r="U266" s="94" t="s">
        <v>213</v>
      </c>
      <c r="V266" s="94" t="s">
        <v>213</v>
      </c>
      <c r="W266" s="94"/>
      <c r="X266" s="94"/>
      <c r="Y266" s="107"/>
      <c r="Z266" s="94"/>
      <c r="AA266" s="94"/>
      <c r="AB266" s="95"/>
      <c r="AC266" s="30">
        <f t="shared" si="4"/>
        <v>0.31481481481481477</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c r="U267" s="94"/>
      <c r="V267" s="94"/>
      <c r="W267" s="94"/>
      <c r="X267" s="94"/>
      <c r="Y267" s="107"/>
      <c r="Z267" s="94"/>
      <c r="AA267" s="94"/>
      <c r="AB267" s="95"/>
      <c r="AC267" s="30">
        <f t="shared" si="4"/>
        <v>0.1111111111111111</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c r="U268" s="94"/>
      <c r="V268" s="94"/>
      <c r="W268" s="94"/>
      <c r="X268" s="94"/>
      <c r="Y268" s="107"/>
      <c r="Z268" s="94"/>
      <c r="AA268" s="94"/>
      <c r="AB268" s="95"/>
      <c r="AC268" s="30">
        <f t="shared" si="4"/>
        <v>0.1111111111111111</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c r="U269" s="94"/>
      <c r="V269" s="94"/>
      <c r="W269" s="94"/>
      <c r="X269" s="94"/>
      <c r="Y269" s="107"/>
      <c r="Z269" s="94"/>
      <c r="AA269" s="94"/>
      <c r="AB269" s="95"/>
      <c r="AC269" s="30">
        <f t="shared" si="4"/>
        <v>0.1111111111111111</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c r="U270" s="94"/>
      <c r="V270" s="94"/>
      <c r="W270" s="94"/>
      <c r="X270" s="94"/>
      <c r="Y270" s="107"/>
      <c r="Z270" s="94"/>
      <c r="AA270" s="94"/>
      <c r="AB270" s="95"/>
      <c r="AC270" s="30">
        <f t="shared" si="4"/>
        <v>0.1111111111111111</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c r="U271" s="94"/>
      <c r="V271" s="94"/>
      <c r="W271" s="94"/>
      <c r="X271" s="94"/>
      <c r="Y271" s="107"/>
      <c r="Z271" s="94"/>
      <c r="AA271" s="94"/>
      <c r="AB271" s="95"/>
      <c r="AC271" s="30">
        <f t="shared" si="4"/>
        <v>0.1111111111111111</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c r="U272" s="94"/>
      <c r="V272" s="94"/>
      <c r="W272" s="94"/>
      <c r="X272" s="94"/>
      <c r="Y272" s="107"/>
      <c r="Z272" s="94"/>
      <c r="AA272" s="94"/>
      <c r="AB272" s="95"/>
      <c r="AC272" s="30">
        <f t="shared" si="4"/>
        <v>0.1111111111111111</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c r="U273" s="94"/>
      <c r="V273" s="94"/>
      <c r="W273" s="94"/>
      <c r="X273" s="94"/>
      <c r="Y273" s="107"/>
      <c r="Z273" s="94"/>
      <c r="AA273" s="94"/>
      <c r="AB273" s="95"/>
      <c r="AC273" s="30">
        <f t="shared" si="4"/>
        <v>0.1111111111111111</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c r="U274" s="94"/>
      <c r="V274" s="94"/>
      <c r="W274" s="94"/>
      <c r="X274" s="94"/>
      <c r="Y274" s="107"/>
      <c r="Z274" s="94"/>
      <c r="AA274" s="94"/>
      <c r="AB274" s="95"/>
      <c r="AC274" s="30">
        <f t="shared" si="4"/>
        <v>0.1111111111111111</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c r="U275" s="94"/>
      <c r="V275" s="94"/>
      <c r="W275" s="94"/>
      <c r="X275" s="94"/>
      <c r="Y275" s="107"/>
      <c r="Z275" s="94"/>
      <c r="AA275" s="94"/>
      <c r="AB275" s="95"/>
      <c r="AC275" s="30">
        <f t="shared" si="4"/>
        <v>0.1111111111111111</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c r="U276" s="94"/>
      <c r="V276" s="94"/>
      <c r="W276" s="94"/>
      <c r="X276" s="94"/>
      <c r="Y276" s="94"/>
      <c r="Z276" s="94"/>
      <c r="AA276" s="94"/>
      <c r="AB276" s="95"/>
      <c r="AC276" s="30">
        <f t="shared" si="4"/>
        <v>0.1111111111111111</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c r="U277" s="94"/>
      <c r="V277" s="94"/>
      <c r="W277" s="94"/>
      <c r="X277" s="94"/>
      <c r="Y277" s="94"/>
      <c r="Z277" s="94"/>
      <c r="AA277" s="94"/>
      <c r="AB277" s="95"/>
      <c r="AC277" s="30">
        <f t="shared" si="4"/>
        <v>0.1111111111111111</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c r="U278" s="94"/>
      <c r="V278" s="94"/>
      <c r="W278" s="94"/>
      <c r="X278" s="94"/>
      <c r="Y278" s="94"/>
      <c r="Z278" s="94"/>
      <c r="AA278" s="94"/>
      <c r="AB278" s="95"/>
      <c r="AC278" s="30">
        <f t="shared" si="4"/>
        <v>0.1111111111111111</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c r="U279" s="94"/>
      <c r="V279" s="94"/>
      <c r="W279" s="94"/>
      <c r="X279" s="94"/>
      <c r="Y279" s="94"/>
      <c r="Z279" s="94"/>
      <c r="AA279" s="94"/>
      <c r="AB279" s="95"/>
      <c r="AC279" s="30">
        <f t="shared" si="4"/>
        <v>0.1111111111111111</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c r="U280" s="94"/>
      <c r="V280" s="94"/>
      <c r="W280" s="94"/>
      <c r="X280" s="94"/>
      <c r="Y280" s="94"/>
      <c r="Z280" s="94"/>
      <c r="AA280" s="94"/>
      <c r="AB280" s="95"/>
      <c r="AC280" s="30">
        <f t="shared" si="4"/>
        <v>0.1111111111111111</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c r="U281" s="94"/>
      <c r="V281" s="94"/>
      <c r="W281" s="94"/>
      <c r="X281" s="94"/>
      <c r="Y281" s="94"/>
      <c r="Z281" s="94"/>
      <c r="AA281" s="94"/>
      <c r="AB281" s="95"/>
      <c r="AC281" s="30">
        <f t="shared" si="4"/>
        <v>0.1111111111111111</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c r="U282" s="94"/>
      <c r="V282" s="94"/>
      <c r="W282" s="94"/>
      <c r="X282" s="94"/>
      <c r="Y282" s="94"/>
      <c r="Z282" s="94"/>
      <c r="AA282" s="94"/>
      <c r="AB282" s="95"/>
      <c r="AC282" s="30">
        <f t="shared" si="4"/>
        <v>0.1111111111111111</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c r="U283" s="94"/>
      <c r="V283" s="94"/>
      <c r="W283" s="94"/>
      <c r="X283" s="94"/>
      <c r="Y283" s="94"/>
      <c r="Z283" s="94"/>
      <c r="AA283" s="94"/>
      <c r="AB283" s="95"/>
      <c r="AC283" s="30">
        <f t="shared" si="4"/>
        <v>0.1111111111111111</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c r="U284" s="94"/>
      <c r="V284" s="94"/>
      <c r="W284" s="94"/>
      <c r="X284" s="94"/>
      <c r="Y284" s="94"/>
      <c r="Z284" s="94"/>
      <c r="AA284" s="94"/>
      <c r="AB284" s="95"/>
      <c r="AC284" s="30">
        <f t="shared" si="4"/>
        <v>0.1111111111111111</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c r="U285" s="94"/>
      <c r="V285" s="94"/>
      <c r="W285" s="94"/>
      <c r="X285" s="94"/>
      <c r="Y285" s="94"/>
      <c r="Z285" s="94"/>
      <c r="AA285" s="94"/>
      <c r="AB285" s="95"/>
      <c r="AC285" s="30">
        <f t="shared" si="4"/>
        <v>0.1111111111111111</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c r="U286" s="94"/>
      <c r="V286" s="94"/>
      <c r="W286" s="94"/>
      <c r="X286" s="94"/>
      <c r="Y286" s="94"/>
      <c r="Z286" s="94"/>
      <c r="AA286" s="94"/>
      <c r="AB286" s="95"/>
      <c r="AC286" s="30">
        <f t="shared" si="4"/>
        <v>0.1111111111111111</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c r="U287" s="94"/>
      <c r="V287" s="94"/>
      <c r="W287" s="94"/>
      <c r="X287" s="94"/>
      <c r="Y287" s="94"/>
      <c r="Z287" s="94"/>
      <c r="AA287" s="94"/>
      <c r="AB287" s="95"/>
      <c r="AC287" s="30">
        <f t="shared" si="4"/>
        <v>0.1111111111111111</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c r="U288" s="94"/>
      <c r="V288" s="94"/>
      <c r="W288" s="94"/>
      <c r="X288" s="94"/>
      <c r="Y288" s="94"/>
      <c r="Z288" s="94"/>
      <c r="AA288" s="94"/>
      <c r="AB288" s="95"/>
      <c r="AC288" s="30">
        <f t="shared" si="4"/>
        <v>0.1111111111111111</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c r="U289" s="94"/>
      <c r="V289" s="94"/>
      <c r="W289" s="94"/>
      <c r="X289" s="94"/>
      <c r="Y289" s="94"/>
      <c r="Z289" s="94"/>
      <c r="AA289" s="94"/>
      <c r="AB289" s="95"/>
      <c r="AC289" s="30">
        <f t="shared" si="4"/>
        <v>0.1111111111111111</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c r="U290" s="94"/>
      <c r="V290" s="94"/>
      <c r="W290" s="94"/>
      <c r="X290" s="94"/>
      <c r="Y290" s="94"/>
      <c r="Z290" s="94"/>
      <c r="AA290" s="94"/>
      <c r="AB290" s="95"/>
      <c r="AC290" s="30">
        <f t="shared" si="4"/>
        <v>0.1111111111111111</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c r="O291" s="50"/>
      <c r="P291" s="51"/>
      <c r="Q291" s="53">
        <v>210193421</v>
      </c>
      <c r="R291" s="53">
        <v>-895819034</v>
      </c>
      <c r="S291" s="94" t="s">
        <v>34</v>
      </c>
      <c r="T291" s="94"/>
      <c r="U291" s="94"/>
      <c r="V291" s="94"/>
      <c r="W291" s="94"/>
      <c r="X291" s="94"/>
      <c r="Y291" s="94"/>
      <c r="Z291" s="94"/>
      <c r="AA291" s="94"/>
      <c r="AB291" s="95"/>
      <c r="AC291" s="30">
        <f t="shared" si="4"/>
        <v>0.1111111111111111</v>
      </c>
    </row>
    <row r="292" spans="1:29" x14ac:dyDescent="0.3">
      <c r="A292" s="38" t="s">
        <v>906</v>
      </c>
      <c r="B292" s="64" t="s">
        <v>25</v>
      </c>
      <c r="C292" s="38" t="s">
        <v>1776</v>
      </c>
      <c r="D292" s="33" t="s">
        <v>1775</v>
      </c>
      <c r="E292" s="38" t="s">
        <v>625</v>
      </c>
      <c r="F292" s="38" t="s">
        <v>907</v>
      </c>
      <c r="G292" s="38" t="s">
        <v>111</v>
      </c>
      <c r="H292" s="64">
        <v>1</v>
      </c>
      <c r="I292" s="38" t="s">
        <v>112</v>
      </c>
      <c r="J292" s="38" t="s">
        <v>31</v>
      </c>
      <c r="K292" s="38" t="s">
        <v>32</v>
      </c>
      <c r="L292" s="38" t="s">
        <v>1755</v>
      </c>
      <c r="M292" s="38" t="s">
        <v>33</v>
      </c>
      <c r="N292" s="64">
        <v>23</v>
      </c>
      <c r="O292" s="64">
        <v>7</v>
      </c>
      <c r="P292" s="64">
        <v>218</v>
      </c>
      <c r="Q292" s="96">
        <v>19.424221800000002</v>
      </c>
      <c r="R292" s="96">
        <v>-99.117046400000007</v>
      </c>
      <c r="S292" s="94" t="s">
        <v>34</v>
      </c>
      <c r="T292" s="94"/>
      <c r="U292" s="94"/>
      <c r="V292" s="94"/>
      <c r="W292" s="94"/>
      <c r="X292" s="94"/>
      <c r="Y292" s="94"/>
      <c r="Z292" s="94"/>
      <c r="AA292" s="94"/>
      <c r="AB292" s="95" t="s">
        <v>1830</v>
      </c>
      <c r="AC292" s="30">
        <f t="shared" si="4"/>
        <v>0.1111111111111111</v>
      </c>
    </row>
    <row r="293" spans="1:29" x14ac:dyDescent="0.3">
      <c r="A293" s="34" t="s">
        <v>920</v>
      </c>
      <c r="B293" s="37" t="s">
        <v>25</v>
      </c>
      <c r="C293" s="34" t="s">
        <v>1776</v>
      </c>
      <c r="D293" s="33" t="s">
        <v>1775</v>
      </c>
      <c r="E293" s="34" t="s">
        <v>921</v>
      </c>
      <c r="F293" s="38" t="s">
        <v>922</v>
      </c>
      <c r="G293" s="34" t="s">
        <v>111</v>
      </c>
      <c r="H293" s="37">
        <v>1</v>
      </c>
      <c r="I293" s="34" t="s">
        <v>112</v>
      </c>
      <c r="J293" s="34" t="s">
        <v>31</v>
      </c>
      <c r="K293" s="34" t="s">
        <v>32</v>
      </c>
      <c r="L293" s="34" t="s">
        <v>1755</v>
      </c>
      <c r="M293" s="34" t="s">
        <v>33</v>
      </c>
      <c r="N293" s="49">
        <v>25</v>
      </c>
      <c r="O293" s="50">
        <v>8</v>
      </c>
      <c r="P293" s="51">
        <v>184</v>
      </c>
      <c r="Q293" s="52">
        <v>19.480621599999999</v>
      </c>
      <c r="R293" s="52">
        <v>-99.103144700000001</v>
      </c>
      <c r="S293" s="94" t="s">
        <v>34</v>
      </c>
      <c r="T293" s="94"/>
      <c r="U293" s="94"/>
      <c r="V293" s="94"/>
      <c r="W293" s="94"/>
      <c r="X293" s="94"/>
      <c r="Y293" s="94"/>
      <c r="Z293" s="94"/>
      <c r="AA293" s="94"/>
      <c r="AB293" s="95" t="s">
        <v>1831</v>
      </c>
      <c r="AC293" s="30">
        <f t="shared" si="4"/>
        <v>0.1111111111111111</v>
      </c>
    </row>
    <row r="294" spans="1:29" x14ac:dyDescent="0.3">
      <c r="A294" s="34" t="s">
        <v>942</v>
      </c>
      <c r="B294" s="37" t="s">
        <v>25</v>
      </c>
      <c r="C294" s="34" t="s">
        <v>1776</v>
      </c>
      <c r="D294" s="33" t="s">
        <v>1775</v>
      </c>
      <c r="E294" s="34" t="s">
        <v>625</v>
      </c>
      <c r="F294" s="38" t="s">
        <v>943</v>
      </c>
      <c r="G294" s="34" t="s">
        <v>164</v>
      </c>
      <c r="H294" s="37">
        <v>2</v>
      </c>
      <c r="I294" s="34" t="s">
        <v>155</v>
      </c>
      <c r="J294" s="34" t="s">
        <v>31</v>
      </c>
      <c r="K294" s="34" t="s">
        <v>32</v>
      </c>
      <c r="L294" s="34" t="s">
        <v>1756</v>
      </c>
      <c r="M294" s="34" t="s">
        <v>33</v>
      </c>
      <c r="N294" s="49">
        <v>21</v>
      </c>
      <c r="O294" s="50">
        <v>5</v>
      </c>
      <c r="P294" s="51">
        <v>99</v>
      </c>
      <c r="Q294" s="52">
        <v>19.480653799999999</v>
      </c>
      <c r="R294" s="52">
        <v>-99.124137099999999</v>
      </c>
      <c r="S294" s="94" t="s">
        <v>34</v>
      </c>
      <c r="T294" s="94"/>
      <c r="U294" s="94"/>
      <c r="V294" s="94"/>
      <c r="W294" s="94"/>
      <c r="X294" s="94"/>
      <c r="Y294" s="94"/>
      <c r="Z294" s="94"/>
      <c r="AA294" s="94"/>
      <c r="AB294" s="95" t="s">
        <v>1827</v>
      </c>
      <c r="AC294" s="30">
        <f t="shared" si="4"/>
        <v>0.1111111111111111</v>
      </c>
    </row>
    <row r="295" spans="1:29" x14ac:dyDescent="0.3">
      <c r="A295" s="38" t="s">
        <v>925</v>
      </c>
      <c r="B295" s="64" t="s">
        <v>25</v>
      </c>
      <c r="C295" s="38" t="s">
        <v>1776</v>
      </c>
      <c r="D295" s="33" t="s">
        <v>1775</v>
      </c>
      <c r="E295" s="38" t="s">
        <v>926</v>
      </c>
      <c r="F295" s="38" t="s">
        <v>927</v>
      </c>
      <c r="G295" s="38" t="s">
        <v>111</v>
      </c>
      <c r="H295" s="64">
        <v>1</v>
      </c>
      <c r="I295" s="38" t="s">
        <v>112</v>
      </c>
      <c r="J295" s="38" t="s">
        <v>31</v>
      </c>
      <c r="K295" s="38" t="s">
        <v>32</v>
      </c>
      <c r="L295" s="38" t="s">
        <v>1755</v>
      </c>
      <c r="M295" s="38" t="s">
        <v>33</v>
      </c>
      <c r="N295" s="64">
        <v>27</v>
      </c>
      <c r="O295" s="64">
        <v>9</v>
      </c>
      <c r="P295" s="64">
        <v>173</v>
      </c>
      <c r="Q295" s="96">
        <v>19.45112</v>
      </c>
      <c r="R295" s="96">
        <v>-99.169314999999997</v>
      </c>
      <c r="S295" s="94" t="s">
        <v>34</v>
      </c>
      <c r="T295" s="94"/>
      <c r="U295" s="94"/>
      <c r="V295" s="94"/>
      <c r="W295" s="94"/>
      <c r="X295" s="94"/>
      <c r="Y295" s="94"/>
      <c r="Z295" s="94"/>
      <c r="AA295" s="94"/>
      <c r="AB295" s="95"/>
      <c r="AC295" s="30">
        <f t="shared" si="4"/>
        <v>0.1111111111111111</v>
      </c>
    </row>
    <row r="296" spans="1:29" x14ac:dyDescent="0.3">
      <c r="A296" s="38" t="s">
        <v>938</v>
      </c>
      <c r="B296" s="64" t="s">
        <v>25</v>
      </c>
      <c r="C296" s="38" t="s">
        <v>1776</v>
      </c>
      <c r="D296" s="33" t="s">
        <v>1775</v>
      </c>
      <c r="E296" s="38" t="s">
        <v>939</v>
      </c>
      <c r="F296" s="38" t="s">
        <v>940</v>
      </c>
      <c r="G296" s="38" t="s">
        <v>941</v>
      </c>
      <c r="H296" s="64">
        <v>2</v>
      </c>
      <c r="I296" s="38" t="s">
        <v>155</v>
      </c>
      <c r="J296" s="38" t="s">
        <v>31</v>
      </c>
      <c r="K296" s="38" t="s">
        <v>32</v>
      </c>
      <c r="L296" s="38" t="s">
        <v>1756</v>
      </c>
      <c r="M296" s="38" t="s">
        <v>33</v>
      </c>
      <c r="N296" s="64">
        <v>22</v>
      </c>
      <c r="O296" s="64">
        <v>2</v>
      </c>
      <c r="P296" s="64">
        <v>105</v>
      </c>
      <c r="Q296" s="96">
        <v>19.459708500000001</v>
      </c>
      <c r="R296" s="96">
        <v>-99.141313400000001</v>
      </c>
      <c r="S296" s="94" t="s">
        <v>34</v>
      </c>
      <c r="T296" s="94"/>
      <c r="U296" s="94"/>
      <c r="V296" s="94"/>
      <c r="W296" s="94"/>
      <c r="X296" s="94"/>
      <c r="Y296" s="94"/>
      <c r="Z296" s="94"/>
      <c r="AA296" s="94"/>
      <c r="AB296" s="95"/>
      <c r="AC296" s="30">
        <f t="shared" si="4"/>
        <v>0.1111111111111111</v>
      </c>
    </row>
    <row r="297" spans="1:29" x14ac:dyDescent="0.3">
      <c r="A297" s="38" t="s">
        <v>944</v>
      </c>
      <c r="B297" s="64" t="s">
        <v>25</v>
      </c>
      <c r="C297" s="38" t="s">
        <v>1776</v>
      </c>
      <c r="D297" s="33" t="s">
        <v>1775</v>
      </c>
      <c r="E297" s="38" t="s">
        <v>926</v>
      </c>
      <c r="F297" s="38" t="s">
        <v>945</v>
      </c>
      <c r="G297" s="38" t="s">
        <v>941</v>
      </c>
      <c r="H297" s="64">
        <v>2</v>
      </c>
      <c r="I297" s="38" t="s">
        <v>155</v>
      </c>
      <c r="J297" s="38" t="s">
        <v>31</v>
      </c>
      <c r="K297" s="38" t="s">
        <v>32</v>
      </c>
      <c r="L297" s="38" t="s">
        <v>1756</v>
      </c>
      <c r="M297" s="38" t="s">
        <v>33</v>
      </c>
      <c r="N297" s="64">
        <v>21</v>
      </c>
      <c r="O297" s="64">
        <v>3</v>
      </c>
      <c r="P297" s="64">
        <v>99</v>
      </c>
      <c r="Q297" s="96">
        <v>19.402548299999999</v>
      </c>
      <c r="R297" s="96">
        <v>-99.190810900000002</v>
      </c>
      <c r="S297" s="94" t="s">
        <v>34</v>
      </c>
      <c r="T297" s="94"/>
      <c r="U297" s="94"/>
      <c r="V297" s="94"/>
      <c r="W297" s="94"/>
      <c r="X297" s="94"/>
      <c r="Y297" s="94"/>
      <c r="Z297" s="94"/>
      <c r="AA297" s="94"/>
      <c r="AB297" s="95"/>
      <c r="AC297" s="30">
        <f t="shared" si="4"/>
        <v>0.1111111111111111</v>
      </c>
    </row>
    <row r="298" spans="1:29" x14ac:dyDescent="0.3">
      <c r="A298" s="38" t="s">
        <v>1615</v>
      </c>
      <c r="B298" s="64" t="s">
        <v>25</v>
      </c>
      <c r="C298" s="38" t="s">
        <v>1776</v>
      </c>
      <c r="D298" s="33" t="s">
        <v>1775</v>
      </c>
      <c r="E298" s="38" t="s">
        <v>926</v>
      </c>
      <c r="F298" s="38" t="s">
        <v>1616</v>
      </c>
      <c r="G298" s="38" t="s">
        <v>941</v>
      </c>
      <c r="H298" s="64">
        <v>2</v>
      </c>
      <c r="I298" s="38" t="s">
        <v>155</v>
      </c>
      <c r="J298" s="38" t="s">
        <v>31</v>
      </c>
      <c r="K298" s="38" t="s">
        <v>32</v>
      </c>
      <c r="L298" s="38" t="s">
        <v>1756</v>
      </c>
      <c r="M298" s="38" t="s">
        <v>33</v>
      </c>
      <c r="N298" s="64">
        <v>27</v>
      </c>
      <c r="O298" s="64">
        <v>2</v>
      </c>
      <c r="P298" s="64">
        <v>82</v>
      </c>
      <c r="Q298" s="96">
        <v>19.4507251</v>
      </c>
      <c r="R298" s="96">
        <v>-99.202854099999996</v>
      </c>
      <c r="S298" s="94" t="s">
        <v>34</v>
      </c>
      <c r="T298" s="94"/>
      <c r="U298" s="94"/>
      <c r="V298" s="94"/>
      <c r="W298" s="94"/>
      <c r="X298" s="94"/>
      <c r="Y298" s="94"/>
      <c r="Z298" s="94"/>
      <c r="AA298" s="94"/>
      <c r="AB298" s="95"/>
      <c r="AC298" s="30">
        <f t="shared" si="4"/>
        <v>0.1111111111111111</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c r="U299" s="94"/>
      <c r="V299" s="94"/>
      <c r="W299" s="94"/>
      <c r="X299" s="94"/>
      <c r="Y299" s="94"/>
      <c r="Z299" s="94"/>
      <c r="AA299" s="94"/>
      <c r="AB299" s="95"/>
      <c r="AC299" s="30">
        <f t="shared" si="4"/>
        <v>0.1111111111111111</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c r="U300" s="94"/>
      <c r="V300" s="94"/>
      <c r="W300" s="94"/>
      <c r="X300" s="94"/>
      <c r="Y300" s="94"/>
      <c r="Z300" s="94"/>
      <c r="AA300" s="94"/>
      <c r="AB300" s="95"/>
      <c r="AC300" s="30">
        <f t="shared" si="4"/>
        <v>0.1111111111111111</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c r="U301" s="94"/>
      <c r="V301" s="94"/>
      <c r="W301" s="94"/>
      <c r="X301" s="94"/>
      <c r="Y301" s="94"/>
      <c r="Z301" s="94"/>
      <c r="AA301" s="94"/>
      <c r="AB301" s="95"/>
      <c r="AC301" s="30">
        <f t="shared" si="4"/>
        <v>0.1111111111111111</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c r="U302" s="94"/>
      <c r="V302" s="94"/>
      <c r="W302" s="94"/>
      <c r="X302" s="94"/>
      <c r="Y302" s="94"/>
      <c r="Z302" s="94"/>
      <c r="AA302" s="94"/>
      <c r="AB302" s="95"/>
      <c r="AC302" s="30">
        <f t="shared" si="4"/>
        <v>0.1111111111111111</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c r="U303" s="94"/>
      <c r="V303" s="94"/>
      <c r="W303" s="94"/>
      <c r="X303" s="94"/>
      <c r="Y303" s="94"/>
      <c r="Z303" s="94"/>
      <c r="AA303" s="94"/>
      <c r="AB303" s="95"/>
      <c r="AC303" s="30">
        <f t="shared" si="4"/>
        <v>0.1111111111111111</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c r="U304" s="94"/>
      <c r="V304" s="94"/>
      <c r="W304" s="94"/>
      <c r="X304" s="94"/>
      <c r="Y304" s="94"/>
      <c r="Z304" s="94"/>
      <c r="AA304" s="94"/>
      <c r="AB304" s="95"/>
      <c r="AC304" s="30">
        <f t="shared" si="4"/>
        <v>0.1111111111111111</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c r="U305" s="94" t="s">
        <v>213</v>
      </c>
      <c r="V305" s="94" t="s">
        <v>213</v>
      </c>
      <c r="W305" s="94"/>
      <c r="X305" s="94"/>
      <c r="Y305" s="94"/>
      <c r="Z305" s="94"/>
      <c r="AA305" s="94"/>
      <c r="AB305" s="95"/>
      <c r="AC305" s="30">
        <f t="shared" si="4"/>
        <v>0.25925925925925924</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c r="U306" s="94" t="s">
        <v>213</v>
      </c>
      <c r="V306" s="94" t="s">
        <v>213</v>
      </c>
      <c r="W306" s="94"/>
      <c r="X306" s="94"/>
      <c r="Y306" s="94"/>
      <c r="Z306" s="94"/>
      <c r="AA306" s="94"/>
      <c r="AB306" s="95"/>
      <c r="AC306" s="30">
        <f t="shared" si="4"/>
        <v>0.25925925925925924</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4" t="s">
        <v>34</v>
      </c>
      <c r="T307" s="94"/>
      <c r="U307" s="94" t="s">
        <v>213</v>
      </c>
      <c r="V307" s="94" t="s">
        <v>213</v>
      </c>
      <c r="W307" s="94"/>
      <c r="X307" s="94"/>
      <c r="Y307" s="94"/>
      <c r="Z307" s="94"/>
      <c r="AA307" s="94"/>
      <c r="AB307" s="95"/>
      <c r="AC307" s="30">
        <f t="shared" si="4"/>
        <v>0.25925925925925924</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4" t="s">
        <v>34</v>
      </c>
      <c r="T308" s="94"/>
      <c r="U308" s="94" t="s">
        <v>213</v>
      </c>
      <c r="V308" s="94" t="s">
        <v>213</v>
      </c>
      <c r="W308" s="94"/>
      <c r="X308" s="94"/>
      <c r="Y308" s="94"/>
      <c r="Z308" s="94"/>
      <c r="AA308" s="94"/>
      <c r="AB308" s="95"/>
      <c r="AC308" s="30">
        <f t="shared" si="4"/>
        <v>0.25925925925925924</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c r="U309" s="94" t="s">
        <v>213</v>
      </c>
      <c r="V309" s="94" t="s">
        <v>213</v>
      </c>
      <c r="W309" s="94"/>
      <c r="X309" s="94" t="s">
        <v>175</v>
      </c>
      <c r="Y309" s="94"/>
      <c r="Z309" s="94"/>
      <c r="AA309" s="94"/>
      <c r="AB309" s="95"/>
      <c r="AC309" s="30">
        <f t="shared" si="4"/>
        <v>0.31481481481481477</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c r="U310" s="94" t="s">
        <v>213</v>
      </c>
      <c r="V310" s="94" t="s">
        <v>213</v>
      </c>
      <c r="W310" s="94"/>
      <c r="X310" s="94"/>
      <c r="Y310" s="94"/>
      <c r="Z310" s="94"/>
      <c r="AA310" s="94"/>
      <c r="AB310" s="95"/>
      <c r="AC310" s="30">
        <f t="shared" si="4"/>
        <v>0.25925925925925924</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c r="U311" s="94" t="s">
        <v>213</v>
      </c>
      <c r="V311" s="94" t="s">
        <v>213</v>
      </c>
      <c r="W311" s="94"/>
      <c r="X311" s="94"/>
      <c r="Y311" s="94"/>
      <c r="Z311" s="94"/>
      <c r="AA311" s="94"/>
      <c r="AB311" s="95"/>
      <c r="AC311" s="30">
        <f t="shared" si="4"/>
        <v>0.25925925925925924</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c r="U312" s="94" t="s">
        <v>213</v>
      </c>
      <c r="V312" s="94" t="s">
        <v>213</v>
      </c>
      <c r="W312" s="94"/>
      <c r="X312" s="94"/>
      <c r="Y312" s="94"/>
      <c r="Z312" s="94"/>
      <c r="AA312" s="94"/>
      <c r="AB312" s="95"/>
      <c r="AC312" s="30">
        <f t="shared" si="4"/>
        <v>0.25925925925925924</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c r="U313" s="94" t="s">
        <v>213</v>
      </c>
      <c r="V313" s="94" t="s">
        <v>213</v>
      </c>
      <c r="W313" s="94"/>
      <c r="X313" s="94"/>
      <c r="Y313" s="94"/>
      <c r="Z313" s="94"/>
      <c r="AA313" s="94"/>
      <c r="AB313" s="95"/>
      <c r="AC313" s="30">
        <f t="shared" si="4"/>
        <v>0.25925925925925924</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34</v>
      </c>
      <c r="T314" s="94"/>
      <c r="U314" s="94" t="s">
        <v>213</v>
      </c>
      <c r="V314" s="94" t="s">
        <v>213</v>
      </c>
      <c r="W314" s="94"/>
      <c r="X314" s="94"/>
      <c r="Y314" s="94"/>
      <c r="Z314" s="94"/>
      <c r="AA314" s="94"/>
      <c r="AB314" s="95"/>
      <c r="AC314" s="30">
        <f t="shared" si="4"/>
        <v>0.25925925925925924</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34</v>
      </c>
      <c r="T315" s="94"/>
      <c r="U315" s="94" t="s">
        <v>213</v>
      </c>
      <c r="V315" s="94" t="s">
        <v>213</v>
      </c>
      <c r="W315" s="94"/>
      <c r="X315" s="94"/>
      <c r="Y315" s="94"/>
      <c r="Z315" s="94"/>
      <c r="AA315" s="94"/>
      <c r="AB315" s="95"/>
      <c r="AC315" s="30">
        <f t="shared" si="4"/>
        <v>0.25925925925925924</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34</v>
      </c>
      <c r="T316" s="94"/>
      <c r="U316" s="94" t="s">
        <v>213</v>
      </c>
      <c r="V316" s="94" t="s">
        <v>213</v>
      </c>
      <c r="W316" s="94"/>
      <c r="X316" s="94"/>
      <c r="Y316" s="94"/>
      <c r="Z316" s="94"/>
      <c r="AA316" s="94"/>
      <c r="AB316" s="95"/>
      <c r="AC316" s="30">
        <f t="shared" si="4"/>
        <v>0.25925925925925924</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34</v>
      </c>
      <c r="T317" s="94"/>
      <c r="U317" s="94" t="s">
        <v>213</v>
      </c>
      <c r="V317" s="94" t="s">
        <v>213</v>
      </c>
      <c r="W317" s="94"/>
      <c r="X317" s="94"/>
      <c r="Y317" s="94"/>
      <c r="Z317" s="94"/>
      <c r="AA317" s="94"/>
      <c r="AB317" s="95"/>
      <c r="AC317" s="30">
        <f t="shared" si="4"/>
        <v>0.25925925925925924</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34</v>
      </c>
      <c r="T318" s="94"/>
      <c r="U318" s="94"/>
      <c r="V318" s="94"/>
      <c r="W318" s="94"/>
      <c r="X318" s="94"/>
      <c r="Y318" s="94"/>
      <c r="Z318" s="94"/>
      <c r="AA318" s="94"/>
      <c r="AB318" s="95"/>
      <c r="AC318" s="30">
        <f t="shared" si="4"/>
        <v>0.1111111111111111</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34</v>
      </c>
      <c r="T319" s="94"/>
      <c r="U319" s="94"/>
      <c r="V319" s="94"/>
      <c r="W319" s="94"/>
      <c r="X319" s="94"/>
      <c r="Y319" s="94"/>
      <c r="Z319" s="94"/>
      <c r="AA319" s="94"/>
      <c r="AB319" s="95"/>
      <c r="AC319" s="30">
        <f t="shared" si="4"/>
        <v>0.1111111111111111</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34</v>
      </c>
      <c r="T320" s="94"/>
      <c r="U320" s="94"/>
      <c r="V320" s="94"/>
      <c r="W320" s="94"/>
      <c r="X320" s="94"/>
      <c r="Y320" s="94"/>
      <c r="Z320" s="94"/>
      <c r="AA320" s="94"/>
      <c r="AB320" s="95"/>
      <c r="AC320" s="30">
        <f t="shared" si="4"/>
        <v>0.1111111111111111</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34</v>
      </c>
      <c r="T321" s="94"/>
      <c r="U321" s="94"/>
      <c r="V321" s="94"/>
      <c r="W321" s="94"/>
      <c r="X321" s="94"/>
      <c r="Y321" s="94"/>
      <c r="Z321" s="94"/>
      <c r="AA321" s="94"/>
      <c r="AB321" s="95"/>
      <c r="AC321" s="30">
        <f t="shared" si="4"/>
        <v>0.1111111111111111</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34</v>
      </c>
      <c r="T322" s="94"/>
      <c r="U322" s="94"/>
      <c r="V322" s="94"/>
      <c r="W322" s="94"/>
      <c r="X322" s="94"/>
      <c r="Y322" s="94"/>
      <c r="Z322" s="94"/>
      <c r="AA322" s="94"/>
      <c r="AB322" s="95"/>
      <c r="AC322" s="30">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0.1111111111111111</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34</v>
      </c>
      <c r="T323" s="94"/>
      <c r="U323" s="94"/>
      <c r="V323" s="94"/>
      <c r="W323" s="94"/>
      <c r="X323" s="94"/>
      <c r="Y323" s="94"/>
      <c r="Z323" s="94"/>
      <c r="AA323" s="94"/>
      <c r="AB323" s="95"/>
      <c r="AC323" s="30">
        <f t="shared" si="5"/>
        <v>0.1111111111111111</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34</v>
      </c>
      <c r="T324" s="94"/>
      <c r="U324" s="94"/>
      <c r="V324" s="94"/>
      <c r="W324" s="94"/>
      <c r="X324" s="94"/>
      <c r="Y324" s="94"/>
      <c r="Z324" s="94"/>
      <c r="AA324" s="94"/>
      <c r="AB324" s="95"/>
      <c r="AC324" s="30">
        <f t="shared" si="5"/>
        <v>0.1111111111111111</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34</v>
      </c>
      <c r="T325" s="94"/>
      <c r="U325" s="94"/>
      <c r="V325" s="94"/>
      <c r="W325" s="94"/>
      <c r="X325" s="94"/>
      <c r="Y325" s="94"/>
      <c r="Z325" s="94"/>
      <c r="AA325" s="94"/>
      <c r="AB325" s="95"/>
      <c r="AC325" s="30">
        <f t="shared" si="5"/>
        <v>0.1111111111111111</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34</v>
      </c>
      <c r="T326" s="94"/>
      <c r="U326" s="94"/>
      <c r="V326" s="94"/>
      <c r="W326" s="94"/>
      <c r="X326" s="94"/>
      <c r="Y326" s="94"/>
      <c r="Z326" s="94"/>
      <c r="AA326" s="94"/>
      <c r="AB326" s="95"/>
      <c r="AC326" s="30">
        <f t="shared" si="5"/>
        <v>0.1111111111111111</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34</v>
      </c>
      <c r="T327" s="94"/>
      <c r="U327" s="94"/>
      <c r="V327" s="94"/>
      <c r="W327" s="94"/>
      <c r="X327" s="94"/>
      <c r="Y327" s="94"/>
      <c r="Z327" s="94"/>
      <c r="AA327" s="94"/>
      <c r="AB327" s="95"/>
      <c r="AC327" s="30">
        <f t="shared" si="5"/>
        <v>0.1111111111111111</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c r="U328" s="94"/>
      <c r="V328" s="94"/>
      <c r="W328" s="94"/>
      <c r="X328" s="94"/>
      <c r="Y328" s="94"/>
      <c r="Z328" s="94"/>
      <c r="AA328" s="94"/>
      <c r="AB328" s="95"/>
      <c r="AC328" s="30">
        <f t="shared" si="5"/>
        <v>0.1111111111111111</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c r="U329" s="94"/>
      <c r="V329" s="94"/>
      <c r="W329" s="94"/>
      <c r="X329" s="94"/>
      <c r="Y329" s="94"/>
      <c r="Z329" s="94"/>
      <c r="AA329" s="94"/>
      <c r="AB329" s="95"/>
      <c r="AC329" s="30">
        <f t="shared" si="5"/>
        <v>0.1111111111111111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c r="U330" s="94"/>
      <c r="V330" s="94"/>
      <c r="W330" s="94"/>
      <c r="X330" s="94"/>
      <c r="Y330" s="94"/>
      <c r="Z330" s="94"/>
      <c r="AA330" s="94"/>
      <c r="AB330" s="95"/>
      <c r="AC330" s="30">
        <f t="shared" si="5"/>
        <v>0.1111111111111111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c r="U331" s="94"/>
      <c r="V331" s="94"/>
      <c r="W331" s="94"/>
      <c r="X331" s="94"/>
      <c r="Y331" s="94"/>
      <c r="Z331" s="94"/>
      <c r="AA331" s="94"/>
      <c r="AB331" s="95"/>
      <c r="AC331" s="30">
        <f t="shared" si="5"/>
        <v>0.1111111111111111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c r="U332" s="94"/>
      <c r="V332" s="94"/>
      <c r="W332" s="94"/>
      <c r="X332" s="94"/>
      <c r="Y332" s="94"/>
      <c r="Z332" s="94"/>
      <c r="AA332" s="94"/>
      <c r="AB332" s="95"/>
      <c r="AC332" s="30">
        <f t="shared" si="5"/>
        <v>0.1111111111111111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c r="U333" s="94"/>
      <c r="V333" s="94"/>
      <c r="W333" s="94"/>
      <c r="X333" s="94"/>
      <c r="Y333" s="94"/>
      <c r="Z333" s="94"/>
      <c r="AA333" s="94"/>
      <c r="AB333" s="95"/>
      <c r="AC333" s="30">
        <f t="shared" si="5"/>
        <v>0.1111111111111111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c r="U334" s="94"/>
      <c r="V334" s="94"/>
      <c r="W334" s="94"/>
      <c r="X334" s="94"/>
      <c r="Y334" s="94"/>
      <c r="Z334" s="94"/>
      <c r="AA334" s="94"/>
      <c r="AB334" s="95"/>
      <c r="AC334" s="30">
        <f t="shared" si="5"/>
        <v>0.1111111111111111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c r="U335" s="94"/>
      <c r="V335" s="94"/>
      <c r="W335" s="94"/>
      <c r="X335" s="94"/>
      <c r="Y335" s="94"/>
      <c r="Z335" s="94"/>
      <c r="AA335" s="94"/>
      <c r="AB335" s="104"/>
      <c r="AC335" s="30">
        <f t="shared" si="5"/>
        <v>0.1111111111111111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c r="U336" s="94"/>
      <c r="V336" s="94"/>
      <c r="W336" s="94"/>
      <c r="X336" s="94"/>
      <c r="Y336" s="94"/>
      <c r="Z336" s="94"/>
      <c r="AA336" s="94"/>
      <c r="AB336" s="95"/>
      <c r="AC336" s="30">
        <f t="shared" si="5"/>
        <v>0.1111111111111111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18</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6</v>
      </c>
      <c r="O338" s="50">
        <v>2</v>
      </c>
      <c r="P338" s="51">
        <v>25</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8</v>
      </c>
      <c r="O339" s="50">
        <v>2</v>
      </c>
      <c r="P339" s="51">
        <v>19</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9</v>
      </c>
      <c r="O340" s="50">
        <v>2</v>
      </c>
      <c r="P340" s="51">
        <v>26</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16</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10</v>
      </c>
      <c r="O342" s="50">
        <v>2</v>
      </c>
      <c r="P342" s="51">
        <v>24</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8</v>
      </c>
      <c r="O343" s="50">
        <v>2</v>
      </c>
      <c r="P343" s="51">
        <v>22</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8</v>
      </c>
      <c r="O344" s="50">
        <v>2</v>
      </c>
      <c r="P344" s="51">
        <v>30</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7</v>
      </c>
      <c r="O345" s="50">
        <v>2</v>
      </c>
      <c r="P345" s="51">
        <v>16</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11</v>
      </c>
      <c r="O346" s="50">
        <v>2</v>
      </c>
      <c r="P346" s="51">
        <v>24</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9</v>
      </c>
      <c r="O347" s="50">
        <v>2</v>
      </c>
      <c r="P347" s="51">
        <v>25</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10</v>
      </c>
      <c r="O348" s="50">
        <v>2</v>
      </c>
      <c r="P348" s="51">
        <v>33</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7</v>
      </c>
      <c r="O349" s="50">
        <v>2</v>
      </c>
      <c r="P349" s="51">
        <v>28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6</v>
      </c>
      <c r="O350" s="50">
        <v>2</v>
      </c>
      <c r="P350" s="51">
        <v>31</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22</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11</v>
      </c>
      <c r="O352" s="50">
        <v>2</v>
      </c>
      <c r="P352" s="51">
        <v>38</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10</v>
      </c>
      <c r="O353" s="50">
        <v>2</v>
      </c>
      <c r="P353" s="51">
        <v>37</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6</v>
      </c>
      <c r="O354" s="50">
        <v>2</v>
      </c>
      <c r="P354" s="51">
        <v>14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13</v>
      </c>
      <c r="O355" s="50">
        <v>2</v>
      </c>
      <c r="P355" s="51">
        <v>36</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9</v>
      </c>
      <c r="O356" s="50">
        <v>2</v>
      </c>
      <c r="P356" s="51">
        <v>34</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10</v>
      </c>
      <c r="O357" s="50">
        <v>2</v>
      </c>
      <c r="P357" s="51">
        <v>47</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10</v>
      </c>
      <c r="O358" s="50">
        <v>2</v>
      </c>
      <c r="P358" s="51">
        <v>45</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c r="U366" s="94"/>
      <c r="V366" s="94"/>
      <c r="W366" s="94"/>
      <c r="X366" s="94"/>
      <c r="Y366" s="94"/>
      <c r="Z366" s="94"/>
      <c r="AA366" s="94"/>
      <c r="AB366" s="95"/>
      <c r="AC366" s="30">
        <f t="shared" si="5"/>
        <v>0.1111111111111111</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c r="U384" s="94"/>
      <c r="V384" s="94"/>
      <c r="W384" s="94"/>
      <c r="X384" s="94"/>
      <c r="Y384" s="94"/>
      <c r="Z384" s="94"/>
      <c r="AA384" s="94"/>
      <c r="AB384" s="95"/>
      <c r="AC384" s="30">
        <f t="shared" si="5"/>
        <v>0.1111111111111111</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c r="V385" s="94"/>
      <c r="W385" s="94"/>
      <c r="X385" s="94"/>
      <c r="Y385" s="94"/>
      <c r="Z385" s="94"/>
      <c r="AA385" s="94"/>
      <c r="AB385" s="95"/>
      <c r="AC385" s="30">
        <f t="shared" si="5"/>
        <v>0.1111111111111111</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c r="V386" s="94"/>
      <c r="W386" s="94"/>
      <c r="X386" s="94"/>
      <c r="Y386" s="94"/>
      <c r="Z386" s="94"/>
      <c r="AA386" s="94"/>
      <c r="AB386" s="95"/>
      <c r="AC386" s="30">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0.1111111111111111</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c r="V387" s="94"/>
      <c r="W387" s="94"/>
      <c r="X387" s="94"/>
      <c r="Y387" s="94"/>
      <c r="Z387" s="94"/>
      <c r="AA387" s="94"/>
      <c r="AB387" s="95"/>
      <c r="AC387" s="30">
        <f t="shared" si="6"/>
        <v>0.1111111111111111</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c r="V388" s="94"/>
      <c r="W388" s="94"/>
      <c r="X388" s="94"/>
      <c r="Y388" s="94"/>
      <c r="Z388" s="94"/>
      <c r="AA388" s="94"/>
      <c r="AB388" s="95"/>
      <c r="AC388" s="30">
        <f t="shared" si="6"/>
        <v>0.1111111111111111</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c r="V389" s="94"/>
      <c r="W389" s="94"/>
      <c r="X389" s="94"/>
      <c r="Y389" s="94"/>
      <c r="Z389" s="94"/>
      <c r="AA389" s="94"/>
      <c r="AB389" s="95"/>
      <c r="AC389" s="30">
        <f t="shared" si="6"/>
        <v>0.1111111111111111</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c r="V390" s="94"/>
      <c r="W390" s="94"/>
      <c r="X390" s="94"/>
      <c r="Y390" s="94"/>
      <c r="Z390" s="94"/>
      <c r="AA390" s="94"/>
      <c r="AB390" s="95"/>
      <c r="AC390" s="30">
        <f t="shared" si="6"/>
        <v>0.1111111111111111</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c r="V391" s="94"/>
      <c r="W391" s="94"/>
      <c r="X391" s="94"/>
      <c r="Y391" s="94"/>
      <c r="Z391" s="94"/>
      <c r="AA391" s="94"/>
      <c r="AB391" s="95"/>
      <c r="AC391" s="30">
        <f t="shared" si="6"/>
        <v>0.1111111111111111</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c r="V392" s="94"/>
      <c r="W392" s="94"/>
      <c r="X392" s="94"/>
      <c r="Y392" s="94"/>
      <c r="Z392" s="94"/>
      <c r="AA392" s="94"/>
      <c r="AB392" s="95"/>
      <c r="AC392" s="30">
        <f t="shared" si="6"/>
        <v>0.1111111111111111</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c r="V393" s="94"/>
      <c r="W393" s="94"/>
      <c r="X393" s="94"/>
      <c r="Y393" s="94"/>
      <c r="Z393" s="94"/>
      <c r="AA393" s="94"/>
      <c r="AB393" s="95"/>
      <c r="AC393" s="30">
        <f t="shared" si="6"/>
        <v>0.1111111111111111</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c r="V394" s="94"/>
      <c r="W394" s="94"/>
      <c r="X394" s="94"/>
      <c r="Y394" s="94"/>
      <c r="Z394" s="94"/>
      <c r="AA394" s="94"/>
      <c r="AB394" s="95"/>
      <c r="AC394" s="30">
        <f t="shared" si="6"/>
        <v>0.1111111111111111</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4" t="s">
        <v>34</v>
      </c>
      <c r="T408" s="94"/>
      <c r="U408" s="94"/>
      <c r="V408" s="94"/>
      <c r="W408" s="94"/>
      <c r="X408" s="94"/>
      <c r="Y408" s="94"/>
      <c r="Z408" s="94"/>
      <c r="AA408" s="94"/>
      <c r="AB408" s="95"/>
      <c r="AC408" s="30">
        <f t="shared" si="6"/>
        <v>0.1111111111111111</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34</v>
      </c>
      <c r="T427" s="94"/>
      <c r="U427" s="94"/>
      <c r="V427" s="94"/>
      <c r="W427" s="94"/>
      <c r="X427" s="94"/>
      <c r="Y427" s="94"/>
      <c r="Z427" s="94"/>
      <c r="AA427" s="94"/>
      <c r="AB427" s="95"/>
      <c r="AC427" s="30">
        <f t="shared" si="6"/>
        <v>0.1111111111111111</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34</v>
      </c>
      <c r="T428" s="94"/>
      <c r="U428" s="94"/>
      <c r="V428" s="94"/>
      <c r="W428" s="94"/>
      <c r="X428" s="94"/>
      <c r="Y428" s="94"/>
      <c r="Z428" s="94"/>
      <c r="AA428" s="94"/>
      <c r="AB428" s="95"/>
      <c r="AC428" s="30">
        <f t="shared" si="6"/>
        <v>0.1111111111111111</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34</v>
      </c>
      <c r="T429" s="94"/>
      <c r="U429" s="94"/>
      <c r="V429" s="94"/>
      <c r="W429" s="94"/>
      <c r="X429" s="94"/>
      <c r="Y429" s="94"/>
      <c r="Z429" s="94"/>
      <c r="AA429" s="94"/>
      <c r="AB429" s="95"/>
      <c r="AC429" s="30">
        <f t="shared" si="6"/>
        <v>0.1111111111111111</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34</v>
      </c>
      <c r="T430" s="94"/>
      <c r="U430" s="94"/>
      <c r="V430" s="94"/>
      <c r="W430" s="94"/>
      <c r="X430" s="94"/>
      <c r="Y430" s="94"/>
      <c r="Z430" s="94"/>
      <c r="AA430" s="94"/>
      <c r="AB430" s="95"/>
      <c r="AC430" s="30">
        <f t="shared" si="6"/>
        <v>0.1111111111111111</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34</v>
      </c>
      <c r="T431" s="94"/>
      <c r="U431" s="94"/>
      <c r="V431" s="94"/>
      <c r="W431" s="94"/>
      <c r="X431" s="94"/>
      <c r="Y431" s="94"/>
      <c r="Z431" s="94"/>
      <c r="AA431" s="94"/>
      <c r="AB431" s="95"/>
      <c r="AC431" s="30">
        <f t="shared" si="6"/>
        <v>0.1111111111111111</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34</v>
      </c>
      <c r="T432" s="94"/>
      <c r="U432" s="94"/>
      <c r="V432" s="94"/>
      <c r="W432" s="94"/>
      <c r="X432" s="94"/>
      <c r="Y432" s="94"/>
      <c r="Z432" s="94"/>
      <c r="AA432" s="94"/>
      <c r="AB432" s="95"/>
      <c r="AC432" s="30">
        <f t="shared" si="6"/>
        <v>0.1111111111111111</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c r="U445" s="94"/>
      <c r="V445" s="94"/>
      <c r="W445" s="94"/>
      <c r="X445" s="94"/>
      <c r="Y445" s="94"/>
      <c r="Z445" s="94"/>
      <c r="AA445" s="94"/>
      <c r="AB445" s="95"/>
      <c r="AC445" s="30">
        <f t="shared" si="6"/>
        <v>0.1111111111111111</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c r="U446" s="94"/>
      <c r="V446" s="94"/>
      <c r="W446" s="94"/>
      <c r="X446" s="94"/>
      <c r="Y446" s="94"/>
      <c r="Z446" s="94"/>
      <c r="AA446" s="94"/>
      <c r="AB446" s="95"/>
      <c r="AC446" s="30">
        <f t="shared" si="6"/>
        <v>0.1111111111111111</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c r="U447" s="94"/>
      <c r="V447" s="94"/>
      <c r="W447" s="94"/>
      <c r="X447" s="94"/>
      <c r="Y447" s="94"/>
      <c r="Z447" s="94"/>
      <c r="AA447" s="94"/>
      <c r="AB447" s="95"/>
      <c r="AC447" s="30">
        <f t="shared" si="6"/>
        <v>0.1111111111111111</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c r="U448" s="94"/>
      <c r="V448" s="94"/>
      <c r="W448" s="94"/>
      <c r="X448" s="94"/>
      <c r="Y448" s="94"/>
      <c r="Z448" s="94"/>
      <c r="AA448" s="94"/>
      <c r="AB448" s="95"/>
      <c r="AC448" s="30">
        <f t="shared" si="6"/>
        <v>0.1111111111111111</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c r="U449" s="94"/>
      <c r="V449" s="94"/>
      <c r="W449" s="94"/>
      <c r="X449" s="94"/>
      <c r="Y449" s="94"/>
      <c r="Z449" s="94"/>
      <c r="AA449" s="94"/>
      <c r="AB449" s="95"/>
      <c r="AC449" s="30">
        <f t="shared" si="6"/>
        <v>0.1111111111111111</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c r="U450" s="94"/>
      <c r="V450" s="94"/>
      <c r="W450" s="94"/>
      <c r="X450" s="94"/>
      <c r="Y450" s="94"/>
      <c r="Z450" s="94"/>
      <c r="AA450" s="94"/>
      <c r="AB450" s="95"/>
      <c r="AC450" s="30">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0.1111111111111111</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c r="U451" s="94"/>
      <c r="V451" s="94"/>
      <c r="W451" s="94"/>
      <c r="X451" s="94"/>
      <c r="Y451" s="94"/>
      <c r="Z451" s="94"/>
      <c r="AA451" s="94"/>
      <c r="AB451" s="95"/>
      <c r="AC451" s="30">
        <f t="shared" si="7"/>
        <v>0.1111111111111111</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c r="U452" s="94"/>
      <c r="V452" s="94"/>
      <c r="W452" s="94"/>
      <c r="X452" s="94"/>
      <c r="Y452" s="94"/>
      <c r="Z452" s="94"/>
      <c r="AA452" s="94"/>
      <c r="AB452" s="95"/>
      <c r="AC452" s="30">
        <f t="shared" si="7"/>
        <v>0.1111111111111111</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c r="U453" s="94"/>
      <c r="V453" s="94"/>
      <c r="W453" s="94"/>
      <c r="X453" s="94"/>
      <c r="Y453" s="94"/>
      <c r="Z453" s="94"/>
      <c r="AA453" s="94"/>
      <c r="AB453" s="95"/>
      <c r="AC453" s="30">
        <f t="shared" si="7"/>
        <v>0.1111111111111111</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c r="U454" s="94"/>
      <c r="V454" s="94"/>
      <c r="W454" s="94"/>
      <c r="X454" s="94"/>
      <c r="Y454" s="94"/>
      <c r="Z454" s="94"/>
      <c r="AA454" s="94"/>
      <c r="AB454" s="95"/>
      <c r="AC454" s="30">
        <f t="shared" si="7"/>
        <v>0.1111111111111111</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t="s">
        <v>213</v>
      </c>
      <c r="V464" s="94" t="s">
        <v>213</v>
      </c>
      <c r="W464" s="94"/>
      <c r="X464" s="94"/>
      <c r="Y464" s="94"/>
      <c r="Z464" s="94"/>
      <c r="AA464" s="94"/>
      <c r="AB464" s="95"/>
      <c r="AC464" s="30">
        <f t="shared" si="7"/>
        <v>0.25925925925925924</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t="s">
        <v>213</v>
      </c>
      <c r="V465" s="94" t="s">
        <v>213</v>
      </c>
      <c r="W465" s="94"/>
      <c r="X465" s="94"/>
      <c r="Y465" s="94"/>
      <c r="Z465" s="94"/>
      <c r="AA465" s="94"/>
      <c r="AB465" s="95"/>
      <c r="AC465" s="30">
        <f t="shared" si="7"/>
        <v>0.25925925925925924</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t="s">
        <v>213</v>
      </c>
      <c r="V466" s="94" t="s">
        <v>213</v>
      </c>
      <c r="W466" s="94"/>
      <c r="X466" s="94"/>
      <c r="Y466" s="94"/>
      <c r="Z466" s="94"/>
      <c r="AA466" s="94"/>
      <c r="AB466" s="95"/>
      <c r="AC466" s="30">
        <f t="shared" si="7"/>
        <v>0.25925925925925924</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t="s">
        <v>213</v>
      </c>
      <c r="V467" s="94" t="s">
        <v>213</v>
      </c>
      <c r="W467" s="94"/>
      <c r="X467" s="94"/>
      <c r="Y467" s="94"/>
      <c r="Z467" s="94"/>
      <c r="AA467" s="94"/>
      <c r="AB467" s="95"/>
      <c r="AC467" s="30">
        <f t="shared" si="7"/>
        <v>0.25925925925925924</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213</v>
      </c>
      <c r="V468" s="94" t="s">
        <v>213</v>
      </c>
      <c r="W468" s="94"/>
      <c r="X468" s="94"/>
      <c r="Y468" s="94"/>
      <c r="Z468" s="94"/>
      <c r="AA468" s="94"/>
      <c r="AB468" s="95"/>
      <c r="AC468" s="30">
        <f t="shared" si="7"/>
        <v>0.25925925925925924</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t="s">
        <v>213</v>
      </c>
      <c r="V469" s="94" t="s">
        <v>213</v>
      </c>
      <c r="W469" s="94"/>
      <c r="X469" s="94"/>
      <c r="Y469" s="94"/>
      <c r="Z469" s="94"/>
      <c r="AA469" s="94"/>
      <c r="AB469" s="95"/>
      <c r="AC469" s="30">
        <f t="shared" si="7"/>
        <v>0.25925925925925924</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t="s">
        <v>213</v>
      </c>
      <c r="V470" s="94" t="s">
        <v>213</v>
      </c>
      <c r="W470" s="94"/>
      <c r="X470" s="94"/>
      <c r="Y470" s="94"/>
      <c r="Z470" s="94"/>
      <c r="AA470" s="94"/>
      <c r="AB470" s="95"/>
      <c r="AC470" s="30">
        <f t="shared" si="7"/>
        <v>0.25925925925925924</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t="s">
        <v>213</v>
      </c>
      <c r="V471" s="94" t="s">
        <v>213</v>
      </c>
      <c r="W471" s="94"/>
      <c r="X471" s="94"/>
      <c r="Y471" s="94"/>
      <c r="Z471" s="94"/>
      <c r="AA471" s="94"/>
      <c r="AB471" s="95"/>
      <c r="AC471" s="30">
        <f t="shared" si="7"/>
        <v>0.25925925925925924</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t="s">
        <v>213</v>
      </c>
      <c r="V472" s="94" t="s">
        <v>213</v>
      </c>
      <c r="W472" s="94"/>
      <c r="X472" s="94"/>
      <c r="Y472" s="94"/>
      <c r="Z472" s="94"/>
      <c r="AA472" s="94"/>
      <c r="AB472" s="95"/>
      <c r="AC472" s="30">
        <f t="shared" si="7"/>
        <v>0.25925925925925924</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t="s">
        <v>213</v>
      </c>
      <c r="V473" s="94" t="s">
        <v>213</v>
      </c>
      <c r="W473" s="94"/>
      <c r="X473" s="94"/>
      <c r="Y473" s="94"/>
      <c r="Z473" s="94"/>
      <c r="AA473" s="94"/>
      <c r="AB473" s="95"/>
      <c r="AC473" s="30">
        <f t="shared" si="7"/>
        <v>0.25925925925925924</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4" t="s">
        <v>34</v>
      </c>
      <c r="T480" s="94"/>
      <c r="U480" s="94"/>
      <c r="V480" s="94"/>
      <c r="W480" s="94"/>
      <c r="X480" s="94"/>
      <c r="Y480" s="94"/>
      <c r="Z480" s="94"/>
      <c r="AA480" s="94"/>
      <c r="AB480" s="95"/>
      <c r="AC480" s="30">
        <f t="shared" si="7"/>
        <v>0.1111111111111111</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c r="U481" s="94"/>
      <c r="V481" s="94"/>
      <c r="W481" s="94"/>
      <c r="X481" s="94"/>
      <c r="Y481" s="94"/>
      <c r="Z481" s="94"/>
      <c r="AA481" s="94"/>
      <c r="AB481" s="95"/>
      <c r="AC481" s="30">
        <f t="shared" si="7"/>
        <v>0.1111111111111111</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4" t="s">
        <v>34</v>
      </c>
      <c r="T482" s="94"/>
      <c r="U482" s="94"/>
      <c r="V482" s="94"/>
      <c r="W482" s="94"/>
      <c r="X482" s="94"/>
      <c r="Y482" s="94"/>
      <c r="Z482" s="94"/>
      <c r="AA482" s="94"/>
      <c r="AB482" s="95"/>
      <c r="AC482" s="30">
        <f t="shared" si="7"/>
        <v>0.1111111111111111</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c r="U483" s="94"/>
      <c r="V483" s="94"/>
      <c r="W483" s="94"/>
      <c r="X483" s="94"/>
      <c r="Y483" s="94"/>
      <c r="Z483" s="94"/>
      <c r="AA483" s="94"/>
      <c r="AB483" s="95"/>
      <c r="AC483" s="30">
        <f t="shared" si="7"/>
        <v>0.1111111111111111</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c r="U484" s="94"/>
      <c r="V484" s="94"/>
      <c r="W484" s="94"/>
      <c r="X484" s="94"/>
      <c r="Y484" s="94"/>
      <c r="Z484" s="94"/>
      <c r="AA484" s="94"/>
      <c r="AB484" s="95"/>
      <c r="AC484" s="30">
        <f t="shared" si="7"/>
        <v>0.1111111111111111</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c r="U485" s="94"/>
      <c r="V485" s="94"/>
      <c r="W485" s="94"/>
      <c r="X485" s="94"/>
      <c r="Y485" s="94"/>
      <c r="Z485" s="94"/>
      <c r="AA485" s="94"/>
      <c r="AB485" s="95"/>
      <c r="AC485" s="30">
        <f t="shared" si="7"/>
        <v>0.1111111111111111</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c r="U486" s="94"/>
      <c r="V486" s="94"/>
      <c r="W486" s="94"/>
      <c r="X486" s="94"/>
      <c r="Y486" s="94"/>
      <c r="Z486" s="94"/>
      <c r="AA486" s="94"/>
      <c r="AB486" s="95"/>
      <c r="AC486" s="30">
        <f t="shared" si="7"/>
        <v>0.1111111111111111</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7" t="s">
        <v>34</v>
      </c>
      <c r="T487" s="97"/>
      <c r="U487" s="94" t="s">
        <v>35</v>
      </c>
      <c r="V487" s="94" t="s">
        <v>35</v>
      </c>
      <c r="W487" s="94" t="s">
        <v>35</v>
      </c>
      <c r="X487" s="94" t="s">
        <v>35</v>
      </c>
      <c r="Y487" s="97" t="s">
        <v>36</v>
      </c>
      <c r="Z487" s="94"/>
      <c r="AA487" s="94"/>
      <c r="AB487" s="98" t="s">
        <v>1839</v>
      </c>
      <c r="AC487" s="30">
        <f t="shared" si="7"/>
        <v>0.66666666666666663</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c r="U488" s="94"/>
      <c r="V488" s="94"/>
      <c r="W488" s="94"/>
      <c r="X488" s="94"/>
      <c r="Y488" s="94"/>
      <c r="Z488" s="94"/>
      <c r="AA488" s="94"/>
      <c r="AB488" s="95"/>
      <c r="AC488" s="30">
        <f t="shared" si="7"/>
        <v>0.1111111111111111</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c r="U489" s="94"/>
      <c r="V489" s="94"/>
      <c r="W489" s="94"/>
      <c r="X489" s="94"/>
      <c r="Y489" s="94"/>
      <c r="Z489" s="94"/>
      <c r="AA489" s="94"/>
      <c r="AB489" s="95"/>
      <c r="AC489" s="30">
        <f t="shared" si="7"/>
        <v>0.1111111111111111</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c r="U490" s="94"/>
      <c r="V490" s="94"/>
      <c r="W490" s="94"/>
      <c r="X490" s="94"/>
      <c r="Y490" s="94"/>
      <c r="Z490" s="94"/>
      <c r="AA490" s="94"/>
      <c r="AB490" s="95"/>
      <c r="AC490" s="30">
        <f t="shared" si="7"/>
        <v>0.1111111111111111</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c r="U491" s="94"/>
      <c r="V491" s="94"/>
      <c r="W491" s="94"/>
      <c r="X491" s="94"/>
      <c r="Y491" s="94"/>
      <c r="Z491" s="94"/>
      <c r="AA491" s="94"/>
      <c r="AB491" s="95"/>
      <c r="AC491" s="30">
        <f t="shared" si="7"/>
        <v>0.1111111111111111</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c r="U492" s="94"/>
      <c r="V492" s="94"/>
      <c r="W492" s="94"/>
      <c r="X492" s="94"/>
      <c r="Y492" s="94"/>
      <c r="Z492" s="94"/>
      <c r="AA492" s="94"/>
      <c r="AB492" s="95"/>
      <c r="AC492" s="30">
        <f t="shared" si="7"/>
        <v>0.1111111111111111</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c r="U493" s="94"/>
      <c r="V493" s="94"/>
      <c r="W493" s="94"/>
      <c r="X493" s="94"/>
      <c r="Y493" s="94"/>
      <c r="Z493" s="94"/>
      <c r="AA493" s="94"/>
      <c r="AB493" s="95"/>
      <c r="AC493" s="30">
        <f t="shared" si="7"/>
        <v>0.1111111111111111</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c r="U494" s="94"/>
      <c r="V494" s="94"/>
      <c r="W494" s="94"/>
      <c r="X494" s="94"/>
      <c r="Y494" s="94"/>
      <c r="Z494" s="94"/>
      <c r="AA494" s="94"/>
      <c r="AB494" s="95"/>
      <c r="AC494" s="30">
        <f t="shared" si="7"/>
        <v>0.1111111111111111</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c r="U495" s="94"/>
      <c r="V495" s="94"/>
      <c r="W495" s="94"/>
      <c r="X495" s="94"/>
      <c r="Y495" s="94"/>
      <c r="Z495" s="94"/>
      <c r="AA495" s="94"/>
      <c r="AB495" s="95"/>
      <c r="AC495" s="30">
        <f t="shared" si="7"/>
        <v>0.1111111111111111</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c r="U496" s="94"/>
      <c r="V496" s="94"/>
      <c r="W496" s="94"/>
      <c r="X496" s="94"/>
      <c r="Y496" s="94"/>
      <c r="Z496" s="94"/>
      <c r="AA496" s="94"/>
      <c r="AB496" s="95"/>
      <c r="AC496" s="30">
        <f t="shared" si="7"/>
        <v>0.1111111111111111</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c r="U497" s="94"/>
      <c r="V497" s="94"/>
      <c r="W497" s="94"/>
      <c r="X497" s="94"/>
      <c r="Y497" s="94"/>
      <c r="Z497" s="94"/>
      <c r="AA497" s="94"/>
      <c r="AB497" s="95"/>
      <c r="AC497" s="30">
        <f t="shared" si="7"/>
        <v>0.1111111111111111</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c r="U498" s="94"/>
      <c r="V498" s="94"/>
      <c r="W498" s="94"/>
      <c r="X498" s="94"/>
      <c r="Y498" s="94"/>
      <c r="Z498" s="94"/>
      <c r="AA498" s="94"/>
      <c r="AB498" s="95"/>
      <c r="AC498" s="30">
        <f t="shared" si="7"/>
        <v>0.1111111111111111</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c r="U499" s="94"/>
      <c r="V499" s="94"/>
      <c r="W499" s="94"/>
      <c r="X499" s="94"/>
      <c r="Y499" s="94"/>
      <c r="Z499" s="94"/>
      <c r="AA499" s="94"/>
      <c r="AB499" s="95"/>
      <c r="AC499" s="30">
        <f t="shared" si="7"/>
        <v>0.1111111111111111</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c r="U500" s="94"/>
      <c r="V500" s="94"/>
      <c r="W500" s="94"/>
      <c r="X500" s="94"/>
      <c r="Y500" s="94"/>
      <c r="Z500" s="94"/>
      <c r="AA500" s="94"/>
      <c r="AB500" s="95"/>
      <c r="AC500" s="30">
        <f t="shared" si="7"/>
        <v>0.1111111111111111</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c r="U501" s="94"/>
      <c r="V501" s="94"/>
      <c r="W501" s="94"/>
      <c r="X501" s="94"/>
      <c r="Y501" s="94"/>
      <c r="Z501" s="94"/>
      <c r="AA501" s="94"/>
      <c r="AB501" s="95"/>
      <c r="AC501" s="30">
        <f t="shared" si="7"/>
        <v>0.1111111111111111</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c r="U502" s="94"/>
      <c r="V502" s="94"/>
      <c r="W502" s="94"/>
      <c r="X502" s="94"/>
      <c r="Y502" s="94"/>
      <c r="Z502" s="94"/>
      <c r="AA502" s="94"/>
      <c r="AB502" s="95"/>
      <c r="AC502" s="30">
        <f t="shared" si="7"/>
        <v>0.1111111111111111</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c r="U503" s="94"/>
      <c r="V503" s="94"/>
      <c r="W503" s="94"/>
      <c r="X503" s="94"/>
      <c r="Y503" s="94"/>
      <c r="Z503" s="94"/>
      <c r="AA503" s="94"/>
      <c r="AB503" s="95"/>
      <c r="AC503" s="30">
        <f t="shared" si="7"/>
        <v>0.1111111111111111</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c r="U504" s="94"/>
      <c r="V504" s="94"/>
      <c r="W504" s="94"/>
      <c r="X504" s="94"/>
      <c r="Y504" s="94"/>
      <c r="Z504" s="94"/>
      <c r="AA504" s="94"/>
      <c r="AB504" s="95"/>
      <c r="AC504" s="30">
        <f t="shared" si="7"/>
        <v>0.1111111111111111</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c r="U505" s="94"/>
      <c r="V505" s="94"/>
      <c r="W505" s="94"/>
      <c r="X505" s="94"/>
      <c r="Y505" s="94"/>
      <c r="Z505" s="94"/>
      <c r="AA505" s="94"/>
      <c r="AB505" s="95"/>
      <c r="AC505" s="30">
        <f t="shared" si="7"/>
        <v>0.1111111111111111</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c r="U506" s="94"/>
      <c r="V506" s="94"/>
      <c r="W506" s="94"/>
      <c r="X506" s="94"/>
      <c r="Y506" s="94"/>
      <c r="Z506" s="94"/>
      <c r="AA506" s="94"/>
      <c r="AB506" s="95"/>
      <c r="AC506" s="30">
        <f t="shared" si="7"/>
        <v>0.1111111111111111</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c r="U507" s="94"/>
      <c r="V507" s="94"/>
      <c r="W507" s="94"/>
      <c r="X507" s="94"/>
      <c r="Y507" s="94"/>
      <c r="Z507" s="94"/>
      <c r="AA507" s="94"/>
      <c r="AB507" s="95"/>
      <c r="AC507" s="30">
        <f t="shared" si="7"/>
        <v>0.1111111111111111</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c r="U508" s="94"/>
      <c r="V508" s="94"/>
      <c r="W508" s="94"/>
      <c r="X508" s="94"/>
      <c r="Y508" s="94"/>
      <c r="Z508" s="94"/>
      <c r="AA508" s="94"/>
      <c r="AB508" s="95"/>
      <c r="AC508" s="30">
        <f t="shared" si="7"/>
        <v>0.1111111111111111</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c r="U509" s="94"/>
      <c r="V509" s="94"/>
      <c r="W509" s="94"/>
      <c r="X509" s="94"/>
      <c r="Y509" s="94"/>
      <c r="Z509" s="94"/>
      <c r="AA509" s="94"/>
      <c r="AB509" s="95"/>
      <c r="AC509" s="30">
        <f t="shared" si="7"/>
        <v>0.1111111111111111</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c r="U510" s="94"/>
      <c r="V510" s="94"/>
      <c r="W510" s="94"/>
      <c r="X510" s="94"/>
      <c r="Y510" s="94"/>
      <c r="Z510" s="94"/>
      <c r="AA510" s="94"/>
      <c r="AB510" s="95"/>
      <c r="AC510" s="30">
        <f t="shared" si="7"/>
        <v>0.1111111111111111</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c r="U511" s="94"/>
      <c r="V511" s="94"/>
      <c r="W511" s="94"/>
      <c r="X511" s="94"/>
      <c r="Y511" s="94"/>
      <c r="Z511" s="94"/>
      <c r="AA511" s="94"/>
      <c r="AB511" s="95"/>
      <c r="AC511" s="30">
        <f t="shared" si="7"/>
        <v>0.1111111111111111</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c r="U512" s="94"/>
      <c r="V512" s="94"/>
      <c r="W512" s="94"/>
      <c r="X512" s="94"/>
      <c r="Y512" s="94"/>
      <c r="Z512" s="94"/>
      <c r="AA512" s="94"/>
      <c r="AB512" s="95"/>
      <c r="AC512" s="30">
        <f t="shared" si="7"/>
        <v>0.1111111111111111</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c r="U513" s="94"/>
      <c r="V513" s="94"/>
      <c r="W513" s="94"/>
      <c r="X513" s="94"/>
      <c r="Y513" s="94"/>
      <c r="Z513" s="94"/>
      <c r="AA513" s="94"/>
      <c r="AB513" s="95"/>
      <c r="AC513" s="30">
        <f t="shared" si="7"/>
        <v>0.1111111111111111</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c r="U514" s="94"/>
      <c r="V514" s="94"/>
      <c r="W514" s="94"/>
      <c r="X514" s="94"/>
      <c r="Y514" s="94"/>
      <c r="Z514" s="94"/>
      <c r="AA514" s="94"/>
      <c r="AB514" s="95"/>
      <c r="AC514" s="30">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0.1111111111111111</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c r="U515" s="94"/>
      <c r="V515" s="94"/>
      <c r="W515" s="94"/>
      <c r="X515" s="94"/>
      <c r="Y515" s="94"/>
      <c r="Z515" s="94"/>
      <c r="AA515" s="94"/>
      <c r="AB515" s="95"/>
      <c r="AC515" s="30">
        <f t="shared" si="8"/>
        <v>0.1111111111111111</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c r="U516" s="94"/>
      <c r="V516" s="94"/>
      <c r="W516" s="94"/>
      <c r="X516" s="94"/>
      <c r="Y516" s="107"/>
      <c r="Z516" s="94"/>
      <c r="AA516" s="94"/>
      <c r="AB516" s="95"/>
      <c r="AC516" s="30">
        <f t="shared" si="8"/>
        <v>0.1111111111111111</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c r="U517" s="94"/>
      <c r="V517" s="94"/>
      <c r="W517" s="94"/>
      <c r="X517" s="94"/>
      <c r="Y517" s="107"/>
      <c r="Z517" s="94"/>
      <c r="AA517" s="94"/>
      <c r="AB517" s="95"/>
      <c r="AC517" s="30">
        <f t="shared" si="8"/>
        <v>0.1111111111111111</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c r="U518" s="94"/>
      <c r="V518" s="94"/>
      <c r="W518" s="94"/>
      <c r="X518" s="94"/>
      <c r="Y518" s="107"/>
      <c r="Z518" s="94"/>
      <c r="AA518" s="94"/>
      <c r="AB518" s="95"/>
      <c r="AC518" s="30">
        <f t="shared" si="8"/>
        <v>0.1111111111111111</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c r="U519" s="94"/>
      <c r="V519" s="94"/>
      <c r="W519" s="94"/>
      <c r="X519" s="94"/>
      <c r="Y519" s="107"/>
      <c r="Z519" s="94"/>
      <c r="AA519" s="94"/>
      <c r="AB519" s="95"/>
      <c r="AC519" s="30">
        <f t="shared" si="8"/>
        <v>0.1111111111111111</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t="s">
        <v>34</v>
      </c>
      <c r="T520" s="94"/>
      <c r="U520" s="94"/>
      <c r="V520" s="94"/>
      <c r="W520" s="94"/>
      <c r="X520" s="94"/>
      <c r="Y520" s="94"/>
      <c r="Z520" s="94"/>
      <c r="AA520" s="94"/>
      <c r="AB520" s="95"/>
      <c r="AC520" s="30">
        <f t="shared" si="8"/>
        <v>0.1111111111111111</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4" t="s">
        <v>34</v>
      </c>
      <c r="T521" s="94"/>
      <c r="U521" s="94"/>
      <c r="V521" s="94"/>
      <c r="W521" s="94"/>
      <c r="X521" s="94"/>
      <c r="Y521" s="94"/>
      <c r="Z521" s="94"/>
      <c r="AA521" s="94"/>
      <c r="AB521" s="95"/>
      <c r="AC521" s="30">
        <f t="shared" si="8"/>
        <v>0.1111111111111111</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34</v>
      </c>
      <c r="T524" s="94"/>
      <c r="U524" s="94"/>
      <c r="V524" s="94"/>
      <c r="W524" s="94"/>
      <c r="X524" s="94"/>
      <c r="Y524" s="94"/>
      <c r="Z524" s="94"/>
      <c r="AA524" s="94"/>
      <c r="AB524" s="95"/>
      <c r="AC524" s="30">
        <f t="shared" si="8"/>
        <v>0.1111111111111111</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34</v>
      </c>
      <c r="T525" s="94"/>
      <c r="U525" s="94"/>
      <c r="V525" s="94"/>
      <c r="W525" s="94"/>
      <c r="X525" s="94"/>
      <c r="Y525" s="94"/>
      <c r="Z525" s="94"/>
      <c r="AA525" s="94"/>
      <c r="AB525" s="95"/>
      <c r="AC525" s="30">
        <f t="shared" si="8"/>
        <v>0.1111111111111111</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c r="V527" s="94"/>
      <c r="W527" s="94"/>
      <c r="X527" s="94"/>
      <c r="Y527" s="94"/>
      <c r="Z527" s="94"/>
      <c r="AA527" s="94"/>
      <c r="AB527" s="95"/>
      <c r="AC527" s="30">
        <f t="shared" si="8"/>
        <v>0.1111111111111111</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c r="V528" s="94"/>
      <c r="W528" s="94"/>
      <c r="X528" s="94"/>
      <c r="Y528" s="94"/>
      <c r="Z528" s="94"/>
      <c r="AA528" s="94"/>
      <c r="AB528" s="95"/>
      <c r="AC528" s="30">
        <f t="shared" si="8"/>
        <v>0.1111111111111111</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c r="U531" s="94"/>
      <c r="V531" s="94"/>
      <c r="W531" s="94"/>
      <c r="X531" s="94"/>
      <c r="Y531" s="94"/>
      <c r="Z531" s="94"/>
      <c r="AA531" s="94"/>
      <c r="AB531" s="95"/>
      <c r="AC531" s="30">
        <f t="shared" si="8"/>
        <v>0.1111111111111111</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c r="U532" s="94"/>
      <c r="V532" s="94"/>
      <c r="W532" s="94"/>
      <c r="X532" s="94"/>
      <c r="Y532" s="107"/>
      <c r="Z532" s="94"/>
      <c r="AA532" s="94"/>
      <c r="AB532" s="95"/>
      <c r="AC532" s="30">
        <f t="shared" si="8"/>
        <v>0.1111111111111111</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4"/>
      <c r="X533" s="94"/>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t="s">
        <v>213</v>
      </c>
      <c r="V537" s="94" t="s">
        <v>213</v>
      </c>
      <c r="W537" s="94" t="s">
        <v>175</v>
      </c>
      <c r="X537" s="94"/>
      <c r="Y537" s="94" t="s">
        <v>1815</v>
      </c>
      <c r="Z537" s="94"/>
      <c r="AA537" s="94"/>
      <c r="AB537" s="95"/>
      <c r="AC537" s="30">
        <f t="shared" si="8"/>
        <v>0.37037037037037035</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c r="U539" s="94"/>
      <c r="V539" s="94"/>
      <c r="W539" s="94"/>
      <c r="X539" s="94"/>
      <c r="Y539" s="94"/>
      <c r="Z539" s="94"/>
      <c r="AA539" s="94"/>
      <c r="AB539" s="95"/>
      <c r="AC539" s="30">
        <f t="shared" si="8"/>
        <v>0.1111111111111111</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c r="U540" s="94"/>
      <c r="V540" s="94"/>
      <c r="W540" s="94"/>
      <c r="X540" s="94"/>
      <c r="Y540" s="94"/>
      <c r="Z540" s="94"/>
      <c r="AA540" s="94"/>
      <c r="AB540" s="95"/>
      <c r="AC540" s="30">
        <f t="shared" si="8"/>
        <v>0.1111111111111111</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c r="U542" s="94"/>
      <c r="V542" s="94"/>
      <c r="W542" s="94"/>
      <c r="X542" s="94"/>
      <c r="Y542" s="94"/>
      <c r="Z542" s="94"/>
      <c r="AA542" s="94"/>
      <c r="AB542" s="95"/>
      <c r="AC542" s="30">
        <f t="shared" si="8"/>
        <v>0.1111111111111111</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c r="U543" s="94"/>
      <c r="V543" s="94"/>
      <c r="W543" s="94"/>
      <c r="X543" s="94"/>
      <c r="Y543" s="94"/>
      <c r="Z543" s="94"/>
      <c r="AA543" s="94"/>
      <c r="AB543" s="95"/>
      <c r="AC543" s="30">
        <f t="shared" si="8"/>
        <v>0.1111111111111111</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c r="U544" s="94"/>
      <c r="V544" s="94"/>
      <c r="W544" s="94"/>
      <c r="X544" s="94"/>
      <c r="Y544" s="94"/>
      <c r="Z544" s="94"/>
      <c r="AA544" s="94"/>
      <c r="AB544" s="95"/>
      <c r="AC544" s="30">
        <f t="shared" si="8"/>
        <v>0.1111111111111111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c r="U546" s="94"/>
      <c r="V546" s="94"/>
      <c r="W546" s="94"/>
      <c r="X546" s="94"/>
      <c r="Y546" s="94"/>
      <c r="Z546" s="94"/>
      <c r="AA546" s="94"/>
      <c r="AB546" s="95"/>
      <c r="AC546" s="30">
        <f t="shared" si="8"/>
        <v>0.1111111111111111</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34</v>
      </c>
      <c r="T547" s="94"/>
      <c r="U547" s="94"/>
      <c r="V547" s="94"/>
      <c r="W547" s="94"/>
      <c r="X547" s="94"/>
      <c r="Y547" s="94"/>
      <c r="Z547" s="94"/>
      <c r="AA547" s="94"/>
      <c r="AB547" s="95"/>
      <c r="AC547" s="30">
        <f t="shared" si="8"/>
        <v>0.1111111111111111</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c r="U548" s="94"/>
      <c r="V548" s="94"/>
      <c r="W548" s="94"/>
      <c r="X548" s="94"/>
      <c r="Y548" s="94"/>
      <c r="Z548" s="94"/>
      <c r="AA548" s="94"/>
      <c r="AB548" s="95"/>
      <c r="AC548" s="30">
        <f t="shared" si="8"/>
        <v>0.1111111111111111</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c r="T549" s="94"/>
      <c r="U549" s="94"/>
      <c r="V549" s="94"/>
      <c r="W549" s="94"/>
      <c r="X549" s="94"/>
      <c r="Y549" s="94"/>
      <c r="Z549" s="94"/>
      <c r="AA549" s="94"/>
      <c r="AB549" s="95"/>
      <c r="AC549" s="30">
        <f t="shared" si="8"/>
        <v>0</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c r="U550" s="94"/>
      <c r="V550" s="94"/>
      <c r="W550" s="94"/>
      <c r="X550" s="94"/>
      <c r="Y550" s="94"/>
      <c r="Z550" s="94"/>
      <c r="AA550" s="94"/>
      <c r="AB550" s="95"/>
      <c r="AC550" s="30">
        <f t="shared" si="8"/>
        <v>0.1111111111111111</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34</v>
      </c>
      <c r="T551" s="94"/>
      <c r="U551" s="94"/>
      <c r="V551" s="94"/>
      <c r="W551" s="94"/>
      <c r="X551" s="94"/>
      <c r="Y551" s="94"/>
      <c r="Z551" s="94"/>
      <c r="AA551" s="94"/>
      <c r="AB551" s="95"/>
      <c r="AC551" s="30">
        <f t="shared" si="8"/>
        <v>0.1111111111111111</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34</v>
      </c>
      <c r="T553" s="94"/>
      <c r="U553" s="94"/>
      <c r="V553" s="94"/>
      <c r="W553" s="94"/>
      <c r="X553" s="94"/>
      <c r="Y553" s="94"/>
      <c r="Z553" s="94"/>
      <c r="AA553" s="94"/>
      <c r="AB553" s="95"/>
      <c r="AC553" s="30">
        <f t="shared" si="8"/>
        <v>0.1111111111111111</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34</v>
      </c>
      <c r="T555" s="94"/>
      <c r="U555" s="94" t="s">
        <v>213</v>
      </c>
      <c r="V555" s="94" t="s">
        <v>213</v>
      </c>
      <c r="W555" s="94"/>
      <c r="X555" s="94"/>
      <c r="Y555" s="94"/>
      <c r="Z555" s="94"/>
      <c r="AA555" s="94"/>
      <c r="AB555" s="95"/>
      <c r="AC555" s="30">
        <f t="shared" si="8"/>
        <v>0.25925925925925924</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t="s">
        <v>213</v>
      </c>
      <c r="V556" s="94" t="s">
        <v>213</v>
      </c>
      <c r="W556" s="94"/>
      <c r="X556" s="94"/>
      <c r="Y556" s="94"/>
      <c r="Z556" s="94"/>
      <c r="AA556" s="94"/>
      <c r="AB556" s="95"/>
      <c r="AC556" s="30">
        <f t="shared" si="8"/>
        <v>0.25925925925925924</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34</v>
      </c>
      <c r="T557" s="94"/>
      <c r="U557" s="94"/>
      <c r="V557" s="94"/>
      <c r="W557" s="94"/>
      <c r="X557" s="94"/>
      <c r="Y557" s="94"/>
      <c r="Z557" s="94"/>
      <c r="AA557" s="94"/>
      <c r="AB557" s="95"/>
      <c r="AC557" s="30">
        <f t="shared" si="8"/>
        <v>0.1111111111111111</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34</v>
      </c>
      <c r="T558" s="94"/>
      <c r="U558" s="94"/>
      <c r="V558" s="94"/>
      <c r="W558" s="94"/>
      <c r="X558" s="94"/>
      <c r="Y558" s="94"/>
      <c r="Z558" s="94"/>
      <c r="AA558" s="94"/>
      <c r="AB558" s="95"/>
      <c r="AC558" s="30">
        <f t="shared" si="8"/>
        <v>0.1111111111111111</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34</v>
      </c>
      <c r="T560" s="94"/>
      <c r="U560" s="94"/>
      <c r="V560" s="94"/>
      <c r="W560" s="94"/>
      <c r="X560" s="94"/>
      <c r="Y560" s="94"/>
      <c r="Z560" s="94"/>
      <c r="AA560" s="94"/>
      <c r="AB560" s="95"/>
      <c r="AC560" s="30">
        <f t="shared" si="8"/>
        <v>0.1111111111111111</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t="s">
        <v>1839</v>
      </c>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4" t="s">
        <v>34</v>
      </c>
      <c r="T563" s="94"/>
      <c r="U563" s="94"/>
      <c r="V563" s="94"/>
      <c r="W563" s="94"/>
      <c r="X563" s="94"/>
      <c r="Y563" s="94"/>
      <c r="Z563" s="94"/>
      <c r="AA563" s="94"/>
      <c r="AB563" s="95"/>
      <c r="AC563" s="30">
        <f t="shared" si="8"/>
        <v>0.1111111111111111</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c r="U565" s="94"/>
      <c r="V565" s="94"/>
      <c r="W565" s="94"/>
      <c r="X565" s="94"/>
      <c r="Y565" s="94"/>
      <c r="Z565" s="94"/>
      <c r="AA565" s="94"/>
      <c r="AB565" s="95"/>
      <c r="AC565" s="30">
        <f t="shared" si="8"/>
        <v>0.1111111111111111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34</v>
      </c>
      <c r="T571" s="94"/>
      <c r="U571" s="94"/>
      <c r="V571" s="94"/>
      <c r="W571" s="94"/>
      <c r="X571" s="94"/>
      <c r="Y571" s="94"/>
      <c r="Z571" s="94"/>
      <c r="AA571" s="94"/>
      <c r="AB571" s="95"/>
      <c r="AC571" s="30">
        <f t="shared" si="8"/>
        <v>0.1111111111111111</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34</v>
      </c>
      <c r="T573" s="94"/>
      <c r="U573" s="94"/>
      <c r="V573" s="94"/>
      <c r="W573" s="94"/>
      <c r="X573" s="94"/>
      <c r="Y573" s="94"/>
      <c r="Z573" s="94"/>
      <c r="AA573" s="94"/>
      <c r="AB573" s="95"/>
      <c r="AC573" s="30">
        <f t="shared" si="8"/>
        <v>0.1111111111111111</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34</v>
      </c>
      <c r="T574" s="94"/>
      <c r="U574" s="94"/>
      <c r="V574" s="94"/>
      <c r="W574" s="94"/>
      <c r="X574" s="94"/>
      <c r="Y574" s="94"/>
      <c r="Z574" s="94"/>
      <c r="AA574" s="94"/>
      <c r="AB574" s="95"/>
      <c r="AC574" s="30">
        <f t="shared" si="8"/>
        <v>0.1111111111111111</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34</v>
      </c>
      <c r="T576" s="94"/>
      <c r="U576" s="94"/>
      <c r="V576" s="94"/>
      <c r="W576" s="94"/>
      <c r="X576" s="94"/>
      <c r="Y576" s="94"/>
      <c r="Z576" s="94"/>
      <c r="AA576" s="94"/>
      <c r="AB576" s="95"/>
      <c r="AC576" s="30">
        <f t="shared" si="8"/>
        <v>0.1111111111111111</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176</v>
      </c>
      <c r="T577" s="94"/>
      <c r="U577" s="94"/>
      <c r="V577" s="94"/>
      <c r="W577" s="94"/>
      <c r="X577" s="94"/>
      <c r="Y577" s="94"/>
      <c r="Z577" s="94"/>
      <c r="AA577" s="94"/>
      <c r="AB577" s="95"/>
      <c r="AC577" s="30">
        <f t="shared" si="8"/>
        <v>3.7037037037037035E-2</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c r="U578" s="94"/>
      <c r="V578" s="94"/>
      <c r="W578" s="94"/>
      <c r="X578" s="94"/>
      <c r="Y578" s="94"/>
      <c r="Z578" s="94"/>
      <c r="AA578" s="94"/>
      <c r="AB578" s="95"/>
      <c r="AC578" s="30">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0.1111111111111111</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c r="U579" s="94"/>
      <c r="V579" s="94"/>
      <c r="W579" s="94"/>
      <c r="X579" s="94"/>
      <c r="Y579" s="94"/>
      <c r="Z579" s="94"/>
      <c r="AA579" s="94"/>
      <c r="AB579" s="95"/>
      <c r="AC579" s="30">
        <f t="shared" si="9"/>
        <v>0.1111111111111111</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7" t="s">
        <v>34</v>
      </c>
      <c r="T580" s="97"/>
      <c r="U580" s="94" t="s">
        <v>35</v>
      </c>
      <c r="V580" s="94" t="s">
        <v>35</v>
      </c>
      <c r="W580" s="94" t="s">
        <v>35</v>
      </c>
      <c r="X580" s="94" t="s">
        <v>35</v>
      </c>
      <c r="Y580" s="97" t="s">
        <v>36</v>
      </c>
      <c r="Z580" s="94"/>
      <c r="AA580" s="94"/>
      <c r="AB580" s="98"/>
      <c r="AC580" s="30">
        <f t="shared" si="9"/>
        <v>0.66666666666666663</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c r="U581" s="94"/>
      <c r="V581" s="94"/>
      <c r="W581" s="94"/>
      <c r="X581" s="94"/>
      <c r="Y581" s="94"/>
      <c r="Z581" s="94"/>
      <c r="AA581" s="94"/>
      <c r="AB581" s="95"/>
      <c r="AC581" s="30">
        <f t="shared" si="9"/>
        <v>0.1111111111111111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176</v>
      </c>
      <c r="T583" s="94"/>
      <c r="U583" s="94"/>
      <c r="V583" s="94"/>
      <c r="W583" s="94"/>
      <c r="X583" s="94"/>
      <c r="Y583" s="94"/>
      <c r="Z583" s="94"/>
      <c r="AA583" s="94"/>
      <c r="AB583" s="95"/>
      <c r="AC583" s="30">
        <f t="shared" si="9"/>
        <v>3.7037037037037035E-2</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176</v>
      </c>
      <c r="T584" s="94"/>
      <c r="U584" s="94"/>
      <c r="V584" s="94"/>
      <c r="W584" s="94"/>
      <c r="X584" s="94"/>
      <c r="Y584" s="94"/>
      <c r="Z584" s="94"/>
      <c r="AA584" s="94"/>
      <c r="AB584" s="95"/>
      <c r="AC584" s="30">
        <f t="shared" si="9"/>
        <v>3.7037037037037035E-2</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176</v>
      </c>
      <c r="T586" s="94"/>
      <c r="U586" s="94"/>
      <c r="V586" s="94"/>
      <c r="W586" s="94"/>
      <c r="X586" s="94"/>
      <c r="Y586" s="94"/>
      <c r="Z586" s="94"/>
      <c r="AA586" s="94"/>
      <c r="AB586" s="95"/>
      <c r="AC586" s="30">
        <f t="shared" si="9"/>
        <v>3.7037037037037035E-2</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176</v>
      </c>
      <c r="T587" s="94"/>
      <c r="U587" s="94"/>
      <c r="V587" s="94"/>
      <c r="W587" s="94"/>
      <c r="X587" s="94"/>
      <c r="Y587" s="94"/>
      <c r="Z587" s="94"/>
      <c r="AA587" s="94"/>
      <c r="AB587" s="95"/>
      <c r="AC587" s="30">
        <f t="shared" si="9"/>
        <v>3.7037037037037035E-2</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176</v>
      </c>
      <c r="T588" s="94"/>
      <c r="U588" s="94"/>
      <c r="V588" s="94"/>
      <c r="W588" s="94"/>
      <c r="X588" s="94"/>
      <c r="Y588" s="94"/>
      <c r="Z588" s="94"/>
      <c r="AA588" s="94"/>
      <c r="AB588" s="95"/>
      <c r="AC588" s="30">
        <f t="shared" si="9"/>
        <v>3.7037037037037035E-2</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176</v>
      </c>
      <c r="T589" s="94"/>
      <c r="U589" s="94"/>
      <c r="V589" s="94"/>
      <c r="W589" s="94"/>
      <c r="X589" s="94"/>
      <c r="Y589" s="94"/>
      <c r="Z589" s="94"/>
      <c r="AA589" s="94"/>
      <c r="AB589" s="95"/>
      <c r="AC589" s="30">
        <f t="shared" si="9"/>
        <v>3.7037037037037035E-2</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176</v>
      </c>
      <c r="T590" s="94"/>
      <c r="U590" s="94"/>
      <c r="V590" s="94"/>
      <c r="W590" s="94"/>
      <c r="X590" s="94"/>
      <c r="Y590" s="94"/>
      <c r="Z590" s="94"/>
      <c r="AA590" s="94"/>
      <c r="AB590" s="95"/>
      <c r="AC590" s="30">
        <f t="shared" si="9"/>
        <v>3.7037037037037035E-2</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176</v>
      </c>
      <c r="T591" s="94"/>
      <c r="U591" s="94"/>
      <c r="V591" s="94"/>
      <c r="W591" s="94"/>
      <c r="X591" s="94"/>
      <c r="Y591" s="94"/>
      <c r="Z591" s="94"/>
      <c r="AA591" s="94"/>
      <c r="AB591" s="95"/>
      <c r="AC591" s="30">
        <f t="shared" si="9"/>
        <v>3.7037037037037035E-2</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176</v>
      </c>
      <c r="T592" s="94"/>
      <c r="U592" s="94"/>
      <c r="V592" s="94"/>
      <c r="W592" s="94"/>
      <c r="X592" s="94"/>
      <c r="Y592" s="94"/>
      <c r="Z592" s="94"/>
      <c r="AA592" s="94"/>
      <c r="AB592" s="95"/>
      <c r="AC592" s="30">
        <f t="shared" si="9"/>
        <v>3.7037037037037035E-2</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c r="U594" s="94"/>
      <c r="V594" s="94"/>
      <c r="W594" s="94"/>
      <c r="X594" s="94"/>
      <c r="Y594" s="94"/>
      <c r="Z594" s="94"/>
      <c r="AA594" s="94"/>
      <c r="AB594" s="95"/>
      <c r="AC594" s="30">
        <f t="shared" si="9"/>
        <v>0.1111111111111111</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c r="U595" s="94"/>
      <c r="V595" s="94"/>
      <c r="W595" s="94"/>
      <c r="X595" s="94"/>
      <c r="Y595" s="94"/>
      <c r="Z595" s="94"/>
      <c r="AA595" s="94"/>
      <c r="AB595" s="95"/>
      <c r="AC595" s="30">
        <f t="shared" si="9"/>
        <v>0.1111111111111111</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c r="U596" s="94"/>
      <c r="V596" s="94"/>
      <c r="W596" s="94"/>
      <c r="X596" s="94"/>
      <c r="Y596" s="107"/>
      <c r="Z596" s="94"/>
      <c r="AA596" s="94"/>
      <c r="AB596" s="95"/>
      <c r="AC596" s="30">
        <f t="shared" si="9"/>
        <v>0.1111111111111111</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c r="U597" s="94"/>
      <c r="V597" s="94"/>
      <c r="W597" s="94"/>
      <c r="X597" s="94"/>
      <c r="Y597" s="94"/>
      <c r="Z597" s="94"/>
      <c r="AA597" s="94"/>
      <c r="AB597" s="95"/>
      <c r="AC597" s="30">
        <f t="shared" si="9"/>
        <v>0.1111111111111111</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t="s">
        <v>34</v>
      </c>
      <c r="T598" s="94"/>
      <c r="U598" s="94"/>
      <c r="V598" s="94"/>
      <c r="W598" s="94"/>
      <c r="X598" s="94"/>
      <c r="Y598" s="94"/>
      <c r="Z598" s="94"/>
      <c r="AA598" s="94"/>
      <c r="AB598" s="95"/>
      <c r="AC598" s="30">
        <f t="shared" si="9"/>
        <v>0.1111111111111111</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c r="U599" s="94"/>
      <c r="V599" s="94"/>
      <c r="W599" s="94"/>
      <c r="X599" s="94"/>
      <c r="Y599" s="94"/>
      <c r="Z599" s="94"/>
      <c r="AA599" s="94"/>
      <c r="AB599" s="95"/>
      <c r="AC599" s="30">
        <f t="shared" si="9"/>
        <v>0.1111111111111111</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D601" s="29"/>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c r="U602" s="94"/>
      <c r="V602" s="94"/>
      <c r="W602" s="94"/>
      <c r="X602" s="94"/>
      <c r="Y602" s="94"/>
      <c r="Z602" s="94"/>
      <c r="AA602" s="94"/>
      <c r="AB602" s="95"/>
      <c r="AC602" s="30">
        <f t="shared" si="9"/>
        <v>0.1111111111111111</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c r="V603" s="94"/>
      <c r="W603" s="94"/>
      <c r="X603" s="94"/>
      <c r="Y603" s="94"/>
      <c r="Z603" s="94"/>
      <c r="AA603" s="94"/>
      <c r="AB603" s="95"/>
      <c r="AC603" s="30">
        <f t="shared" si="9"/>
        <v>0.1111111111111111</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c r="T604" s="94"/>
      <c r="U604" s="94"/>
      <c r="V604" s="94"/>
      <c r="W604" s="94"/>
      <c r="X604" s="94"/>
      <c r="Y604" s="94"/>
      <c r="Z604" s="94"/>
      <c r="AA604" s="94"/>
      <c r="AB604" s="95"/>
      <c r="AC604" s="30">
        <f t="shared" si="9"/>
        <v>0</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c r="U605" s="94"/>
      <c r="V605" s="94"/>
      <c r="W605" s="94"/>
      <c r="X605" s="94"/>
      <c r="Y605" s="94"/>
      <c r="Z605" s="94"/>
      <c r="AA605" s="94"/>
      <c r="AB605" s="95"/>
      <c r="AC605" s="30">
        <f t="shared" si="9"/>
        <v>0.1111111111111111</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t="s">
        <v>213</v>
      </c>
      <c r="V607" s="94" t="s">
        <v>213</v>
      </c>
      <c r="W607" s="94"/>
      <c r="X607" s="94"/>
      <c r="Y607" s="94"/>
      <c r="Z607" s="94"/>
      <c r="AA607" s="94"/>
      <c r="AB607" s="95"/>
      <c r="AC607" s="30">
        <f t="shared" si="9"/>
        <v>0.25925925925925924</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c r="U608" s="94"/>
      <c r="V608" s="94"/>
      <c r="W608" s="94"/>
      <c r="X608" s="94"/>
      <c r="Y608" s="94"/>
      <c r="Z608" s="94"/>
      <c r="AA608" s="94"/>
      <c r="AB608" s="95"/>
      <c r="AC608" s="30">
        <f t="shared" si="9"/>
        <v>0.1111111111111111</v>
      </c>
    </row>
    <row r="609" spans="1:32"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c r="U609" s="94"/>
      <c r="V609" s="94"/>
      <c r="W609" s="94"/>
      <c r="X609" s="94"/>
      <c r="Y609" s="107"/>
      <c r="Z609" s="94"/>
      <c r="AA609" s="94"/>
      <c r="AB609" s="95"/>
      <c r="AC609" s="30">
        <f t="shared" si="9"/>
        <v>0.1111111111111111</v>
      </c>
    </row>
    <row r="610" spans="1:32"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4"/>
      <c r="X610" s="94"/>
      <c r="Y610" s="94"/>
      <c r="Z610" s="94"/>
      <c r="AA610" s="94"/>
      <c r="AB610" s="95"/>
      <c r="AC610" s="30">
        <f t="shared" si="9"/>
        <v>0.1111111111111111</v>
      </c>
    </row>
    <row r="611" spans="1:32"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c r="U611" s="94" t="s">
        <v>35</v>
      </c>
      <c r="V611" s="94"/>
      <c r="W611" s="94" t="s">
        <v>1846</v>
      </c>
      <c r="X611" s="94"/>
      <c r="Y611" s="94"/>
      <c r="Z611" s="94" t="s">
        <v>1846</v>
      </c>
      <c r="AA611" s="94"/>
      <c r="AB611" s="95"/>
      <c r="AC611" s="30">
        <f t="shared" si="9"/>
        <v>0.44444444444444442</v>
      </c>
    </row>
    <row r="612" spans="1:32"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35</v>
      </c>
      <c r="V612" s="94" t="s">
        <v>213</v>
      </c>
      <c r="W612" s="94" t="s">
        <v>1846</v>
      </c>
      <c r="X612" s="94"/>
      <c r="Y612" s="94"/>
      <c r="Z612" s="94" t="s">
        <v>1846</v>
      </c>
      <c r="AA612" s="94"/>
      <c r="AB612" s="95"/>
      <c r="AC612" s="30">
        <f t="shared" si="9"/>
        <v>0.51851851851851849</v>
      </c>
    </row>
    <row r="613" spans="1:32"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2" x14ac:dyDescent="0.3">
      <c r="AB614" s="29"/>
      <c r="AC614" s="106">
        <f>SUM(AC2:AC613)</f>
        <v>196.61111111111188</v>
      </c>
      <c r="AD614">
        <f>(AC614/612)*100</f>
        <v>32.125998547567306</v>
      </c>
      <c r="AF614" s="29"/>
    </row>
    <row r="620" spans="1:32" x14ac:dyDescent="0.3">
      <c r="AE620" s="29"/>
    </row>
  </sheetData>
  <conditionalFormatting sqref="A2:A611">
    <cfRule type="duplicateValues" dxfId="941" priority="1469"/>
  </conditionalFormatting>
  <conditionalFormatting sqref="A598:A609">
    <cfRule type="duplicateValues" dxfId="940" priority="1470"/>
  </conditionalFormatting>
  <conditionalFormatting sqref="Q611">
    <cfRule type="containsText" dxfId="939" priority="1455" operator="containsText" text="ENVIADO A TICS">
      <formula>NOT(ISERROR(SEARCH("ENVIADO A TICS",Q611)))</formula>
    </cfRule>
    <cfRule type="containsText" dxfId="938" priority="1457" operator="containsText" text="ENVIADO A LA CE/UM">
      <formula>NOT(ISERROR(SEARCH("ENVIADO A LA CE/UM",Q611)))</formula>
    </cfRule>
    <cfRule type="containsText" dxfId="937" priority="1456" operator="containsText" text="ENTREGADO/REVISIÓN">
      <formula>NOT(ISERROR(SEARCH("ENTREGADO/REVISIÓN",Q611)))</formula>
    </cfRule>
  </conditionalFormatting>
  <conditionalFormatting sqref="R611">
    <cfRule type="containsText" dxfId="936" priority="1463" operator="containsText" text="CONCLUIDO">
      <formula>NOT(ISERROR(SEARCH("CONCLUIDO",R611)))</formula>
    </cfRule>
    <cfRule type="containsText" dxfId="935" priority="1454" operator="containsText" text="EN PROCESO">
      <formula>NOT(ISERROR(SEARCH("EN PROCESO",R611)))</formula>
    </cfRule>
  </conditionalFormatting>
  <conditionalFormatting sqref="S1">
    <cfRule type="containsText" dxfId="934" priority="905" operator="containsText" text="ENVIADO A LA CE/UM">
      <formula>NOT(ISERROR(SEARCH("ENVIADO A LA CE/UM",S1)))</formula>
    </cfRule>
    <cfRule type="containsText" dxfId="933" priority="904" operator="containsText" text="ENTREGADO/REVISIÓN">
      <formula>NOT(ISERROR(SEARCH("ENTREGADO/REVISIÓN",S1)))</formula>
    </cfRule>
    <cfRule type="containsText" dxfId="932" priority="903" operator="containsText" text="ENVIADO A TICS">
      <formula>NOT(ISERROR(SEARCH("ENVIADO A TICS",S1)))</formula>
    </cfRule>
  </conditionalFormatting>
  <conditionalFormatting sqref="T1">
    <cfRule type="containsText" dxfId="931" priority="902" operator="containsText" text="EN PROCESO">
      <formula>NOT(ISERROR(SEARCH("EN PROCESO",T1)))</formula>
    </cfRule>
  </conditionalFormatting>
  <conditionalFormatting sqref="T1:X1">
    <cfRule type="containsText" dxfId="811" priority="909" operator="containsText" text="CONCLUIDO">
      <formula>NOT(ISERROR(SEARCH("CONCLUIDO",T1)))</formula>
    </cfRule>
  </conditionalFormatting>
  <conditionalFormatting sqref="U1">
    <cfRule type="containsText" dxfId="810" priority="913" operator="containsText" text="ENVIADO A LA CE/UM">
      <formula>NOT(ISERROR(SEARCH("ENVIADO A LA CE/UM",U1)))</formula>
    </cfRule>
  </conditionalFormatting>
  <conditionalFormatting sqref="U1:V1">
    <cfRule type="containsText" dxfId="809" priority="912" operator="containsText" text="EN REVISIÓN CENTRAL">
      <formula>NOT(ISERROR(SEARCH("EN REVISIÓN CENTRAL",U1)))</formula>
    </cfRule>
  </conditionalFormatting>
  <conditionalFormatting sqref="Z1:AA1">
    <cfRule type="containsText" dxfId="540" priority="896" operator="containsText" text="SI">
      <formula>NOT(ISERROR(SEARCH("SI",Z1)))</formula>
    </cfRule>
  </conditionalFormatting>
  <conditionalFormatting sqref="W1:X1">
    <cfRule type="containsText" dxfId="539" priority="900" operator="containsText" text="EN PROCESO">
      <formula>NOT(ISERROR(SEARCH("EN PROCESO",W1)))</formula>
    </cfRule>
    <cfRule type="containsText" dxfId="538" priority="901" operator="containsText" text="ENVIADO">
      <formula>NOT(ISERROR(SEARCH("ENVIADO",W1)))</formula>
    </cfRule>
  </conditionalFormatting>
  <conditionalFormatting sqref="Y1">
    <cfRule type="containsText" dxfId="487" priority="899" operator="containsText" text="PROGRAMADAS">
      <formula>NOT(ISERROR(SEARCH("PROGRAMADAS",Y1)))</formula>
    </cfRule>
    <cfRule type="containsText" dxfId="486" priority="898" operator="containsText" text="CONCLUIDAS">
      <formula>NOT(ISERROR(SEARCH("CONCLUIDAS",Y1)))</formula>
    </cfRule>
  </conditionalFormatting>
  <conditionalFormatting sqref="Z1:AA1">
    <cfRule type="containsText" dxfId="483" priority="897" operator="containsText" text="NO">
      <formula>NOT(ISERROR(SEARCH("NO",Z1)))</formula>
    </cfRule>
  </conditionalFormatting>
  <conditionalFormatting sqref="AC1">
    <cfRule type="dataBar" priority="198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198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2:S613">
    <cfRule type="containsText" dxfId="453" priority="449" operator="containsText" text="ENVIADO A TICS">
      <formula>NOT(ISERROR(SEARCH("ENVIADO A TICS",S2)))</formula>
    </cfRule>
    <cfRule type="containsText" dxfId="455" priority="450" operator="containsText" text="ENTREGADO/REVISIÓN">
      <formula>NOT(ISERROR(SEARCH("ENTREGADO/REVISIÓN",S2)))</formula>
    </cfRule>
    <cfRule type="containsText" dxfId="454" priority="451" operator="containsText" text="ENVIADO A LA CE/UM">
      <formula>NOT(ISERROR(SEARCH("ENVIADO A LA CE/UM",S2)))</formula>
    </cfRule>
  </conditionalFormatting>
  <conditionalFormatting sqref="T2:T610">
    <cfRule type="containsText" dxfId="452" priority="448" operator="containsText" text="EN PROCESO">
      <formula>NOT(ISERROR(SEARCH("EN PROCESO",T2)))</formula>
    </cfRule>
  </conditionalFormatting>
  <conditionalFormatting sqref="T2:T63">
    <cfRule type="containsText" dxfId="450" priority="119" operator="containsText" text="EN PROCESO">
      <formula>NOT(ISERROR(SEARCH("EN PROCESO",T2)))</formula>
    </cfRule>
    <cfRule type="containsText" dxfId="449" priority="120" operator="containsText" text="ENVIADO">
      <formula>NOT(ISERROR(SEARCH("ENVIADO",T2)))</formula>
    </cfRule>
    <cfRule type="containsText" dxfId="448" priority="121" operator="containsText" text="EN PROCESO">
      <formula>NOT(ISERROR(SEARCH("EN PROCESO",T2)))</formula>
    </cfRule>
    <cfRule type="containsText" dxfId="451" priority="122" operator="containsText" text="ENVIADO">
      <formula>NOT(ISERROR(SEARCH("ENVIADO",T2)))</formula>
    </cfRule>
  </conditionalFormatting>
  <conditionalFormatting sqref="T89:T95">
    <cfRule type="containsText" dxfId="444" priority="115" operator="containsText" text="EN PROCESO">
      <formula>NOT(ISERROR(SEARCH("EN PROCESO",T89)))</formula>
    </cfRule>
    <cfRule type="containsText" dxfId="447" priority="116" operator="containsText" text="ENVIADO">
      <formula>NOT(ISERROR(SEARCH("ENVIADO",T89)))</formula>
    </cfRule>
    <cfRule type="containsText" dxfId="446" priority="117" operator="containsText" text="EN PROCESO">
      <formula>NOT(ISERROR(SEARCH("EN PROCESO",T89)))</formula>
    </cfRule>
    <cfRule type="containsText" dxfId="445" priority="118" operator="containsText" text="ENVIADO">
      <formula>NOT(ISERROR(SEARCH("ENVIADO",T89)))</formula>
    </cfRule>
  </conditionalFormatting>
  <conditionalFormatting sqref="T98">
    <cfRule type="containsText" dxfId="443" priority="111" operator="containsText" text="EN PROCESO">
      <formula>NOT(ISERROR(SEARCH("EN PROCESO",T98)))</formula>
    </cfRule>
    <cfRule type="containsText" dxfId="440" priority="112" operator="containsText" text="ENVIADO">
      <formula>NOT(ISERROR(SEARCH("ENVIADO",T98)))</formula>
    </cfRule>
    <cfRule type="containsText" dxfId="441" priority="113" operator="containsText" text="EN PROCESO">
      <formula>NOT(ISERROR(SEARCH("EN PROCESO",T98)))</formula>
    </cfRule>
    <cfRule type="containsText" dxfId="442" priority="114" operator="containsText" text="ENVIADO">
      <formula>NOT(ISERROR(SEARCH("ENVIADO",T98)))</formula>
    </cfRule>
  </conditionalFormatting>
  <conditionalFormatting sqref="T100">
    <cfRule type="containsText" dxfId="436" priority="107" operator="containsText" text="EN PROCESO">
      <formula>NOT(ISERROR(SEARCH("EN PROCESO",T100)))</formula>
    </cfRule>
    <cfRule type="containsText" dxfId="437" priority="108" operator="containsText" text="ENVIADO">
      <formula>NOT(ISERROR(SEARCH("ENVIADO",T100)))</formula>
    </cfRule>
    <cfRule type="containsText" dxfId="438" priority="109" operator="containsText" text="EN PROCESO">
      <formula>NOT(ISERROR(SEARCH("EN PROCESO",T100)))</formula>
    </cfRule>
    <cfRule type="containsText" dxfId="439" priority="110" operator="containsText" text="ENVIADO">
      <formula>NOT(ISERROR(SEARCH("ENVIADO",T100)))</formula>
    </cfRule>
  </conditionalFormatting>
  <conditionalFormatting sqref="T100:T102">
    <cfRule type="containsText" dxfId="432" priority="103" operator="containsText" text="EN PROCESO">
      <formula>NOT(ISERROR(SEARCH("EN PROCESO",T100)))</formula>
    </cfRule>
    <cfRule type="containsText" dxfId="433" priority="104" operator="containsText" text="ENVIADO">
      <formula>NOT(ISERROR(SEARCH("ENVIADO",T100)))</formula>
    </cfRule>
    <cfRule type="containsText" dxfId="434" priority="105" operator="containsText" text="EN PROCESO">
      <formula>NOT(ISERROR(SEARCH("EN PROCESO",T100)))</formula>
    </cfRule>
    <cfRule type="containsText" dxfId="435" priority="106" operator="containsText" text="ENVIADO">
      <formula>NOT(ISERROR(SEARCH("ENVIADO",T100)))</formula>
    </cfRule>
  </conditionalFormatting>
  <conditionalFormatting sqref="T104:T105">
    <cfRule type="containsText" dxfId="431" priority="101" operator="containsText" text="EN PROCESO">
      <formula>NOT(ISERROR(SEARCH("EN PROCESO",T104)))</formula>
    </cfRule>
    <cfRule type="containsText" dxfId="430" priority="102" operator="containsText" text="ENVIADO">
      <formula>NOT(ISERROR(SEARCH("ENVIADO",T104)))</formula>
    </cfRule>
  </conditionalFormatting>
  <conditionalFormatting sqref="T104:T106 T109:T112 T118:T121">
    <cfRule type="containsText" dxfId="429" priority="5" operator="containsText" text="EN PROCESO">
      <formula>NOT(ISERROR(SEARCH("EN PROCESO",T104)))</formula>
    </cfRule>
    <cfRule type="containsText" dxfId="428" priority="6" operator="containsText" text="ENVIADO">
      <formula>NOT(ISERROR(SEARCH("ENVIADO",T104)))</formula>
    </cfRule>
  </conditionalFormatting>
  <conditionalFormatting sqref="T106 T112 T118:T121">
    <cfRule type="containsText" dxfId="426" priority="3" operator="containsText" text="EN PROCESO">
      <formula>NOT(ISERROR(SEARCH("EN PROCESO",T106)))</formula>
    </cfRule>
    <cfRule type="containsText" dxfId="427" priority="4" operator="containsText" text="ENVIADO">
      <formula>NOT(ISERROR(SEARCH("ENVIADO",T106)))</formula>
    </cfRule>
  </conditionalFormatting>
  <conditionalFormatting sqref="T109:T111">
    <cfRule type="containsText" dxfId="425" priority="99" operator="containsText" text="EN PROCESO">
      <formula>NOT(ISERROR(SEARCH("EN PROCESO",T109)))</formula>
    </cfRule>
    <cfRule type="containsText" dxfId="424" priority="100" operator="containsText" text="ENVIADO">
      <formula>NOT(ISERROR(SEARCH("ENVIADO",T109)))</formula>
    </cfRule>
  </conditionalFormatting>
  <conditionalFormatting sqref="T276:T282">
    <cfRule type="containsText" dxfId="423" priority="7" operator="containsText" text="EN PROCESO">
      <formula>NOT(ISERROR(SEARCH("EN PROCESO",T276)))</formula>
    </cfRule>
    <cfRule type="containsText" dxfId="422" priority="8" operator="containsText" text="ENVIADO">
      <formula>NOT(ISERROR(SEARCH("ENVIADO",T276)))</formula>
    </cfRule>
    <cfRule type="containsText" dxfId="421" priority="9" operator="containsText" text="EN PROCESO">
      <formula>NOT(ISERROR(SEARCH("EN PROCESO",T276)))</formula>
    </cfRule>
    <cfRule type="containsText" dxfId="420" priority="10" operator="containsText" text="ENVIADO">
      <formula>NOT(ISERROR(SEARCH("ENVIADO",T276)))</formula>
    </cfRule>
  </conditionalFormatting>
  <conditionalFormatting sqref="T291">
    <cfRule type="containsText" dxfId="419" priority="95" operator="containsText" text="EN PROCESO">
      <formula>NOT(ISERROR(SEARCH("EN PROCESO",T291)))</formula>
    </cfRule>
    <cfRule type="containsText" dxfId="418" priority="96" operator="containsText" text="ENVIADO">
      <formula>NOT(ISERROR(SEARCH("ENVIADO",T291)))</formula>
    </cfRule>
    <cfRule type="containsText" dxfId="416" priority="97" operator="containsText" text="EN PROCESO">
      <formula>NOT(ISERROR(SEARCH("EN PROCESO",T291)))</formula>
    </cfRule>
    <cfRule type="containsText" dxfId="417" priority="98" operator="containsText" text="ENVIADO">
      <formula>NOT(ISERROR(SEARCH("ENVIADO",T291)))</formula>
    </cfRule>
  </conditionalFormatting>
  <conditionalFormatting sqref="T293">
    <cfRule type="containsText" dxfId="412" priority="392" operator="containsText" text="EN PROCESO">
      <formula>NOT(ISERROR(SEARCH("EN PROCESO",T293)))</formula>
    </cfRule>
    <cfRule type="containsText" dxfId="413" priority="393" operator="containsText" text="ENVIADO">
      <formula>NOT(ISERROR(SEARCH("ENVIADO",T293)))</formula>
    </cfRule>
    <cfRule type="containsText" dxfId="414" priority="394" operator="containsText" text="EN PROCESO">
      <formula>NOT(ISERROR(SEARCH("EN PROCESO",T293)))</formula>
    </cfRule>
    <cfRule type="containsText" dxfId="415" priority="395" operator="containsText" text="ENVIADO">
      <formula>NOT(ISERROR(SEARCH("ENVIADO",T293)))</formula>
    </cfRule>
  </conditionalFormatting>
  <conditionalFormatting sqref="T293:T294">
    <cfRule type="containsText" dxfId="410" priority="93" operator="containsText" text="EN PROCESO">
      <formula>NOT(ISERROR(SEARCH("EN PROCESO",T293)))</formula>
    </cfRule>
    <cfRule type="containsText" dxfId="411" priority="94" operator="containsText" text="ENVIADO">
      <formula>NOT(ISERROR(SEARCH("ENVIADO",T293)))</formula>
    </cfRule>
  </conditionalFormatting>
  <conditionalFormatting sqref="T294">
    <cfRule type="containsText" dxfId="408" priority="91" operator="containsText" text="EN PROCESO">
      <formula>NOT(ISERROR(SEARCH("EN PROCESO",T294)))</formula>
    </cfRule>
    <cfRule type="containsText" dxfId="409" priority="92" operator="containsText" text="ENVIADO">
      <formula>NOT(ISERROR(SEARCH("ENVIADO",T294)))</formula>
    </cfRule>
  </conditionalFormatting>
  <conditionalFormatting sqref="T296">
    <cfRule type="containsText" dxfId="407" priority="87" operator="containsText" text="EN PROCESO">
      <formula>NOT(ISERROR(SEARCH("EN PROCESO",T296)))</formula>
    </cfRule>
    <cfRule type="containsText" dxfId="404" priority="88" operator="containsText" text="ENVIADO">
      <formula>NOT(ISERROR(SEARCH("ENVIADO",T296)))</formula>
    </cfRule>
    <cfRule type="containsText" dxfId="405" priority="89" operator="containsText" text="EN PROCESO">
      <formula>NOT(ISERROR(SEARCH("EN PROCESO",T296)))</formula>
    </cfRule>
    <cfRule type="containsText" dxfId="406" priority="90" operator="containsText" text="ENVIADO">
      <formula>NOT(ISERROR(SEARCH("ENVIADO",T296)))</formula>
    </cfRule>
  </conditionalFormatting>
  <conditionalFormatting sqref="T302">
    <cfRule type="containsText" dxfId="400" priority="83" operator="containsText" text="EN PROCESO">
      <formula>NOT(ISERROR(SEARCH("EN PROCESO",T302)))</formula>
    </cfRule>
    <cfRule type="containsText" dxfId="403" priority="84" operator="containsText" text="ENVIADO">
      <formula>NOT(ISERROR(SEARCH("ENVIADO",T302)))</formula>
    </cfRule>
    <cfRule type="containsText" dxfId="401" priority="85" operator="containsText" text="EN PROCESO">
      <formula>NOT(ISERROR(SEARCH("EN PROCESO",T302)))</formula>
    </cfRule>
    <cfRule type="containsText" dxfId="402" priority="86" operator="containsText" text="ENVIADO">
      <formula>NOT(ISERROR(SEARCH("ENVIADO",T302)))</formula>
    </cfRule>
  </conditionalFormatting>
  <conditionalFormatting sqref="T304">
    <cfRule type="containsText" dxfId="399" priority="79" operator="containsText" text="EN PROCESO">
      <formula>NOT(ISERROR(SEARCH("EN PROCESO",T304)))</formula>
    </cfRule>
    <cfRule type="containsText" dxfId="398" priority="80" operator="containsText" text="ENVIADO">
      <formula>NOT(ISERROR(SEARCH("ENVIADO",T304)))</formula>
    </cfRule>
    <cfRule type="containsText" dxfId="397" priority="81" operator="containsText" text="EN PROCESO">
      <formula>NOT(ISERROR(SEARCH("EN PROCESO",T304)))</formula>
    </cfRule>
    <cfRule type="containsText" dxfId="396" priority="82" operator="containsText" text="ENVIADO">
      <formula>NOT(ISERROR(SEARCH("ENVIADO",T304)))</formula>
    </cfRule>
  </conditionalFormatting>
  <conditionalFormatting sqref="T306">
    <cfRule type="containsText" dxfId="395" priority="75" operator="containsText" text="EN PROCESO">
      <formula>NOT(ISERROR(SEARCH("EN PROCESO",T306)))</formula>
    </cfRule>
    <cfRule type="containsText" dxfId="394" priority="76" operator="containsText" text="ENVIADO">
      <formula>NOT(ISERROR(SEARCH("ENVIADO",T306)))</formula>
    </cfRule>
    <cfRule type="containsText" dxfId="393" priority="77" operator="containsText" text="EN PROCESO">
      <formula>NOT(ISERROR(SEARCH("EN PROCESO",T306)))</formula>
    </cfRule>
    <cfRule type="containsText" dxfId="392" priority="78" operator="containsText" text="ENVIADO">
      <formula>NOT(ISERROR(SEARCH("ENVIADO",T306)))</formula>
    </cfRule>
  </conditionalFormatting>
  <conditionalFormatting sqref="T308:T313">
    <cfRule type="containsText" dxfId="391" priority="71" operator="containsText" text="EN PROCESO">
      <formula>NOT(ISERROR(SEARCH("EN PROCESO",T308)))</formula>
    </cfRule>
    <cfRule type="containsText" dxfId="390" priority="72" operator="containsText" text="ENVIADO">
      <formula>NOT(ISERROR(SEARCH("ENVIADO",T308)))</formula>
    </cfRule>
    <cfRule type="containsText" dxfId="389" priority="73" operator="containsText" text="EN PROCESO">
      <formula>NOT(ISERROR(SEARCH("EN PROCESO",T308)))</formula>
    </cfRule>
    <cfRule type="containsText" dxfId="388" priority="74" operator="containsText" text="ENVIADO">
      <formula>NOT(ISERROR(SEARCH("ENVIADO",T308)))</formula>
    </cfRule>
  </conditionalFormatting>
  <conditionalFormatting sqref="T328:T336">
    <cfRule type="containsText" dxfId="384" priority="67" operator="containsText" text="EN PROCESO">
      <formula>NOT(ISERROR(SEARCH("EN PROCESO",T328)))</formula>
    </cfRule>
    <cfRule type="containsText" dxfId="385" priority="68" operator="containsText" text="ENVIADO">
      <formula>NOT(ISERROR(SEARCH("ENVIADO",T328)))</formula>
    </cfRule>
    <cfRule type="containsText" dxfId="386" priority="69" operator="containsText" text="EN PROCESO">
      <formula>NOT(ISERROR(SEARCH("EN PROCESO",T328)))</formula>
    </cfRule>
    <cfRule type="containsText" dxfId="387" priority="70" operator="containsText" text="ENVIADO">
      <formula>NOT(ISERROR(SEARCH("ENVIADO",T328)))</formula>
    </cfRule>
  </conditionalFormatting>
  <conditionalFormatting sqref="T384">
    <cfRule type="containsText" dxfId="381" priority="63" operator="containsText" text="EN PROCESO">
      <formula>NOT(ISERROR(SEARCH("EN PROCESO",T384)))</formula>
    </cfRule>
    <cfRule type="containsText" dxfId="380" priority="64" operator="containsText" text="ENVIADO">
      <formula>NOT(ISERROR(SEARCH("ENVIADO",T384)))</formula>
    </cfRule>
    <cfRule type="containsText" dxfId="383" priority="65" operator="containsText" text="EN PROCESO">
      <formula>NOT(ISERROR(SEARCH("EN PROCESO",T384)))</formula>
    </cfRule>
    <cfRule type="containsText" dxfId="382" priority="66" operator="containsText" text="ENVIADO">
      <formula>NOT(ISERROR(SEARCH("ENVIADO",T384)))</formula>
    </cfRule>
  </conditionalFormatting>
  <conditionalFormatting sqref="T445:T454">
    <cfRule type="containsText" dxfId="379" priority="59" operator="containsText" text="EN PROCESO">
      <formula>NOT(ISERROR(SEARCH("EN PROCESO",T445)))</formula>
    </cfRule>
    <cfRule type="containsText" dxfId="376" priority="60" operator="containsText" text="ENVIADO">
      <formula>NOT(ISERROR(SEARCH("ENVIADO",T445)))</formula>
    </cfRule>
    <cfRule type="containsText" dxfId="378" priority="61" operator="containsText" text="EN PROCESO">
      <formula>NOT(ISERROR(SEARCH("EN PROCESO",T445)))</formula>
    </cfRule>
    <cfRule type="containsText" dxfId="377" priority="62" operator="containsText" text="ENVIADO">
      <formula>NOT(ISERROR(SEARCH("ENVIADO",T445)))</formula>
    </cfRule>
  </conditionalFormatting>
  <conditionalFormatting sqref="T516:T520">
    <cfRule type="containsText" dxfId="374" priority="55" operator="containsText" text="EN PROCESO">
      <formula>NOT(ISERROR(SEARCH("EN PROCESO",T516)))</formula>
    </cfRule>
    <cfRule type="containsText" dxfId="373" priority="56" operator="containsText" text="ENVIADO">
      <formula>NOT(ISERROR(SEARCH("ENVIADO",T516)))</formula>
    </cfRule>
    <cfRule type="containsText" dxfId="372" priority="57" operator="containsText" text="EN PROCESO">
      <formula>NOT(ISERROR(SEARCH("EN PROCESO",T516)))</formula>
    </cfRule>
    <cfRule type="containsText" dxfId="375" priority="58" operator="containsText" text="ENVIADO">
      <formula>NOT(ISERROR(SEARCH("ENVIADO",T516)))</formula>
    </cfRule>
  </conditionalFormatting>
  <conditionalFormatting sqref="T532">
    <cfRule type="containsText" dxfId="371" priority="51" operator="containsText" text="EN PROCESO">
      <formula>NOT(ISERROR(SEARCH("EN PROCESO",T532)))</formula>
    </cfRule>
    <cfRule type="containsText" dxfId="370" priority="52" operator="containsText" text="ENVIADO">
      <formula>NOT(ISERROR(SEARCH("ENVIADO",T532)))</formula>
    </cfRule>
    <cfRule type="containsText" dxfId="368" priority="53" operator="containsText" text="EN PROCESO">
      <formula>NOT(ISERROR(SEARCH("EN PROCESO",T532)))</formula>
    </cfRule>
    <cfRule type="containsText" dxfId="369" priority="54" operator="containsText" text="ENVIADO">
      <formula>NOT(ISERROR(SEARCH("ENVIADO",T532)))</formula>
    </cfRule>
  </conditionalFormatting>
  <conditionalFormatting sqref="T540">
    <cfRule type="containsText" dxfId="366" priority="47" operator="containsText" text="EN PROCESO">
      <formula>NOT(ISERROR(SEARCH("EN PROCESO",T540)))</formula>
    </cfRule>
    <cfRule type="containsText" dxfId="365" priority="48" operator="containsText" text="ENVIADO">
      <formula>NOT(ISERROR(SEARCH("ENVIADO",T540)))</formula>
    </cfRule>
    <cfRule type="containsText" dxfId="367" priority="49" operator="containsText" text="EN PROCESO">
      <formula>NOT(ISERROR(SEARCH("EN PROCESO",T540)))</formula>
    </cfRule>
    <cfRule type="containsText" dxfId="364" priority="50" operator="containsText" text="ENVIADO">
      <formula>NOT(ISERROR(SEARCH("ENVIADO",T540)))</formula>
    </cfRule>
  </conditionalFormatting>
  <conditionalFormatting sqref="T543:T544">
    <cfRule type="containsText" dxfId="363" priority="43" operator="containsText" text="EN PROCESO">
      <formula>NOT(ISERROR(SEARCH("EN PROCESO",T543)))</formula>
    </cfRule>
    <cfRule type="containsText" dxfId="362" priority="44" operator="containsText" text="ENVIADO">
      <formula>NOT(ISERROR(SEARCH("ENVIADO",T543)))</formula>
    </cfRule>
    <cfRule type="containsText" dxfId="361" priority="45" operator="containsText" text="EN PROCESO">
      <formula>NOT(ISERROR(SEARCH("EN PROCESO",T543)))</formula>
    </cfRule>
    <cfRule type="containsText" dxfId="360" priority="46" operator="containsText" text="ENVIADO">
      <formula>NOT(ISERROR(SEARCH("ENVIADO",T543)))</formula>
    </cfRule>
  </conditionalFormatting>
  <conditionalFormatting sqref="T546">
    <cfRule type="containsText" dxfId="359" priority="39" operator="containsText" text="EN PROCESO">
      <formula>NOT(ISERROR(SEARCH("EN PROCESO",T546)))</formula>
    </cfRule>
    <cfRule type="containsText" dxfId="356" priority="40" operator="containsText" text="ENVIADO">
      <formula>NOT(ISERROR(SEARCH("ENVIADO",T546)))</formula>
    </cfRule>
    <cfRule type="containsText" dxfId="357" priority="41" operator="containsText" text="EN PROCESO">
      <formula>NOT(ISERROR(SEARCH("EN PROCESO",T546)))</formula>
    </cfRule>
    <cfRule type="containsText" dxfId="358" priority="42" operator="containsText" text="ENVIADO">
      <formula>NOT(ISERROR(SEARCH("ENVIADO",T546)))</formula>
    </cfRule>
  </conditionalFormatting>
  <conditionalFormatting sqref="T565">
    <cfRule type="containsText" dxfId="354" priority="35" operator="containsText" text="EN PROCESO">
      <formula>NOT(ISERROR(SEARCH("EN PROCESO",T565)))</formula>
    </cfRule>
    <cfRule type="containsText" dxfId="353" priority="36" operator="containsText" text="ENVIADO">
      <formula>NOT(ISERROR(SEARCH("ENVIADO",T565)))</formula>
    </cfRule>
    <cfRule type="containsText" dxfId="352" priority="37" operator="containsText" text="EN PROCESO">
      <formula>NOT(ISERROR(SEARCH("EN PROCESO",T565)))</formula>
    </cfRule>
    <cfRule type="containsText" dxfId="355" priority="38" operator="containsText" text="ENVIADO">
      <formula>NOT(ISERROR(SEARCH("ENVIADO",T565)))</formula>
    </cfRule>
  </conditionalFormatting>
  <conditionalFormatting sqref="T581">
    <cfRule type="containsText" dxfId="349" priority="31" operator="containsText" text="EN PROCESO">
      <formula>NOT(ISERROR(SEARCH("EN PROCESO",T581)))</formula>
    </cfRule>
    <cfRule type="containsText" dxfId="348" priority="32" operator="containsText" text="ENVIADO">
      <formula>NOT(ISERROR(SEARCH("ENVIADO",T581)))</formula>
    </cfRule>
    <cfRule type="containsText" dxfId="350" priority="33" operator="containsText" text="EN PROCESO">
      <formula>NOT(ISERROR(SEARCH("EN PROCESO",T581)))</formula>
    </cfRule>
    <cfRule type="containsText" dxfId="351" priority="34" operator="containsText" text="ENVIADO">
      <formula>NOT(ISERROR(SEARCH("ENVIADO",T581)))</formula>
    </cfRule>
  </conditionalFormatting>
  <conditionalFormatting sqref="T590:T591">
    <cfRule type="containsText" dxfId="346" priority="27" operator="containsText" text="EN PROCESO">
      <formula>NOT(ISERROR(SEARCH("EN PROCESO",T590)))</formula>
    </cfRule>
    <cfRule type="containsText" dxfId="345" priority="28" operator="containsText" text="ENVIADO">
      <formula>NOT(ISERROR(SEARCH("ENVIADO",T590)))</formula>
    </cfRule>
    <cfRule type="containsText" dxfId="347" priority="29" operator="containsText" text="EN PROCESO">
      <formula>NOT(ISERROR(SEARCH("EN PROCESO",T590)))</formula>
    </cfRule>
    <cfRule type="containsText" dxfId="344" priority="30" operator="containsText" text="ENVIADO">
      <formula>NOT(ISERROR(SEARCH("ENVIADO",T590)))</formula>
    </cfRule>
  </conditionalFormatting>
  <conditionalFormatting sqref="T596:T597">
    <cfRule type="containsText" dxfId="342" priority="23" operator="containsText" text="EN PROCESO">
      <formula>NOT(ISERROR(SEARCH("EN PROCESO",T596)))</formula>
    </cfRule>
    <cfRule type="containsText" dxfId="341" priority="24" operator="containsText" text="ENVIADO">
      <formula>NOT(ISERROR(SEARCH("ENVIADO",T596)))</formula>
    </cfRule>
    <cfRule type="containsText" dxfId="343" priority="25" operator="containsText" text="EN PROCESO">
      <formula>NOT(ISERROR(SEARCH("EN PROCESO",T596)))</formula>
    </cfRule>
    <cfRule type="containsText" dxfId="340" priority="26" operator="containsText" text="ENVIADO">
      <formula>NOT(ISERROR(SEARCH("ENVIADO",T596)))</formula>
    </cfRule>
  </conditionalFormatting>
  <conditionalFormatting sqref="T605">
    <cfRule type="containsText" dxfId="338" priority="19" operator="containsText" text="EN PROCESO">
      <formula>NOT(ISERROR(SEARCH("EN PROCESO",T605)))</formula>
    </cfRule>
    <cfRule type="containsText" dxfId="339" priority="20" operator="containsText" text="ENVIADO">
      <formula>NOT(ISERROR(SEARCH("ENVIADO",T605)))</formula>
    </cfRule>
    <cfRule type="containsText" dxfId="336" priority="21" operator="containsText" text="EN PROCESO">
      <formula>NOT(ISERROR(SEARCH("EN PROCESO",T605)))</formula>
    </cfRule>
    <cfRule type="containsText" dxfId="337" priority="22" operator="containsText" text="ENVIADO">
      <formula>NOT(ISERROR(SEARCH("ENVIADO",T605)))</formula>
    </cfRule>
  </conditionalFormatting>
  <conditionalFormatting sqref="T609">
    <cfRule type="containsText" dxfId="333" priority="15" operator="containsText" text="EN PROCESO">
      <formula>NOT(ISERROR(SEARCH("EN PROCESO",T609)))</formula>
    </cfRule>
    <cfRule type="containsText" dxfId="334" priority="16" operator="containsText" text="ENVIADO">
      <formula>NOT(ISERROR(SEARCH("ENVIADO",T609)))</formula>
    </cfRule>
    <cfRule type="containsText" dxfId="335" priority="17" operator="containsText" text="EN PROCESO">
      <formula>NOT(ISERROR(SEARCH("EN PROCESO",T609)))</formula>
    </cfRule>
    <cfRule type="containsText" dxfId="332" priority="18" operator="containsText" text="ENVIADO">
      <formula>NOT(ISERROR(SEARCH("ENVIADO",T609)))</formula>
    </cfRule>
  </conditionalFormatting>
  <conditionalFormatting sqref="T612:T613">
    <cfRule type="containsText" dxfId="331" priority="460" operator="containsText" text="EN PROCESO">
      <formula>NOT(ISERROR(SEARCH("EN PROCESO",T612)))</formula>
    </cfRule>
  </conditionalFormatting>
  <conditionalFormatting sqref="T611:U611">
    <cfRule type="containsText" dxfId="329" priority="13" operator="containsText" text="EN REVISIÓN CENTRAL">
      <formula>NOT(ISERROR(SEARCH("EN REVISIÓN CENTRAL",T611)))</formula>
    </cfRule>
    <cfRule type="containsText" dxfId="330" priority="14" operator="containsText" text="ENVIADO A LA CE/UM">
      <formula>NOT(ISERROR(SEARCH("ENVIADO A LA CE/UM",T611)))</formula>
    </cfRule>
  </conditionalFormatting>
  <conditionalFormatting sqref="T2:X613">
    <cfRule type="containsText" dxfId="328" priority="455" operator="containsText" text="CONCLUIDO">
      <formula>NOT(ISERROR(SEARCH("CONCLUIDO",T2)))</formula>
    </cfRule>
  </conditionalFormatting>
  <conditionalFormatting sqref="U2:U610 V2:V613 U612:U613">
    <cfRule type="containsText" dxfId="327" priority="459" operator="containsText" text="ENVIADO A LA CE/UM">
      <formula>NOT(ISERROR(SEARCH("ENVIADO A LA CE/UM",U2)))</formula>
    </cfRule>
  </conditionalFormatting>
  <conditionalFormatting sqref="U2:V610 V611:V613 U612:U613">
    <cfRule type="containsText" dxfId="326" priority="458" operator="containsText" text="EN REVISIÓN CENTRAL">
      <formula>NOT(ISERROR(SEARCH("EN REVISIÓN CENTRAL",U2)))</formula>
    </cfRule>
  </conditionalFormatting>
  <conditionalFormatting sqref="W49:W98">
    <cfRule type="containsText" dxfId="325" priority="369" operator="containsText" text="EN PROCESO">
      <formula>NOT(ISERROR(SEARCH("EN PROCESO",W49)))</formula>
    </cfRule>
    <cfRule type="containsText" dxfId="324" priority="370" operator="containsText" text="ENVIADO">
      <formula>NOT(ISERROR(SEARCH("ENVIADO",W49)))</formula>
    </cfRule>
  </conditionalFormatting>
  <conditionalFormatting sqref="W64:W96">
    <cfRule type="containsText" dxfId="323" priority="424" operator="containsText" text="EN PROCESO">
      <formula>NOT(ISERROR(SEARCH("EN PROCESO",W64)))</formula>
    </cfRule>
    <cfRule type="containsText" dxfId="322" priority="425" operator="containsText" text="ENVIADO">
      <formula>NOT(ISERROR(SEARCH("ENVIADO",W64)))</formula>
    </cfRule>
  </conditionalFormatting>
  <conditionalFormatting sqref="W98:W107">
    <cfRule type="containsText" dxfId="321" priority="323" operator="containsText" text="EN PROCESO">
      <formula>NOT(ISERROR(SEARCH("EN PROCESO",W98)))</formula>
    </cfRule>
    <cfRule type="containsText" dxfId="320" priority="324" operator="containsText" text="ENVIADO">
      <formula>NOT(ISERROR(SEARCH("ENVIADO",W98)))</formula>
    </cfRule>
  </conditionalFormatting>
  <conditionalFormatting sqref="W100:W104">
    <cfRule type="containsText" dxfId="319" priority="367" operator="containsText" text="EN PROCESO">
      <formula>NOT(ISERROR(SEARCH("EN PROCESO",W100)))</formula>
    </cfRule>
    <cfRule type="containsText" dxfId="318" priority="368" operator="containsText" text="ENVIADO">
      <formula>NOT(ISERROR(SEARCH("ENVIADO",W100)))</formula>
    </cfRule>
  </conditionalFormatting>
  <conditionalFormatting sqref="W105:W108">
    <cfRule type="containsText" dxfId="317" priority="245" operator="containsText" text="EN PROCESO">
      <formula>NOT(ISERROR(SEARCH("EN PROCESO",W105)))</formula>
    </cfRule>
    <cfRule type="containsText" dxfId="316" priority="246" operator="containsText" text="ENVIADO">
      <formula>NOT(ISERROR(SEARCH("ENVIADO",W105)))</formula>
    </cfRule>
  </conditionalFormatting>
  <conditionalFormatting sqref="W108">
    <cfRule type="containsText" dxfId="314" priority="243" operator="containsText" text="EN PROCESO">
      <formula>NOT(ISERROR(SEARCH("EN PROCESO",W108)))</formula>
    </cfRule>
    <cfRule type="containsText" dxfId="315" priority="244" operator="containsText" text="ENVIADO">
      <formula>NOT(ISERROR(SEARCH("ENVIADO",W108)))</formula>
    </cfRule>
  </conditionalFormatting>
  <conditionalFormatting sqref="W109:W121">
    <cfRule type="containsText" dxfId="313" priority="365" operator="containsText" text="EN PROCESO">
      <formula>NOT(ISERROR(SEARCH("EN PROCESO",W109)))</formula>
    </cfRule>
    <cfRule type="containsText" dxfId="312" priority="366" operator="containsText" text="ENVIADO">
      <formula>NOT(ISERROR(SEARCH("ENVIADO",W109)))</formula>
    </cfRule>
  </conditionalFormatting>
  <conditionalFormatting sqref="W109:W290">
    <cfRule type="containsText" dxfId="310" priority="321" operator="containsText" text="EN PROCESO">
      <formula>NOT(ISERROR(SEARCH("EN PROCESO",W109)))</formula>
    </cfRule>
    <cfRule type="containsText" dxfId="311" priority="322" operator="containsText" text="ENVIADO">
      <formula>NOT(ISERROR(SEARCH("ENVIADO",W109)))</formula>
    </cfRule>
  </conditionalFormatting>
  <conditionalFormatting sqref="W117:W221">
    <cfRule type="containsText" dxfId="309" priority="426" operator="containsText" text="EN PROCESO">
      <formula>NOT(ISERROR(SEARCH("EN PROCESO",W117)))</formula>
    </cfRule>
    <cfRule type="containsText" dxfId="308" priority="427" operator="containsText" text="ENVIADO">
      <formula>NOT(ISERROR(SEARCH("ENVIADO",W117)))</formula>
    </cfRule>
  </conditionalFormatting>
  <conditionalFormatting sqref="W222:W241">
    <cfRule type="containsText" dxfId="306" priority="363" operator="containsText" text="EN PROCESO">
      <formula>NOT(ISERROR(SEARCH("EN PROCESO",W222)))</formula>
    </cfRule>
    <cfRule type="containsText" dxfId="307" priority="364" operator="containsText" text="ENVIADO">
      <formula>NOT(ISERROR(SEARCH("ENVIADO",W222)))</formula>
    </cfRule>
  </conditionalFormatting>
  <conditionalFormatting sqref="W239:W240">
    <cfRule type="containsText" dxfId="304" priority="428" operator="containsText" text="EN PROCESO">
      <formula>NOT(ISERROR(SEARCH("EN PROCESO",W239)))</formula>
    </cfRule>
    <cfRule type="containsText" dxfId="305" priority="429" operator="containsText" text="ENVIADO">
      <formula>NOT(ISERROR(SEARCH("ENVIADO",W239)))</formula>
    </cfRule>
  </conditionalFormatting>
  <conditionalFormatting sqref="W242:W290">
    <cfRule type="containsText" dxfId="302" priority="319" operator="containsText" text="EN PROCESO">
      <formula>NOT(ISERROR(SEARCH("EN PROCESO",W242)))</formula>
    </cfRule>
    <cfRule type="containsText" dxfId="303" priority="320" operator="containsText" text="ENVIADO">
      <formula>NOT(ISERROR(SEARCH("ENVIADO",W242)))</formula>
    </cfRule>
  </conditionalFormatting>
  <conditionalFormatting sqref="W276:W291">
    <cfRule type="containsText" dxfId="300" priority="361" operator="containsText" text="EN PROCESO">
      <formula>NOT(ISERROR(SEARCH("EN PROCESO",W276)))</formula>
    </cfRule>
    <cfRule type="containsText" dxfId="301" priority="362" operator="containsText" text="ENVIADO">
      <formula>NOT(ISERROR(SEARCH("ENVIADO",W276)))</formula>
    </cfRule>
  </conditionalFormatting>
  <conditionalFormatting sqref="W292:W293">
    <cfRule type="containsText" dxfId="299" priority="239" operator="containsText" text="EN PROCESO">
      <formula>NOT(ISERROR(SEARCH("EN PROCESO",W292)))</formula>
    </cfRule>
    <cfRule type="containsText" dxfId="298" priority="240" operator="containsText" text="ENVIADO">
      <formula>NOT(ISERROR(SEARCH("ENVIADO",W292)))</formula>
    </cfRule>
  </conditionalFormatting>
  <conditionalFormatting sqref="W292:W294">
    <cfRule type="containsText" dxfId="297" priority="241" operator="containsText" text="EN PROCESO">
      <formula>NOT(ISERROR(SEARCH("EN PROCESO",W292)))</formula>
    </cfRule>
    <cfRule type="containsText" dxfId="296" priority="242" operator="containsText" text="ENVIADO">
      <formula>NOT(ISERROR(SEARCH("ENVIADO",W292)))</formula>
    </cfRule>
  </conditionalFormatting>
  <conditionalFormatting sqref="W293">
    <cfRule type="containsText" dxfId="294" priority="396" operator="containsText" text="EN PROCESO">
      <formula>NOT(ISERROR(SEARCH("EN PROCESO",W293)))</formula>
    </cfRule>
    <cfRule type="containsText" dxfId="295" priority="397" operator="containsText" text="ENVIADO">
      <formula>NOT(ISERROR(SEARCH("ENVIADO",W293)))</formula>
    </cfRule>
  </conditionalFormatting>
  <conditionalFormatting sqref="W293:W294">
    <cfRule type="containsText" dxfId="292" priority="357" operator="containsText" text="EN PROCESO">
      <formula>NOT(ISERROR(SEARCH("EN PROCESO",W293)))</formula>
    </cfRule>
    <cfRule type="containsText" dxfId="293" priority="358" operator="containsText" text="ENVIADO">
      <formula>NOT(ISERROR(SEARCH("ENVIADO",W293)))</formula>
    </cfRule>
  </conditionalFormatting>
  <conditionalFormatting sqref="W295">
    <cfRule type="containsText" dxfId="284" priority="231" operator="containsText" text="EN PROCESO">
      <formula>NOT(ISERROR(SEARCH("EN PROCESO",W295)))</formula>
    </cfRule>
    <cfRule type="containsText" dxfId="285" priority="232" operator="containsText" text="ENVIADO">
      <formula>NOT(ISERROR(SEARCH("ENVIADO",W295)))</formula>
    </cfRule>
    <cfRule type="containsText" dxfId="291" priority="233" operator="containsText" text="EN PROCESO">
      <formula>NOT(ISERROR(SEARCH("EN PROCESO",W295)))</formula>
    </cfRule>
    <cfRule type="containsText" dxfId="290" priority="234" operator="containsText" text="ENVIADO">
      <formula>NOT(ISERROR(SEARCH("ENVIADO",W295)))</formula>
    </cfRule>
    <cfRule type="containsText" dxfId="289" priority="235" operator="containsText" text="EN PROCESO">
      <formula>NOT(ISERROR(SEARCH("EN PROCESO",W295)))</formula>
    </cfRule>
    <cfRule type="containsText" dxfId="286" priority="236" operator="containsText" text="ENVIADO">
      <formula>NOT(ISERROR(SEARCH("ENVIADO",W295)))</formula>
    </cfRule>
    <cfRule type="containsText" dxfId="288" priority="237" operator="containsText" text="EN PROCESO">
      <formula>NOT(ISERROR(SEARCH("EN PROCESO",W295)))</formula>
    </cfRule>
    <cfRule type="containsText" dxfId="287" priority="238" operator="containsText" text="ENVIADO">
      <formula>NOT(ISERROR(SEARCH("ENVIADO",W295)))</formula>
    </cfRule>
  </conditionalFormatting>
  <conditionalFormatting sqref="W296:W308">
    <cfRule type="containsText" dxfId="281" priority="317" operator="containsText" text="EN PROCESO">
      <formula>NOT(ISERROR(SEARCH("EN PROCESO",W296)))</formula>
    </cfRule>
    <cfRule type="containsText" dxfId="282" priority="318" operator="containsText" text="ENVIADO">
      <formula>NOT(ISERROR(SEARCH("ENVIADO",W296)))</formula>
    </cfRule>
    <cfRule type="containsText" dxfId="283" priority="355" operator="containsText" text="EN PROCESO">
      <formula>NOT(ISERROR(SEARCH("EN PROCESO",W296)))</formula>
    </cfRule>
    <cfRule type="containsText" dxfId="280" priority="356" operator="containsText" text="ENVIADO">
      <formula>NOT(ISERROR(SEARCH("ENVIADO",W296)))</formula>
    </cfRule>
  </conditionalFormatting>
  <conditionalFormatting sqref="W300">
    <cfRule type="containsText" dxfId="278" priority="315" operator="containsText" text="EN PROCESO">
      <formula>NOT(ISERROR(SEARCH("EN PROCESO",W300)))</formula>
    </cfRule>
    <cfRule type="containsText" dxfId="279" priority="316" operator="containsText" text="ENVIADO">
      <formula>NOT(ISERROR(SEARCH("ENVIADO",W300)))</formula>
    </cfRule>
  </conditionalFormatting>
  <conditionalFormatting sqref="W309:W310">
    <cfRule type="containsText" dxfId="276" priority="223" operator="containsText" text="EN PROCESO">
      <formula>NOT(ISERROR(SEARCH("EN PROCESO",W309)))</formula>
    </cfRule>
    <cfRule type="containsText" dxfId="277" priority="224" operator="containsText" text="ENVIADO">
      <formula>NOT(ISERROR(SEARCH("ENVIADO",W309)))</formula>
    </cfRule>
    <cfRule type="containsText" dxfId="275" priority="225" operator="containsText" text="EN PROCESO">
      <formula>NOT(ISERROR(SEARCH("EN PROCESO",W309)))</formula>
    </cfRule>
    <cfRule type="containsText" dxfId="272" priority="226" operator="containsText" text="ENVIADO">
      <formula>NOT(ISERROR(SEARCH("ENVIADO",W309)))</formula>
    </cfRule>
    <cfRule type="containsText" dxfId="273" priority="227" operator="containsText" text="EN PROCESO">
      <formula>NOT(ISERROR(SEARCH("EN PROCESO",W309)))</formula>
    </cfRule>
    <cfRule type="containsText" dxfId="274" priority="228" operator="containsText" text="ENVIADO">
      <formula>NOT(ISERROR(SEARCH("ENVIADO",W309)))</formula>
    </cfRule>
  </conditionalFormatting>
  <conditionalFormatting sqref="W309:W312">
    <cfRule type="containsText" dxfId="270" priority="229" operator="containsText" text="EN PROCESO">
      <formula>NOT(ISERROR(SEARCH("EN PROCESO",W309)))</formula>
    </cfRule>
    <cfRule type="containsText" dxfId="271" priority="230" operator="containsText" text="ENVIADO">
      <formula>NOT(ISERROR(SEARCH("ENVIADO",W309)))</formula>
    </cfRule>
  </conditionalFormatting>
  <conditionalFormatting sqref="W311:W312">
    <cfRule type="containsText" dxfId="269" priority="353" operator="containsText" text="EN PROCESO">
      <formula>NOT(ISERROR(SEARCH("EN PROCESO",W311)))</formula>
    </cfRule>
    <cfRule type="containsText" dxfId="268" priority="354" operator="containsText" text="ENVIADO">
      <formula>NOT(ISERROR(SEARCH("ENVIADO",W311)))</formula>
    </cfRule>
  </conditionalFormatting>
  <conditionalFormatting sqref="W313">
    <cfRule type="containsText" dxfId="262" priority="215" operator="containsText" text="EN PROCESO">
      <formula>NOT(ISERROR(SEARCH("EN PROCESO",W313)))</formula>
    </cfRule>
    <cfRule type="containsText" dxfId="265" priority="216" operator="containsText" text="ENVIADO">
      <formula>NOT(ISERROR(SEARCH("ENVIADO",W313)))</formula>
    </cfRule>
    <cfRule type="containsText" dxfId="266" priority="217" operator="containsText" text="EN PROCESO">
      <formula>NOT(ISERROR(SEARCH("EN PROCESO",W313)))</formula>
    </cfRule>
    <cfRule type="containsText" dxfId="267" priority="218" operator="containsText" text="ENVIADO">
      <formula>NOT(ISERROR(SEARCH("ENVIADO",W313)))</formula>
    </cfRule>
    <cfRule type="containsText" dxfId="264" priority="219" operator="containsText" text="EN PROCESO">
      <formula>NOT(ISERROR(SEARCH("EN PROCESO",W313)))</formula>
    </cfRule>
    <cfRule type="containsText" dxfId="263" priority="220" operator="containsText" text="ENVIADO">
      <formula>NOT(ISERROR(SEARCH("ENVIADO",W313)))</formula>
    </cfRule>
  </conditionalFormatting>
  <conditionalFormatting sqref="W313:W327">
    <cfRule type="containsText" dxfId="261" priority="221" operator="containsText" text="EN PROCESO">
      <formula>NOT(ISERROR(SEARCH("EN PROCESO",W313)))</formula>
    </cfRule>
    <cfRule type="containsText" dxfId="260" priority="222" operator="containsText" text="ENVIADO">
      <formula>NOT(ISERROR(SEARCH("ENVIADO",W313)))</formula>
    </cfRule>
  </conditionalFormatting>
  <conditionalFormatting sqref="W314:W336">
    <cfRule type="containsText" dxfId="259" priority="351" operator="containsText" text="EN PROCESO">
      <formula>NOT(ISERROR(SEARCH("EN PROCESO",W314)))</formula>
    </cfRule>
    <cfRule type="containsText" dxfId="258" priority="352" operator="containsText" text="ENVIADO">
      <formula>NOT(ISERROR(SEARCH("ENVIADO",W314)))</formula>
    </cfRule>
  </conditionalFormatting>
  <conditionalFormatting sqref="W314:W383">
    <cfRule type="containsText" dxfId="257" priority="313" operator="containsText" text="EN PROCESO">
      <formula>NOT(ISERROR(SEARCH("EN PROCESO",W314)))</formula>
    </cfRule>
    <cfRule type="containsText" dxfId="256" priority="314" operator="containsText" text="ENVIADO">
      <formula>NOT(ISERROR(SEARCH("ENVIADO",W314)))</formula>
    </cfRule>
  </conditionalFormatting>
  <conditionalFormatting sqref="W337:W407">
    <cfRule type="containsText" dxfId="252" priority="213" operator="containsText" text="EN PROCESO">
      <formula>NOT(ISERROR(SEARCH("EN PROCESO",W337)))</formula>
    </cfRule>
    <cfRule type="containsText" dxfId="255" priority="214" operator="containsText" text="ENVIADO">
      <formula>NOT(ISERROR(SEARCH("ENVIADO",W337)))</formula>
    </cfRule>
    <cfRule type="containsText" dxfId="253" priority="430" operator="containsText" text="EN PROCESO">
      <formula>NOT(ISERROR(SEARCH("EN PROCESO",W337)))</formula>
    </cfRule>
    <cfRule type="containsText" dxfId="254" priority="431" operator="containsText" text="ENVIADO">
      <formula>NOT(ISERROR(SEARCH("ENVIADO",W337)))</formula>
    </cfRule>
  </conditionalFormatting>
  <conditionalFormatting sqref="W384">
    <cfRule type="containsText" dxfId="251" priority="207" operator="containsText" text="EN PROCESO">
      <formula>NOT(ISERROR(SEARCH("EN PROCESO",W384)))</formula>
    </cfRule>
    <cfRule type="containsText" dxfId="250" priority="208" operator="containsText" text="ENVIADO">
      <formula>NOT(ISERROR(SEARCH("ENVIADO",W384)))</formula>
    </cfRule>
    <cfRule type="containsText" dxfId="249" priority="209" operator="containsText" text="EN PROCESO">
      <formula>NOT(ISERROR(SEARCH("EN PROCESO",W384)))</formula>
    </cfRule>
    <cfRule type="containsText" dxfId="248" priority="210" operator="containsText" text="ENVIADO">
      <formula>NOT(ISERROR(SEARCH("ENVIADO",W384)))</formula>
    </cfRule>
    <cfRule type="containsText" dxfId="247" priority="211" operator="containsText" text="EN PROCESO">
      <formula>NOT(ISERROR(SEARCH("EN PROCESO",W384)))</formula>
    </cfRule>
    <cfRule type="containsText" dxfId="246" priority="212" operator="containsText" text="ENVIADO">
      <formula>NOT(ISERROR(SEARCH("ENVIADO",W384)))</formula>
    </cfRule>
  </conditionalFormatting>
  <conditionalFormatting sqref="W385:W444">
    <cfRule type="containsText" dxfId="244" priority="311" operator="containsText" text="EN PROCESO">
      <formula>NOT(ISERROR(SEARCH("EN PROCESO",W385)))</formula>
    </cfRule>
    <cfRule type="containsText" dxfId="245" priority="312" operator="containsText" text="ENVIADO">
      <formula>NOT(ISERROR(SEARCH("ENVIADO",W385)))</formula>
    </cfRule>
  </conditionalFormatting>
  <conditionalFormatting sqref="W408">
    <cfRule type="containsText" dxfId="242" priority="349" operator="containsText" text="EN PROCESO">
      <formula>NOT(ISERROR(SEARCH("EN PROCESO",W408)))</formula>
    </cfRule>
    <cfRule type="containsText" dxfId="243" priority="350" operator="containsText" text="ENVIADO">
      <formula>NOT(ISERROR(SEARCH("ENVIADO",W408)))</formula>
    </cfRule>
  </conditionalFormatting>
  <conditionalFormatting sqref="W409:W451">
    <cfRule type="containsText" dxfId="240" priority="205" operator="containsText" text="EN PROCESO">
      <formula>NOT(ISERROR(SEARCH("EN PROCESO",W409)))</formula>
    </cfRule>
    <cfRule type="containsText" dxfId="241" priority="206" operator="containsText" text="ENVIADO">
      <formula>NOT(ISERROR(SEARCH("ENVIADO",W409)))</formula>
    </cfRule>
  </conditionalFormatting>
  <conditionalFormatting sqref="W409:W521">
    <cfRule type="containsText" dxfId="239" priority="432" operator="containsText" text="EN PROCESO">
      <formula>NOT(ISERROR(SEARCH("EN PROCESO",W409)))</formula>
    </cfRule>
    <cfRule type="containsText" dxfId="238" priority="433" operator="containsText" text="ENVIADO">
      <formula>NOT(ISERROR(SEARCH("ENVIADO",W409)))</formula>
    </cfRule>
  </conditionalFormatting>
  <conditionalFormatting sqref="W445:W449">
    <cfRule type="containsText" dxfId="232" priority="199" operator="containsText" text="EN PROCESO">
      <formula>NOT(ISERROR(SEARCH("EN PROCESO",W445)))</formula>
    </cfRule>
    <cfRule type="containsText" dxfId="233" priority="200" operator="containsText" text="ENVIADO">
      <formula>NOT(ISERROR(SEARCH("ENVIADO",W445)))</formula>
    </cfRule>
    <cfRule type="containsText" dxfId="234" priority="201" operator="containsText" text="EN PROCESO">
      <formula>NOT(ISERROR(SEARCH("EN PROCESO",W445)))</formula>
    </cfRule>
    <cfRule type="containsText" dxfId="235" priority="202" operator="containsText" text="ENVIADO">
      <formula>NOT(ISERROR(SEARCH("ENVIADO",W445)))</formula>
    </cfRule>
    <cfRule type="containsText" dxfId="236" priority="203" operator="containsText" text="EN PROCESO">
      <formula>NOT(ISERROR(SEARCH("EN PROCESO",W445)))</formula>
    </cfRule>
    <cfRule type="containsText" dxfId="237" priority="204" operator="containsText" text="ENVIADO">
      <formula>NOT(ISERROR(SEARCH("ENVIADO",W445)))</formula>
    </cfRule>
  </conditionalFormatting>
  <conditionalFormatting sqref="W450:W451">
    <cfRule type="containsText" dxfId="230" priority="347" operator="containsText" text="EN PROCESO">
      <formula>NOT(ISERROR(SEARCH("EN PROCESO",W450)))</formula>
    </cfRule>
    <cfRule type="containsText" dxfId="231" priority="348" operator="containsText" text="ENVIADO">
      <formula>NOT(ISERROR(SEARCH("ENVIADO",W450)))</formula>
    </cfRule>
  </conditionalFormatting>
  <conditionalFormatting sqref="W452:W453">
    <cfRule type="containsText" dxfId="228" priority="191" operator="containsText" text="EN PROCESO">
      <formula>NOT(ISERROR(SEARCH("EN PROCESO",W452)))</formula>
    </cfRule>
    <cfRule type="containsText" dxfId="226" priority="192" operator="containsText" text="ENVIADO">
      <formula>NOT(ISERROR(SEARCH("ENVIADO",W452)))</formula>
    </cfRule>
    <cfRule type="containsText" dxfId="227" priority="193" operator="containsText" text="EN PROCESO">
      <formula>NOT(ISERROR(SEARCH("EN PROCESO",W452)))</formula>
    </cfRule>
    <cfRule type="containsText" dxfId="229" priority="194" operator="containsText" text="ENVIADO">
      <formula>NOT(ISERROR(SEARCH("ENVIADO",W452)))</formula>
    </cfRule>
    <cfRule type="containsText" dxfId="224" priority="195" operator="containsText" text="EN PROCESO">
      <formula>NOT(ISERROR(SEARCH("EN PROCESO",W452)))</formula>
    </cfRule>
    <cfRule type="containsText" dxfId="225" priority="196" operator="containsText" text="ENVIADO">
      <formula>NOT(ISERROR(SEARCH("ENVIADO",W452)))</formula>
    </cfRule>
  </conditionalFormatting>
  <conditionalFormatting sqref="W452:W467">
    <cfRule type="containsText" dxfId="223" priority="197" operator="containsText" text="EN PROCESO">
      <formula>NOT(ISERROR(SEARCH("EN PROCESO",W452)))</formula>
    </cfRule>
    <cfRule type="containsText" dxfId="222" priority="198" operator="containsText" text="ENVIADO">
      <formula>NOT(ISERROR(SEARCH("ENVIADO",W452)))</formula>
    </cfRule>
  </conditionalFormatting>
  <conditionalFormatting sqref="W454">
    <cfRule type="containsText" dxfId="220" priority="345" operator="containsText" text="EN PROCESO">
      <formula>NOT(ISERROR(SEARCH("EN PROCESO",W454)))</formula>
    </cfRule>
    <cfRule type="containsText" dxfId="221" priority="346" operator="containsText" text="ENVIADO">
      <formula>NOT(ISERROR(SEARCH("ENVIADO",W454)))</formula>
    </cfRule>
  </conditionalFormatting>
  <conditionalFormatting sqref="W455:W482">
    <cfRule type="containsText" dxfId="219" priority="189" operator="containsText" text="EN PROCESO">
      <formula>NOT(ISERROR(SEARCH("EN PROCESO",W455)))</formula>
    </cfRule>
    <cfRule type="containsText" dxfId="218" priority="190" operator="containsText" text="ENVIADO">
      <formula>NOT(ISERROR(SEARCH("ENVIADO",W455)))</formula>
    </cfRule>
  </conditionalFormatting>
  <conditionalFormatting sqref="W468">
    <cfRule type="containsText" dxfId="215" priority="183" operator="containsText" text="EN PROCESO">
      <formula>NOT(ISERROR(SEARCH("EN PROCESO",W468)))</formula>
    </cfRule>
    <cfRule type="containsText" dxfId="214" priority="184" operator="containsText" text="ENVIADO">
      <formula>NOT(ISERROR(SEARCH("ENVIADO",W468)))</formula>
    </cfRule>
    <cfRule type="containsText" dxfId="213" priority="185" operator="containsText" text="EN PROCESO">
      <formula>NOT(ISERROR(SEARCH("EN PROCESO",W468)))</formula>
    </cfRule>
    <cfRule type="containsText" dxfId="212" priority="186" operator="containsText" text="ENVIADO">
      <formula>NOT(ISERROR(SEARCH("ENVIADO",W468)))</formula>
    </cfRule>
    <cfRule type="containsText" dxfId="217" priority="187" operator="containsText" text="EN PROCESO">
      <formula>NOT(ISERROR(SEARCH("EN PROCESO",W468)))</formula>
    </cfRule>
    <cfRule type="containsText" dxfId="216" priority="188" operator="containsText" text="ENVIADO">
      <formula>NOT(ISERROR(SEARCH("ENVIADO",W468)))</formula>
    </cfRule>
  </conditionalFormatting>
  <conditionalFormatting sqref="W469:W482">
    <cfRule type="containsText" dxfId="210" priority="309" operator="containsText" text="EN PROCESO">
      <formula>NOT(ISERROR(SEARCH("EN PROCESO",W469)))</formula>
    </cfRule>
    <cfRule type="containsText" dxfId="211" priority="310" operator="containsText" text="ENVIADO">
      <formula>NOT(ISERROR(SEARCH("ENVIADO",W469)))</formula>
    </cfRule>
  </conditionalFormatting>
  <conditionalFormatting sqref="W483">
    <cfRule type="containsText" dxfId="205" priority="175" operator="containsText" text="EN PROCESO">
      <formula>NOT(ISERROR(SEARCH("EN PROCESO",W483)))</formula>
    </cfRule>
    <cfRule type="containsText" dxfId="208" priority="176" operator="containsText" text="ENVIADO">
      <formula>NOT(ISERROR(SEARCH("ENVIADO",W483)))</formula>
    </cfRule>
    <cfRule type="containsText" dxfId="207" priority="177" operator="containsText" text="EN PROCESO">
      <formula>NOT(ISERROR(SEARCH("EN PROCESO",W483)))</formula>
    </cfRule>
    <cfRule type="containsText" dxfId="204" priority="178" operator="containsText" text="ENVIADO">
      <formula>NOT(ISERROR(SEARCH("ENVIADO",W483)))</formula>
    </cfRule>
    <cfRule type="containsText" dxfId="209" priority="179" operator="containsText" text="EN PROCESO">
      <formula>NOT(ISERROR(SEARCH("EN PROCESO",W483)))</formula>
    </cfRule>
    <cfRule type="containsText" dxfId="206" priority="180" operator="containsText" text="ENVIADO">
      <formula>NOT(ISERROR(SEARCH("ENVIADO",W483)))</formula>
    </cfRule>
  </conditionalFormatting>
  <conditionalFormatting sqref="W483:W517">
    <cfRule type="containsText" dxfId="203" priority="181" operator="containsText" text="EN PROCESO">
      <formula>NOT(ISERROR(SEARCH("EN PROCESO",W483)))</formula>
    </cfRule>
    <cfRule type="containsText" dxfId="202" priority="182" operator="containsText" text="ENVIADO">
      <formula>NOT(ISERROR(SEARCH("ENVIADO",W483)))</formula>
    </cfRule>
  </conditionalFormatting>
  <conditionalFormatting sqref="W484:W517">
    <cfRule type="containsText" dxfId="200" priority="307" operator="containsText" text="EN PROCESO">
      <formula>NOT(ISERROR(SEARCH("EN PROCESO",W484)))</formula>
    </cfRule>
    <cfRule type="containsText" dxfId="201" priority="308" operator="containsText" text="ENVIADO">
      <formula>NOT(ISERROR(SEARCH("ENVIADO",W484)))</formula>
    </cfRule>
  </conditionalFormatting>
  <conditionalFormatting sqref="W518">
    <cfRule type="containsText" dxfId="199" priority="167" operator="containsText" text="EN PROCESO">
      <formula>NOT(ISERROR(SEARCH("EN PROCESO",W518)))</formula>
    </cfRule>
    <cfRule type="containsText" dxfId="196" priority="168" operator="containsText" text="ENVIADO">
      <formula>NOT(ISERROR(SEARCH("ENVIADO",W518)))</formula>
    </cfRule>
    <cfRule type="containsText" dxfId="195" priority="169" operator="containsText" text="EN PROCESO">
      <formula>NOT(ISERROR(SEARCH("EN PROCESO",W518)))</formula>
    </cfRule>
    <cfRule type="containsText" dxfId="194" priority="170" operator="containsText" text="ENVIADO">
      <formula>NOT(ISERROR(SEARCH("ENVIADO",W518)))</formula>
    </cfRule>
    <cfRule type="containsText" dxfId="197" priority="171" operator="containsText" text="EN PROCESO">
      <formula>NOT(ISERROR(SEARCH("EN PROCESO",W518)))</formula>
    </cfRule>
    <cfRule type="containsText" dxfId="198" priority="172" operator="containsText" text="ENVIADO">
      <formula>NOT(ISERROR(SEARCH("ENVIADO",W518)))</formula>
    </cfRule>
  </conditionalFormatting>
  <conditionalFormatting sqref="W518:W519">
    <cfRule type="containsText" dxfId="193" priority="173" operator="containsText" text="EN PROCESO">
      <formula>NOT(ISERROR(SEARCH("EN PROCESO",W518)))</formula>
    </cfRule>
    <cfRule type="containsText" dxfId="192" priority="174" operator="containsText" text="ENVIADO">
      <formula>NOT(ISERROR(SEARCH("ENVIADO",W518)))</formula>
    </cfRule>
  </conditionalFormatting>
  <conditionalFormatting sqref="W519:W531">
    <cfRule type="containsText" dxfId="190" priority="305" operator="containsText" text="EN PROCESO">
      <formula>NOT(ISERROR(SEARCH("EN PROCESO",W519)))</formula>
    </cfRule>
    <cfRule type="containsText" dxfId="191" priority="306" operator="containsText" text="ENVIADO">
      <formula>NOT(ISERROR(SEARCH("ENVIADO",W519)))</formula>
    </cfRule>
  </conditionalFormatting>
  <conditionalFormatting sqref="W520">
    <cfRule type="containsText" dxfId="188" priority="343" operator="containsText" text="EN PROCESO">
      <formula>NOT(ISERROR(SEARCH("EN PROCESO",W520)))</formula>
    </cfRule>
    <cfRule type="containsText" dxfId="189" priority="344" operator="containsText" text="ENVIADO">
      <formula>NOT(ISERROR(SEARCH("ENVIADO",W520)))</formula>
    </cfRule>
  </conditionalFormatting>
  <conditionalFormatting sqref="W521">
    <cfRule type="containsText" dxfId="184" priority="434" operator="containsText" text="EN PROCESO">
      <formula>NOT(ISERROR(SEARCH("EN PROCESO",W521)))</formula>
    </cfRule>
    <cfRule type="containsText" dxfId="185" priority="435" operator="containsText" text="ENVIADO">
      <formula>NOT(ISERROR(SEARCH("ENVIADO",W521)))</formula>
    </cfRule>
    <cfRule type="containsText" dxfId="186" priority="436" operator="containsText" text="EN PROCESO">
      <formula>NOT(ISERROR(SEARCH("EN PROCESO",W521)))</formula>
    </cfRule>
    <cfRule type="containsText" dxfId="187" priority="437" operator="containsText" text="ENVIADO">
      <formula>NOT(ISERROR(SEARCH("ENVIADO",W521)))</formula>
    </cfRule>
  </conditionalFormatting>
  <conditionalFormatting sqref="W521:W530">
    <cfRule type="containsText" dxfId="182" priority="303" operator="containsText" text="EN PROCESO">
      <formula>NOT(ISERROR(SEARCH("EN PROCESO",W521)))</formula>
    </cfRule>
    <cfRule type="containsText" dxfId="183" priority="304" operator="containsText" text="ENVIADO">
      <formula>NOT(ISERROR(SEARCH("ENVIADO",W521)))</formula>
    </cfRule>
  </conditionalFormatting>
  <conditionalFormatting sqref="W521:W545">
    <cfRule type="containsText" dxfId="181" priority="438" operator="containsText" text="EN PROCESO">
      <formula>NOT(ISERROR(SEARCH("EN PROCESO",W521)))</formula>
    </cfRule>
    <cfRule type="containsText" dxfId="180" priority="439" operator="containsText" text="ENVIADO">
      <formula>NOT(ISERROR(SEARCH("ENVIADO",W521)))</formula>
    </cfRule>
  </conditionalFormatting>
  <conditionalFormatting sqref="W531">
    <cfRule type="containsText" dxfId="178" priority="341" operator="containsText" text="EN PROCESO">
      <formula>NOT(ISERROR(SEARCH("EN PROCESO",W531)))</formula>
    </cfRule>
    <cfRule type="containsText" dxfId="179" priority="342" operator="containsText" text="ENVIADO">
      <formula>NOT(ISERROR(SEARCH("ENVIADO",W531)))</formula>
    </cfRule>
  </conditionalFormatting>
  <conditionalFormatting sqref="W532:W539">
    <cfRule type="containsText" dxfId="176" priority="301" operator="containsText" text="EN PROCESO">
      <formula>NOT(ISERROR(SEARCH("EN PROCESO",W532)))</formula>
    </cfRule>
    <cfRule type="containsText" dxfId="177" priority="302" operator="containsText" text="ENVIADO">
      <formula>NOT(ISERROR(SEARCH("ENVIADO",W532)))</formula>
    </cfRule>
  </conditionalFormatting>
  <conditionalFormatting sqref="W532:W542">
    <cfRule type="containsText" dxfId="175" priority="165" operator="containsText" text="EN PROCESO">
      <formula>NOT(ISERROR(SEARCH("EN PROCESO",W532)))</formula>
    </cfRule>
    <cfRule type="containsText" dxfId="174" priority="166" operator="containsText" text="ENVIADO">
      <formula>NOT(ISERROR(SEARCH("ENVIADO",W532)))</formula>
    </cfRule>
  </conditionalFormatting>
  <conditionalFormatting sqref="W540">
    <cfRule type="containsText" dxfId="167" priority="157" operator="containsText" text="EN PROCESO">
      <formula>NOT(ISERROR(SEARCH("EN PROCESO",W540)))</formula>
    </cfRule>
    <cfRule type="containsText" dxfId="168" priority="158" operator="containsText" text="ENVIADO">
      <formula>NOT(ISERROR(SEARCH("ENVIADO",W540)))</formula>
    </cfRule>
    <cfRule type="containsText" dxfId="166" priority="159" operator="containsText" text="EN PROCESO">
      <formula>NOT(ISERROR(SEARCH("EN PROCESO",W540)))</formula>
    </cfRule>
    <cfRule type="containsText" dxfId="169" priority="160" operator="containsText" text="ENVIADO">
      <formula>NOT(ISERROR(SEARCH("ENVIADO",W540)))</formula>
    </cfRule>
    <cfRule type="containsText" dxfId="170" priority="161" operator="containsText" text="EN PROCESO">
      <formula>NOT(ISERROR(SEARCH("EN PROCESO",W540)))</formula>
    </cfRule>
    <cfRule type="containsText" dxfId="171" priority="162" operator="containsText" text="ENVIADO">
      <formula>NOT(ISERROR(SEARCH("ENVIADO",W540)))</formula>
    </cfRule>
    <cfRule type="containsText" dxfId="172" priority="163" operator="containsText" text="EN PROCESO">
      <formula>NOT(ISERROR(SEARCH("EN PROCESO",W540)))</formula>
    </cfRule>
    <cfRule type="containsText" dxfId="173" priority="164" operator="containsText" text="ENVIADO">
      <formula>NOT(ISERROR(SEARCH("ENVIADO",W540)))</formula>
    </cfRule>
  </conditionalFormatting>
  <conditionalFormatting sqref="W541:W542">
    <cfRule type="containsText" dxfId="164" priority="299" operator="containsText" text="EN PROCESO">
      <formula>NOT(ISERROR(SEARCH("EN PROCESO",W541)))</formula>
    </cfRule>
    <cfRule type="containsText" dxfId="165" priority="300" operator="containsText" text="ENVIADO">
      <formula>NOT(ISERROR(SEARCH("ENVIADO",W541)))</formula>
    </cfRule>
  </conditionalFormatting>
  <conditionalFormatting sqref="W543">
    <cfRule type="containsText" dxfId="162" priority="147" operator="containsText" text="EN PROCESO">
      <formula>NOT(ISERROR(SEARCH("EN PROCESO",W543)))</formula>
    </cfRule>
    <cfRule type="containsText" dxfId="161" priority="148" operator="containsText" text="ENVIADO">
      <formula>NOT(ISERROR(SEARCH("ENVIADO",W543)))</formula>
    </cfRule>
    <cfRule type="containsText" dxfId="154" priority="149" operator="containsText" text="EN PROCESO">
      <formula>NOT(ISERROR(SEARCH("EN PROCESO",W543)))</formula>
    </cfRule>
    <cfRule type="containsText" dxfId="155" priority="150" operator="containsText" text="ENVIADO">
      <formula>NOT(ISERROR(SEARCH("ENVIADO",W543)))</formula>
    </cfRule>
    <cfRule type="containsText" dxfId="156" priority="151" operator="containsText" text="EN PROCESO">
      <formula>NOT(ISERROR(SEARCH("EN PROCESO",W543)))</formula>
    </cfRule>
    <cfRule type="containsText" dxfId="163" priority="152" operator="containsText" text="ENVIADO">
      <formula>NOT(ISERROR(SEARCH("ENVIADO",W543)))</formula>
    </cfRule>
    <cfRule type="containsText" dxfId="157" priority="153" operator="containsText" text="EN PROCESO">
      <formula>NOT(ISERROR(SEARCH("EN PROCESO",W543)))</formula>
    </cfRule>
    <cfRule type="containsText" dxfId="158" priority="154" operator="containsText" text="ENVIADO">
      <formula>NOT(ISERROR(SEARCH("ENVIADO",W543)))</formula>
    </cfRule>
    <cfRule type="containsText" dxfId="160" priority="155" operator="containsText" text="EN PROCESO">
      <formula>NOT(ISERROR(SEARCH("EN PROCESO",W543)))</formula>
    </cfRule>
    <cfRule type="containsText" dxfId="159" priority="156" operator="containsText" text="ENVIADO">
      <formula>NOT(ISERROR(SEARCH("ENVIADO",W543)))</formula>
    </cfRule>
  </conditionalFormatting>
  <conditionalFormatting sqref="W544">
    <cfRule type="containsText" dxfId="153" priority="339" operator="containsText" text="EN PROCESO">
      <formula>NOT(ISERROR(SEARCH("EN PROCESO",W544)))</formula>
    </cfRule>
    <cfRule type="containsText" dxfId="152" priority="340" operator="containsText" text="ENVIADO">
      <formula>NOT(ISERROR(SEARCH("ENVIADO",W544)))</formula>
    </cfRule>
  </conditionalFormatting>
  <conditionalFormatting sqref="W544:W546">
    <cfRule type="containsText" dxfId="150" priority="297" operator="containsText" text="EN PROCESO">
      <formula>NOT(ISERROR(SEARCH("EN PROCESO",W544)))</formula>
    </cfRule>
    <cfRule type="containsText" dxfId="151" priority="298" operator="containsText" text="ENVIADO">
      <formula>NOT(ISERROR(SEARCH("ENVIADO",W544)))</formula>
    </cfRule>
  </conditionalFormatting>
  <conditionalFormatting sqref="W544:W590">
    <cfRule type="containsText" dxfId="148" priority="440" operator="containsText" text="EN PROCESO">
      <formula>NOT(ISERROR(SEARCH("EN PROCESO",W544)))</formula>
    </cfRule>
    <cfRule type="containsText" dxfId="149" priority="441" operator="containsText" text="ENVIADO">
      <formula>NOT(ISERROR(SEARCH("ENVIADO",W544)))</formula>
    </cfRule>
  </conditionalFormatting>
  <conditionalFormatting sqref="W545">
    <cfRule type="containsText" dxfId="146" priority="295" operator="containsText" text="EN PROCESO">
      <formula>NOT(ISERROR(SEARCH("EN PROCESO",W545)))</formula>
    </cfRule>
    <cfRule type="containsText" dxfId="147" priority="296" operator="containsText" text="ENVIADO">
      <formula>NOT(ISERROR(SEARCH("ENVIADO",W545)))</formula>
    </cfRule>
  </conditionalFormatting>
  <conditionalFormatting sqref="W546">
    <cfRule type="containsText" dxfId="144" priority="337" operator="containsText" text="EN PROCESO">
      <formula>NOT(ISERROR(SEARCH("EN PROCESO",W546)))</formula>
    </cfRule>
    <cfRule type="containsText" dxfId="145" priority="338" operator="containsText" text="ENVIADO">
      <formula>NOT(ISERROR(SEARCH("ENVIADO",W546)))</formula>
    </cfRule>
  </conditionalFormatting>
  <conditionalFormatting sqref="W547">
    <cfRule type="containsText" dxfId="139" priority="289" operator="containsText" text="EN PROCESO">
      <formula>NOT(ISERROR(SEARCH("EN PROCESO",W547)))</formula>
    </cfRule>
    <cfRule type="containsText" dxfId="140" priority="290" operator="containsText" text="ENVIADO">
      <formula>NOT(ISERROR(SEARCH("ENVIADO",W547)))</formula>
    </cfRule>
    <cfRule type="containsText" dxfId="138" priority="291" operator="containsText" text="EN PROCESO">
      <formula>NOT(ISERROR(SEARCH("EN PROCESO",W547)))</formula>
    </cfRule>
    <cfRule type="containsText" dxfId="143" priority="292" operator="containsText" text="ENVIADO">
      <formula>NOT(ISERROR(SEARCH("ENVIADO",W547)))</formula>
    </cfRule>
    <cfRule type="containsText" dxfId="142" priority="293" operator="containsText" text="EN PROCESO">
      <formula>NOT(ISERROR(SEARCH("EN PROCESO",W547)))</formula>
    </cfRule>
    <cfRule type="containsText" dxfId="141" priority="294" operator="containsText" text="ENVIADO">
      <formula>NOT(ISERROR(SEARCH("ENVIADO",W547)))</formula>
    </cfRule>
  </conditionalFormatting>
  <conditionalFormatting sqref="W547:W562">
    <cfRule type="containsText" dxfId="135" priority="283" operator="containsText" text="EN PROCESO">
      <formula>NOT(ISERROR(SEARCH("EN PROCESO",W547)))</formula>
    </cfRule>
    <cfRule type="containsText" dxfId="134" priority="284" operator="containsText" text="ENVIADO">
      <formula>NOT(ISERROR(SEARCH("ENVIADO",W547)))</formula>
    </cfRule>
    <cfRule type="containsText" dxfId="137" priority="285" operator="containsText" text="EN PROCESO">
      <formula>NOT(ISERROR(SEARCH("EN PROCESO",W547)))</formula>
    </cfRule>
    <cfRule type="containsText" dxfId="136" priority="286" operator="containsText" text="ENVIADO">
      <formula>NOT(ISERROR(SEARCH("ENVIADO",W547)))</formula>
    </cfRule>
  </conditionalFormatting>
  <conditionalFormatting sqref="W547:W563">
    <cfRule type="containsText" dxfId="133" priority="287" operator="containsText" text="EN PROCESO">
      <formula>NOT(ISERROR(SEARCH("EN PROCESO",W547)))</formula>
    </cfRule>
    <cfRule type="containsText" dxfId="132" priority="288" operator="containsText" text="ENVIADO">
      <formula>NOT(ISERROR(SEARCH("ENVIADO",W547)))</formula>
    </cfRule>
  </conditionalFormatting>
  <conditionalFormatting sqref="W563">
    <cfRule type="containsText" dxfId="130" priority="335" operator="containsText" text="EN PROCESO">
      <formula>NOT(ISERROR(SEARCH("EN PROCESO",W563)))</formula>
    </cfRule>
    <cfRule type="containsText" dxfId="131" priority="336" operator="containsText" text="ENVIADO">
      <formula>NOT(ISERROR(SEARCH("ENVIADO",W563)))</formula>
    </cfRule>
  </conditionalFormatting>
  <conditionalFormatting sqref="W564">
    <cfRule type="containsText" dxfId="127" priority="277" operator="containsText" text="EN PROCESO">
      <formula>NOT(ISERROR(SEARCH("EN PROCESO",W564)))</formula>
    </cfRule>
    <cfRule type="containsText" dxfId="126" priority="278" operator="containsText" text="ENVIADO">
      <formula>NOT(ISERROR(SEARCH("ENVIADO",W564)))</formula>
    </cfRule>
    <cfRule type="containsText" dxfId="129" priority="279" operator="containsText" text="EN PROCESO">
      <formula>NOT(ISERROR(SEARCH("EN PROCESO",W564)))</formula>
    </cfRule>
    <cfRule type="containsText" dxfId="128" priority="280" operator="containsText" text="ENVIADO">
      <formula>NOT(ISERROR(SEARCH("ENVIADO",W564)))</formula>
    </cfRule>
  </conditionalFormatting>
  <conditionalFormatting sqref="W564:W565">
    <cfRule type="containsText" dxfId="125" priority="281" operator="containsText" text="EN PROCESO">
      <formula>NOT(ISERROR(SEARCH("EN PROCESO",W564)))</formula>
    </cfRule>
    <cfRule type="containsText" dxfId="124" priority="282" operator="containsText" text="ENVIADO">
      <formula>NOT(ISERROR(SEARCH("ENVIADO",W564)))</formula>
    </cfRule>
  </conditionalFormatting>
  <conditionalFormatting sqref="W565">
    <cfRule type="containsText" dxfId="122" priority="333" operator="containsText" text="EN PROCESO">
      <formula>NOT(ISERROR(SEARCH("EN PROCESO",W565)))</formula>
    </cfRule>
    <cfRule type="containsText" dxfId="123" priority="334" operator="containsText" text="ENVIADO">
      <formula>NOT(ISERROR(SEARCH("ENVIADO",W565)))</formula>
    </cfRule>
    <cfRule type="containsText" dxfId="121" priority="398" operator="containsText" text="EN PROCESO">
      <formula>NOT(ISERROR(SEARCH("EN PROCESO",W565)))</formula>
    </cfRule>
    <cfRule type="containsText" dxfId="120" priority="399" operator="containsText" text="ENVIADO">
      <formula>NOT(ISERROR(SEARCH("ENVIADO",W565)))</formula>
    </cfRule>
    <cfRule type="containsText" dxfId="118" priority="400" operator="containsText" text="EN PROCESO">
      <formula>NOT(ISERROR(SEARCH("EN PROCESO",W565)))</formula>
    </cfRule>
    <cfRule type="containsText" dxfId="119" priority="401" operator="containsText" text="ENVIADO">
      <formula>NOT(ISERROR(SEARCH("ENVIADO",W565)))</formula>
    </cfRule>
  </conditionalFormatting>
  <conditionalFormatting sqref="W566:W580">
    <cfRule type="containsText" dxfId="114" priority="271" operator="containsText" text="EN PROCESO">
      <formula>NOT(ISERROR(SEARCH("EN PROCESO",W566)))</formula>
    </cfRule>
    <cfRule type="containsText" dxfId="115" priority="272" operator="containsText" text="ENVIADO">
      <formula>NOT(ISERROR(SEARCH("ENVIADO",W566)))</formula>
    </cfRule>
    <cfRule type="containsText" dxfId="116" priority="273" operator="containsText" text="EN PROCESO">
      <formula>NOT(ISERROR(SEARCH("EN PROCESO",W566)))</formula>
    </cfRule>
    <cfRule type="containsText" dxfId="117" priority="274" operator="containsText" text="ENVIADO">
      <formula>NOT(ISERROR(SEARCH("ENVIADO",W566)))</formula>
    </cfRule>
  </conditionalFormatting>
  <conditionalFormatting sqref="W566:W581">
    <cfRule type="containsText" dxfId="112" priority="275" operator="containsText" text="EN PROCESO">
      <formula>NOT(ISERROR(SEARCH("EN PROCESO",W566)))</formula>
    </cfRule>
    <cfRule type="containsText" dxfId="113" priority="276" operator="containsText" text="ENVIADO">
      <formula>NOT(ISERROR(SEARCH("ENVIADO",W566)))</formula>
    </cfRule>
  </conditionalFormatting>
  <conditionalFormatting sqref="W581">
    <cfRule type="containsText" dxfId="110" priority="331" operator="containsText" text="EN PROCESO">
      <formula>NOT(ISERROR(SEARCH("EN PROCESO",W581)))</formula>
    </cfRule>
    <cfRule type="containsText" dxfId="111" priority="332" operator="containsText" text="ENVIADO">
      <formula>NOT(ISERROR(SEARCH("ENVIADO",W581)))</formula>
    </cfRule>
  </conditionalFormatting>
  <conditionalFormatting sqref="W582:W589">
    <cfRule type="containsText" dxfId="107" priority="267" operator="containsText" text="EN PROCESO">
      <formula>NOT(ISERROR(SEARCH("EN PROCESO",W582)))</formula>
    </cfRule>
    <cfRule type="containsText" dxfId="109" priority="268" operator="containsText" text="ENVIADO">
      <formula>NOT(ISERROR(SEARCH("ENVIADO",W582)))</formula>
    </cfRule>
    <cfRule type="containsText" dxfId="108" priority="269" operator="containsText" text="EN PROCESO">
      <formula>NOT(ISERROR(SEARCH("EN PROCESO",W582)))</formula>
    </cfRule>
    <cfRule type="containsText" dxfId="106" priority="270" operator="containsText" text="ENVIADO">
      <formula>NOT(ISERROR(SEARCH("ENVIADO",W582)))</formula>
    </cfRule>
  </conditionalFormatting>
  <conditionalFormatting sqref="W582:W590">
    <cfRule type="containsText" dxfId="105" priority="145" operator="containsText" text="EN PROCESO">
      <formula>NOT(ISERROR(SEARCH("EN PROCESO",W582)))</formula>
    </cfRule>
    <cfRule type="containsText" dxfId="104" priority="146" operator="containsText" text="ENVIADO">
      <formula>NOT(ISERROR(SEARCH("ENVIADO",W582)))</formula>
    </cfRule>
  </conditionalFormatting>
  <conditionalFormatting sqref="W590">
    <cfRule type="containsText" dxfId="101" priority="137" operator="containsText" text="EN PROCESO">
      <formula>NOT(ISERROR(SEARCH("EN PROCESO",W590)))</formula>
    </cfRule>
    <cfRule type="containsText" dxfId="103" priority="138" operator="containsText" text="ENVIADO">
      <formula>NOT(ISERROR(SEARCH("ENVIADO",W590)))</formula>
    </cfRule>
    <cfRule type="containsText" dxfId="102" priority="139" operator="containsText" text="EN PROCESO">
      <formula>NOT(ISERROR(SEARCH("EN PROCESO",W590)))</formula>
    </cfRule>
    <cfRule type="containsText" dxfId="99" priority="140" operator="containsText" text="ENVIADO">
      <formula>NOT(ISERROR(SEARCH("ENVIADO",W590)))</formula>
    </cfRule>
    <cfRule type="containsText" dxfId="98" priority="141" operator="containsText" text="EN PROCESO">
      <formula>NOT(ISERROR(SEARCH("EN PROCESO",W590)))</formula>
    </cfRule>
    <cfRule type="containsText" dxfId="97" priority="142" operator="containsText" text="ENVIADO">
      <formula>NOT(ISERROR(SEARCH("ENVIADO",W590)))</formula>
    </cfRule>
    <cfRule type="containsText" dxfId="96" priority="143" operator="containsText" text="EN PROCESO">
      <formula>NOT(ISERROR(SEARCH("EN PROCESO",W590)))</formula>
    </cfRule>
    <cfRule type="containsText" dxfId="100" priority="144" operator="containsText" text="ENVIADO">
      <formula>NOT(ISERROR(SEARCH("ENVIADO",W590)))</formula>
    </cfRule>
  </conditionalFormatting>
  <conditionalFormatting sqref="W591">
    <cfRule type="containsText" dxfId="94" priority="329" operator="containsText" text="EN PROCESO">
      <formula>NOT(ISERROR(SEARCH("EN PROCESO",W591)))</formula>
    </cfRule>
    <cfRule type="containsText" dxfId="95" priority="330" operator="containsText" text="ENVIADO">
      <formula>NOT(ISERROR(SEARCH("ENVIADO",W591)))</formula>
    </cfRule>
  </conditionalFormatting>
  <conditionalFormatting sqref="W591:W597">
    <cfRule type="containsText" dxfId="92" priority="265" operator="containsText" text="EN PROCESO">
      <formula>NOT(ISERROR(SEARCH("EN PROCESO",W591)))</formula>
    </cfRule>
    <cfRule type="containsText" dxfId="93" priority="266" operator="containsText" text="ENVIADO">
      <formula>NOT(ISERROR(SEARCH("ENVIADO",W591)))</formula>
    </cfRule>
  </conditionalFormatting>
  <conditionalFormatting sqref="W591:W613 X596">
    <cfRule type="containsText" dxfId="90" priority="456" operator="containsText" text="EN PROCESO">
      <formula>NOT(ISERROR(SEARCH("EN PROCESO",W591)))</formula>
    </cfRule>
    <cfRule type="containsText" dxfId="91" priority="457" operator="containsText" text="ENVIADO">
      <formula>NOT(ISERROR(SEARCH("ENVIADO",W591)))</formula>
    </cfRule>
  </conditionalFormatting>
  <conditionalFormatting sqref="W592:W596">
    <cfRule type="containsText" dxfId="86" priority="261" operator="containsText" text="EN PROCESO">
      <formula>NOT(ISERROR(SEARCH("EN PROCESO",W592)))</formula>
    </cfRule>
    <cfRule type="containsText" dxfId="87" priority="262" operator="containsText" text="ENVIADO">
      <formula>NOT(ISERROR(SEARCH("ENVIADO",W592)))</formula>
    </cfRule>
    <cfRule type="containsText" dxfId="88" priority="263" operator="containsText" text="EN PROCESO">
      <formula>NOT(ISERROR(SEARCH("EN PROCESO",W592)))</formula>
    </cfRule>
    <cfRule type="containsText" dxfId="89" priority="264" operator="containsText" text="ENVIADO">
      <formula>NOT(ISERROR(SEARCH("ENVIADO",W592)))</formula>
    </cfRule>
  </conditionalFormatting>
  <conditionalFormatting sqref="W597">
    <cfRule type="containsText" dxfId="85" priority="327" operator="containsText" text="EN PROCESO">
      <formula>NOT(ISERROR(SEARCH("EN PROCESO",W597)))</formula>
    </cfRule>
    <cfRule type="containsText" dxfId="84" priority="328" operator="containsText" text="ENVIADO">
      <formula>NOT(ISERROR(SEARCH("ENVIADO",W597)))</formula>
    </cfRule>
  </conditionalFormatting>
  <conditionalFormatting sqref="W598:W604">
    <cfRule type="containsText" dxfId="83" priority="257" operator="containsText" text="EN PROCESO">
      <formula>NOT(ISERROR(SEARCH("EN PROCESO",W598)))</formula>
    </cfRule>
    <cfRule type="containsText" dxfId="80" priority="258" operator="containsText" text="ENVIADO">
      <formula>NOT(ISERROR(SEARCH("ENVIADO",W598)))</formula>
    </cfRule>
    <cfRule type="containsText" dxfId="81" priority="259" operator="containsText" text="EN PROCESO">
      <formula>NOT(ISERROR(SEARCH("EN PROCESO",W598)))</formula>
    </cfRule>
    <cfRule type="containsText" dxfId="82" priority="260" operator="containsText" text="ENVIADO">
      <formula>NOT(ISERROR(SEARCH("ENVIADO",W598)))</formula>
    </cfRule>
  </conditionalFormatting>
  <conditionalFormatting sqref="W598:W607">
    <cfRule type="containsText" dxfId="79" priority="135" operator="containsText" text="EN PROCESO">
      <formula>NOT(ISERROR(SEARCH("EN PROCESO",W598)))</formula>
    </cfRule>
    <cfRule type="containsText" dxfId="78" priority="136" operator="containsText" text="ENVIADO">
      <formula>NOT(ISERROR(SEARCH("ENVIADO",W598)))</formula>
    </cfRule>
  </conditionalFormatting>
  <conditionalFormatting sqref="W605">
    <cfRule type="containsText" dxfId="77" priority="127" operator="containsText" text="EN PROCESO">
      <formula>NOT(ISERROR(SEARCH("EN PROCESO",W605)))</formula>
    </cfRule>
    <cfRule type="containsText" dxfId="76" priority="128" operator="containsText" text="ENVIADO">
      <formula>NOT(ISERROR(SEARCH("ENVIADO",W605)))</formula>
    </cfRule>
    <cfRule type="containsText" dxfId="70" priority="129" operator="containsText" text="EN PROCESO">
      <formula>NOT(ISERROR(SEARCH("EN PROCESO",W605)))</formula>
    </cfRule>
    <cfRule type="containsText" dxfId="75" priority="130" operator="containsText" text="ENVIADO">
      <formula>NOT(ISERROR(SEARCH("ENVIADO",W605)))</formula>
    </cfRule>
    <cfRule type="containsText" dxfId="74" priority="131" operator="containsText" text="EN PROCESO">
      <formula>NOT(ISERROR(SEARCH("EN PROCESO",W605)))</formula>
    </cfRule>
    <cfRule type="containsText" dxfId="73" priority="132" operator="containsText" text="ENVIADO">
      <formula>NOT(ISERROR(SEARCH("ENVIADO",W605)))</formula>
    </cfRule>
    <cfRule type="containsText" dxfId="72" priority="133" operator="containsText" text="EN PROCESO">
      <formula>NOT(ISERROR(SEARCH("EN PROCESO",W605)))</formula>
    </cfRule>
    <cfRule type="containsText" dxfId="71" priority="134" operator="containsText" text="ENVIADO">
      <formula>NOT(ISERROR(SEARCH("ENVIADO",W605)))</formula>
    </cfRule>
  </conditionalFormatting>
  <conditionalFormatting sqref="W606:W607">
    <cfRule type="containsText" dxfId="69" priority="253" operator="containsText" text="EN PROCESO">
      <formula>NOT(ISERROR(SEARCH("EN PROCESO",W606)))</formula>
    </cfRule>
    <cfRule type="containsText" dxfId="68" priority="254" operator="containsText" text="ENVIADO">
      <formula>NOT(ISERROR(SEARCH("ENVIADO",W606)))</formula>
    </cfRule>
  </conditionalFormatting>
  <conditionalFormatting sqref="W606:W608">
    <cfRule type="containsText" dxfId="67" priority="255" operator="containsText" text="EN PROCESO">
      <formula>NOT(ISERROR(SEARCH("EN PROCESO",W606)))</formula>
    </cfRule>
    <cfRule type="containsText" dxfId="66" priority="256" operator="containsText" text="ENVIADO">
      <formula>NOT(ISERROR(SEARCH("ENVIADO",W606)))</formula>
    </cfRule>
  </conditionalFormatting>
  <conditionalFormatting sqref="W608">
    <cfRule type="containsText" dxfId="65" priority="325" operator="containsText" text="EN PROCESO">
      <formula>NOT(ISERROR(SEARCH("EN PROCESO",W608)))</formula>
    </cfRule>
    <cfRule type="containsText" dxfId="64" priority="326" operator="containsText" text="ENVIADO">
      <formula>NOT(ISERROR(SEARCH("ENVIADO",W608)))</formula>
    </cfRule>
  </conditionalFormatting>
  <conditionalFormatting sqref="W609:W613">
    <cfRule type="containsText" dxfId="59" priority="247" operator="containsText" text="EN PROCESO">
      <formula>NOT(ISERROR(SEARCH("EN PROCESO",W609)))</formula>
    </cfRule>
    <cfRule type="containsText" dxfId="61" priority="248" operator="containsText" text="ENVIADO">
      <formula>NOT(ISERROR(SEARCH("ENVIADO",W609)))</formula>
    </cfRule>
    <cfRule type="containsText" dxfId="60" priority="249" operator="containsText" text="EN PROCESO">
      <formula>NOT(ISERROR(SEARCH("EN PROCESO",W609)))</formula>
    </cfRule>
    <cfRule type="containsText" dxfId="58" priority="250" operator="containsText" text="ENVIADO">
      <formula>NOT(ISERROR(SEARCH("ENVIADO",W609)))</formula>
    </cfRule>
    <cfRule type="containsText" dxfId="63" priority="251" operator="containsText" text="EN PROCESO">
      <formula>NOT(ISERROR(SEARCH("EN PROCESO",W609)))</formula>
    </cfRule>
    <cfRule type="containsText" dxfId="62" priority="252" operator="containsText" text="ENVIADO">
      <formula>NOT(ISERROR(SEARCH("ENVIADO",W609)))</formula>
    </cfRule>
  </conditionalFormatting>
  <conditionalFormatting sqref="W611 Z2:AA613 Y611">
    <cfRule type="containsText" dxfId="57" priority="442" operator="containsText" text="SI">
      <formula>NOT(ISERROR(SEARCH("SI",W2)))</formula>
    </cfRule>
  </conditionalFormatting>
  <conditionalFormatting sqref="W2:X613 U611">
    <cfRule type="containsText" dxfId="55" priority="446" operator="containsText" text="EN PROCESO">
      <formula>NOT(ISERROR(SEARCH("EN PROCESO",U2)))</formula>
    </cfRule>
    <cfRule type="containsText" dxfId="56" priority="447" operator="containsText" text="ENVIADO">
      <formula>NOT(ISERROR(SEARCH("ENVIADO",U2)))</formula>
    </cfRule>
  </conditionalFormatting>
  <conditionalFormatting sqref="W242:X275 W516:X517">
    <cfRule type="containsText" dxfId="54" priority="385" operator="containsText" text="EN PROCESO">
      <formula>NOT(ISERROR(SEARCH("EN PROCESO",W242)))</formula>
    </cfRule>
    <cfRule type="containsText" dxfId="53" priority="386" operator="containsText" text="ENVIADO">
      <formula>NOT(ISERROR(SEARCH("ENVIADO",W242)))</formula>
    </cfRule>
  </conditionalFormatting>
  <conditionalFormatting sqref="W291:X291">
    <cfRule type="containsText" dxfId="52" priority="359" operator="containsText" text="EN PROCESO">
      <formula>NOT(ISERROR(SEARCH("EN PROCESO",W291)))</formula>
    </cfRule>
    <cfRule type="containsText" dxfId="51" priority="360" operator="containsText" text="ENVIADO">
      <formula>NOT(ISERROR(SEARCH("ENVIADO",W291)))</formula>
    </cfRule>
  </conditionalFormatting>
  <conditionalFormatting sqref="W395:X408">
    <cfRule type="containsText" dxfId="50" priority="377" operator="containsText" text="EN PROCESO">
      <formula>NOT(ISERROR(SEARCH("EN PROCESO",W395)))</formula>
    </cfRule>
    <cfRule type="containsText" dxfId="49" priority="378" operator="containsText" text="ENVIADO">
      <formula>NOT(ISERROR(SEARCH("ENVIADO",W395)))</formula>
    </cfRule>
  </conditionalFormatting>
  <conditionalFormatting sqref="W518:X518">
    <cfRule type="containsText" dxfId="48" priority="11" operator="containsText" text="EN REVISIÓN CENTRAL">
      <formula>NOT(ISERROR(SEARCH("EN REVISIÓN CENTRAL",W518)))</formula>
    </cfRule>
    <cfRule type="containsText" dxfId="47" priority="12" operator="containsText" text="ENVIADO A LA CE/UM">
      <formula>NOT(ISERROR(SEARCH("ENVIADO A LA CE/UM",W518)))</formula>
    </cfRule>
  </conditionalFormatting>
  <conditionalFormatting sqref="W519:X519 W532:X532">
    <cfRule type="containsText" dxfId="45" priority="383" operator="containsText" text="EN PROCESO">
      <formula>NOT(ISERROR(SEARCH("EN PROCESO",W519)))</formula>
    </cfRule>
    <cfRule type="containsText" dxfId="46" priority="384" operator="containsText" text="ENVIADO">
      <formula>NOT(ISERROR(SEARCH("ENVIADO",W519)))</formula>
    </cfRule>
  </conditionalFormatting>
  <conditionalFormatting sqref="W522:X522 W535:X535">
    <cfRule type="containsText" dxfId="43" priority="375" operator="containsText" text="EN PROCESO">
      <formula>NOT(ISERROR(SEARCH("EN PROCESO",W522)))</formula>
    </cfRule>
    <cfRule type="containsText" dxfId="44" priority="376" operator="containsText" text="ENVIADO">
      <formula>NOT(ISERROR(SEARCH("ENVIADO",W522)))</formula>
    </cfRule>
  </conditionalFormatting>
  <conditionalFormatting sqref="W563:X563">
    <cfRule type="containsText" dxfId="42" priority="373" operator="containsText" text="EN PROCESO">
      <formula>NOT(ISERROR(SEARCH("EN PROCESO",W563)))</formula>
    </cfRule>
    <cfRule type="containsText" dxfId="41" priority="374" operator="containsText" text="ENVIADO">
      <formula>NOT(ISERROR(SEARCH("ENVIADO",W563)))</formula>
    </cfRule>
  </conditionalFormatting>
  <conditionalFormatting sqref="W586:X586 W600:X600">
    <cfRule type="containsText" dxfId="40" priority="371" operator="containsText" text="EN PROCESO">
      <formula>NOT(ISERROR(SEARCH("EN PROCESO",W586)))</formula>
    </cfRule>
    <cfRule type="containsText" dxfId="39" priority="372" operator="containsText" text="ENVIADO">
      <formula>NOT(ISERROR(SEARCH("ENVIADO",W586)))</formula>
    </cfRule>
  </conditionalFormatting>
  <conditionalFormatting sqref="X2:X290">
    <cfRule type="containsText" dxfId="38" priority="422" operator="containsText" text="EN PROCESO">
      <formula>NOT(ISERROR(SEARCH("EN PROCESO",X2)))</formula>
    </cfRule>
    <cfRule type="containsText" dxfId="37" priority="423" operator="containsText" text="ENVIADO">
      <formula>NOT(ISERROR(SEARCH("ENVIADO",X2)))</formula>
    </cfRule>
  </conditionalFormatting>
  <conditionalFormatting sqref="X41:X43">
    <cfRule type="containsText" dxfId="30" priority="402" operator="containsText" text="EN PROCESO">
      <formula>NOT(ISERROR(SEARCH("EN PROCESO",X41)))</formula>
    </cfRule>
    <cfRule type="containsText" dxfId="35" priority="403" operator="containsText" text="ENVIADO">
      <formula>NOT(ISERROR(SEARCH("ENVIADO",X41)))</formula>
    </cfRule>
    <cfRule type="containsText" dxfId="34" priority="404" operator="containsText" text="EN PROCESO">
      <formula>NOT(ISERROR(SEARCH("EN PROCESO",X41)))</formula>
    </cfRule>
    <cfRule type="containsText" dxfId="33" priority="405" operator="containsText" text="ENVIADO">
      <formula>NOT(ISERROR(SEARCH("ENVIADO",X41)))</formula>
    </cfRule>
    <cfRule type="containsText" dxfId="29" priority="406" operator="containsText" text="EN PROCESO">
      <formula>NOT(ISERROR(SEARCH("EN PROCESO",X41)))</formula>
    </cfRule>
    <cfRule type="containsText" dxfId="32" priority="407" operator="containsText" text="ENVIADO">
      <formula>NOT(ISERROR(SEARCH("ENVIADO",X41)))</formula>
    </cfRule>
    <cfRule type="containsText" dxfId="36" priority="408" operator="containsText" text="EN PROCESO">
      <formula>NOT(ISERROR(SEARCH("EN PROCESO",X41)))</formula>
    </cfRule>
    <cfRule type="containsText" dxfId="31" priority="409" operator="containsText" text="ENVIADO">
      <formula>NOT(ISERROR(SEARCH("ENVIADO",X41)))</formula>
    </cfRule>
  </conditionalFormatting>
  <conditionalFormatting sqref="X46 X63">
    <cfRule type="containsText" dxfId="26" priority="388" operator="containsText" text="EN PROCESO">
      <formula>NOT(ISERROR(SEARCH("EN PROCESO",X46)))</formula>
    </cfRule>
    <cfRule type="containsText" dxfId="27" priority="389" operator="containsText" text="ENVIADO">
      <formula>NOT(ISERROR(SEARCH("ENVIADO",X46)))</formula>
    </cfRule>
    <cfRule type="containsText" dxfId="28" priority="390" operator="containsText" text="EN PROCESO">
      <formula>NOT(ISERROR(SEARCH("EN PROCESO",X46)))</formula>
    </cfRule>
    <cfRule type="containsText" dxfId="25" priority="391" operator="containsText" text="ENVIADO">
      <formula>NOT(ISERROR(SEARCH("ENVIADO",X46)))</formula>
    </cfRule>
  </conditionalFormatting>
  <conditionalFormatting sqref="X146">
    <cfRule type="containsText" dxfId="23" priority="381" operator="containsText" text="EN PROCESO">
      <formula>NOT(ISERROR(SEARCH("EN PROCESO",X146)))</formula>
    </cfRule>
    <cfRule type="containsText" dxfId="24" priority="382" operator="containsText" text="ENVIADO">
      <formula>NOT(ISERROR(SEARCH("ENVIADO",X146)))</formula>
    </cfRule>
  </conditionalFormatting>
  <conditionalFormatting sqref="X146:X164">
    <cfRule type="containsText" dxfId="22" priority="379" operator="containsText" text="EN PROCESO">
      <formula>NOT(ISERROR(SEARCH("EN PROCESO",X146)))</formula>
    </cfRule>
    <cfRule type="containsText" dxfId="21" priority="380" operator="containsText" text="ENVIADO">
      <formula>NOT(ISERROR(SEARCH("ENVIADO",X146)))</formula>
    </cfRule>
  </conditionalFormatting>
  <conditionalFormatting sqref="X240:X275">
    <cfRule type="containsText" dxfId="19" priority="420" operator="containsText" text="EN PROCESO">
      <formula>NOT(ISERROR(SEARCH("EN PROCESO",X240)))</formula>
    </cfRule>
    <cfRule type="containsText" dxfId="20" priority="421" operator="containsText" text="ENVIADO">
      <formula>NOT(ISERROR(SEARCH("ENVIADO",X240)))</formula>
    </cfRule>
  </conditionalFormatting>
  <conditionalFormatting sqref="X265:X282">
    <cfRule type="containsText" dxfId="17" priority="418" operator="containsText" text="EN PROCESO">
      <formula>NOT(ISERROR(SEARCH("EN PROCESO",X265)))</formula>
    </cfRule>
    <cfRule type="containsText" dxfId="18" priority="419" operator="containsText" text="ENVIADO">
      <formula>NOT(ISERROR(SEARCH("ENVIADO",X265)))</formula>
    </cfRule>
  </conditionalFormatting>
  <conditionalFormatting sqref="X276:X282">
    <cfRule type="containsText" dxfId="15" priority="416" operator="containsText" text="EN PROCESO">
      <formula>NOT(ISERROR(SEARCH("EN PROCESO",X276)))</formula>
    </cfRule>
    <cfRule type="containsText" dxfId="16" priority="417" operator="containsText" text="ENVIADO">
      <formula>NOT(ISERROR(SEARCH("ENVIADO",X276)))</formula>
    </cfRule>
  </conditionalFormatting>
  <conditionalFormatting sqref="X276:X608">
    <cfRule type="containsText" dxfId="13" priority="412" operator="containsText" text="EN PROCESO">
      <formula>NOT(ISERROR(SEARCH("EN PROCESO",X276)))</formula>
    </cfRule>
    <cfRule type="containsText" dxfId="12" priority="413" operator="containsText" text="ENVIADO">
      <formula>NOT(ISERROR(SEARCH("ENVIADO",X276)))</formula>
    </cfRule>
    <cfRule type="containsText" dxfId="14" priority="414" operator="containsText" text="EN PROCESO">
      <formula>NOT(ISERROR(SEARCH("EN PROCESO",X276)))</formula>
    </cfRule>
    <cfRule type="containsText" dxfId="11" priority="415" operator="containsText" text="ENVIADO">
      <formula>NOT(ISERROR(SEARCH("ENVIADO",X276)))</formula>
    </cfRule>
  </conditionalFormatting>
  <conditionalFormatting sqref="X291">
    <cfRule type="containsText" dxfId="9" priority="410" operator="containsText" text="EN PROCESO">
      <formula>NOT(ISERROR(SEARCH("EN PROCESO",X291)))</formula>
    </cfRule>
    <cfRule type="containsText" dxfId="10" priority="411" operator="containsText" text="ENVIADO">
      <formula>NOT(ISERROR(SEARCH("ENVIADO",X291)))</formula>
    </cfRule>
  </conditionalFormatting>
  <conditionalFormatting sqref="X291:X298 X301:X613">
    <cfRule type="containsText" dxfId="8" priority="124" operator="containsText" text="ENVIADO">
      <formula>NOT(ISERROR(SEARCH("ENVIADO",X291)))</formula>
    </cfRule>
  </conditionalFormatting>
  <conditionalFormatting sqref="X298:X300">
    <cfRule type="containsText" dxfId="6" priority="125" operator="containsText" text="EN PROCESO">
      <formula>NOT(ISERROR(SEARCH("EN PROCESO",X298)))</formula>
    </cfRule>
    <cfRule type="containsText" dxfId="7" priority="126" operator="containsText" text="ENVIADO">
      <formula>NOT(ISERROR(SEARCH("ENVIADO",X298)))</formula>
    </cfRule>
  </conditionalFormatting>
  <conditionalFormatting sqref="X301:X613 X291:X298">
    <cfRule type="containsText" dxfId="5" priority="123" operator="containsText" text="EN PROCESO">
      <formula>NOT(ISERROR(SEARCH("EN PROCESO",X291)))</formula>
    </cfRule>
  </conditionalFormatting>
  <conditionalFormatting sqref="Y2:Y610">
    <cfRule type="containsText" dxfId="3" priority="444" operator="containsText" text="CONCLUIDAS">
      <formula>NOT(ISERROR(SEARCH("CONCLUIDAS",Y2)))</formula>
    </cfRule>
    <cfRule type="containsText" dxfId="4" priority="445" operator="containsText" text="PROGRAMADAS">
      <formula>NOT(ISERROR(SEARCH("PROGRAMADAS",Y2)))</formula>
    </cfRule>
  </conditionalFormatting>
  <conditionalFormatting sqref="Y612:Y613">
    <cfRule type="containsText" dxfId="2" priority="453" operator="containsText" text="CONCLUIDAS">
      <formula>NOT(ISERROR(SEARCH("CONCLUIDAS",Y612)))</formula>
    </cfRule>
    <cfRule type="containsText" dxfId="1" priority="454" operator="containsText" text="PROGRAMADAS">
      <formula>NOT(ISERROR(SEARCH("PROGRAMADAS",Y612)))</formula>
    </cfRule>
  </conditionalFormatting>
  <conditionalFormatting sqref="Z2:AA613 W611 Y611">
    <cfRule type="containsText" dxfId="0" priority="443" operator="containsText" text="NO">
      <formula>NOT(ISERROR(SEARCH("NO",W2)))</formula>
    </cfRule>
  </conditionalFormatting>
  <conditionalFormatting sqref="AC2:AC613">
    <cfRule type="dataBar" priority="2">
      <dataBar>
        <cfvo type="min"/>
        <cfvo type="max"/>
        <color rgb="FF638EC6"/>
      </dataBar>
      <extLst>
        <ext xmlns:x14="http://schemas.microsoft.com/office/spreadsheetml/2009/9/main" uri="{B025F937-C7B1-47D3-B67F-A62EFF666E3E}">
          <x14:id>{3EF5F26D-8157-4FFD-B5FB-75F0F48A9ED7}</x14:id>
        </ext>
      </extLst>
    </cfRule>
  </conditionalFormatting>
  <conditionalFormatting sqref="AC2:AC613">
    <cfRule type="dataBar" priority="1">
      <dataBar>
        <cfvo type="min"/>
        <cfvo type="max"/>
        <color rgb="FF008AEF"/>
      </dataBar>
      <extLst>
        <ext xmlns:x14="http://schemas.microsoft.com/office/spreadsheetml/2009/9/main" uri="{B025F937-C7B1-47D3-B67F-A62EFF666E3E}">
          <x14:id>{2F825E98-ABD1-45B7-B629-E97FB223EF2F}</x14:id>
        </ext>
      </extLst>
    </cfRule>
  </conditionalFormatting>
  <dataValidations disablePrompts="1" count="12">
    <dataValidation type="list" allowBlank="1" showInputMessage="1" showErrorMessage="1" sqref="T611 V285:V286" xr:uid="{9E9352EA-461C-4071-BE61-A6521000A83D}">
      <formula1>"ENVIADO A LA CE/UM,EN REVISIÓN CENTRAL,CONCLUIDO"</formula1>
    </dataValidation>
    <dataValidation type="list" allowBlank="1" showInputMessage="1" showErrorMessage="1" sqref="R611 T612:T613 T64:T88 T96:T97 T99 T103 T283:T290 T610 T292:T293 T295 T297:T301 T303 T305 T307 T314:T327 T337:T383 T385:T444 T455:T515 T521:T531 T533:T539 T541:T542 T545 T547:T564 T566:T580 T582:T589 T592:T595 T598:T604 T606:T608 T107:T108 T113:T117 T122:T275" xr:uid="{753E7EBC-B3E0-4083-939A-67C7E20ADFE4}">
      <formula1>"EN PROCESO,CONCLUIDO"</formula1>
    </dataValidation>
    <dataValidation type="list" allowBlank="1" showInputMessage="1" showErrorMessage="1" sqref="Q611 S2:S613" xr:uid="{D6F1E6CF-2591-455A-B0AF-B9D78F6AC07C}">
      <formula1>"ENVIADO A LA CE/UM,ENTREGADO/REVISIÓN,ENVIADO A TICS"</formula1>
    </dataValidation>
    <dataValidation type="list" allowBlank="1" showInputMessage="1" showErrorMessage="1" sqref="Y2:Y610 Y612:Y613" xr:uid="{4BBD4D06-7685-4C2C-9C3E-91A0BA0E0033}">
      <formula1>"PROGRAMADAS,CONCLUIDAS"</formula1>
    </dataValidation>
    <dataValidation type="list" allowBlank="1" showInputMessage="1" showErrorMessage="1" sqref="Y611" xr:uid="{5C4493D5-12FA-4AF7-976E-7E3EF3A93281}">
      <formula1>"SI,NO"</formula1>
    </dataValidation>
    <dataValidation type="list" allowBlank="1" showInputMessage="1" showErrorMessage="1" sqref="U64:U88 U97:V97 U99:V99 U122:U221 U228:U237 U484:U516 U314:U327 U337:U383 U409:U444 U455:U482 U521:U530 U532:U539 U541:U542 U545:V545 U547:U562 U564:V564 U566:U580 U582:U589 U592:U596 U598:U604 U606:U607 U52:U62 U108:V108 U300:V300 U385:U407 U50 V109:V284 U609 U613:V613 U611 V98 V100:V107 V2:V96 U242:U290 V287:V299 V520:V544 V546:V563 V565:V612 V301:V516" xr:uid="{517F372E-463A-46E8-AB79-F7D9ED2273A4}">
      <formula1>"ENVIADO A LA CE/UM,EN REVISIÓN CENTRAL,CONCLUIDO,NO APLICA"</formula1>
    </dataValidation>
    <dataValidation type="list" allowBlank="1" showInputMessage="1" showErrorMessage="1" sqref="U100:U107 U2:U49 U51 U63 U89:U96 U98 U109:U121 U222:U227 U238:U241 U291:U299 U301:U313 U328:U336 U384 U408 U445:U454 U483 U612 U519:U520 U531 U540 U543:U544 U546 U563 U565 U581 U590:U591 U597 U605 U608 U610 U517:V518 V519 W518:X518" xr:uid="{EE4E2239-3254-4482-A56F-F6944D7AD6BE}">
      <formula1>"ENVIADO A LA CE/UM,EN REVISIÓN CENTRAL,CONCLUIDO, NO APLICA"</formula1>
    </dataValidation>
    <dataValidation type="list" allowBlank="1" showInputMessage="1" showErrorMessage="1" sqref="AA2:AA613" xr:uid="{F09E109F-AEAC-4EE8-9B50-42CDCEAF9AEE}">
      <formula1>"SI,NO,NO APLICA"</formula1>
    </dataValidation>
    <dataValidation type="list" allowBlank="1" showInputMessage="1" showErrorMessage="1" sqref="W519:W613 W49:W517" xr:uid="{5343A409-541A-4D8A-BEB3-0C6CC112FCC7}">
      <formula1>"EN PROCESO,CONCLUIDO,NO APLICA"</formula1>
    </dataValidation>
    <dataValidation type="list" allowBlank="1" showInputMessage="1" showErrorMessage="1" sqref="W2:W48" xr:uid="{F502AB63-8E1B-445C-8462-D9A661BC5A1A}">
      <formula1>" EN PROCESO,CONCLUIDO,NO APLICA"</formula1>
    </dataValidation>
    <dataValidation type="list" allowBlank="1" showInputMessage="1" showErrorMessage="1" sqref="T2:T63 T609 T89:T95 T98 T100:T102 T104:T106 T109:T112 T291 T294 T296 T302 T304 T306 T308:T313 T328:T336 T384 T445:T454 T516:T520 T532 T540 T543:T544 T546 T565 T581 T590:T591 T596:T597 T605 T276:T282 X519:X613 X2:X517 T118:T121" xr:uid="{3E64AFE2-F48A-46A2-8EA7-4DB99A7AD81F}">
      <formula1>"EN PROCESO,CONCLUIDO, NO APLICA"</formula1>
    </dataValidation>
    <dataValidation type="list" allowBlank="1" showInputMessage="1" showErrorMessage="1" sqref="Z2:Z613" xr:uid="{422BC49B-F2DD-4F0F-A06F-AF1A8AE495D0}">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3EF5F26D-8157-4FFD-B5FB-75F0F48A9ED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2F825E98-ABD1-45B7-B629-E97FB223EF2F}">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82" priority="27"/>
  </conditionalFormatting>
  <conditionalFormatting sqref="Q611">
    <cfRule type="containsText" dxfId="481" priority="10" operator="containsText" text="ENVIADO A TICS">
      <formula>NOT(ISERROR(SEARCH("ENVIADO A TICS",Q611)))</formula>
    </cfRule>
    <cfRule type="containsText" dxfId="480" priority="11" operator="containsText" text="ENTREGADO/REVISIÓN">
      <formula>NOT(ISERROR(SEARCH("ENTREGADO/REVISIÓN",Q611)))</formula>
    </cfRule>
    <cfRule type="containsText" dxfId="479" priority="12" operator="containsText" text="ENVIADO A LA CE/UM">
      <formula>NOT(ISERROR(SEARCH("ENVIADO A LA CE/UM",Q611)))</formula>
    </cfRule>
  </conditionalFormatting>
  <conditionalFormatting sqref="R611">
    <cfRule type="containsText" dxfId="478" priority="9" operator="containsText" text="EN PROCESO">
      <formula>NOT(ISERROR(SEARCH("EN PROCESO",R611)))</formula>
    </cfRule>
  </conditionalFormatting>
  <conditionalFormatting sqref="R611:U611 T1:W610">
    <cfRule type="containsText" dxfId="477" priority="18" operator="containsText" text="CONCLUIDO">
      <formula>NOT(ISERROR(SEARCH("CONCLUIDO",R1)))</formula>
    </cfRule>
  </conditionalFormatting>
  <conditionalFormatting sqref="S1:S610">
    <cfRule type="containsText" dxfId="476" priority="24" operator="containsText" text="ENVIADO A TICS">
      <formula>NOT(ISERROR(SEARCH("ENVIADO A TICS",S1)))</formula>
    </cfRule>
    <cfRule type="containsText" dxfId="475" priority="25" operator="containsText" text="ENTREGADO/REVISIÓN">
      <formula>NOT(ISERROR(SEARCH("ENTREGADO/REVISIÓN",S1)))</formula>
    </cfRule>
    <cfRule type="containsText" dxfId="474" priority="26" operator="containsText" text="ENVIADO A LA CE/UM">
      <formula>NOT(ISERROR(SEARCH("ENVIADO A LA CE/UM",S1)))</formula>
    </cfRule>
  </conditionalFormatting>
  <conditionalFormatting sqref="S611:T611">
    <cfRule type="containsText" dxfId="473" priority="7" operator="containsText" text="EN REVISIÓN CENTRAL">
      <formula>NOT(ISERROR(SEARCH("EN REVISIÓN CENTRAL",S611)))</formula>
    </cfRule>
    <cfRule type="containsText" dxfId="472" priority="8" operator="containsText" text="ENVIADO A LA CE/UM">
      <formula>NOT(ISERROR(SEARCH("ENVIADO A LA CE/UM",S611)))</formula>
    </cfRule>
  </conditionalFormatting>
  <conditionalFormatting sqref="T1:T610">
    <cfRule type="containsText" dxfId="471" priority="23" operator="containsText" text="EN PROCESO">
      <formula>NOT(ISERROR(SEARCH("EN PROCESO",T1)))</formula>
    </cfRule>
  </conditionalFormatting>
  <conditionalFormatting sqref="U1">
    <cfRule type="containsText" dxfId="470" priority="28" operator="containsText" text="ENVIADO A LA CE/UM">
      <formula>NOT(ISERROR(SEARCH("ENVIADO A LA CE/UM",U1)))</formula>
    </cfRule>
  </conditionalFormatting>
  <conditionalFormatting sqref="U611">
    <cfRule type="containsText" dxfId="469" priority="5" operator="containsText" text="EN PROCESO">
      <formula>NOT(ISERROR(SEARCH("EN PROCESO",U611)))</formula>
    </cfRule>
    <cfRule type="containsText" dxfId="468" priority="6" operator="containsText" text="ENVIADO">
      <formula>NOT(ISERROR(SEARCH("ENVIADO",U611)))</formula>
    </cfRule>
  </conditionalFormatting>
  <conditionalFormatting sqref="U1:V610">
    <cfRule type="containsText" dxfId="467" priority="21" operator="containsText" text="EN REVISIÓN CENTRAL">
      <formula>NOT(ISERROR(SEARCH("EN REVISIÓN CENTRAL",U1)))</formula>
    </cfRule>
  </conditionalFormatting>
  <conditionalFormatting sqref="U2:V610">
    <cfRule type="containsText" dxfId="466" priority="22" operator="containsText" text="ENVIADO A LA CE/UM">
      <formula>NOT(ISERROR(SEARCH("ENVIADO A LA CE/UM",U2)))</formula>
    </cfRule>
  </conditionalFormatting>
  <conditionalFormatting sqref="V611">
    <cfRule type="containsText" dxfId="465" priority="3" operator="containsText" text="CONCLUIDAS">
      <formula>NOT(ISERROR(SEARCH("CONCLUIDAS",V611)))</formula>
    </cfRule>
    <cfRule type="containsText" dxfId="464" priority="4" operator="containsText" text="PROGRAMADAS">
      <formula>NOT(ISERROR(SEARCH("PROGRAMADAS",V611)))</formula>
    </cfRule>
  </conditionalFormatting>
  <conditionalFormatting sqref="W1:W610">
    <cfRule type="containsText" dxfId="463" priority="19" operator="containsText" text="EN PROCESO">
      <formula>NOT(ISERROR(SEARCH("EN PROCESO",W1)))</formula>
    </cfRule>
    <cfRule type="containsText" dxfId="462" priority="20" operator="containsText" text="ENVIADO">
      <formula>NOT(ISERROR(SEARCH("ENVIADO",W1)))</formula>
    </cfRule>
  </conditionalFormatting>
  <conditionalFormatting sqref="W611:Z611">
    <cfRule type="containsText" dxfId="461" priority="1" operator="containsText" text="SI">
      <formula>NOT(ISERROR(SEARCH("SI",W611)))</formula>
    </cfRule>
    <cfRule type="containsText" dxfId="460" priority="2" operator="containsText" text="NO">
      <formula>NOT(ISERROR(SEARCH("NO",W611)))</formula>
    </cfRule>
  </conditionalFormatting>
  <conditionalFormatting sqref="X1:X610">
    <cfRule type="containsText" dxfId="459" priority="16" operator="containsText" text="CONCLUIDAS">
      <formula>NOT(ISERROR(SEARCH("CONCLUIDAS",X1)))</formula>
    </cfRule>
    <cfRule type="containsText" dxfId="458" priority="17" operator="containsText" text="PROGRAMADAS">
      <formula>NOT(ISERROR(SEARCH("PROGRAMADAS",X1)))</formula>
    </cfRule>
  </conditionalFormatting>
  <conditionalFormatting sqref="Y1:Z610">
    <cfRule type="containsText" dxfId="457" priority="14" operator="containsText" text="SI">
      <formula>NOT(ISERROR(SEARCH("SI",Y1)))</formula>
    </cfRule>
    <cfRule type="containsText" dxfId="456"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2026-07-14T23:16:20Z</dcterms:modified>
</cp:coreProperties>
</file>