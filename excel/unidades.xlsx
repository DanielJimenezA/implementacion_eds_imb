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6634D278-B5C8-4B22-8AA9-54A52D84BA17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Unidades!$A$1:$AH$614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B613" i="1"/>
  <c r="AB612" i="1"/>
  <c r="AB611" i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AC2" i="1" l="1"/>
  <c r="AH613" i="1"/>
  <c r="AH612" i="1"/>
  <c r="AH611" i="1"/>
  <c r="AH610" i="1"/>
  <c r="AH609" i="1"/>
  <c r="AH608" i="1"/>
  <c r="AH607" i="1"/>
  <c r="AH606" i="1"/>
  <c r="AH605" i="1"/>
  <c r="AH604" i="1"/>
  <c r="AH603" i="1"/>
  <c r="AH602" i="1"/>
  <c r="AH601" i="1"/>
  <c r="AH600" i="1"/>
  <c r="AH599" i="1"/>
  <c r="AH598" i="1"/>
  <c r="AH597" i="1"/>
  <c r="AH596" i="1"/>
  <c r="AH595" i="1"/>
  <c r="AH594" i="1"/>
  <c r="AH593" i="1"/>
  <c r="AH592" i="1"/>
  <c r="AH591" i="1"/>
  <c r="AH590" i="1"/>
  <c r="AH589" i="1"/>
  <c r="AH588" i="1"/>
  <c r="AH587" i="1"/>
  <c r="AH586" i="1"/>
  <c r="AH585" i="1"/>
  <c r="AH584" i="1"/>
  <c r="AH583" i="1"/>
  <c r="AH582" i="1"/>
  <c r="AH581" i="1"/>
  <c r="AH580" i="1"/>
  <c r="AH579" i="1"/>
  <c r="AH578" i="1"/>
  <c r="AH577" i="1"/>
  <c r="AH576" i="1"/>
  <c r="AH575" i="1"/>
  <c r="AH574" i="1"/>
  <c r="AH573" i="1"/>
  <c r="AH572" i="1"/>
  <c r="AH571" i="1"/>
  <c r="AH570" i="1"/>
  <c r="AH569" i="1"/>
  <c r="AH568" i="1"/>
  <c r="AH567" i="1"/>
  <c r="AH566" i="1"/>
  <c r="AH565" i="1"/>
  <c r="AH564" i="1"/>
  <c r="AH563" i="1"/>
  <c r="AH562" i="1"/>
  <c r="AH561" i="1"/>
  <c r="AH560" i="1"/>
  <c r="AH559" i="1"/>
  <c r="AH558" i="1"/>
  <c r="AH557" i="1"/>
  <c r="AH556" i="1"/>
  <c r="AH555" i="1"/>
  <c r="AH554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41" i="1"/>
  <c r="AH540" i="1"/>
  <c r="AH539" i="1"/>
  <c r="AH538" i="1"/>
  <c r="AH537" i="1"/>
  <c r="AH536" i="1"/>
  <c r="AH535" i="1"/>
  <c r="AH534" i="1"/>
  <c r="AH533" i="1"/>
  <c r="AH532" i="1"/>
  <c r="AH531" i="1"/>
  <c r="AH530" i="1"/>
  <c r="AH529" i="1"/>
  <c r="AH528" i="1"/>
  <c r="AH527" i="1"/>
  <c r="AH526" i="1"/>
  <c r="AH525" i="1"/>
  <c r="AE613" i="1"/>
  <c r="AE612" i="1"/>
  <c r="AE6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3" i="1"/>
  <c r="AE2" i="1"/>
  <c r="AE124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123" i="1"/>
  <c r="AE122" i="1"/>
  <c r="AC614" i="1" l="1"/>
  <c r="AB614" i="1"/>
  <c r="AE614" i="1" l="1"/>
  <c r="AF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tc={7703CC74-861B-4A32-8E9A-031C0F2793D8}</author>
  </authors>
  <commentList>
    <comment ref="Q194" authorId="0" shapeId="0" xr:uid="{7703CC74-861B-4A32-8E9A-031C0F2793D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<sst xmlns="http://schemas.openxmlformats.org/spreadsheetml/2006/main" count="19868" uniqueCount="1871">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</sst>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82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7703CC74-861B-4A32-8E9A-031C0F2793D8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70EC2866-C4BF-4178-92CB-8834546C05D4}" parentId="{7703CC74-861B-4A32-8E9A-031C0F2793D8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H614"/>
  <sheetViews>
    <sheetView tabSelected="1" zoomScale="115" zoomScaleNormal="115" workbookViewId="0">
      <pane xSplit="1" ySplit="1" topLeftCell="U595" activePane="bottomRight" state="frozen"/>
      <selection pane="topRight" activeCell="B1" sqref="B1"/>
      <selection pane="bottomLeft" activeCell="A2" sqref="A2"/>
      <selection pane="bottomRight" activeCell="AB614" sqref="AB614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3" t="s">
        <v>1869</v>
      </c>
      <c r="AC1" s="3" t="s">
        <v>1870</v>
      </c>
      <c r="AD1" s="4" t="s">
        <v>22</v>
      </c>
      <c r="AE1" s="5" t="s">
        <v>23</v>
      </c>
      <c r="AF1" s="3" t="s">
        <v>1856</v>
      </c>
      <c r="AG1" s="3" t="s">
        <v>1857</v>
      </c>
    </row>
    <row r="2" spans="1:33" x14ac:dyDescent="0.3">
      <c r="A2" s="130" t="s">
        <v>1625</v>
      </c>
      <c r="B2" s="131" t="s">
        <v>25</v>
      </c>
      <c r="C2" s="131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74</v>
      </c>
      <c r="AB2">
        <f>IF(OR(AND(Z2="SI",AA2="NO"),AND(Z2="NO",AA2="SI")),1,0)</f>
        <v>1</v>
      </c>
      <c r="AC2">
        <f>IF(AND(OR(Z2="SI",Z2="NO APLICA"),OR(AA2="SI",AA2="NO APLICA")),1,0)</f>
        <v>0</v>
      </c>
      <c r="AD2" s="70" t="s">
        <v>1795</v>
      </c>
      <c r="AE2" s="87">
        <f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0.83333333333333337</v>
      </c>
      <c r="AF2" s="91">
        <v>8</v>
      </c>
      <c r="AG2" s="103" t="s">
        <v>1830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74</v>
      </c>
      <c r="AA3" s="66" t="s">
        <v>74</v>
      </c>
      <c r="AB3">
        <f t="shared" ref="AB3:AB66" si="0">IF(OR(AND(Z3="SI",AA3="NO"),AND(Z3="NO",AA3="SI")),1,0)</f>
        <v>0</v>
      </c>
      <c r="AC3">
        <f t="shared" ref="AC3:AC66" si="1">IF(AND(OR(Z3="SI",Z3="NO APLICA"),OR(AA3="SI",AA3="NO APLICA")),1,0)</f>
        <v>0</v>
      </c>
      <c r="AD3" s="70" t="s">
        <v>1795</v>
      </c>
      <c r="AE3" s="87">
        <f>(
IF(S3="ENVIADO A LA CE/UM",1/3,IF(S3="ENTREGADO/REVISIÓN",2/3,IF(S3="ENVIADO A TICS",1,0)))+
IF(T3="EN PROCESO",1/2,IF(T3="CONCLUIDO",1,0))+
IF(OR(U3="CONCLUIDO",U3="NO APLICA"),1,IF(U3="EN REVISIÓN CENTRAL",2/3,IF(U3="ENVIADO A LA CE/UM",1/3,0)))+
IF(OR(V3="CONCLUIDO",V3="NO APLICA"),1,IF(V3="EN REVISIÓN CENTRAL",2/3,IF(V3="ENVIADO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IF(OR(W3="CONCLUIDO",W3="NO APLICA"),1,IF(W3="EN PROCESO",0.5,0))+
IF(OR(X3="CONCLUIDO",X3="NO APLICA"),1,IF(X3="EN PROCESO",0.5,0))+
IF(Y3="PROGRAMADAS",1/2,IF(Y3="CONCLUIDAS",1,0))+
IF(OR(Z3="SI",Z3="NO APLICA"),1,0)+
IF(OR(AA3="SI",AA3="NO APLICA"),1,0)
)/9</f>
        <v>0.72222222222222221</v>
      </c>
      <c r="AF3" s="91">
        <v>8</v>
      </c>
      <c r="AG3" s="103" t="s">
        <v>1830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>
        <f t="shared" si="0"/>
        <v>0</v>
      </c>
      <c r="AC4">
        <f t="shared" si="1"/>
        <v>0</v>
      </c>
      <c r="AD4" s="67" t="s">
        <v>1866</v>
      </c>
      <c r="AE4" s="87">
        <f>(
IF(S4="ENVIADO A LA CE/UM",1/3,IF(S4="ENTREGADO/REVISIÓN",2/3,IF(S4="ENVIADO A TICS",1,0)))+
IF(T4="EN PROCESO",1/2,IF(T4="CONCLUIDO",1,0))+
IF(OR(U4="CONCLUIDO",U4="NO APLICA"),1,IF(U4="EN REVISIÓN CENTRAL",2/3,IF(U4="ENVIADO A LA CE/UM",1/3,0)))+
IF(OR(V4="CONCLUIDO",V4="NO APLICA"),1,IF(V4="EN REVISIÓN CENTRAL",2/3,IF(V4="ENVIADO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IF(OR(W4="CONCLUIDO",W4="NO APLICA"),1,IF(W4="EN PROCESO",0.5,0))+
IF(OR(X4="CONCLUIDO",X4="NO APLICA"),1,IF(X4="EN PROCESO",0.5,0))+
IF(Y4="PROGRAMADAS",1/2,IF(Y4="CONCLUIDAS",1,0))+
IF(OR(Z4="SI",Z4="NO APLICA"),1,0)+
IF(OR(AA4="SI",AA4="NO APLICA"),1,0)
)/9</f>
        <v>0.77777777777777779</v>
      </c>
      <c r="AF4" s="91">
        <v>4</v>
      </c>
      <c r="AG4" s="64" t="s">
        <v>1834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>
        <f t="shared" si="0"/>
        <v>1</v>
      </c>
      <c r="AC5">
        <f t="shared" si="1"/>
        <v>0</v>
      </c>
      <c r="AD5" s="70" t="s">
        <v>1814</v>
      </c>
      <c r="AE5" s="87">
        <f>(
IF(S5="ENVIADO A LA CE/UM",1/3,IF(S5="ENTREGADO/REVISIÓN",2/3,IF(S5="ENVIADO A TICS",1,0)))+
IF(T5="EN PROCESO",1/2,IF(T5="CONCLUIDO",1,0))+
IF(OR(U5="CONCLUIDO",U5="NO APLICA"),1,IF(U5="EN REVISIÓN CENTRAL",2/3,IF(U5="ENVIADO A LA CE/UM",1/3,0)))+
IF(OR(V5="CONCLUIDO",V5="NO APLICA"),1,IF(V5="EN REVISIÓN CENTRAL",2/3,IF(V5="ENVIADO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IF(OR(W5="CONCLUIDO",W5="NO APLICA"),1,IF(W5="EN PROCESO",0.5,0))+
IF(OR(X5="CONCLUIDO",X5="NO APLICA"),1,IF(X5="EN PROCESO",0.5,0))+
IF(Y5="PROGRAMADAS",1/2,IF(Y5="CONCLUIDAS",1,0))+
IF(OR(Z5="SI",Z5="NO APLICA"),1,0)+
IF(OR(AA5="SI",AA5="NO APLICA"),1,0)
)/9</f>
        <v>0.88888888888888884</v>
      </c>
      <c r="AF5" s="91">
        <v>3</v>
      </c>
      <c r="AG5" s="105" t="s">
        <v>1835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>
        <f t="shared" si="0"/>
        <v>0</v>
      </c>
      <c r="AC6">
        <f t="shared" si="1"/>
        <v>0</v>
      </c>
      <c r="AD6" s="67"/>
      <c r="AE6" s="87">
        <f>(
IF(S6="ENVIADO A LA CE/UM",1/3,IF(S6="ENTREGADO/REVISIÓN",2/3,IF(S6="ENVIADO A TICS",1,0)))+
IF(T6="EN PROCESO",1/2,IF(T6="CONCLUIDO",1,0))+
IF(OR(U6="CONCLUIDO",U6="NO APLICA"),1,IF(U6="EN REVISIÓN CENTRAL",2/3,IF(U6="ENVIADO A LA CE/UM",1/3,0)))+
IF(OR(V6="CONCLUIDO",V6="NO APLICA"),1,IF(V6="EN REVISIÓN CENTRAL",2/3,IF(V6="ENVIADO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IF(OR(W6="CONCLUIDO",W6="NO APLICA"),1,IF(W6="EN PROCESO",0.5,0))+
IF(OR(X6="CONCLUIDO",X6="NO APLICA"),1,IF(X6="EN PROCESO",0.5,0))+
IF(Y6="PROGRAMADAS",1/2,IF(Y6="CONCLUIDAS",1,0))+
IF(OR(Z6="SI",Z6="NO APLICA"),1,0)+
IF(OR(AA6="SI",AA6="NO APLICA"),1,0)
)/9</f>
        <v>0.77777777777777779</v>
      </c>
      <c r="AF6" s="91">
        <v>2</v>
      </c>
      <c r="AG6" s="103" t="s">
        <v>1837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>
        <f t="shared" si="0"/>
        <v>0</v>
      </c>
      <c r="AC7">
        <f t="shared" si="1"/>
        <v>0</v>
      </c>
      <c r="AD7" s="67" t="s">
        <v>1865</v>
      </c>
      <c r="AE7" s="87">
        <f>(
IF(S7="ENVIADO A LA CE/UM",1/3,IF(S7="ENTREGADO/REVISIÓN",2/3,IF(S7="ENVIADO A TICS",1,0)))+
IF(T7="EN PROCESO",1/2,IF(T7="CONCLUIDO",1,0))+
IF(OR(U7="CONCLUIDO",U7="NO APLICA"),1,IF(U7="EN REVISIÓN CENTRAL",2/3,IF(U7="ENVIADO A LA CE/UM",1/3,0)))+
IF(OR(V7="CONCLUIDO",V7="NO APLICA"),1,IF(V7="EN REVISIÓN CENTRAL",2/3,IF(V7="ENVIADO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IF(OR(W7="CONCLUIDO",W7="NO APLICA"),1,IF(W7="EN PROCESO",0.5,0))+
IF(OR(X7="CONCLUIDO",X7="NO APLICA"),1,IF(X7="EN PROCESO",0.5,0))+
IF(Y7="PROGRAMADAS",1/2,IF(Y7="CONCLUIDAS",1,0))+
IF(OR(Z7="SI",Z7="NO APLICA"),1,0)+
IF(OR(AA7="SI",AA7="NO APLICA"),1,0)
)/9</f>
        <v>0.77777777777777779</v>
      </c>
      <c r="AF7" s="91">
        <v>9</v>
      </c>
      <c r="AG7" s="103" t="s">
        <v>1836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>
        <f t="shared" si="0"/>
        <v>0</v>
      </c>
      <c r="AC8">
        <f t="shared" si="1"/>
        <v>0</v>
      </c>
      <c r="AD8" s="67" t="s">
        <v>1865</v>
      </c>
      <c r="AE8" s="87">
        <f>(
IF(S8="ENVIADO A LA CE/UM",1/3,IF(S8="ENTREGADO/REVISIÓN",2/3,IF(S8="ENVIADO A TICS",1,0)))+
IF(T8="EN PROCESO",1/2,IF(T8="CONCLUIDO",1,0))+
IF(OR(U8="CONCLUIDO",U8="NO APLICA"),1,IF(U8="EN REVISIÓN CENTRAL",2/3,IF(U8="ENVIADO A LA CE/UM",1/3,0)))+
IF(OR(V8="CONCLUIDO",V8="NO APLICA"),1,IF(V8="EN REVISIÓN CENTRAL",2/3,IF(V8="ENVIADO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IF(OR(W8="CONCLUIDO",W8="NO APLICA"),1,IF(W8="EN PROCESO",0.5,0))+
IF(OR(X8="CONCLUIDO",X8="NO APLICA"),1,IF(X8="EN PROCESO",0.5,0))+
IF(Y8="PROGRAMADAS",1/2,IF(Y8="CONCLUIDAS",1,0))+
IF(OR(Z8="SI",Z8="NO APLICA"),1,0)+
IF(OR(AA8="SI",AA8="NO APLICA"),1,0)
)/9</f>
        <v>0.77777777777777779</v>
      </c>
      <c r="AF8" s="91">
        <v>9</v>
      </c>
      <c r="AG8" s="103" t="s">
        <v>1836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>
        <f t="shared" si="0"/>
        <v>0</v>
      </c>
      <c r="AC9">
        <f t="shared" si="1"/>
        <v>0</v>
      </c>
      <c r="AD9" s="67" t="s">
        <v>1865</v>
      </c>
      <c r="AE9" s="87">
        <f>(
IF(S9="ENVIADO A LA CE/UM",1/3,IF(S9="ENTREGADO/REVISIÓN",2/3,IF(S9="ENVIADO A TICS",1,0)))+
IF(T9="EN PROCESO",1/2,IF(T9="CONCLUIDO",1,0))+
IF(OR(U9="CONCLUIDO",U9="NO APLICA"),1,IF(U9="EN REVISIÓN CENTRAL",2/3,IF(U9="ENVIADO A LA CE/UM",1/3,0)))+
IF(OR(V9="CONCLUIDO",V9="NO APLICA"),1,IF(V9="EN REVISIÓN CENTRAL",2/3,IF(V9="ENVIADO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IF(OR(W9="CONCLUIDO",W9="NO APLICA"),1,IF(W9="EN PROCESO",0.5,0))+
IF(OR(X9="CONCLUIDO",X9="NO APLICA"),1,IF(X9="EN PROCESO",0.5,0))+
IF(Y9="PROGRAMADAS",1/2,IF(Y9="CONCLUIDAS",1,0))+
IF(OR(Z9="SI",Z9="NO APLICA"),1,0)+
IF(OR(AA9="SI",AA9="NO APLICA"),1,0)
)/9</f>
        <v>0.77777777777777779</v>
      </c>
      <c r="AF9" s="91">
        <v>9</v>
      </c>
      <c r="AG9" s="103" t="s">
        <v>1836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>
        <f t="shared" si="0"/>
        <v>0</v>
      </c>
      <c r="AC10">
        <f t="shared" si="1"/>
        <v>0</v>
      </c>
      <c r="AD10" s="73"/>
      <c r="AE10" s="87">
        <f>(
IF(S10="ENVIADO A LA CE/UM",1/3,IF(S10="ENTREGADO/REVISIÓN",2/3,IF(S10="ENVIADO A TICS",1,0)))+
IF(T10="EN PROCESO",1/2,IF(T10="CONCLUIDO",1,0))+
IF(OR(U10="CONCLUIDO",U10="NO APLICA"),1,IF(U10="EN REVISIÓN CENTRAL",2/3,IF(U10="ENVIADO A LA CE/UM",1/3,0)))+
IF(OR(V10="CONCLUIDO",V10="NO APLICA"),1,IF(V10="EN REVISIÓN CENTRAL",2/3,IF(V10="ENVIADO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IF(OR(W10="CONCLUIDO",W10="NO APLICA"),1,IF(W10="EN PROCESO",0.5,0))+
IF(OR(X10="CONCLUIDO",X10="NO APLICA"),1,IF(X10="EN PROCESO",0.5,0))+
IF(Y10="PROGRAMADAS",1/2,IF(Y10="CONCLUIDAS",1,0))+
IF(OR(Z10="SI",Z10="NO APLICA"),1,0)+
IF(OR(AA10="SI",AA10="NO APLICA"),1,0)
)/9</f>
        <v>0.77777777777777779</v>
      </c>
      <c r="AF10" s="91">
        <v>2</v>
      </c>
      <c r="AG10" s="103" t="s">
        <v>1837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>
        <f t="shared" si="0"/>
        <v>0</v>
      </c>
      <c r="AC11">
        <f t="shared" si="1"/>
        <v>0</v>
      </c>
      <c r="AD11" s="67"/>
      <c r="AE11" s="87">
        <f>(
IF(S11="ENVIADO A LA CE/UM",1/3,IF(S11="ENTREGADO/REVISIÓN",2/3,IF(S11="ENVIADO A TICS",1,0)))+
IF(T11="EN PROCESO",1/2,IF(T11="CONCLUIDO",1,0))+
IF(OR(U11="CONCLUIDO",U11="NO APLICA"),1,IF(U11="EN REVISIÓN CENTRAL",2/3,IF(U11="ENVIADO A LA CE/UM",1/3,0)))+
IF(OR(V11="CONCLUIDO",V11="NO APLICA"),1,IF(V11="EN REVISIÓN CENTRAL",2/3,IF(V11="ENVIADO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IF(OR(W11="CONCLUIDO",W11="NO APLICA"),1,IF(W11="EN PROCESO",0.5,0))+
IF(OR(X11="CONCLUIDO",X11="NO APLICA"),1,IF(X11="EN PROCESO",0.5,0))+
IF(Y11="PROGRAMADAS",1/2,IF(Y11="CONCLUIDAS",1,0))+
IF(OR(Z11="SI",Z11="NO APLICA"),1,0)+
IF(OR(AA11="SI",AA11="NO APLICA"),1,0)
)/9</f>
        <v>0.77777777777777779</v>
      </c>
      <c r="AF11" s="91">
        <v>2</v>
      </c>
      <c r="AG11" s="103" t="s">
        <v>1837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>
        <f t="shared" si="0"/>
        <v>0</v>
      </c>
      <c r="AC12">
        <f t="shared" si="1"/>
        <v>0</v>
      </c>
      <c r="AD12" s="73" t="s">
        <v>1809</v>
      </c>
      <c r="AE12" s="87">
        <f>(
IF(S12="ENVIADO A LA CE/UM",1/3,IF(S12="ENTREGADO/REVISIÓN",2/3,IF(S12="ENVIADO A TICS",1,0)))+
IF(T12="EN PROCESO",1/2,IF(T12="CONCLUIDO",1,0))+
IF(OR(U12="CONCLUIDO",U12="NO APLICA"),1,IF(U12="EN REVISIÓN CENTRAL",2/3,IF(U12="ENVIADO A LA CE/UM",1/3,0)))+
IF(OR(V12="CONCLUIDO",V12="NO APLICA"),1,IF(V12="EN REVISIÓN CENTRAL",2/3,IF(V12="ENVIADO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IF(OR(W12="CONCLUIDO",W12="NO APLICA"),1,IF(W12="EN PROCESO",0.5,0))+
IF(OR(X12="CONCLUIDO",X12="NO APLICA"),1,IF(X12="EN PROCESO",0.5,0))+
IF(Y12="PROGRAMADAS",1/2,IF(Y12="CONCLUIDAS",1,0))+
IF(OR(Z12="SI",Z12="NO APLICA"),1,0)+
IF(OR(AA12="SI",AA12="NO APLICA"),1,0)
)/9</f>
        <v>0.66666666666666663</v>
      </c>
      <c r="AF12" s="91">
        <v>2</v>
      </c>
      <c r="AG12" s="103" t="s">
        <v>1837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213</v>
      </c>
      <c r="V13" s="66" t="s">
        <v>213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>
        <f t="shared" si="0"/>
        <v>0</v>
      </c>
      <c r="AC13">
        <f t="shared" si="1"/>
        <v>0</v>
      </c>
      <c r="AD13" s="73" t="s">
        <v>1811</v>
      </c>
      <c r="AE13" s="87">
        <f>(
IF(S13="ENVIADO A LA CE/UM",1/3,IF(S13="ENTREGADO/REVISIÓN",2/3,IF(S13="ENVIADO A TICS",1,0)))+
IF(T13="EN PROCESO",1/2,IF(T13="CONCLUIDO",1,0))+
IF(OR(U13="CONCLUIDO",U13="NO APLICA"),1,IF(U13="EN REVISIÓN CENTRAL",2/3,IF(U13="ENVIADO A LA CE/UM",1/3,0)))+
IF(OR(V13="CONCLUIDO",V13="NO APLICA"),1,IF(V13="EN REVISIÓN CENTRAL",2/3,IF(V13="ENVIADO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IF(OR(W13="CONCLUIDO",W13="NO APLICA"),1,IF(W13="EN PROCESO",0.5,0))+
IF(OR(X13="CONCLUIDO",X13="NO APLICA"),1,IF(X13="EN PROCESO",0.5,0))+
IF(Y13="PROGRAMADAS",1/2,IF(Y13="CONCLUIDAS",1,0))+
IF(OR(Z13="SI",Z13="NO APLICA"),1,0)+
IF(OR(AA13="SI",AA13="NO APLICA"),1,0)
)/9</f>
        <v>0.48148148148148145</v>
      </c>
      <c r="AF13" s="91">
        <v>2</v>
      </c>
      <c r="AG13" s="103" t="s">
        <v>1837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>
        <f t="shared" si="0"/>
        <v>0</v>
      </c>
      <c r="AC14">
        <f t="shared" si="1"/>
        <v>0</v>
      </c>
      <c r="AD14" s="67" t="s">
        <v>1806</v>
      </c>
      <c r="AE14" s="87">
        <f>(
IF(S14="ENVIADO A LA CE/UM",1/3,IF(S14="ENTREGADO/REVISIÓN",2/3,IF(S14="ENVIADO A TICS",1,0)))+
IF(T14="EN PROCESO",1/2,IF(T14="CONCLUIDO",1,0))+
IF(OR(U14="CONCLUIDO",U14="NO APLICA"),1,IF(U14="EN REVISIÓN CENTRAL",2/3,IF(U14="ENVIADO A LA CE/UM",1/3,0)))+
IF(OR(V14="CONCLUIDO",V14="NO APLICA"),1,IF(V14="EN REVISIÓN CENTRAL",2/3,IF(V14="ENVIADO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IF(OR(W14="CONCLUIDO",W14="NO APLICA"),1,IF(W14="EN PROCESO",0.5,0))+
IF(OR(X14="CONCLUIDO",X14="NO APLICA"),1,IF(X14="EN PROCESO",0.5,0))+
IF(Y14="PROGRAMADAS",1/2,IF(Y14="CONCLUIDAS",1,0))+
IF(OR(Z14="SI",Z14="NO APLICA"),1,0)+
IF(OR(AA14="SI",AA14="NO APLICA"),1,0)
)/9</f>
        <v>0.66666666666666663</v>
      </c>
      <c r="AF14" s="91">
        <v>2</v>
      </c>
      <c r="AG14" s="103" t="s">
        <v>1837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>
        <f t="shared" si="0"/>
        <v>0</v>
      </c>
      <c r="AC15">
        <f t="shared" si="1"/>
        <v>0</v>
      </c>
      <c r="AD15" s="67" t="s">
        <v>1807</v>
      </c>
      <c r="AE15" s="87">
        <f>(
IF(S15="ENVIADO A LA CE/UM",1/3,IF(S15="ENTREGADO/REVISIÓN",2/3,IF(S15="ENVIADO A TICS",1,0)))+
IF(T15="EN PROCESO",1/2,IF(T15="CONCLUIDO",1,0))+
IF(OR(U15="CONCLUIDO",U15="NO APLICA"),1,IF(U15="EN REVISIÓN CENTRAL",2/3,IF(U15="ENVIADO A LA CE/UM",1/3,0)))+
IF(OR(V15="CONCLUIDO",V15="NO APLICA"),1,IF(V15="EN REVISIÓN CENTRAL",2/3,IF(V15="ENVIADO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IF(OR(W15="CONCLUIDO",W15="NO APLICA"),1,IF(W15="EN PROCESO",0.5,0))+
IF(OR(X15="CONCLUIDO",X15="NO APLICA"),1,IF(X15="EN PROCESO",0.5,0))+
IF(Y15="PROGRAMADAS",1/2,IF(Y15="CONCLUIDAS",1,0))+
IF(OR(Z15="SI",Z15="NO APLICA"),1,0)+
IF(OR(AA15="SI",AA15="NO APLICA"),1,0)
)/9</f>
        <v>0.66666666666666663</v>
      </c>
      <c r="AF15" s="91">
        <v>2</v>
      </c>
      <c r="AG15" s="103" t="s">
        <v>1837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7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>
        <f t="shared" si="0"/>
        <v>0</v>
      </c>
      <c r="AC16">
        <f t="shared" si="1"/>
        <v>0</v>
      </c>
      <c r="AD16" s="67" t="s">
        <v>1865</v>
      </c>
      <c r="AE16" s="87">
        <f>(
IF(S16="ENVIADO A LA CE/UM",1/3,IF(S16="ENTREGADO/REVISIÓN",2/3,IF(S16="ENVIADO A TICS",1,0)))+
IF(T16="EN PROCESO",1/2,IF(T16="CONCLUIDO",1,0))+
IF(OR(U16="CONCLUIDO",U16="NO APLICA"),1,IF(U16="EN REVISIÓN CENTRAL",2/3,IF(U16="ENVIADO A LA CE/UM",1/3,0)))+
IF(OR(V16="CONCLUIDO",V16="NO APLICA"),1,IF(V16="EN REVISIÓN CENTRAL",2/3,IF(V16="ENVIADO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IF(OR(W16="CONCLUIDO",W16="NO APLICA"),1,IF(W16="EN PROCESO",0.5,0))+
IF(OR(X16="CONCLUIDO",X16="NO APLICA"),1,IF(X16="EN PROCESO",0.5,0))+
IF(Y16="PROGRAMADAS",1/2,IF(Y16="CONCLUIDAS",1,0))+
IF(OR(Z16="SI",Z16="NO APLICA"),1,0)+
IF(OR(AA16="SI",AA16="NO APLICA"),1,0)
)/9</f>
        <v>0.61111111111111116</v>
      </c>
      <c r="AF16" s="91">
        <v>9</v>
      </c>
      <c r="AG16" s="103" t="s">
        <v>1836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7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>
        <f t="shared" si="0"/>
        <v>0</v>
      </c>
      <c r="AC17">
        <f t="shared" si="1"/>
        <v>0</v>
      </c>
      <c r="AD17" s="67" t="s">
        <v>1865</v>
      </c>
      <c r="AE17" s="87">
        <f>(
IF(S17="ENVIADO A LA CE/UM",1/3,IF(S17="ENTREGADO/REVISIÓN",2/3,IF(S17="ENVIADO A TICS",1,0)))+
IF(T17="EN PROCESO",1/2,IF(T17="CONCLUIDO",1,0))+
IF(OR(U17="CONCLUIDO",U17="NO APLICA"),1,IF(U17="EN REVISIÓN CENTRAL",2/3,IF(U17="ENVIADO A LA CE/UM",1/3,0)))+
IF(OR(V17="CONCLUIDO",V17="NO APLICA"),1,IF(V17="EN REVISIÓN CENTRAL",2/3,IF(V17="ENVIADO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IF(OR(W17="CONCLUIDO",W17="NO APLICA"),1,IF(W17="EN PROCESO",0.5,0))+
IF(OR(X17="CONCLUIDO",X17="NO APLICA"),1,IF(X17="EN PROCESO",0.5,0))+
IF(Y17="PROGRAMADAS",1/2,IF(Y17="CONCLUIDAS",1,0))+
IF(OR(Z17="SI",Z17="NO APLICA"),1,0)+
IF(OR(AA17="SI",AA17="NO APLICA"),1,0)
)/9</f>
        <v>0.61111111111111116</v>
      </c>
      <c r="AF17" s="91">
        <v>9</v>
      </c>
      <c r="AG17" s="103" t="s">
        <v>1836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>
        <f t="shared" si="0"/>
        <v>0</v>
      </c>
      <c r="AC18">
        <f t="shared" si="1"/>
        <v>0</v>
      </c>
      <c r="AD18" s="67" t="s">
        <v>1865</v>
      </c>
      <c r="AE18" s="87">
        <f>(
IF(S18="ENVIADO A LA CE/UM",1/3,IF(S18="ENTREGADO/REVISIÓN",2/3,IF(S18="ENVIADO A TICS",1,0)))+
IF(T18="EN PROCESO",1/2,IF(T18="CONCLUIDO",1,0))+
IF(OR(U18="CONCLUIDO",U18="NO APLICA"),1,IF(U18="EN REVISIÓN CENTRAL",2/3,IF(U18="ENVIADO A LA CE/UM",1/3,0)))+
IF(OR(V18="CONCLUIDO",V18="NO APLICA"),1,IF(V18="EN REVISIÓN CENTRAL",2/3,IF(V18="ENVIADO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IF(OR(W18="CONCLUIDO",W18="NO APLICA"),1,IF(W18="EN PROCESO",0.5,0))+
IF(OR(X18="CONCLUIDO",X18="NO APLICA"),1,IF(X18="EN PROCESO",0.5,0))+
IF(Y18="PROGRAMADAS",1/2,IF(Y18="CONCLUIDAS",1,0))+
IF(OR(Z18="SI",Z18="NO APLICA"),1,0)+
IF(OR(AA18="SI",AA18="NO APLICA"),1,0)
)/9</f>
        <v>0.61111111111111116</v>
      </c>
      <c r="AF18" s="91">
        <v>9</v>
      </c>
      <c r="AG18" s="103" t="s">
        <v>1836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>
        <f t="shared" si="0"/>
        <v>0</v>
      </c>
      <c r="AC19">
        <f t="shared" si="1"/>
        <v>0</v>
      </c>
      <c r="AD19" s="67" t="s">
        <v>1865</v>
      </c>
      <c r="AE19" s="87">
        <f>(
IF(S19="ENVIADO A LA CE/UM",1/3,IF(S19="ENTREGADO/REVISIÓN",2/3,IF(S19="ENVIADO A TICS",1,0)))+
IF(T19="EN PROCESO",1/2,IF(T19="CONCLUIDO",1,0))+
IF(OR(U19="CONCLUIDO",U19="NO APLICA"),1,IF(U19="EN REVISIÓN CENTRAL",2/3,IF(U19="ENVIADO A LA CE/UM",1/3,0)))+
IF(OR(V19="CONCLUIDO",V19="NO APLICA"),1,IF(V19="EN REVISIÓN CENTRAL",2/3,IF(V19="ENVIADO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IF(OR(W19="CONCLUIDO",W19="NO APLICA"),1,IF(W19="EN PROCESO",0.5,0))+
IF(OR(X19="CONCLUIDO",X19="NO APLICA"),1,IF(X19="EN PROCESO",0.5,0))+
IF(Y19="PROGRAMADAS",1/2,IF(Y19="CONCLUIDAS",1,0))+
IF(OR(Z19="SI",Z19="NO APLICA"),1,0)+
IF(OR(AA19="SI",AA19="NO APLICA"),1,0)
)/9</f>
        <v>0.61111111111111116</v>
      </c>
      <c r="AF19" s="91">
        <v>9</v>
      </c>
      <c r="AG19" s="103" t="s">
        <v>1836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7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>
        <f t="shared" si="0"/>
        <v>0</v>
      </c>
      <c r="AC20">
        <f t="shared" si="1"/>
        <v>0</v>
      </c>
      <c r="AD20" s="67" t="s">
        <v>1865</v>
      </c>
      <c r="AE20" s="87">
        <f>(
IF(S20="ENVIADO A LA CE/UM",1/3,IF(S20="ENTREGADO/REVISIÓN",2/3,IF(S20="ENVIADO A TICS",1,0)))+
IF(T20="EN PROCESO",1/2,IF(T20="CONCLUIDO",1,0))+
IF(OR(U20="CONCLUIDO",U20="NO APLICA"),1,IF(U20="EN REVISIÓN CENTRAL",2/3,IF(U20="ENVIADO A LA CE/UM",1/3,0)))+
IF(OR(V20="CONCLUIDO",V20="NO APLICA"),1,IF(V20="EN REVISIÓN CENTRAL",2/3,IF(V20="ENVIADO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IF(OR(W20="CONCLUIDO",W20="NO APLICA"),1,IF(W20="EN PROCESO",0.5,0))+
IF(OR(X20="CONCLUIDO",X20="NO APLICA"),1,IF(X20="EN PROCESO",0.5,0))+
IF(Y20="PROGRAMADAS",1/2,IF(Y20="CONCLUIDAS",1,0))+
IF(OR(Z20="SI",Z20="NO APLICA"),1,0)+
IF(OR(AA20="SI",AA20="NO APLICA"),1,0)
)/9</f>
        <v>0.61111111111111116</v>
      </c>
      <c r="AF20" s="91">
        <v>9</v>
      </c>
      <c r="AG20" s="103" t="s">
        <v>1836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74</v>
      </c>
      <c r="AA21" s="66" t="s">
        <v>74</v>
      </c>
      <c r="AB21">
        <f t="shared" si="0"/>
        <v>0</v>
      </c>
      <c r="AC21">
        <f t="shared" si="1"/>
        <v>0</v>
      </c>
      <c r="AD21" s="67"/>
      <c r="AE21" s="87">
        <f>(
IF(S21="ENVIADO A LA CE/UM",1/3,IF(S21="ENTREGADO/REVISIÓN",2/3,IF(S21="ENVIADO A TICS",1,0)))+
IF(T21="EN PROCESO",1/2,IF(T21="CONCLUIDO",1,0))+
IF(OR(U21="CONCLUIDO",U21="NO APLICA"),1,IF(U21="EN REVISIÓN CENTRAL",2/3,IF(U21="ENVIADO A LA CE/UM",1/3,0)))+
IF(OR(V21="CONCLUIDO",V21="NO APLICA"),1,IF(V21="EN REVISIÓN CENTRAL",2/3,IF(V21="ENVIADO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IF(OR(W21="CONCLUIDO",W21="NO APLICA"),1,IF(W21="EN PROCESO",0.5,0))+
IF(OR(X21="CONCLUIDO",X21="NO APLICA"),1,IF(X21="EN PROCESO",0.5,0))+
IF(Y21="PROGRAMADAS",1/2,IF(Y21="CONCLUIDAS",1,0))+
IF(OR(Z21="SI",Z21="NO APLICA"),1,0)+
IF(OR(AA21="SI",AA21="NO APLICA"),1,0)
)/9</f>
        <v>0.72222222222222221</v>
      </c>
      <c r="AF21" s="91">
        <v>9</v>
      </c>
      <c r="AG21" s="105" t="s">
        <v>1842</v>
      </c>
    </row>
    <row r="22" spans="1:33" x14ac:dyDescent="0.3">
      <c r="A22" s="84" t="s">
        <v>446</v>
      </c>
      <c r="B22" s="93" t="s">
        <v>25</v>
      </c>
      <c r="C22" s="93" t="s">
        <v>440</v>
      </c>
      <c r="D22" s="33" t="s">
        <v>1775</v>
      </c>
      <c r="E22" s="34" t="s">
        <v>447</v>
      </c>
      <c r="F22" s="34" t="s">
        <v>448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9</v>
      </c>
      <c r="O22" s="48">
        <v>2</v>
      </c>
      <c r="P22" s="49">
        <v>28</v>
      </c>
      <c r="Q22" s="50">
        <v>18.670223700000001</v>
      </c>
      <c r="R22" s="50">
        <v>-98.8065608</v>
      </c>
      <c r="S22" s="66" t="s">
        <v>34</v>
      </c>
      <c r="T22" s="66" t="s">
        <v>175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>
        <f t="shared" si="0"/>
        <v>0</v>
      </c>
      <c r="AC22">
        <f t="shared" si="1"/>
        <v>0</v>
      </c>
      <c r="AD22" s="67"/>
      <c r="AE22" s="87">
        <f>(
IF(S22="ENVIADO A LA CE/UM",1/3,IF(S22="ENTREGADO/REVISIÓN",2/3,IF(S22="ENVIADO A TICS",1,0)))+
IF(T22="EN PROCESO",1/2,IF(T22="CONCLUIDO",1,0))+
IF(OR(U22="CONCLUIDO",U22="NO APLICA"),1,IF(U22="EN REVISIÓN CENTRAL",2/3,IF(U22="ENVIADO A LA CE/UM",1/3,0)))+
IF(OR(V22="CONCLUIDO",V22="NO APLICA"),1,IF(V22="EN REVISIÓN CENTRAL",2/3,IF(V22="ENVIADO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IF(OR(W22="CONCLUIDO",W22="NO APLICA"),1,IF(W22="EN PROCESO",0.5,0))+
IF(OR(X22="CONCLUIDO",X22="NO APLICA"),1,IF(X22="EN PROCESO",0.5,0))+
IF(Y22="PROGRAMADAS",1/2,IF(Y22="CONCLUIDAS",1,0))+
IF(OR(Z22="SI",Z22="NO APLICA"),1,0)+
IF(OR(AA22="SI",AA22="NO APLICA"),1,0)
)/9</f>
        <v>0.72222222222222221</v>
      </c>
      <c r="AF22" s="91">
        <v>9</v>
      </c>
      <c r="AG22" s="105" t="s">
        <v>1842</v>
      </c>
    </row>
    <row r="23" spans="1:33" x14ac:dyDescent="0.3">
      <c r="A23" s="84" t="s">
        <v>1183</v>
      </c>
      <c r="B23" s="93" t="s">
        <v>25</v>
      </c>
      <c r="C23" s="93" t="s">
        <v>440</v>
      </c>
      <c r="D23" s="33" t="s">
        <v>1775</v>
      </c>
      <c r="E23" s="34" t="s">
        <v>1184</v>
      </c>
      <c r="F23" s="34" t="s">
        <v>1185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10</v>
      </c>
      <c r="O23" s="48">
        <v>2</v>
      </c>
      <c r="P23" s="49">
        <v>68</v>
      </c>
      <c r="Q23" s="50">
        <v>18.488446799999998</v>
      </c>
      <c r="R23" s="50">
        <v>-98.762501799999995</v>
      </c>
      <c r="S23" s="66" t="s">
        <v>34</v>
      </c>
      <c r="T23" s="66" t="s">
        <v>35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74</v>
      </c>
      <c r="AB23">
        <f t="shared" si="0"/>
        <v>0</v>
      </c>
      <c r="AC23">
        <f t="shared" si="1"/>
        <v>0</v>
      </c>
      <c r="AD23" s="67"/>
      <c r="AE23" s="87">
        <f>(
IF(S23="ENVIADO A LA CE/UM",1/3,IF(S23="ENTREGADO/REVISIÓN",2/3,IF(S23="ENVIADO A TICS",1,0)))+
IF(T23="EN PROCESO",1/2,IF(T23="CONCLUIDO",1,0))+
IF(OR(U23="CONCLUIDO",U23="NO APLICA"),1,IF(U23="EN REVISIÓN CENTRAL",2/3,IF(U23="ENVIADO A LA CE/UM",1/3,0)))+
IF(OR(V23="CONCLUIDO",V23="NO APLICA"),1,IF(V23="EN REVISIÓN CENTRAL",2/3,IF(V23="ENVIADO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IF(OR(W23="CONCLUIDO",W23="NO APLICA"),1,IF(W23="EN PROCESO",0.5,0))+
IF(OR(X23="CONCLUIDO",X23="NO APLICA"),1,IF(X23="EN PROCESO",0.5,0))+
IF(Y23="PROGRAMADAS",1/2,IF(Y23="CONCLUIDAS",1,0))+
IF(OR(Z23="SI",Z23="NO APLICA"),1,0)+
IF(OR(AA23="SI",AA23="NO APLICA"),1,0)
)/9</f>
        <v>0.77777777777777779</v>
      </c>
      <c r="AF23" s="91">
        <v>9</v>
      </c>
      <c r="AG23" s="105" t="s">
        <v>1842</v>
      </c>
    </row>
    <row r="24" spans="1:33" x14ac:dyDescent="0.3">
      <c r="A24" s="84" t="s">
        <v>443</v>
      </c>
      <c r="B24" s="93" t="s">
        <v>25</v>
      </c>
      <c r="C24" s="93" t="s">
        <v>440</v>
      </c>
      <c r="D24" s="33" t="s">
        <v>1775</v>
      </c>
      <c r="E24" s="34" t="s">
        <v>444</v>
      </c>
      <c r="F24" s="34" t="s">
        <v>445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10</v>
      </c>
      <c r="O24" s="48">
        <v>3</v>
      </c>
      <c r="P24" s="49">
        <v>51</v>
      </c>
      <c r="Q24" s="50">
        <v>18.881989799999999</v>
      </c>
      <c r="R24" s="50">
        <v>-98.784947299999999</v>
      </c>
      <c r="S24" s="66" t="s">
        <v>34</v>
      </c>
      <c r="T24" s="66" t="s">
        <v>35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74</v>
      </c>
      <c r="AB24">
        <f t="shared" si="0"/>
        <v>0</v>
      </c>
      <c r="AC24">
        <f t="shared" si="1"/>
        <v>0</v>
      </c>
      <c r="AD24" s="67"/>
      <c r="AE24" s="87">
        <f>(
IF(S24="ENVIADO A LA CE/UM",1/3,IF(S24="ENTREGADO/REVISIÓN",2/3,IF(S24="ENVIADO A TICS",1,0)))+
IF(T24="EN PROCESO",1/2,IF(T24="CONCLUIDO",1,0))+
IF(OR(U24="CONCLUIDO",U24="NO APLICA"),1,IF(U24="EN REVISIÓN CENTRAL",2/3,IF(U24="ENVIADO A LA CE/UM",1/3,0)))+
IF(OR(V24="CONCLUIDO",V24="NO APLICA"),1,IF(V24="EN REVISIÓN CENTRAL",2/3,IF(V24="ENVIADO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IF(OR(W24="CONCLUIDO",W24="NO APLICA"),1,IF(W24="EN PROCESO",0.5,0))+
IF(OR(X24="CONCLUIDO",X24="NO APLICA"),1,IF(X24="EN PROCESO",0.5,0))+
IF(Y24="PROGRAMADAS",1/2,IF(Y24="CONCLUIDAS",1,0))+
IF(OR(Z24="SI",Z24="NO APLICA"),1,0)+
IF(OR(AA24="SI",AA24="NO APLICA"),1,0)
)/9</f>
        <v>0.77777777777777779</v>
      </c>
      <c r="AF24" s="91">
        <v>9</v>
      </c>
      <c r="AG24" s="105" t="s">
        <v>1842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>
        <f t="shared" si="0"/>
        <v>0</v>
      </c>
      <c r="AC25">
        <f t="shared" si="1"/>
        <v>1</v>
      </c>
      <c r="AD25" s="67"/>
      <c r="AE25" s="87">
        <f>(
IF(S25="ENVIADO A LA CE/UM",1/3,IF(S25="ENTREGADO/REVISIÓN",2/3,IF(S25="ENVIADO A TICS",1,0)))+
IF(T25="EN PROCESO",1/2,IF(T25="CONCLUIDO",1,0))+
IF(OR(U25="CONCLUIDO",U25="NO APLICA"),1,IF(U25="EN REVISIÓN CENTRAL",2/3,IF(U25="ENVIADO A LA CE/UM",1/3,0)))+
IF(OR(V25="CONCLUIDO",V25="NO APLICA"),1,IF(V25="EN REVISIÓN CENTRAL",2/3,IF(V25="ENVIADO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IF(OR(W25="CONCLUIDO",W25="NO APLICA"),1,IF(W25="EN PROCESO",0.5,0))+
IF(OR(X25="CONCLUIDO",X25="NO APLICA"),1,IF(X25="EN PROCESO",0.5,0))+
IF(Y25="PROGRAMADAS",1/2,IF(Y25="CONCLUIDAS",1,0))+
IF(OR(Z25="SI",Z25="NO APLICA"),1,0)+
IF(OR(AA25="SI",AA25="NO APLICA"),1,0)
)/9</f>
        <v>0.94444444444444442</v>
      </c>
      <c r="AF25" s="91">
        <v>9</v>
      </c>
      <c r="AG25" s="105" t="s">
        <v>1842</v>
      </c>
    </row>
    <row r="26" spans="1:33" x14ac:dyDescent="0.3">
      <c r="A26" s="84" t="s">
        <v>1168</v>
      </c>
      <c r="B26" s="93" t="s">
        <v>25</v>
      </c>
      <c r="C26" s="93" t="s">
        <v>440</v>
      </c>
      <c r="D26" s="33" t="s">
        <v>1775</v>
      </c>
      <c r="E26" s="34" t="s">
        <v>1169</v>
      </c>
      <c r="F26" s="34" t="s">
        <v>1170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22</v>
      </c>
      <c r="O26" s="48">
        <v>6</v>
      </c>
      <c r="P26" s="49">
        <v>140</v>
      </c>
      <c r="Q26" s="50">
        <v>18.845500000000001</v>
      </c>
      <c r="R26" s="50">
        <v>-98.939099999999996</v>
      </c>
      <c r="S26" s="66" t="s">
        <v>34</v>
      </c>
      <c r="T26" s="66" t="s">
        <v>35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>
        <f t="shared" si="0"/>
        <v>0</v>
      </c>
      <c r="AC26">
        <f t="shared" si="1"/>
        <v>1</v>
      </c>
      <c r="AD26" s="67"/>
      <c r="AE26" s="87">
        <f>(
IF(S26="ENVIADO A LA CE/UM",1/3,IF(S26="ENTREGADO/REVISIÓN",2/3,IF(S26="ENVIADO A TICS",1,0)))+
IF(T26="EN PROCESO",1/2,IF(T26="CONCLUIDO",1,0))+
IF(OR(U26="CONCLUIDO",U26="NO APLICA"),1,IF(U26="EN REVISIÓN CENTRAL",2/3,IF(U26="ENVIADO A LA CE/UM",1/3,0)))+
IF(OR(V26="CONCLUIDO",V26="NO APLICA"),1,IF(V26="EN REVISIÓN CENTRAL",2/3,IF(V26="ENVIADO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IF(OR(W26="CONCLUIDO",W26="NO APLICA"),1,IF(W26="EN PROCESO",0.5,0))+
IF(OR(X26="CONCLUIDO",X26="NO APLICA"),1,IF(X26="EN PROCESO",0.5,0))+
IF(Y26="PROGRAMADAS",1/2,IF(Y26="CONCLUIDAS",1,0))+
IF(OR(Z26="SI",Z26="NO APLICA"),1,0)+
IF(OR(AA26="SI",AA26="NO APLICA"),1,0)
)/9</f>
        <v>1</v>
      </c>
      <c r="AF26" s="91">
        <v>9</v>
      </c>
      <c r="AG26" s="105" t="s">
        <v>1842</v>
      </c>
    </row>
    <row r="27" spans="1:33" x14ac:dyDescent="0.3">
      <c r="A27" s="84" t="s">
        <v>1565</v>
      </c>
      <c r="B27" s="93" t="s">
        <v>25</v>
      </c>
      <c r="C27" s="93" t="s">
        <v>440</v>
      </c>
      <c r="D27" s="33" t="s">
        <v>1775</v>
      </c>
      <c r="E27" s="34" t="s">
        <v>1566</v>
      </c>
      <c r="F27" s="34" t="s">
        <v>1564</v>
      </c>
      <c r="G27" s="34" t="s">
        <v>164</v>
      </c>
      <c r="H27" s="37">
        <v>2</v>
      </c>
      <c r="I27" s="34" t="s">
        <v>155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13</v>
      </c>
      <c r="O27" s="48">
        <v>3</v>
      </c>
      <c r="P27" s="49">
        <v>59</v>
      </c>
      <c r="Q27" s="50">
        <v>18.883800000000001</v>
      </c>
      <c r="R27" s="50">
        <v>-99.08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>
        <f t="shared" si="0"/>
        <v>0</v>
      </c>
      <c r="AC27">
        <f t="shared" si="1"/>
        <v>1</v>
      </c>
      <c r="AD27" s="67"/>
      <c r="AE27" s="87">
        <f>(
IF(S27="ENVIADO A LA CE/UM",1/3,IF(S27="ENTREGADO/REVISIÓN",2/3,IF(S27="ENVIADO A TICS",1,0)))+
IF(T27="EN PROCESO",1/2,IF(T27="CONCLUIDO",1,0))+
IF(OR(U27="CONCLUIDO",U27="NO APLICA"),1,IF(U27="EN REVISIÓN CENTRAL",2/3,IF(U27="ENVIADO A LA CE/UM",1/3,0)))+
IF(OR(V27="CONCLUIDO",V27="NO APLICA"),1,IF(V27="EN REVISIÓN CENTRAL",2/3,IF(V27="ENVIADO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IF(OR(W27="CONCLUIDO",W27="NO APLICA"),1,IF(W27="EN PROCESO",0.5,0))+
IF(OR(X27="CONCLUIDO",X27="NO APLICA"),1,IF(X27="EN PROCESO",0.5,0))+
IF(Y27="PROGRAMADAS",1/2,IF(Y27="CONCLUIDAS",1,0))+
IF(OR(Z27="SI",Z27="NO APLICA"),1,0)+
IF(OR(AA27="SI",AA27="NO APLICA"),1,0)
)/9</f>
        <v>1</v>
      </c>
      <c r="AF27" s="91">
        <v>9</v>
      </c>
      <c r="AG27" s="105" t="s">
        <v>1842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>
        <f t="shared" si="0"/>
        <v>1</v>
      </c>
      <c r="AC28">
        <f t="shared" si="1"/>
        <v>0</v>
      </c>
      <c r="AD28" s="70" t="s">
        <v>1814</v>
      </c>
      <c r="AE28" s="87">
        <f>(
IF(S28="ENVIADO A LA CE/UM",1/3,IF(S28="ENTREGADO/REVISIÓN",2/3,IF(S28="ENVIADO A TICS",1,0)))+
IF(T28="EN PROCESO",1/2,IF(T28="CONCLUIDO",1,0))+
IF(OR(U28="CONCLUIDO",U28="NO APLICA"),1,IF(U28="EN REVISIÓN CENTRAL",2/3,IF(U28="ENVIADO A LA CE/UM",1/3,0)))+
IF(OR(V28="CONCLUIDO",V28="NO APLICA"),1,IF(V28="EN REVISIÓN CENTRAL",2/3,IF(V28="ENVIADO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IF(OR(W28="CONCLUIDO",W28="NO APLICA"),1,IF(W28="EN PROCESO",0.5,0))+
IF(OR(X28="CONCLUIDO",X28="NO APLICA"),1,IF(X28="EN PROCESO",0.5,0))+
IF(Y28="PROGRAMADAS",1/2,IF(Y28="CONCLUIDAS",1,0))+
IF(OR(Z28="SI",Z28="NO APLICA"),1,0)+
IF(OR(AA28="SI",AA28="NO APLICA"),1,0)
)/9</f>
        <v>0.88888888888888884</v>
      </c>
      <c r="AF28" s="91">
        <v>3</v>
      </c>
      <c r="AG28" s="105" t="s">
        <v>1835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>
        <f t="shared" si="0"/>
        <v>0</v>
      </c>
      <c r="AC29">
        <f t="shared" si="1"/>
        <v>0</v>
      </c>
      <c r="AD29" s="70"/>
      <c r="AE29" s="87">
        <f>(
IF(S29="ENVIADO A LA CE/UM",1/3,IF(S29="ENTREGADO/REVISIÓN",2/3,IF(S29="ENVIADO A TICS",1,0)))+
IF(T29="EN PROCESO",1/2,IF(T29="CONCLUIDO",1,0))+
IF(OR(U29="CONCLUIDO",U29="NO APLICA"),1,IF(U29="EN REVISIÓN CENTRAL",2/3,IF(U29="ENVIADO A LA CE/UM",1/3,0)))+
IF(OR(V29="CONCLUIDO",V29="NO APLICA"),1,IF(V29="EN REVISIÓN CENTRAL",2/3,IF(V29="ENVIADO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IF(OR(W29="CONCLUIDO",W29="NO APLICA"),1,IF(W29="EN PROCESO",0.5,0))+
IF(OR(X29="CONCLUIDO",X29="NO APLICA"),1,IF(X29="EN PROCESO",0.5,0))+
IF(Y29="PROGRAMADAS",1/2,IF(Y29="CONCLUIDAS",1,0))+
IF(OR(Z29="SI",Z29="NO APLICA"),1,0)+
IF(OR(AA29="SI",AA29="NO APLICA"),1,0)
)/9</f>
        <v>0.66666666666666663</v>
      </c>
      <c r="AF29" s="91">
        <v>3</v>
      </c>
      <c r="AG29" s="105" t="s">
        <v>1783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>
        <f t="shared" si="0"/>
        <v>0</v>
      </c>
      <c r="AC30">
        <f t="shared" si="1"/>
        <v>0</v>
      </c>
      <c r="AD30" s="67"/>
      <c r="AE30" s="87">
        <f>(
IF(S30="ENVIADO A LA CE/UM",1/3,IF(S30="ENTREGADO/REVISIÓN",2/3,IF(S30="ENVIADO A TICS",1,0)))+
IF(T30="EN PROCESO",1/2,IF(T30="CONCLUIDO",1,0))+
IF(OR(U30="CONCLUIDO",U30="NO APLICA"),1,IF(U30="EN REVISIÓN CENTRAL",2/3,IF(U30="ENVIADO A LA CE/UM",1/3,0)))+
IF(OR(V30="CONCLUIDO",V30="NO APLICA"),1,IF(V30="EN REVISIÓN CENTRAL",2/3,IF(V30="ENVIADO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IF(OR(W30="CONCLUIDO",W30="NO APLICA"),1,IF(W30="EN PROCESO",0.5,0))+
IF(OR(X30="CONCLUIDO",X30="NO APLICA"),1,IF(X30="EN PROCESO",0.5,0))+
IF(Y30="PROGRAMADAS",1/2,IF(Y30="CONCLUIDAS",1,0))+
IF(OR(Z30="SI",Z30="NO APLICA"),1,0)+
IF(OR(AA30="SI",AA30="NO APLICA"),1,0)
)/9</f>
        <v>0.31481481481481477</v>
      </c>
      <c r="AF30" s="91">
        <v>9</v>
      </c>
      <c r="AG30" s="105" t="s">
        <v>1788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>
        <f t="shared" si="0"/>
        <v>0</v>
      </c>
      <c r="AC31">
        <f t="shared" si="1"/>
        <v>0</v>
      </c>
      <c r="AD31" s="67"/>
      <c r="AE31" s="87">
        <f>(
IF(S31="ENVIADO A LA CE/UM",1/3,IF(S31="ENTREGADO/REVISIÓN",2/3,IF(S31="ENVIADO A TICS",1,0)))+
IF(T31="EN PROCESO",1/2,IF(T31="CONCLUIDO",1,0))+
IF(OR(U31="CONCLUIDO",U31="NO APLICA"),1,IF(U31="EN REVISIÓN CENTRAL",2/3,IF(U31="ENVIADO A LA CE/UM",1/3,0)))+
IF(OR(V31="CONCLUIDO",V31="NO APLICA"),1,IF(V31="EN REVISIÓN CENTRAL",2/3,IF(V31="ENVIADO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IF(OR(W31="CONCLUIDO",W31="NO APLICA"),1,IF(W31="EN PROCESO",0.5,0))+
IF(OR(X31="CONCLUIDO",X31="NO APLICA"),1,IF(X31="EN PROCESO",0.5,0))+
IF(Y31="PROGRAMADAS",1/2,IF(Y31="CONCLUIDAS",1,0))+
IF(OR(Z31="SI",Z31="NO APLICA"),1,0)+
IF(OR(AA31="SI",AA31="NO APLICA"),1,0)
)/9</f>
        <v>0.31481481481481477</v>
      </c>
      <c r="AF31" s="91">
        <v>9</v>
      </c>
      <c r="AG31" s="105" t="s">
        <v>1788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>
        <f t="shared" si="0"/>
        <v>0</v>
      </c>
      <c r="AC32">
        <f t="shared" si="1"/>
        <v>0</v>
      </c>
      <c r="AD32" s="67"/>
      <c r="AE32" s="87">
        <f>(
IF(S32="ENVIADO A LA CE/UM",1/3,IF(S32="ENTREGADO/REVISIÓN",2/3,IF(S32="ENVIADO A TICS",1,0)))+
IF(T32="EN PROCESO",1/2,IF(T32="CONCLUIDO",1,0))+
IF(OR(U32="CONCLUIDO",U32="NO APLICA"),1,IF(U32="EN REVISIÓN CENTRAL",2/3,IF(U32="ENVIADO A LA CE/UM",1/3,0)))+
IF(OR(V32="CONCLUIDO",V32="NO APLICA"),1,IF(V32="EN REVISIÓN CENTRAL",2/3,IF(V32="ENVIADO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IF(OR(W32="CONCLUIDO",W32="NO APLICA"),1,IF(W32="EN PROCESO",0.5,0))+
IF(OR(X32="CONCLUIDO",X32="NO APLICA"),1,IF(X32="EN PROCESO",0.5,0))+
IF(Y32="PROGRAMADAS",1/2,IF(Y32="CONCLUIDAS",1,0))+
IF(OR(Z32="SI",Z32="NO APLICA"),1,0)+
IF(OR(AA32="SI",AA32="NO APLICA"),1,0)
)/9</f>
        <v>0.31481481481481477</v>
      </c>
      <c r="AF32" s="91">
        <v>9</v>
      </c>
      <c r="AG32" s="105" t="s">
        <v>1788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>
        <f t="shared" si="0"/>
        <v>0</v>
      </c>
      <c r="AC33">
        <f t="shared" si="1"/>
        <v>0</v>
      </c>
      <c r="AD33" s="67"/>
      <c r="AE33" s="87">
        <f>(
IF(S33="ENVIADO A LA CE/UM",1/3,IF(S33="ENTREGADO/REVISIÓN",2/3,IF(S33="ENVIADO A TICS",1,0)))+
IF(T33="EN PROCESO",1/2,IF(T33="CONCLUIDO",1,0))+
IF(OR(U33="CONCLUIDO",U33="NO APLICA"),1,IF(U33="EN REVISIÓN CENTRAL",2/3,IF(U33="ENVIADO A LA CE/UM",1/3,0)))+
IF(OR(V33="CONCLUIDO",V33="NO APLICA"),1,IF(V33="EN REVISIÓN CENTRAL",2/3,IF(V33="ENVIADO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IF(OR(W33="CONCLUIDO",W33="NO APLICA"),1,IF(W33="EN PROCESO",0.5,0))+
IF(OR(X33="CONCLUIDO",X33="NO APLICA"),1,IF(X33="EN PROCESO",0.5,0))+
IF(Y33="PROGRAMADAS",1/2,IF(Y33="CONCLUIDAS",1,0))+
IF(OR(Z33="SI",Z33="NO APLICA"),1,0)+
IF(OR(AA33="SI",AA33="NO APLICA"),1,0)
)/9</f>
        <v>0.31481481481481477</v>
      </c>
      <c r="AF33" s="91">
        <v>9</v>
      </c>
      <c r="AG33" s="105" t="s">
        <v>1788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>
        <f t="shared" si="0"/>
        <v>0</v>
      </c>
      <c r="AC34">
        <f t="shared" si="1"/>
        <v>0</v>
      </c>
      <c r="AD34" s="67"/>
      <c r="AE34" s="87">
        <f>(
IF(S34="ENVIADO A LA CE/UM",1/3,IF(S34="ENTREGADO/REVISIÓN",2/3,IF(S34="ENVIADO A TICS",1,0)))+
IF(T34="EN PROCESO",1/2,IF(T34="CONCLUIDO",1,0))+
IF(OR(U34="CONCLUIDO",U34="NO APLICA"),1,IF(U34="EN REVISIÓN CENTRAL",2/3,IF(U34="ENVIADO A LA CE/UM",1/3,0)))+
IF(OR(V34="CONCLUIDO",V34="NO APLICA"),1,IF(V34="EN REVISIÓN CENTRAL",2/3,IF(V34="ENVIADO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IF(OR(W34="CONCLUIDO",W34="NO APLICA"),1,IF(W34="EN PROCESO",0.5,0))+
IF(OR(X34="CONCLUIDO",X34="NO APLICA"),1,IF(X34="EN PROCESO",0.5,0))+
IF(Y34="PROGRAMADAS",1/2,IF(Y34="CONCLUIDAS",1,0))+
IF(OR(Z34="SI",Z34="NO APLICA"),1,0)+
IF(OR(AA34="SI",AA34="NO APLICA"),1,0)
)/9</f>
        <v>0.31481481481481477</v>
      </c>
      <c r="AF34" s="91">
        <v>9</v>
      </c>
      <c r="AG34" s="121" t="s">
        <v>1788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>
        <f t="shared" si="0"/>
        <v>0</v>
      </c>
      <c r="AC35">
        <f t="shared" si="1"/>
        <v>0</v>
      </c>
      <c r="AD35" s="67"/>
      <c r="AE35" s="87">
        <f>(
IF(S35="ENVIADO A LA CE/UM",1/3,IF(S35="ENTREGADO/REVISIÓN",2/3,IF(S35="ENVIADO A TICS",1,0)))+
IF(T35="EN PROCESO",1/2,IF(T35="CONCLUIDO",1,0))+
IF(OR(U35="CONCLUIDO",U35="NO APLICA"),1,IF(U35="EN REVISIÓN CENTRAL",2/3,IF(U35="ENVIADO A LA CE/UM",1/3,0)))+
IF(OR(V35="CONCLUIDO",V35="NO APLICA"),1,IF(V35="EN REVISIÓN CENTRAL",2/3,IF(V35="ENVIADO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IF(OR(W35="CONCLUIDO",W35="NO APLICA"),1,IF(W35="EN PROCESO",0.5,0))+
IF(OR(X35="CONCLUIDO",X35="NO APLICA"),1,IF(X35="EN PROCESO",0.5,0))+
IF(Y35="PROGRAMADAS",1/2,IF(Y35="CONCLUIDAS",1,0))+
IF(OR(Z35="SI",Z35="NO APLICA"),1,0)+
IF(OR(AA35="SI",AA35="NO APLICA"),1,0)
)/9</f>
        <v>0.31481481481481477</v>
      </c>
      <c r="AF35" s="91">
        <v>9</v>
      </c>
      <c r="AG35" s="105" t="s">
        <v>1788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>
        <f t="shared" si="0"/>
        <v>0</v>
      </c>
      <c r="AC36">
        <f t="shared" si="1"/>
        <v>0</v>
      </c>
      <c r="AD36" s="67"/>
      <c r="AE36" s="87">
        <f>(
IF(S36="ENVIADO A LA CE/UM",1/3,IF(S36="ENTREGADO/REVISIÓN",2/3,IF(S36="ENVIADO A TICS",1,0)))+
IF(T36="EN PROCESO",1/2,IF(T36="CONCLUIDO",1,0))+
IF(OR(U36="CONCLUIDO",U36="NO APLICA"),1,IF(U36="EN REVISIÓN CENTRAL",2/3,IF(U36="ENVIADO A LA CE/UM",1/3,0)))+
IF(OR(V36="CONCLUIDO",V36="NO APLICA"),1,IF(V36="EN REVISIÓN CENTRAL",2/3,IF(V36="ENVIADO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IF(OR(W36="CONCLUIDO",W36="NO APLICA"),1,IF(W36="EN PROCESO",0.5,0))+
IF(OR(X36="CONCLUIDO",X36="NO APLICA"),1,IF(X36="EN PROCESO",0.5,0))+
IF(Y36="PROGRAMADAS",1/2,IF(Y36="CONCLUIDAS",1,0))+
IF(OR(Z36="SI",Z36="NO APLICA"),1,0)+
IF(OR(AA36="SI",AA36="NO APLICA"),1,0)
)/9</f>
        <v>0.31481481481481477</v>
      </c>
      <c r="AF36" s="91">
        <v>9</v>
      </c>
      <c r="AG36" s="105" t="s">
        <v>1788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>
        <f t="shared" si="0"/>
        <v>0</v>
      </c>
      <c r="AC37">
        <f t="shared" si="1"/>
        <v>0</v>
      </c>
      <c r="AD37" s="67"/>
      <c r="AE37" s="87">
        <f>(
IF(S37="ENVIADO A LA CE/UM",1/3,IF(S37="ENTREGADO/REVISIÓN",2/3,IF(S37="ENVIADO A TICS",1,0)))+
IF(T37="EN PROCESO",1/2,IF(T37="CONCLUIDO",1,0))+
IF(OR(U37="CONCLUIDO",U37="NO APLICA"),1,IF(U37="EN REVISIÓN CENTRAL",2/3,IF(U37="ENVIADO A LA CE/UM",1/3,0)))+
IF(OR(V37="CONCLUIDO",V37="NO APLICA"),1,IF(V37="EN REVISIÓN CENTRAL",2/3,IF(V37="ENVIADO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IF(OR(W37="CONCLUIDO",W37="NO APLICA"),1,IF(W37="EN PROCESO",0.5,0))+
IF(OR(X37="CONCLUIDO",X37="NO APLICA"),1,IF(X37="EN PROCESO",0.5,0))+
IF(Y37="PROGRAMADAS",1/2,IF(Y37="CONCLUIDAS",1,0))+
IF(OR(Z37="SI",Z37="NO APLICA"),1,0)+
IF(OR(AA37="SI",AA37="NO APLICA"),1,0)
)/9</f>
        <v>0.31481481481481477</v>
      </c>
      <c r="AF37" s="91">
        <v>9</v>
      </c>
      <c r="AG37" s="105" t="s">
        <v>1788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>
        <f t="shared" si="0"/>
        <v>0</v>
      </c>
      <c r="AC38">
        <f t="shared" si="1"/>
        <v>0</v>
      </c>
      <c r="AD38" s="67"/>
      <c r="AE38" s="87">
        <f>(
IF(S38="ENVIADO A LA CE/UM",1/3,IF(S38="ENTREGADO/REVISIÓN",2/3,IF(S38="ENVIADO A TICS",1,0)))+
IF(T38="EN PROCESO",1/2,IF(T38="CONCLUIDO",1,0))+
IF(OR(U38="CONCLUIDO",U38="NO APLICA"),1,IF(U38="EN REVISIÓN CENTRAL",2/3,IF(U38="ENVIADO A LA CE/UM",1/3,0)))+
IF(OR(V38="CONCLUIDO",V38="NO APLICA"),1,IF(V38="EN REVISIÓN CENTRAL",2/3,IF(V38="ENVIADO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IF(OR(W38="CONCLUIDO",W38="NO APLICA"),1,IF(W38="EN PROCESO",0.5,0))+
IF(OR(X38="CONCLUIDO",X38="NO APLICA"),1,IF(X38="EN PROCESO",0.5,0))+
IF(Y38="PROGRAMADAS",1/2,IF(Y38="CONCLUIDAS",1,0))+
IF(OR(Z38="SI",Z38="NO APLICA"),1,0)+
IF(OR(AA38="SI",AA38="NO APLICA"),1,0)
)/9</f>
        <v>0.31481481481481477</v>
      </c>
      <c r="AF38" s="91">
        <v>9</v>
      </c>
      <c r="AG38" s="121" t="s">
        <v>1788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>
        <f t="shared" si="0"/>
        <v>0</v>
      </c>
      <c r="AC39">
        <f t="shared" si="1"/>
        <v>0</v>
      </c>
      <c r="AD39" s="67"/>
      <c r="AE39" s="87">
        <f>(
IF(S39="ENVIADO A LA CE/UM",1/3,IF(S39="ENTREGADO/REVISIÓN",2/3,IF(S39="ENVIADO A TICS",1,0)))+
IF(T39="EN PROCESO",1/2,IF(T39="CONCLUIDO",1,0))+
IF(OR(U39="CONCLUIDO",U39="NO APLICA"),1,IF(U39="EN REVISIÓN CENTRAL",2/3,IF(U39="ENVIADO A LA CE/UM",1/3,0)))+
IF(OR(V39="CONCLUIDO",V39="NO APLICA"),1,IF(V39="EN REVISIÓN CENTRAL",2/3,IF(V39="ENVIADO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IF(OR(W39="CONCLUIDO",W39="NO APLICA"),1,IF(W39="EN PROCESO",0.5,0))+
IF(OR(X39="CONCLUIDO",X39="NO APLICA"),1,IF(X39="EN PROCESO",0.5,0))+
IF(Y39="PROGRAMADAS",1/2,IF(Y39="CONCLUIDAS",1,0))+
IF(OR(Z39="SI",Z39="NO APLICA"),1,0)+
IF(OR(AA39="SI",AA39="NO APLICA"),1,0)
)/9</f>
        <v>0.31481481481481477</v>
      </c>
      <c r="AF39" s="91">
        <v>9</v>
      </c>
      <c r="AG39" s="121" t="s">
        <v>1788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>
        <f t="shared" si="0"/>
        <v>0</v>
      </c>
      <c r="AC40">
        <f t="shared" si="1"/>
        <v>0</v>
      </c>
      <c r="AD40" s="67"/>
      <c r="AE40" s="87">
        <f>(
IF(S40="ENVIADO A LA CE/UM",1/3,IF(S40="ENTREGADO/REVISIÓN",2/3,IF(S40="ENVIADO A TICS",1,0)))+
IF(T40="EN PROCESO",1/2,IF(T40="CONCLUIDO",1,0))+
IF(OR(U40="CONCLUIDO",U40="NO APLICA"),1,IF(U40="EN REVISIÓN CENTRAL",2/3,IF(U40="ENVIADO A LA CE/UM",1/3,0)))+
IF(OR(V40="CONCLUIDO",V40="NO APLICA"),1,IF(V40="EN REVISIÓN CENTRAL",2/3,IF(V40="ENVIADO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IF(OR(W40="CONCLUIDO",W40="NO APLICA"),1,IF(W40="EN PROCESO",0.5,0))+
IF(OR(X40="CONCLUIDO",X40="NO APLICA"),1,IF(X40="EN PROCESO",0.5,0))+
IF(Y40="PROGRAMADAS",1/2,IF(Y40="CONCLUIDAS",1,0))+
IF(OR(Z40="SI",Z40="NO APLICA"),1,0)+
IF(OR(AA40="SI",AA40="NO APLICA"),1,0)
)/9</f>
        <v>0.31481481481481477</v>
      </c>
      <c r="AF40" s="91">
        <v>9</v>
      </c>
      <c r="AG40" s="105" t="s">
        <v>1788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>
        <f t="shared" si="0"/>
        <v>0</v>
      </c>
      <c r="AC41">
        <f t="shared" si="1"/>
        <v>0</v>
      </c>
      <c r="AD41" s="67"/>
      <c r="AE41" s="87">
        <f>(
IF(S41="ENVIADO A LA CE/UM",1/3,IF(S41="ENTREGADO/REVISIÓN",2/3,IF(S41="ENVIADO A TICS",1,0)))+
IF(T41="EN PROCESO",1/2,IF(T41="CONCLUIDO",1,0))+
IF(OR(U41="CONCLUIDO",U41="NO APLICA"),1,IF(U41="EN REVISIÓN CENTRAL",2/3,IF(U41="ENVIADO A LA CE/UM",1/3,0)))+
IF(OR(V41="CONCLUIDO",V41="NO APLICA"),1,IF(V41="EN REVISIÓN CENTRAL",2/3,IF(V41="ENVIADO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IF(OR(W41="CONCLUIDO",W41="NO APLICA"),1,IF(W41="EN PROCESO",0.5,0))+
IF(OR(X41="CONCLUIDO",X41="NO APLICA"),1,IF(X41="EN PROCESO",0.5,0))+
IF(Y41="PROGRAMADAS",1/2,IF(Y41="CONCLUIDAS",1,0))+
IF(OR(Z41="SI",Z41="NO APLICA"),1,0)+
IF(OR(AA41="SI",AA41="NO APLICA"),1,0)
)/9</f>
        <v>0.31481481481481477</v>
      </c>
      <c r="AF41" s="91">
        <v>9</v>
      </c>
      <c r="AG41" s="105" t="s">
        <v>1788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>
        <f t="shared" si="0"/>
        <v>0</v>
      </c>
      <c r="AC42">
        <f t="shared" si="1"/>
        <v>0</v>
      </c>
      <c r="AD42" s="67"/>
      <c r="AE42" s="87">
        <f>(
IF(S42="ENVIADO A LA CE/UM",1/3,IF(S42="ENTREGADO/REVISIÓN",2/3,IF(S42="ENVIADO A TICS",1,0)))+
IF(T42="EN PROCESO",1/2,IF(T42="CONCLUIDO",1,0))+
IF(OR(U42="CONCLUIDO",U42="NO APLICA"),1,IF(U42="EN REVISIÓN CENTRAL",2/3,IF(U42="ENVIADO A LA CE/UM",1/3,0)))+
IF(OR(V42="CONCLUIDO",V42="NO APLICA"),1,IF(V42="EN REVISIÓN CENTRAL",2/3,IF(V42="ENVIADO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IF(OR(W42="CONCLUIDO",W42="NO APLICA"),1,IF(W42="EN PROCESO",0.5,0))+
IF(OR(X42="CONCLUIDO",X42="NO APLICA"),1,IF(X42="EN PROCESO",0.5,0))+
IF(Y42="PROGRAMADAS",1/2,IF(Y42="CONCLUIDAS",1,0))+
IF(OR(Z42="SI",Z42="NO APLICA"),1,0)+
IF(OR(AA42="SI",AA42="NO APLICA"),1,0)
)/9</f>
        <v>0.31481481481481477</v>
      </c>
      <c r="AF42" s="91">
        <v>9</v>
      </c>
      <c r="AG42" s="121" t="s">
        <v>1788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>
        <f t="shared" si="0"/>
        <v>0</v>
      </c>
      <c r="AC43">
        <f t="shared" si="1"/>
        <v>0</v>
      </c>
      <c r="AD43" s="67" t="s">
        <v>1868</v>
      </c>
      <c r="AE43" s="87">
        <f>(
IF(S43="ENVIADO A LA CE/UM",1/3,IF(S43="ENTREGADO/REVISIÓN",2/3,IF(S43="ENVIADO A TICS",1,0)))+
IF(T43="EN PROCESO",1/2,IF(T43="CONCLUIDO",1,0))+
IF(OR(U43="CONCLUIDO",U43="NO APLICA"),1,IF(U43="EN REVISIÓN CENTRAL",2/3,IF(U43="ENVIADO A LA CE/UM",1/3,0)))+
IF(OR(V43="CONCLUIDO",V43="NO APLICA"),1,IF(V43="EN REVISIÓN CENTRAL",2/3,IF(V43="ENVIADO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IF(OR(W43="CONCLUIDO",W43="NO APLICA"),1,IF(W43="EN PROCESO",0.5,0))+
IF(OR(X43="CONCLUIDO",X43="NO APLICA"),1,IF(X43="EN PROCESO",0.5,0))+
IF(Y43="PROGRAMADAS",1/2,IF(Y43="CONCLUIDAS",1,0))+
IF(OR(Z43="SI",Z43="NO APLICA"),1,0)+
IF(OR(AA43="SI",AA43="NO APLICA"),1,0)
)/9</f>
        <v>0.77777777777777779</v>
      </c>
      <c r="AF43" s="91">
        <v>5</v>
      </c>
      <c r="AG43" s="121" t="s">
        <v>1846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>
        <f t="shared" si="0"/>
        <v>1</v>
      </c>
      <c r="AC44">
        <f t="shared" si="1"/>
        <v>0</v>
      </c>
      <c r="AD44" s="67"/>
      <c r="AE44" s="87">
        <f>(
IF(S44="ENVIADO A LA CE/UM",1/3,IF(S44="ENTREGADO/REVISIÓN",2/3,IF(S44="ENVIADO A TICS",1,0)))+
IF(T44="EN PROCESO",1/2,IF(T44="CONCLUIDO",1,0))+
IF(OR(U44="CONCLUIDO",U44="NO APLICA"),1,IF(U44="EN REVISIÓN CENTRAL",2/3,IF(U44="ENVIADO A LA CE/UM",1/3,0)))+
IF(OR(V44="CONCLUIDO",V44="NO APLICA"),1,IF(V44="EN REVISIÓN CENTRAL",2/3,IF(V44="ENVIADO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IF(OR(W44="CONCLUIDO",W44="NO APLICA"),1,IF(W44="EN PROCESO",0.5,0))+
IF(OR(X44="CONCLUIDO",X44="NO APLICA"),1,IF(X44="EN PROCESO",0.5,0))+
IF(Y44="PROGRAMADAS",1/2,IF(Y44="CONCLUIDAS",1,0))+
IF(OR(Z44="SI",Z44="NO APLICA"),1,0)+
IF(OR(AA44="SI",AA44="NO APLICA"),1,0)
)/9</f>
        <v>0.88888888888888884</v>
      </c>
      <c r="AF44" s="91">
        <v>5</v>
      </c>
      <c r="AG44" s="121" t="s">
        <v>1846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>
        <f t="shared" si="0"/>
        <v>0</v>
      </c>
      <c r="AC45">
        <f t="shared" si="1"/>
        <v>0</v>
      </c>
      <c r="AD45" s="67"/>
      <c r="AE45" s="87">
        <f>(
IF(S45="ENVIADO A LA CE/UM",1/3,IF(S45="ENTREGADO/REVISIÓN",2/3,IF(S45="ENVIADO A TICS",1,0)))+
IF(T45="EN PROCESO",1/2,IF(T45="CONCLUIDO",1,0))+
IF(OR(U45="CONCLUIDO",U45="NO APLICA"),1,IF(U45="EN REVISIÓN CENTRAL",2/3,IF(U45="ENVIADO A LA CE/UM",1/3,0)))+
IF(OR(V45="CONCLUIDO",V45="NO APLICA"),1,IF(V45="EN REVISIÓN CENTRAL",2/3,IF(V45="ENVIADO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IF(OR(W45="CONCLUIDO",W45="NO APLICA"),1,IF(W45="EN PROCESO",0.5,0))+
IF(OR(X45="CONCLUIDO",X45="NO APLICA"),1,IF(X45="EN PROCESO",0.5,0))+
IF(Y45="PROGRAMADAS",1/2,IF(Y45="CONCLUIDAS",1,0))+
IF(OR(Z45="SI",Z45="NO APLICA"),1,0)+
IF(OR(AA45="SI",AA45="NO APLICA"),1,0)
)/9</f>
        <v>0.24074074074074073</v>
      </c>
      <c r="AF45" s="91">
        <v>9</v>
      </c>
      <c r="AG45" s="103" t="s">
        <v>1849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>
        <f t="shared" si="0"/>
        <v>0</v>
      </c>
      <c r="AC46">
        <f t="shared" si="1"/>
        <v>0</v>
      </c>
      <c r="AD46" s="67"/>
      <c r="AE46" s="87">
        <f>(
IF(S46="ENVIADO A LA CE/UM",1/3,IF(S46="ENTREGADO/REVISIÓN",2/3,IF(S46="ENVIADO A TICS",1,0)))+
IF(T46="EN PROCESO",1/2,IF(T46="CONCLUIDO",1,0))+
IF(OR(U46="CONCLUIDO",U46="NO APLICA"),1,IF(U46="EN REVISIÓN CENTRAL",2/3,IF(U46="ENVIADO A LA CE/UM",1/3,0)))+
IF(OR(V46="CONCLUIDO",V46="NO APLICA"),1,IF(V46="EN REVISIÓN CENTRAL",2/3,IF(V46="ENVIADO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IF(OR(W46="CONCLUIDO",W46="NO APLICA"),1,IF(W46="EN PROCESO",0.5,0))+
IF(OR(X46="CONCLUIDO",X46="NO APLICA"),1,IF(X46="EN PROCESO",0.5,0))+
IF(Y46="PROGRAMADAS",1/2,IF(Y46="CONCLUIDAS",1,0))+
IF(OR(Z46="SI",Z46="NO APLICA"),1,0)+
IF(OR(AA46="SI",AA46="NO APLICA"),1,0)
)/9</f>
        <v>0.24074074074074073</v>
      </c>
      <c r="AF46" s="91">
        <v>9</v>
      </c>
      <c r="AG46" s="103" t="s">
        <v>1849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>
        <f t="shared" si="0"/>
        <v>0</v>
      </c>
      <c r="AC47">
        <f t="shared" si="1"/>
        <v>0</v>
      </c>
      <c r="AD47" s="67"/>
      <c r="AE47" s="87">
        <f>(
IF(S47="ENVIADO A LA CE/UM",1/3,IF(S47="ENTREGADO/REVISIÓN",2/3,IF(S47="ENVIADO A TICS",1,0)))+
IF(T47="EN PROCESO",1/2,IF(T47="CONCLUIDO",1,0))+
IF(OR(U47="CONCLUIDO",U47="NO APLICA"),1,IF(U47="EN REVISIÓN CENTRAL",2/3,IF(U47="ENVIADO A LA CE/UM",1/3,0)))+
IF(OR(V47="CONCLUIDO",V47="NO APLICA"),1,IF(V47="EN REVISIÓN CENTRAL",2/3,IF(V47="ENVIADO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IF(OR(W47="CONCLUIDO",W47="NO APLICA"),1,IF(W47="EN PROCESO",0.5,0))+
IF(OR(X47="CONCLUIDO",X47="NO APLICA"),1,IF(X47="EN PROCESO",0.5,0))+
IF(Y47="PROGRAMADAS",1/2,IF(Y47="CONCLUIDAS",1,0))+
IF(OR(Z47="SI",Z47="NO APLICA"),1,0)+
IF(OR(AA47="SI",AA47="NO APLICA"),1,0)
)/9</f>
        <v>0.24074074074074073</v>
      </c>
      <c r="AF47" s="91">
        <v>9</v>
      </c>
      <c r="AG47" s="103" t="s">
        <v>1849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>
        <f t="shared" si="0"/>
        <v>0</v>
      </c>
      <c r="AC48">
        <f t="shared" si="1"/>
        <v>0</v>
      </c>
      <c r="AD48" s="67"/>
      <c r="AE48" s="87">
        <f>(
IF(S48="ENVIADO A LA CE/UM",1/3,IF(S48="ENTREGADO/REVISIÓN",2/3,IF(S48="ENVIADO A TICS",1,0)))+
IF(T48="EN PROCESO",1/2,IF(T48="CONCLUIDO",1,0))+
IF(OR(U48="CONCLUIDO",U48="NO APLICA"),1,IF(U48="EN REVISIÓN CENTRAL",2/3,IF(U48="ENVIADO A LA CE/UM",1/3,0)))+
IF(OR(V48="CONCLUIDO",V48="NO APLICA"),1,IF(V48="EN REVISIÓN CENTRAL",2/3,IF(V48="ENVIADO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IF(OR(W48="CONCLUIDO",W48="NO APLICA"),1,IF(W48="EN PROCESO",0.5,0))+
IF(OR(X48="CONCLUIDO",X48="NO APLICA"),1,IF(X48="EN PROCESO",0.5,0))+
IF(Y48="PROGRAMADAS",1/2,IF(Y48="CONCLUIDAS",1,0))+
IF(OR(Z48="SI",Z48="NO APLICA"),1,0)+
IF(OR(AA48="SI",AA48="NO APLICA"),1,0)
)/9</f>
        <v>0.24074074074074073</v>
      </c>
      <c r="AF48" s="91">
        <v>9</v>
      </c>
      <c r="AG48" s="103" t="s">
        <v>1849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>
        <f t="shared" si="0"/>
        <v>0</v>
      </c>
      <c r="AC49">
        <f t="shared" si="1"/>
        <v>0</v>
      </c>
      <c r="AD49" s="67"/>
      <c r="AE49" s="87">
        <f>(
IF(S49="ENVIADO A LA CE/UM",1/3,IF(S49="ENTREGADO/REVISIÓN",2/3,IF(S49="ENVIADO A TICS",1,0)))+
IF(T49="EN PROCESO",1/2,IF(T49="CONCLUIDO",1,0))+
IF(OR(U49="CONCLUIDO",U49="NO APLICA"),1,IF(U49="EN REVISIÓN CENTRAL",2/3,IF(U49="ENVIADO A LA CE/UM",1/3,0)))+
IF(OR(V49="CONCLUIDO",V49="NO APLICA"),1,IF(V49="EN REVISIÓN CENTRAL",2/3,IF(V49="ENVIADO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IF(OR(W49="CONCLUIDO",W49="NO APLICA"),1,IF(W49="EN PROCESO",0.5,0))+
IF(OR(X49="CONCLUIDO",X49="NO APLICA"),1,IF(X49="EN PROCESO",0.5,0))+
IF(Y49="PROGRAMADAS",1/2,IF(Y49="CONCLUIDAS",1,0))+
IF(OR(Z49="SI",Z49="NO APLICA"),1,0)+
IF(OR(AA49="SI",AA49="NO APLICA"),1,0)
)/9</f>
        <v>0.24074074074074073</v>
      </c>
      <c r="AF49" s="91">
        <v>9</v>
      </c>
      <c r="AG49" s="103" t="s">
        <v>1849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>
        <f t="shared" si="0"/>
        <v>0</v>
      </c>
      <c r="AC50">
        <f t="shared" si="1"/>
        <v>0</v>
      </c>
      <c r="AD50" s="67"/>
      <c r="AE50" s="87">
        <f>(
IF(S50="ENVIADO A LA CE/UM",1/3,IF(S50="ENTREGADO/REVISIÓN",2/3,IF(S50="ENVIADO A TICS",1,0)))+
IF(T50="EN PROCESO",1/2,IF(T50="CONCLUIDO",1,0))+
IF(OR(U50="CONCLUIDO",U50="NO APLICA"),1,IF(U50="EN REVISIÓN CENTRAL",2/3,IF(U50="ENVIADO A LA CE/UM",1/3,0)))+
IF(OR(V50="CONCLUIDO",V50="NO APLICA"),1,IF(V50="EN REVISIÓN CENTRAL",2/3,IF(V50="ENVIADO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IF(OR(W50="CONCLUIDO",W50="NO APLICA"),1,IF(W50="EN PROCESO",0.5,0))+
IF(OR(X50="CONCLUIDO",X50="NO APLICA"),1,IF(X50="EN PROCESO",0.5,0))+
IF(Y50="PROGRAMADAS",1/2,IF(Y50="CONCLUIDAS",1,0))+
IF(OR(Z50="SI",Z50="NO APLICA"),1,0)+
IF(OR(AA50="SI",AA50="NO APLICA"),1,0)
)/9</f>
        <v>0.24074074074074073</v>
      </c>
      <c r="AF50" s="91">
        <v>9</v>
      </c>
      <c r="AG50" s="103" t="s">
        <v>1849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>
        <f t="shared" si="0"/>
        <v>0</v>
      </c>
      <c r="AC51">
        <f t="shared" si="1"/>
        <v>0</v>
      </c>
      <c r="AD51" s="67"/>
      <c r="AE51" s="87">
        <f>(
IF(S51="ENVIADO A LA CE/UM",1/3,IF(S51="ENTREGADO/REVISIÓN",2/3,IF(S51="ENVIADO A TICS",1,0)))+
IF(T51="EN PROCESO",1/2,IF(T51="CONCLUIDO",1,0))+
IF(OR(U51="CONCLUIDO",U51="NO APLICA"),1,IF(U51="EN REVISIÓN CENTRAL",2/3,IF(U51="ENVIADO A LA CE/UM",1/3,0)))+
IF(OR(V51="CONCLUIDO",V51="NO APLICA"),1,IF(V51="EN REVISIÓN CENTRAL",2/3,IF(V51="ENVIADO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IF(OR(W51="CONCLUIDO",W51="NO APLICA"),1,IF(W51="EN PROCESO",0.5,0))+
IF(OR(X51="CONCLUIDO",X51="NO APLICA"),1,IF(X51="EN PROCESO",0.5,0))+
IF(Y51="PROGRAMADAS",1/2,IF(Y51="CONCLUIDAS",1,0))+
IF(OR(Z51="SI",Z51="NO APLICA"),1,0)+
IF(OR(AA51="SI",AA51="NO APLICA"),1,0)
)/9</f>
        <v>0.24074074074074073</v>
      </c>
      <c r="AF51" s="91">
        <v>9</v>
      </c>
      <c r="AG51" s="103" t="s">
        <v>1849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>
        <f t="shared" si="0"/>
        <v>0</v>
      </c>
      <c r="AC52">
        <f t="shared" si="1"/>
        <v>0</v>
      </c>
      <c r="AD52" s="67"/>
      <c r="AE52" s="87">
        <f>(
IF(S52="ENVIADO A LA CE/UM",1/3,IF(S52="ENTREGADO/REVISIÓN",2/3,IF(S52="ENVIADO A TICS",1,0)))+
IF(T52="EN PROCESO",1/2,IF(T52="CONCLUIDO",1,0))+
IF(OR(U52="CONCLUIDO",U52="NO APLICA"),1,IF(U52="EN REVISIÓN CENTRAL",2/3,IF(U52="ENVIADO A LA CE/UM",1/3,0)))+
IF(OR(V52="CONCLUIDO",V52="NO APLICA"),1,IF(V52="EN REVISIÓN CENTRAL",2/3,IF(V52="ENVIADO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IF(OR(W52="CONCLUIDO",W52="NO APLICA"),1,IF(W52="EN PROCESO",0.5,0))+
IF(OR(X52="CONCLUIDO",X52="NO APLICA"),1,IF(X52="EN PROCESO",0.5,0))+
IF(Y52="PROGRAMADAS",1/2,IF(Y52="CONCLUIDAS",1,0))+
IF(OR(Z52="SI",Z52="NO APLICA"),1,0)+
IF(OR(AA52="SI",AA52="NO APLICA"),1,0)
)/9</f>
        <v>0.24074074074074073</v>
      </c>
      <c r="AF52" s="91">
        <v>9</v>
      </c>
      <c r="AG52" s="103" t="s">
        <v>1849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>
        <f t="shared" si="0"/>
        <v>0</v>
      </c>
      <c r="AC53">
        <f t="shared" si="1"/>
        <v>0</v>
      </c>
      <c r="AD53" s="67"/>
      <c r="AE53" s="87">
        <f>(
IF(S53="ENVIADO A LA CE/UM",1/3,IF(S53="ENTREGADO/REVISIÓN",2/3,IF(S53="ENVIADO A TICS",1,0)))+
IF(T53="EN PROCESO",1/2,IF(T53="CONCLUIDO",1,0))+
IF(OR(U53="CONCLUIDO",U53="NO APLICA"),1,IF(U53="EN REVISIÓN CENTRAL",2/3,IF(U53="ENVIADO A LA CE/UM",1/3,0)))+
IF(OR(V53="CONCLUIDO",V53="NO APLICA"),1,IF(V53="EN REVISIÓN CENTRAL",2/3,IF(V53="ENVIADO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IF(OR(W53="CONCLUIDO",W53="NO APLICA"),1,IF(W53="EN PROCESO",0.5,0))+
IF(OR(X53="CONCLUIDO",X53="NO APLICA"),1,IF(X53="EN PROCESO",0.5,0))+
IF(Y53="PROGRAMADAS",1/2,IF(Y53="CONCLUIDAS",1,0))+
IF(OR(Z53="SI",Z53="NO APLICA"),1,0)+
IF(OR(AA53="SI",AA53="NO APLICA"),1,0)
)/9</f>
        <v>0.24074074074074073</v>
      </c>
      <c r="AF53" s="91">
        <v>9</v>
      </c>
      <c r="AG53" s="103" t="s">
        <v>1849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>
        <f t="shared" si="0"/>
        <v>0</v>
      </c>
      <c r="AC54">
        <f t="shared" si="1"/>
        <v>0</v>
      </c>
      <c r="AD54" s="67"/>
      <c r="AE54" s="87">
        <f>(
IF(S54="ENVIADO A LA CE/UM",1/3,IF(S54="ENTREGADO/REVISIÓN",2/3,IF(S54="ENVIADO A TICS",1,0)))+
IF(T54="EN PROCESO",1/2,IF(T54="CONCLUIDO",1,0))+
IF(OR(U54="CONCLUIDO",U54="NO APLICA"),1,IF(U54="EN REVISIÓN CENTRAL",2/3,IF(U54="ENVIADO A LA CE/UM",1/3,0)))+
IF(OR(V54="CONCLUIDO",V54="NO APLICA"),1,IF(V54="EN REVISIÓN CENTRAL",2/3,IF(V54="ENVIADO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IF(OR(W54="CONCLUIDO",W54="NO APLICA"),1,IF(W54="EN PROCESO",0.5,0))+
IF(OR(X54="CONCLUIDO",X54="NO APLICA"),1,IF(X54="EN PROCESO",0.5,0))+
IF(Y54="PROGRAMADAS",1/2,IF(Y54="CONCLUIDAS",1,0))+
IF(OR(Z54="SI",Z54="NO APLICA"),1,0)+
IF(OR(AA54="SI",AA54="NO APLICA"),1,0)
)/9</f>
        <v>0.24074074074074073</v>
      </c>
      <c r="AF54" s="91">
        <v>9</v>
      </c>
      <c r="AG54" s="103" t="s">
        <v>1849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>
        <f t="shared" si="0"/>
        <v>0</v>
      </c>
      <c r="AC55">
        <f t="shared" si="1"/>
        <v>0</v>
      </c>
      <c r="AD55" s="67"/>
      <c r="AE55" s="87">
        <f>(
IF(S55="ENVIADO A LA CE/UM",1/3,IF(S55="ENTREGADO/REVISIÓN",2/3,IF(S55="ENVIADO A TICS",1,0)))+
IF(T55="EN PROCESO",1/2,IF(T55="CONCLUIDO",1,0))+
IF(OR(U55="CONCLUIDO",U55="NO APLICA"),1,IF(U55="EN REVISIÓN CENTRAL",2/3,IF(U55="ENVIADO A LA CE/UM",1/3,0)))+
IF(OR(V55="CONCLUIDO",V55="NO APLICA"),1,IF(V55="EN REVISIÓN CENTRAL",2/3,IF(V55="ENVIADO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IF(OR(W55="CONCLUIDO",W55="NO APLICA"),1,IF(W55="EN PROCESO",0.5,0))+
IF(OR(X55="CONCLUIDO",X55="NO APLICA"),1,IF(X55="EN PROCESO",0.5,0))+
IF(Y55="PROGRAMADAS",1/2,IF(Y55="CONCLUIDAS",1,0))+
IF(OR(Z55="SI",Z55="NO APLICA"),1,0)+
IF(OR(AA55="SI",AA55="NO APLICA"),1,0)
)/9</f>
        <v>0.24074074074074073</v>
      </c>
      <c r="AF55" s="91">
        <v>9</v>
      </c>
      <c r="AG55" s="103" t="s">
        <v>1849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>
        <f t="shared" si="0"/>
        <v>0</v>
      </c>
      <c r="AC56">
        <f t="shared" si="1"/>
        <v>0</v>
      </c>
      <c r="AD56" s="67"/>
      <c r="AE56" s="87">
        <f>(
IF(S56="ENVIADO A LA CE/UM",1/3,IF(S56="ENTREGADO/REVISIÓN",2/3,IF(S56="ENVIADO A TICS",1,0)))+
IF(T56="EN PROCESO",1/2,IF(T56="CONCLUIDO",1,0))+
IF(OR(U56="CONCLUIDO",U56="NO APLICA"),1,IF(U56="EN REVISIÓN CENTRAL",2/3,IF(U56="ENVIADO A LA CE/UM",1/3,0)))+
IF(OR(V56="CONCLUIDO",V56="NO APLICA"),1,IF(V56="EN REVISIÓN CENTRAL",2/3,IF(V56="ENVIADO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IF(OR(W56="CONCLUIDO",W56="NO APLICA"),1,IF(W56="EN PROCESO",0.5,0))+
IF(OR(X56="CONCLUIDO",X56="NO APLICA"),1,IF(X56="EN PROCESO",0.5,0))+
IF(Y56="PROGRAMADAS",1/2,IF(Y56="CONCLUIDAS",1,0))+
IF(OR(Z56="SI",Z56="NO APLICA"),1,0)+
IF(OR(AA56="SI",AA56="NO APLICA"),1,0)
)/9</f>
        <v>0.24074074074074073</v>
      </c>
      <c r="AF56" s="91">
        <v>9</v>
      </c>
      <c r="AG56" s="103" t="s">
        <v>1849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>
        <f t="shared" si="0"/>
        <v>0</v>
      </c>
      <c r="AC57">
        <f t="shared" si="1"/>
        <v>0</v>
      </c>
      <c r="AD57" s="67"/>
      <c r="AE57" s="87">
        <f>(
IF(S57="ENVIADO A LA CE/UM",1/3,IF(S57="ENTREGADO/REVISIÓN",2/3,IF(S57="ENVIADO A TICS",1,0)))+
IF(T57="EN PROCESO",1/2,IF(T57="CONCLUIDO",1,0))+
IF(OR(U57="CONCLUIDO",U57="NO APLICA"),1,IF(U57="EN REVISIÓN CENTRAL",2/3,IF(U57="ENVIADO A LA CE/UM",1/3,0)))+
IF(OR(V57="CONCLUIDO",V57="NO APLICA"),1,IF(V57="EN REVISIÓN CENTRAL",2/3,IF(V57="ENVIADO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IF(OR(W57="CONCLUIDO",W57="NO APLICA"),1,IF(W57="EN PROCESO",0.5,0))+
IF(OR(X57="CONCLUIDO",X57="NO APLICA"),1,IF(X57="EN PROCESO",0.5,0))+
IF(Y57="PROGRAMADAS",1/2,IF(Y57="CONCLUIDAS",1,0))+
IF(OR(Z57="SI",Z57="NO APLICA"),1,0)+
IF(OR(AA57="SI",AA57="NO APLICA"),1,0)
)/9</f>
        <v>0.24074074074074073</v>
      </c>
      <c r="AF57" s="91">
        <v>9</v>
      </c>
      <c r="AG57" s="103" t="s">
        <v>1849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>
        <f t="shared" si="0"/>
        <v>0</v>
      </c>
      <c r="AC58">
        <f t="shared" si="1"/>
        <v>0</v>
      </c>
      <c r="AD58" s="67"/>
      <c r="AE58" s="87">
        <f>(
IF(S58="ENVIADO A LA CE/UM",1/3,IF(S58="ENTREGADO/REVISIÓN",2/3,IF(S58="ENVIADO A TICS",1,0)))+
IF(T58="EN PROCESO",1/2,IF(T58="CONCLUIDO",1,0))+
IF(OR(U58="CONCLUIDO",U58="NO APLICA"),1,IF(U58="EN REVISIÓN CENTRAL",2/3,IF(U58="ENVIADO A LA CE/UM",1/3,0)))+
IF(OR(V58="CONCLUIDO",V58="NO APLICA"),1,IF(V58="EN REVISIÓN CENTRAL",2/3,IF(V58="ENVIADO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IF(OR(W58="CONCLUIDO",W58="NO APLICA"),1,IF(W58="EN PROCESO",0.5,0))+
IF(OR(X58="CONCLUIDO",X58="NO APLICA"),1,IF(X58="EN PROCESO",0.5,0))+
IF(Y58="PROGRAMADAS",1/2,IF(Y58="CONCLUIDAS",1,0))+
IF(OR(Z58="SI",Z58="NO APLICA"),1,0)+
IF(OR(AA58="SI",AA58="NO APLICA"),1,0)
)/9</f>
        <v>0.24074074074074073</v>
      </c>
      <c r="AF58" s="91">
        <v>9</v>
      </c>
      <c r="AG58" s="103" t="s">
        <v>1849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>
        <f t="shared" si="0"/>
        <v>0</v>
      </c>
      <c r="AC59">
        <f t="shared" si="1"/>
        <v>0</v>
      </c>
      <c r="AD59" s="67"/>
      <c r="AE59" s="87">
        <f>(
IF(S59="ENVIADO A LA CE/UM",1/3,IF(S59="ENTREGADO/REVISIÓN",2/3,IF(S59="ENVIADO A TICS",1,0)))+
IF(T59="EN PROCESO",1/2,IF(T59="CONCLUIDO",1,0))+
IF(OR(U59="CONCLUIDO",U59="NO APLICA"),1,IF(U59="EN REVISIÓN CENTRAL",2/3,IF(U59="ENVIADO A LA CE/UM",1/3,0)))+
IF(OR(V59="CONCLUIDO",V59="NO APLICA"),1,IF(V59="EN REVISIÓN CENTRAL",2/3,IF(V59="ENVIADO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IF(OR(W59="CONCLUIDO",W59="NO APLICA"),1,IF(W59="EN PROCESO",0.5,0))+
IF(OR(X59="CONCLUIDO",X59="NO APLICA"),1,IF(X59="EN PROCESO",0.5,0))+
IF(Y59="PROGRAMADAS",1/2,IF(Y59="CONCLUIDAS",1,0))+
IF(OR(Z59="SI",Z59="NO APLICA"),1,0)+
IF(OR(AA59="SI",AA59="NO APLICA"),1,0)
)/9</f>
        <v>0.24074074074074073</v>
      </c>
      <c r="AF59" s="91">
        <v>9</v>
      </c>
      <c r="AG59" s="103" t="s">
        <v>1849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>
        <f t="shared" si="0"/>
        <v>0</v>
      </c>
      <c r="AC60">
        <f t="shared" si="1"/>
        <v>0</v>
      </c>
      <c r="AD60" s="67"/>
      <c r="AE60" s="87">
        <f>(
IF(S60="ENVIADO A LA CE/UM",1/3,IF(S60="ENTREGADO/REVISIÓN",2/3,IF(S60="ENVIADO A TICS",1,0)))+
IF(T60="EN PROCESO",1/2,IF(T60="CONCLUIDO",1,0))+
IF(OR(U60="CONCLUIDO",U60="NO APLICA"),1,IF(U60="EN REVISIÓN CENTRAL",2/3,IF(U60="ENVIADO A LA CE/UM",1/3,0)))+
IF(OR(V60="CONCLUIDO",V60="NO APLICA"),1,IF(V60="EN REVISIÓN CENTRAL",2/3,IF(V60="ENVIADO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IF(OR(W60="CONCLUIDO",W60="NO APLICA"),1,IF(W60="EN PROCESO",0.5,0))+
IF(OR(X60="CONCLUIDO",X60="NO APLICA"),1,IF(X60="EN PROCESO",0.5,0))+
IF(Y60="PROGRAMADAS",1/2,IF(Y60="CONCLUIDAS",1,0))+
IF(OR(Z60="SI",Z60="NO APLICA"),1,0)+
IF(OR(AA60="SI",AA60="NO APLICA"),1,0)
)/9</f>
        <v>0.24074074074074073</v>
      </c>
      <c r="AF60" s="91">
        <v>9</v>
      </c>
      <c r="AG60" s="103" t="s">
        <v>1849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>
        <f t="shared" si="0"/>
        <v>0</v>
      </c>
      <c r="AC61">
        <f t="shared" si="1"/>
        <v>0</v>
      </c>
      <c r="AD61" s="67"/>
      <c r="AE61" s="87">
        <f>(
IF(S61="ENVIADO A LA CE/UM",1/3,IF(S61="ENTREGADO/REVISIÓN",2/3,IF(S61="ENVIADO A TICS",1,0)))+
IF(T61="EN PROCESO",1/2,IF(T61="CONCLUIDO",1,0))+
IF(OR(U61="CONCLUIDO",U61="NO APLICA"),1,IF(U61="EN REVISIÓN CENTRAL",2/3,IF(U61="ENVIADO A LA CE/UM",1/3,0)))+
IF(OR(V61="CONCLUIDO",V61="NO APLICA"),1,IF(V61="EN REVISIÓN CENTRAL",2/3,IF(V61="ENVIADO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IF(OR(W61="CONCLUIDO",W61="NO APLICA"),1,IF(W61="EN PROCESO",0.5,0))+
IF(OR(X61="CONCLUIDO",X61="NO APLICA"),1,IF(X61="EN PROCESO",0.5,0))+
IF(Y61="PROGRAMADAS",1/2,IF(Y61="CONCLUIDAS",1,0))+
IF(OR(Z61="SI",Z61="NO APLICA"),1,0)+
IF(OR(AA61="SI",AA61="NO APLICA"),1,0)
)/9</f>
        <v>0.24074074074074073</v>
      </c>
      <c r="AF61" s="91">
        <v>9</v>
      </c>
      <c r="AG61" s="103" t="s">
        <v>1849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>
        <f t="shared" si="0"/>
        <v>0</v>
      </c>
      <c r="AC62">
        <f t="shared" si="1"/>
        <v>0</v>
      </c>
      <c r="AD62" s="67"/>
      <c r="AE62" s="87">
        <f>(
IF(S62="ENVIADO A LA CE/UM",1/3,IF(S62="ENTREGADO/REVISIÓN",2/3,IF(S62="ENVIADO A TICS",1,0)))+
IF(T62="EN PROCESO",1/2,IF(T62="CONCLUIDO",1,0))+
IF(OR(U62="CONCLUIDO",U62="NO APLICA"),1,IF(U62="EN REVISIÓN CENTRAL",2/3,IF(U62="ENVIADO A LA CE/UM",1/3,0)))+
IF(OR(V62="CONCLUIDO",V62="NO APLICA"),1,IF(V62="EN REVISIÓN CENTRAL",2/3,IF(V62="ENVIADO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IF(OR(W62="CONCLUIDO",W62="NO APLICA"),1,IF(W62="EN PROCESO",0.5,0))+
IF(OR(X62="CONCLUIDO",X62="NO APLICA"),1,IF(X62="EN PROCESO",0.5,0))+
IF(Y62="PROGRAMADAS",1/2,IF(Y62="CONCLUIDAS",1,0))+
IF(OR(Z62="SI",Z62="NO APLICA"),1,0)+
IF(OR(AA62="SI",AA62="NO APLICA"),1,0)
)/9</f>
        <v>0.77777777777777779</v>
      </c>
      <c r="AF62" s="91">
        <v>4</v>
      </c>
      <c r="AG62" s="64" t="s">
        <v>1786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>
        <f t="shared" si="0"/>
        <v>0</v>
      </c>
      <c r="AC63">
        <f t="shared" si="1"/>
        <v>0</v>
      </c>
      <c r="AD63" s="67"/>
      <c r="AE63" s="87">
        <f>(
IF(S63="ENVIADO A LA CE/UM",1/3,IF(S63="ENTREGADO/REVISIÓN",2/3,IF(S63="ENVIADO A TICS",1,0)))+
IF(T63="EN PROCESO",1/2,IF(T63="CONCLUIDO",1,0))+
IF(OR(U63="CONCLUIDO",U63="NO APLICA"),1,IF(U63="EN REVISIÓN CENTRAL",2/3,IF(U63="ENVIADO A LA CE/UM",1/3,0)))+
IF(OR(V63="CONCLUIDO",V63="NO APLICA"),1,IF(V63="EN REVISIÓN CENTRAL",2/3,IF(V63="ENVIADO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IF(OR(W63="CONCLUIDO",W63="NO APLICA"),1,IF(W63="EN PROCESO",0.5,0))+
IF(OR(X63="CONCLUIDO",X63="NO APLICA"),1,IF(X63="EN PROCESO",0.5,0))+
IF(Y63="PROGRAMADAS",1/2,IF(Y63="CONCLUIDAS",1,0))+
IF(OR(Z63="SI",Z63="NO APLICA"),1,0)+
IF(OR(AA63="SI",AA63="NO APLICA"),1,0)
)/9</f>
        <v>0.77777777777777779</v>
      </c>
      <c r="AF63" s="91">
        <v>4</v>
      </c>
      <c r="AG63" s="64" t="s">
        <v>1786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>
        <f t="shared" si="0"/>
        <v>0</v>
      </c>
      <c r="AC64">
        <f t="shared" si="1"/>
        <v>0</v>
      </c>
      <c r="AD64" s="67"/>
      <c r="AE64" s="87">
        <f>(
IF(S64="ENVIADO A LA CE/UM",1/3,IF(S64="ENTREGADO/REVISIÓN",2/3,IF(S64="ENVIADO A TICS",1,0)))+
IF(T64="EN PROCESO",1/2,IF(T64="CONCLUIDO",1,0))+
IF(OR(U64="CONCLUIDO",U64="NO APLICA"),1,IF(U64="EN REVISIÓN CENTRAL",2/3,IF(U64="ENVIADO A LA CE/UM",1/3,0)))+
IF(OR(V64="CONCLUIDO",V64="NO APLICA"),1,IF(V64="EN REVISIÓN CENTRAL",2/3,IF(V64="ENVIADO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IF(OR(W64="CONCLUIDO",W64="NO APLICA"),1,IF(W64="EN PROCESO",0.5,0))+
IF(OR(X64="CONCLUIDO",X64="NO APLICA"),1,IF(X64="EN PROCESO",0.5,0))+
IF(Y64="PROGRAMADAS",1/2,IF(Y64="CONCLUIDAS",1,0))+
IF(OR(Z64="SI",Z64="NO APLICA"),1,0)+
IF(OR(AA64="SI",AA64="NO APLICA"),1,0)
)/9</f>
        <v>0.77777777777777779</v>
      </c>
      <c r="AF64" s="91">
        <v>4</v>
      </c>
      <c r="AG64" s="64" t="s">
        <v>1786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>
        <f t="shared" si="0"/>
        <v>0</v>
      </c>
      <c r="AC65">
        <f t="shared" si="1"/>
        <v>0</v>
      </c>
      <c r="AD65" s="67"/>
      <c r="AE65" s="87">
        <f>(
IF(S65="ENVIADO A LA CE/UM",1/3,IF(S65="ENTREGADO/REVISIÓN",2/3,IF(S65="ENVIADO A TICS",1,0)))+
IF(T65="EN PROCESO",1/2,IF(T65="CONCLUIDO",1,0))+
IF(OR(U65="CONCLUIDO",U65="NO APLICA"),1,IF(U65="EN REVISIÓN CENTRAL",2/3,IF(U65="ENVIADO A LA CE/UM",1/3,0)))+
IF(OR(V65="CONCLUIDO",V65="NO APLICA"),1,IF(V65="EN REVISIÓN CENTRAL",2/3,IF(V65="ENVIADO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IF(OR(W65="CONCLUIDO",W65="NO APLICA"),1,IF(W65="EN PROCESO",0.5,0))+
IF(OR(X65="CONCLUIDO",X65="NO APLICA"),1,IF(X65="EN PROCESO",0.5,0))+
IF(Y65="PROGRAMADAS",1/2,IF(Y65="CONCLUIDAS",1,0))+
IF(OR(Z65="SI",Z65="NO APLICA"),1,0)+
IF(OR(AA65="SI",AA65="NO APLICA"),1,0)
)/9</f>
        <v>0.77777777777777779</v>
      </c>
      <c r="AF65" s="91">
        <v>4</v>
      </c>
      <c r="AG65" s="64" t="s">
        <v>1786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>
        <f t="shared" si="0"/>
        <v>0</v>
      </c>
      <c r="AC66">
        <f t="shared" si="1"/>
        <v>0</v>
      </c>
      <c r="AD66" s="67"/>
      <c r="AE66" s="87">
        <f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F66" s="91">
        <v>4</v>
      </c>
      <c r="AG66" s="64" t="s">
        <v>1786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>
        <f t="shared" ref="AB67:AB130" si="2">IF(OR(AND(Z67="SI",AA67="NO"),AND(Z67="NO",AA67="SI")),1,0)</f>
        <v>0</v>
      </c>
      <c r="AC67">
        <f t="shared" ref="AC67:AC130" si="3">IF(AND(OR(Z67="SI",Z67="NO APLICA"),OR(AA67="SI",AA67="NO APLICA")),1,0)</f>
        <v>0</v>
      </c>
      <c r="AD67" s="67"/>
      <c r="AE67" s="87">
        <f>(
IF(S67="ENVIADO A LA CE/UM",1/3,IF(S67="ENTREGADO/REVISIÓN",2/3,IF(S67="ENVIADO A TICS",1,0)))+
IF(T67="EN PROCESO",1/2,IF(T67="CONCLUIDO",1,0))+
IF(OR(U67="CONCLUIDO",U67="NO APLICA"),1,IF(U67="EN REVISIÓN CENTRAL",2/3,IF(U67="ENVIADO A LA CE/UM",1/3,0)))+
IF(OR(V67="CONCLUIDO",V67="NO APLICA"),1,IF(V67="EN REVISIÓN CENTRAL",2/3,IF(V67="ENVIADO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IF(OR(W67="CONCLUIDO",W67="NO APLICA"),1,IF(W67="EN PROCESO",0.5,0))+
IF(OR(X67="CONCLUIDO",X67="NO APLICA"),1,IF(X67="EN PROCESO",0.5,0))+
IF(Y67="PROGRAMADAS",1/2,IF(Y67="CONCLUIDAS",1,0))+
IF(OR(Z67="SI",Z67="NO APLICA"),1,0)+
IF(OR(AA67="SI",AA67="NO APLICA"),1,0)
)/9</f>
        <v>0.77777777777777779</v>
      </c>
      <c r="AF67" s="91">
        <v>4</v>
      </c>
      <c r="AG67" s="64" t="s">
        <v>1786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>
        <f t="shared" si="2"/>
        <v>0</v>
      </c>
      <c r="AC68">
        <f t="shared" si="3"/>
        <v>0</v>
      </c>
      <c r="AD68" s="67"/>
      <c r="AE68" s="87">
        <f>(
IF(S68="ENVIADO A LA CE/UM",1/3,IF(S68="ENTREGADO/REVISIÓN",2/3,IF(S68="ENVIADO A TICS",1,0)))+
IF(T68="EN PROCESO",1/2,IF(T68="CONCLUIDO",1,0))+
IF(OR(U68="CONCLUIDO",U68="NO APLICA"),1,IF(U68="EN REVISIÓN CENTRAL",2/3,IF(U68="ENVIADO A LA CE/UM",1/3,0)))+
IF(OR(V68="CONCLUIDO",V68="NO APLICA"),1,IF(V68="EN REVISIÓN CENTRAL",2/3,IF(V68="ENVIADO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IF(OR(W68="CONCLUIDO",W68="NO APLICA"),1,IF(W68="EN PROCESO",0.5,0))+
IF(OR(X68="CONCLUIDO",X68="NO APLICA"),1,IF(X68="EN PROCESO",0.5,0))+
IF(Y68="PROGRAMADAS",1/2,IF(Y68="CONCLUIDAS",1,0))+
IF(OR(Z68="SI",Z68="NO APLICA"),1,0)+
IF(OR(AA68="SI",AA68="NO APLICA"),1,0)
)/9</f>
        <v>0.77777777777777779</v>
      </c>
      <c r="AF68" s="91">
        <v>4</v>
      </c>
      <c r="AG68" s="64" t="s">
        <v>1786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>
        <f t="shared" si="2"/>
        <v>0</v>
      </c>
      <c r="AC69">
        <f t="shared" si="3"/>
        <v>0</v>
      </c>
      <c r="AD69" s="67"/>
      <c r="AE69" s="87">
        <f>(
IF(S69="ENVIADO A LA CE/UM",1/3,IF(S69="ENTREGADO/REVISIÓN",2/3,IF(S69="ENVIADO A TICS",1,0)))+
IF(T69="EN PROCESO",1/2,IF(T69="CONCLUIDO",1,0))+
IF(OR(U69="CONCLUIDO",U69="NO APLICA"),1,IF(U69="EN REVISIÓN CENTRAL",2/3,IF(U69="ENVIADO A LA CE/UM",1/3,0)))+
IF(OR(V69="CONCLUIDO",V69="NO APLICA"),1,IF(V69="EN REVISIÓN CENTRAL",2/3,IF(V69="ENVIADO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IF(OR(W69="CONCLUIDO",W69="NO APLICA"),1,IF(W69="EN PROCESO",0.5,0))+
IF(OR(X69="CONCLUIDO",X69="NO APLICA"),1,IF(X69="EN PROCESO",0.5,0))+
IF(Y69="PROGRAMADAS",1/2,IF(Y69="CONCLUIDAS",1,0))+
IF(OR(Z69="SI",Z69="NO APLICA"),1,0)+
IF(OR(AA69="SI",AA69="NO APLICA"),1,0)
)/9</f>
        <v>0.77777777777777779</v>
      </c>
      <c r="AF69" s="91">
        <v>4</v>
      </c>
      <c r="AG69" s="64" t="s">
        <v>1786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>
        <f t="shared" si="2"/>
        <v>0</v>
      </c>
      <c r="AC70">
        <f t="shared" si="3"/>
        <v>0</v>
      </c>
      <c r="AD70" s="67"/>
      <c r="AE70" s="87">
        <f>(
IF(S70="ENVIADO A LA CE/UM",1/3,IF(S70="ENTREGADO/REVISIÓN",2/3,IF(S70="ENVIADO A TICS",1,0)))+
IF(T70="EN PROCESO",1/2,IF(T70="CONCLUIDO",1,0))+
IF(OR(U70="CONCLUIDO",U70="NO APLICA"),1,IF(U70="EN REVISIÓN CENTRAL",2/3,IF(U70="ENVIADO A LA CE/UM",1/3,0)))+
IF(OR(V70="CONCLUIDO",V70="NO APLICA"),1,IF(V70="EN REVISIÓN CENTRAL",2/3,IF(V70="ENVIADO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IF(OR(W70="CONCLUIDO",W70="NO APLICA"),1,IF(W70="EN PROCESO",0.5,0))+
IF(OR(X70="CONCLUIDO",X70="NO APLICA"),1,IF(X70="EN PROCESO",0.5,0))+
IF(Y70="PROGRAMADAS",1/2,IF(Y70="CONCLUIDAS",1,0))+
IF(OR(Z70="SI",Z70="NO APLICA"),1,0)+
IF(OR(AA70="SI",AA70="NO APLICA"),1,0)
)/9</f>
        <v>0.77777777777777779</v>
      </c>
      <c r="AF70" s="91">
        <v>4</v>
      </c>
      <c r="AG70" s="64" t="s">
        <v>1786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>
        <f t="shared" si="2"/>
        <v>0</v>
      </c>
      <c r="AC71">
        <f t="shared" si="3"/>
        <v>0</v>
      </c>
      <c r="AD71" s="67"/>
      <c r="AE71" s="87">
        <f>(
IF(S71="ENVIADO A LA CE/UM",1/3,IF(S71="ENTREGADO/REVISIÓN",2/3,IF(S71="ENVIADO A TICS",1,0)))+
IF(T71="EN PROCESO",1/2,IF(T71="CONCLUIDO",1,0))+
IF(OR(U71="CONCLUIDO",U71="NO APLICA"),1,IF(U71="EN REVISIÓN CENTRAL",2/3,IF(U71="ENVIADO A LA CE/UM",1/3,0)))+
IF(OR(V71="CONCLUIDO",V71="NO APLICA"),1,IF(V71="EN REVISIÓN CENTRAL",2/3,IF(V71="ENVIADO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IF(OR(W71="CONCLUIDO",W71="NO APLICA"),1,IF(W71="EN PROCESO",0.5,0))+
IF(OR(X71="CONCLUIDO",X71="NO APLICA"),1,IF(X71="EN PROCESO",0.5,0))+
IF(Y71="PROGRAMADAS",1/2,IF(Y71="CONCLUIDAS",1,0))+
IF(OR(Z71="SI",Z71="NO APLICA"),1,0)+
IF(OR(AA71="SI",AA71="NO APLICA"),1,0)
)/9</f>
        <v>0.77777777777777779</v>
      </c>
      <c r="AF71" s="91">
        <v>4</v>
      </c>
      <c r="AG71" s="64" t="s">
        <v>1786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>
        <f t="shared" si="2"/>
        <v>0</v>
      </c>
      <c r="AC72">
        <f t="shared" si="3"/>
        <v>0</v>
      </c>
      <c r="AD72" s="67"/>
      <c r="AE72" s="87">
        <f>(
IF(S72="ENVIADO A LA CE/UM",1/3,IF(S72="ENTREGADO/REVISIÓN",2/3,IF(S72="ENVIADO A TICS",1,0)))+
IF(T72="EN PROCESO",1/2,IF(T72="CONCLUIDO",1,0))+
IF(OR(U72="CONCLUIDO",U72="NO APLICA"),1,IF(U72="EN REVISIÓN CENTRAL",2/3,IF(U72="ENVIADO A LA CE/UM",1/3,0)))+
IF(OR(V72="CONCLUIDO",V72="NO APLICA"),1,IF(V72="EN REVISIÓN CENTRAL",2/3,IF(V72="ENVIADO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IF(OR(W72="CONCLUIDO",W72="NO APLICA"),1,IF(W72="EN PROCESO",0.5,0))+
IF(OR(X72="CONCLUIDO",X72="NO APLICA"),1,IF(X72="EN PROCESO",0.5,0))+
IF(Y72="PROGRAMADAS",1/2,IF(Y72="CONCLUIDAS",1,0))+
IF(OR(Z72="SI",Z72="NO APLICA"),1,0)+
IF(OR(AA72="SI",AA72="NO APLICA"),1,0)
)/9</f>
        <v>0.77777777777777779</v>
      </c>
      <c r="AF72" s="91">
        <v>4</v>
      </c>
      <c r="AG72" s="64" t="s">
        <v>1786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>
        <f t="shared" si="2"/>
        <v>0</v>
      </c>
      <c r="AC73">
        <f t="shared" si="3"/>
        <v>0</v>
      </c>
      <c r="AD73" s="67"/>
      <c r="AE73" s="87">
        <f>(
IF(S73="ENVIADO A LA CE/UM",1/3,IF(S73="ENTREGADO/REVISIÓN",2/3,IF(S73="ENVIADO A TICS",1,0)))+
IF(T73="EN PROCESO",1/2,IF(T73="CONCLUIDO",1,0))+
IF(OR(U73="CONCLUIDO",U73="NO APLICA"),1,IF(U73="EN REVISIÓN CENTRAL",2/3,IF(U73="ENVIADO A LA CE/UM",1/3,0)))+
IF(OR(V73="CONCLUIDO",V73="NO APLICA"),1,IF(V73="EN REVISIÓN CENTRAL",2/3,IF(V73="ENVIADO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IF(OR(W73="CONCLUIDO",W73="NO APLICA"),1,IF(W73="EN PROCESO",0.5,0))+
IF(OR(X73="CONCLUIDO",X73="NO APLICA"),1,IF(X73="EN PROCESO",0.5,0))+
IF(Y73="PROGRAMADAS",1/2,IF(Y73="CONCLUIDAS",1,0))+
IF(OR(Z73="SI",Z73="NO APLICA"),1,0)+
IF(OR(AA73="SI",AA73="NO APLICA"),1,0)
)/9</f>
        <v>0.77777777777777779</v>
      </c>
      <c r="AF73" s="91">
        <v>4</v>
      </c>
      <c r="AG73" s="64" t="s">
        <v>1786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>
        <f t="shared" si="2"/>
        <v>0</v>
      </c>
      <c r="AC74">
        <f t="shared" si="3"/>
        <v>0</v>
      </c>
      <c r="AD74" s="67"/>
      <c r="AE74" s="87">
        <f>(
IF(S74="ENVIADO A LA CE/UM",1/3,IF(S74="ENTREGADO/REVISIÓN",2/3,IF(S74="ENVIADO A TICS",1,0)))+
IF(T74="EN PROCESO",1/2,IF(T74="CONCLUIDO",1,0))+
IF(OR(U74="CONCLUIDO",U74="NO APLICA"),1,IF(U74="EN REVISIÓN CENTRAL",2/3,IF(U74="ENVIADO A LA CE/UM",1/3,0)))+
IF(OR(V74="CONCLUIDO",V74="NO APLICA"),1,IF(V74="EN REVISIÓN CENTRAL",2/3,IF(V74="ENVIADO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IF(OR(W74="CONCLUIDO",W74="NO APLICA"),1,IF(W74="EN PROCESO",0.5,0))+
IF(OR(X74="CONCLUIDO",X74="NO APLICA"),1,IF(X74="EN PROCESO",0.5,0))+
IF(Y74="PROGRAMADAS",1/2,IF(Y74="CONCLUIDAS",1,0))+
IF(OR(Z74="SI",Z74="NO APLICA"),1,0)+
IF(OR(AA74="SI",AA74="NO APLICA"),1,0)
)/9</f>
        <v>0.77777777777777779</v>
      </c>
      <c r="AF74" s="91">
        <v>4</v>
      </c>
      <c r="AG74" s="64" t="s">
        <v>1786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>
        <f t="shared" si="2"/>
        <v>0</v>
      </c>
      <c r="AC75">
        <f t="shared" si="3"/>
        <v>0</v>
      </c>
      <c r="AD75" s="67"/>
      <c r="AE75" s="87">
        <f>(
IF(S75="ENVIADO A LA CE/UM",1/3,IF(S75="ENTREGADO/REVISIÓN",2/3,IF(S75="ENVIADO A TICS",1,0)))+
IF(T75="EN PROCESO",1/2,IF(T75="CONCLUIDO",1,0))+
IF(OR(U75="CONCLUIDO",U75="NO APLICA"),1,IF(U75="EN REVISIÓN CENTRAL",2/3,IF(U75="ENVIADO A LA CE/UM",1/3,0)))+
IF(OR(V75="CONCLUIDO",V75="NO APLICA"),1,IF(V75="EN REVISIÓN CENTRAL",2/3,IF(V75="ENVIADO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IF(OR(W75="CONCLUIDO",W75="NO APLICA"),1,IF(W75="EN PROCESO",0.5,0))+
IF(OR(X75="CONCLUIDO",X75="NO APLICA"),1,IF(X75="EN PROCESO",0.5,0))+
IF(Y75="PROGRAMADAS",1/2,IF(Y75="CONCLUIDAS",1,0))+
IF(OR(Z75="SI",Z75="NO APLICA"),1,0)+
IF(OR(AA75="SI",AA75="NO APLICA"),1,0)
)/9</f>
        <v>0.77777777777777779</v>
      </c>
      <c r="AF75" s="91">
        <v>4</v>
      </c>
      <c r="AG75" s="64" t="s">
        <v>1786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>
        <f t="shared" si="2"/>
        <v>0</v>
      </c>
      <c r="AC76">
        <f t="shared" si="3"/>
        <v>0</v>
      </c>
      <c r="AD76" s="67"/>
      <c r="AE76" s="87">
        <f>(
IF(S76="ENVIADO A LA CE/UM",1/3,IF(S76="ENTREGADO/REVISIÓN",2/3,IF(S76="ENVIADO A TICS",1,0)))+
IF(T76="EN PROCESO",1/2,IF(T76="CONCLUIDO",1,0))+
IF(OR(U76="CONCLUIDO",U76="NO APLICA"),1,IF(U76="EN REVISIÓN CENTRAL",2/3,IF(U76="ENVIADO A LA CE/UM",1/3,0)))+
IF(OR(V76="CONCLUIDO",V76="NO APLICA"),1,IF(V76="EN REVISIÓN CENTRAL",2/3,IF(V76="ENVIADO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IF(OR(W76="CONCLUIDO",W76="NO APLICA"),1,IF(W76="EN PROCESO",0.5,0))+
IF(OR(X76="CONCLUIDO",X76="NO APLICA"),1,IF(X76="EN PROCESO",0.5,0))+
IF(Y76="PROGRAMADAS",1/2,IF(Y76="CONCLUIDAS",1,0))+
IF(OR(Z76="SI",Z76="NO APLICA"),1,0)+
IF(OR(AA76="SI",AA76="NO APLICA"),1,0)
)/9</f>
        <v>0.77777777777777779</v>
      </c>
      <c r="AF76" s="91">
        <v>4</v>
      </c>
      <c r="AG76" s="64" t="s">
        <v>1786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>
        <f t="shared" si="2"/>
        <v>0</v>
      </c>
      <c r="AC77">
        <f t="shared" si="3"/>
        <v>0</v>
      </c>
      <c r="AD77" s="67"/>
      <c r="AE77" s="87">
        <f>(
IF(S77="ENVIADO A LA CE/UM",1/3,IF(S77="ENTREGADO/REVISIÓN",2/3,IF(S77="ENVIADO A TICS",1,0)))+
IF(T77="EN PROCESO",1/2,IF(T77="CONCLUIDO",1,0))+
IF(OR(U77="CONCLUIDO",U77="NO APLICA"),1,IF(U77="EN REVISIÓN CENTRAL",2/3,IF(U77="ENVIADO A LA CE/UM",1/3,0)))+
IF(OR(V77="CONCLUIDO",V77="NO APLICA"),1,IF(V77="EN REVISIÓN CENTRAL",2/3,IF(V77="ENVIADO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IF(OR(W77="CONCLUIDO",W77="NO APLICA"),1,IF(W77="EN PROCESO",0.5,0))+
IF(OR(X77="CONCLUIDO",X77="NO APLICA"),1,IF(X77="EN PROCESO",0.5,0))+
IF(Y77="PROGRAMADAS",1/2,IF(Y77="CONCLUIDAS",1,0))+
IF(OR(Z77="SI",Z77="NO APLICA"),1,0)+
IF(OR(AA77="SI",AA77="NO APLICA"),1,0)
)/9</f>
        <v>0.77777777777777779</v>
      </c>
      <c r="AF77" s="91">
        <v>4</v>
      </c>
      <c r="AG77" s="64" t="s">
        <v>1786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>
        <f t="shared" si="2"/>
        <v>0</v>
      </c>
      <c r="AC78">
        <f t="shared" si="3"/>
        <v>0</v>
      </c>
      <c r="AD78" s="67"/>
      <c r="AE78" s="87">
        <f>(
IF(S78="ENVIADO A LA CE/UM",1/3,IF(S78="ENTREGADO/REVISIÓN",2/3,IF(S78="ENVIADO A TICS",1,0)))+
IF(T78="EN PROCESO",1/2,IF(T78="CONCLUIDO",1,0))+
IF(OR(U78="CONCLUIDO",U78="NO APLICA"),1,IF(U78="EN REVISIÓN CENTRAL",2/3,IF(U78="ENVIADO A LA CE/UM",1/3,0)))+
IF(OR(V78="CONCLUIDO",V78="NO APLICA"),1,IF(V78="EN REVISIÓN CENTRAL",2/3,IF(V78="ENVIADO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IF(OR(W78="CONCLUIDO",W78="NO APLICA"),1,IF(W78="EN PROCESO",0.5,0))+
IF(OR(X78="CONCLUIDO",X78="NO APLICA"),1,IF(X78="EN PROCESO",0.5,0))+
IF(Y78="PROGRAMADAS",1/2,IF(Y78="CONCLUIDAS",1,0))+
IF(OR(Z78="SI",Z78="NO APLICA"),1,0)+
IF(OR(AA78="SI",AA78="NO APLICA"),1,0)
)/9</f>
        <v>0.77777777777777779</v>
      </c>
      <c r="AF78" s="91">
        <v>4</v>
      </c>
      <c r="AG78" s="64" t="s">
        <v>1786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>
        <f t="shared" si="2"/>
        <v>0</v>
      </c>
      <c r="AC79">
        <f t="shared" si="3"/>
        <v>0</v>
      </c>
      <c r="AD79" s="67"/>
      <c r="AE79" s="87">
        <f>(
IF(S79="ENVIADO A LA CE/UM",1/3,IF(S79="ENTREGADO/REVISIÓN",2/3,IF(S79="ENVIADO A TICS",1,0)))+
IF(T79="EN PROCESO",1/2,IF(T79="CONCLUIDO",1,0))+
IF(OR(U79="CONCLUIDO",U79="NO APLICA"),1,IF(U79="EN REVISIÓN CENTRAL",2/3,IF(U79="ENVIADO A LA CE/UM",1/3,0)))+
IF(OR(V79="CONCLUIDO",V79="NO APLICA"),1,IF(V79="EN REVISIÓN CENTRAL",2/3,IF(V79="ENVIADO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IF(OR(W79="CONCLUIDO",W79="NO APLICA"),1,IF(W79="EN PROCESO",0.5,0))+
IF(OR(X79="CONCLUIDO",X79="NO APLICA"),1,IF(X79="EN PROCESO",0.5,0))+
IF(Y79="PROGRAMADAS",1/2,IF(Y79="CONCLUIDAS",1,0))+
IF(OR(Z79="SI",Z79="NO APLICA"),1,0)+
IF(OR(AA79="SI",AA79="NO APLICA"),1,0)
)/9</f>
        <v>0.77777777777777779</v>
      </c>
      <c r="AF79" s="91">
        <v>4</v>
      </c>
      <c r="AG79" s="64" t="s">
        <v>1786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1819</v>
      </c>
      <c r="AA80" s="66" t="s">
        <v>37</v>
      </c>
      <c r="AB80">
        <f t="shared" si="2"/>
        <v>0</v>
      </c>
      <c r="AC80">
        <f t="shared" si="3"/>
        <v>1</v>
      </c>
      <c r="AD80" s="73" t="s">
        <v>1864</v>
      </c>
      <c r="AE80" s="87">
        <f>(
IF(S80="ENVIADO A LA CE/UM",1/3,IF(S80="ENTREGADO/REVISIÓN",2/3,IF(S80="ENVIADO A TICS",1,0)))+
IF(T80="EN PROCESO",1/2,IF(T80="CONCLUIDO",1,0))+
IF(OR(U80="CONCLUIDO",U80="NO APLICA"),1,IF(U80="EN REVISIÓN CENTRAL",2/3,IF(U80="ENVIADO A LA CE/UM",1/3,0)))+
IF(OR(V80="CONCLUIDO",V80="NO APLICA"),1,IF(V80="EN REVISIÓN CENTRAL",2/3,IF(V80="ENVIADO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IF(OR(W80="CONCLUIDO",W80="NO APLICA"),1,IF(W80="EN PROCESO",0.5,0))+
IF(OR(X80="CONCLUIDO",X80="NO APLICA"),1,IF(X80="EN PROCESO",0.5,0))+
IF(Y80="PROGRAMADAS",1/2,IF(Y80="CONCLUIDAS",1,0))+
IF(OR(Z80="SI",Z80="NO APLICA"),1,0)+
IF(OR(AA80="SI",AA80="NO APLICA"),1,0)
)/9</f>
        <v>0.88888888888888884</v>
      </c>
      <c r="AF80" s="91">
        <v>2</v>
      </c>
      <c r="AG80" s="103" t="s">
        <v>1829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>
        <f t="shared" si="2"/>
        <v>1</v>
      </c>
      <c r="AC81">
        <f t="shared" si="3"/>
        <v>0</v>
      </c>
      <c r="AD81" s="73" t="s">
        <v>1864</v>
      </c>
      <c r="AE81" s="87">
        <f>(
IF(S81="ENVIADO A LA CE/UM",1/3,IF(S81="ENTREGADO/REVISIÓN",2/3,IF(S81="ENVIADO A TICS",1,0)))+
IF(T81="EN PROCESO",1/2,IF(T81="CONCLUIDO",1,0))+
IF(OR(U81="CONCLUIDO",U81="NO APLICA"),1,IF(U81="EN REVISIÓN CENTRAL",2/3,IF(U81="ENVIADO A LA CE/UM",1/3,0)))+
IF(OR(V81="CONCLUIDO",V81="NO APLICA"),1,IF(V81="EN REVISIÓN CENTRAL",2/3,IF(V81="ENVIADO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IF(OR(W81="CONCLUIDO",W81="NO APLICA"),1,IF(W81="EN PROCESO",0.5,0))+
IF(OR(X81="CONCLUIDO",X81="NO APLICA"),1,IF(X81="EN PROCESO",0.5,0))+
IF(Y81="PROGRAMADAS",1/2,IF(Y81="CONCLUIDAS",1,0))+
IF(OR(Z81="SI",Z81="NO APLICA"),1,0)+
IF(OR(AA81="SI",AA81="NO APLICA"),1,0)
)/9</f>
        <v>0.88888888888888884</v>
      </c>
      <c r="AF81" s="91">
        <v>2</v>
      </c>
      <c r="AG81" s="103" t="s">
        <v>1829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>
        <f t="shared" si="2"/>
        <v>0</v>
      </c>
      <c r="AC82">
        <f t="shared" si="3"/>
        <v>1</v>
      </c>
      <c r="AD82" s="67"/>
      <c r="AE82" s="87">
        <f>(
IF(S82="ENVIADO A LA CE/UM",1/3,IF(S82="ENTREGADO/REVISIÓN",2/3,IF(S82="ENVIADO A TICS",1,0)))+
IF(T82="EN PROCESO",1/2,IF(T82="CONCLUIDO",1,0))+
IF(OR(U82="CONCLUIDO",U82="NO APLICA"),1,IF(U82="EN REVISIÓN CENTRAL",2/3,IF(U82="ENVIADO A LA CE/UM",1/3,0)))+
IF(OR(V82="CONCLUIDO",V82="NO APLICA"),1,IF(V82="EN REVISIÓN CENTRAL",2/3,IF(V82="ENVIADO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IF(OR(W82="CONCLUIDO",W82="NO APLICA"),1,IF(W82="EN PROCESO",0.5,0))+
IF(OR(X82="CONCLUIDO",X82="NO APLICA"),1,IF(X82="EN PROCESO",0.5,0))+
IF(Y82="PROGRAMADAS",1/2,IF(Y82="CONCLUIDAS",1,0))+
IF(OR(Z82="SI",Z82="NO APLICA"),1,0)+
IF(OR(AA82="SI",AA82="NO APLICA"),1,0)
)/9</f>
        <v>1</v>
      </c>
      <c r="AF82" s="92" t="s">
        <v>1825</v>
      </c>
      <c r="AG82" s="64"/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>
        <f t="shared" si="2"/>
        <v>0</v>
      </c>
      <c r="AC83">
        <f t="shared" si="3"/>
        <v>1</v>
      </c>
      <c r="AD83" s="67"/>
      <c r="AE83" s="87">
        <f>(
IF(S83="ENVIADO A LA CE/UM",1/3,IF(S83="ENTREGADO/REVISIÓN",2/3,IF(S83="ENVIADO A TICS",1,0)))+
IF(T83="EN PROCESO",1/2,IF(T83="CONCLUIDO",1,0))+
IF(OR(U83="CONCLUIDO",U83="NO APLICA"),1,IF(U83="EN REVISIÓN CENTRAL",2/3,IF(U83="ENVIADO A LA CE/UM",1/3,0)))+
IF(OR(V83="CONCLUIDO",V83="NO APLICA"),1,IF(V83="EN REVISIÓN CENTRAL",2/3,IF(V83="ENVIADO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IF(OR(W83="CONCLUIDO",W83="NO APLICA"),1,IF(W83="EN PROCESO",0.5,0))+
IF(OR(X83="CONCLUIDO",X83="NO APLICA"),1,IF(X83="EN PROCESO",0.5,0))+
IF(Y83="PROGRAMADAS",1/2,IF(Y83="CONCLUIDAS",1,0))+
IF(OR(Z83="SI",Z83="NO APLICA"),1,0)+
IF(OR(AA83="SI",AA83="NO APLICA"),1,0)
)/9</f>
        <v>1</v>
      </c>
      <c r="AF83" s="92" t="s">
        <v>1825</v>
      </c>
      <c r="AG83" s="64"/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>
        <f t="shared" si="2"/>
        <v>0</v>
      </c>
      <c r="AC84">
        <f t="shared" si="3"/>
        <v>1</v>
      </c>
      <c r="AD84" s="67"/>
      <c r="AE84" s="87">
        <f>(
IF(S84="ENVIADO A LA CE/UM",1/3,IF(S84="ENTREGADO/REVISIÓN",2/3,IF(S84="ENVIADO A TICS",1,0)))+
IF(T84="EN PROCESO",1/2,IF(T84="CONCLUIDO",1,0))+
IF(OR(U84="CONCLUIDO",U84="NO APLICA"),1,IF(U84="EN REVISIÓN CENTRAL",2/3,IF(U84="ENVIADO A LA CE/UM",1/3,0)))+
IF(OR(V84="CONCLUIDO",V84="NO APLICA"),1,IF(V84="EN REVISIÓN CENTRAL",2/3,IF(V84="ENVIADO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IF(OR(W84="CONCLUIDO",W84="NO APLICA"),1,IF(W84="EN PROCESO",0.5,0))+
IF(OR(X84="CONCLUIDO",X84="NO APLICA"),1,IF(X84="EN PROCESO",0.5,0))+
IF(Y84="PROGRAMADAS",1/2,IF(Y84="CONCLUIDAS",1,0))+
IF(OR(Z84="SI",Z84="NO APLICA"),1,0)+
IF(OR(AA84="SI",AA84="NO APLICA"),1,0)
)/9</f>
        <v>1</v>
      </c>
      <c r="AF84" s="92" t="s">
        <v>1825</v>
      </c>
      <c r="AG84" s="64"/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>
        <f t="shared" si="2"/>
        <v>0</v>
      </c>
      <c r="AC85">
        <f t="shared" si="3"/>
        <v>1</v>
      </c>
      <c r="AD85" s="67"/>
      <c r="AE85" s="87">
        <f>(
IF(S85="ENVIADO A LA CE/UM",1/3,IF(S85="ENTREGADO/REVISIÓN",2/3,IF(S85="ENVIADO A TICS",1,0)))+
IF(T85="EN PROCESO",1/2,IF(T85="CONCLUIDO",1,0))+
IF(OR(U85="CONCLUIDO",U85="NO APLICA"),1,IF(U85="EN REVISIÓN CENTRAL",2/3,IF(U85="ENVIADO A LA CE/UM",1/3,0)))+
IF(OR(V85="CONCLUIDO",V85="NO APLICA"),1,IF(V85="EN REVISIÓN CENTRAL",2/3,IF(V85="ENVIADO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IF(OR(W85="CONCLUIDO",W85="NO APLICA"),1,IF(W85="EN PROCESO",0.5,0))+
IF(OR(X85="CONCLUIDO",X85="NO APLICA"),1,IF(X85="EN PROCESO",0.5,0))+
IF(Y85="PROGRAMADAS",1/2,IF(Y85="CONCLUIDAS",1,0))+
IF(OR(Z85="SI",Z85="NO APLICA"),1,0)+
IF(OR(AA85="SI",AA85="NO APLICA"),1,0)
)/9</f>
        <v>1</v>
      </c>
      <c r="AF85" s="92" t="s">
        <v>1825</v>
      </c>
      <c r="AG85" s="64"/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>
        <f t="shared" si="2"/>
        <v>0</v>
      </c>
      <c r="AC86">
        <f t="shared" si="3"/>
        <v>1</v>
      </c>
      <c r="AD86" s="67"/>
      <c r="AE86" s="87">
        <f>(
IF(S86="ENVIADO A LA CE/UM",1/3,IF(S86="ENTREGADO/REVISIÓN",2/3,IF(S86="ENVIADO A TICS",1,0)))+
IF(T86="EN PROCESO",1/2,IF(T86="CONCLUIDO",1,0))+
IF(OR(U86="CONCLUIDO",U86="NO APLICA"),1,IF(U86="EN REVISIÓN CENTRAL",2/3,IF(U86="ENVIADO A LA CE/UM",1/3,0)))+
IF(OR(V86="CONCLUIDO",V86="NO APLICA"),1,IF(V86="EN REVISIÓN CENTRAL",2/3,IF(V86="ENVIADO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IF(OR(W86="CONCLUIDO",W86="NO APLICA"),1,IF(W86="EN PROCESO",0.5,0))+
IF(OR(X86="CONCLUIDO",X86="NO APLICA"),1,IF(X86="EN PROCESO",0.5,0))+
IF(Y86="PROGRAMADAS",1/2,IF(Y86="CONCLUIDAS",1,0))+
IF(OR(Z86="SI",Z86="NO APLICA"),1,0)+
IF(OR(AA86="SI",AA86="NO APLICA"),1,0)
)/9</f>
        <v>1</v>
      </c>
      <c r="AF86" s="92" t="s">
        <v>1825</v>
      </c>
      <c r="AG86" s="64"/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>
        <f t="shared" si="2"/>
        <v>0</v>
      </c>
      <c r="AC87">
        <f t="shared" si="3"/>
        <v>1</v>
      </c>
      <c r="AD87" s="67"/>
      <c r="AE87" s="87">
        <f>(
IF(S87="ENVIADO A LA CE/UM",1/3,IF(S87="ENTREGADO/REVISIÓN",2/3,IF(S87="ENVIADO A TICS",1,0)))+
IF(T87="EN PROCESO",1/2,IF(T87="CONCLUIDO",1,0))+
IF(OR(U87="CONCLUIDO",U87="NO APLICA"),1,IF(U87="EN REVISIÓN CENTRAL",2/3,IF(U87="ENVIADO A LA CE/UM",1/3,0)))+
IF(OR(V87="CONCLUIDO",V87="NO APLICA"),1,IF(V87="EN REVISIÓN CENTRAL",2/3,IF(V87="ENVIADO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IF(OR(W87="CONCLUIDO",W87="NO APLICA"),1,IF(W87="EN PROCESO",0.5,0))+
IF(OR(X87="CONCLUIDO",X87="NO APLICA"),1,IF(X87="EN PROCESO",0.5,0))+
IF(Y87="PROGRAMADAS",1/2,IF(Y87="CONCLUIDAS",1,0))+
IF(OR(Z87="SI",Z87="NO APLICA"),1,0)+
IF(OR(AA87="SI",AA87="NO APLICA"),1,0)
)/9</f>
        <v>1</v>
      </c>
      <c r="AF87" s="92" t="s">
        <v>1825</v>
      </c>
      <c r="AG87" s="64"/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>
        <f t="shared" si="2"/>
        <v>0</v>
      </c>
      <c r="AC88">
        <f t="shared" si="3"/>
        <v>1</v>
      </c>
      <c r="AD88" s="67"/>
      <c r="AE88" s="87">
        <f>(
IF(S88="ENVIADO A LA CE/UM",1/3,IF(S88="ENTREGADO/REVISIÓN",2/3,IF(S88="ENVIADO A TICS",1,0)))+
IF(T88="EN PROCESO",1/2,IF(T88="CONCLUIDO",1,0))+
IF(OR(U88="CONCLUIDO",U88="NO APLICA"),1,IF(U88="EN REVISIÓN CENTRAL",2/3,IF(U88="ENVIADO A LA CE/UM",1/3,0)))+
IF(OR(V88="CONCLUIDO",V88="NO APLICA"),1,IF(V88="EN REVISIÓN CENTRAL",2/3,IF(V88="ENVIADO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IF(OR(W88="CONCLUIDO",W88="NO APLICA"),1,IF(W88="EN PROCESO",0.5,0))+
IF(OR(X88="CONCLUIDO",X88="NO APLICA"),1,IF(X88="EN PROCESO",0.5,0))+
IF(Y88="PROGRAMADAS",1/2,IF(Y88="CONCLUIDAS",1,0))+
IF(OR(Z88="SI",Z88="NO APLICA"),1,0)+
IF(OR(AA88="SI",AA88="NO APLICA"),1,0)
)/9</f>
        <v>1</v>
      </c>
      <c r="AF88" s="92" t="s">
        <v>1825</v>
      </c>
      <c r="AG88" s="64"/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>
        <f t="shared" si="2"/>
        <v>0</v>
      </c>
      <c r="AC89">
        <f t="shared" si="3"/>
        <v>1</v>
      </c>
      <c r="AD89" s="67"/>
      <c r="AE89" s="87">
        <f>(
IF(S89="ENVIADO A LA CE/UM",1/3,IF(S89="ENTREGADO/REVISIÓN",2/3,IF(S89="ENVIADO A TICS",1,0)))+
IF(T89="EN PROCESO",1/2,IF(T89="CONCLUIDO",1,0))+
IF(OR(U89="CONCLUIDO",U89="NO APLICA"),1,IF(U89="EN REVISIÓN CENTRAL",2/3,IF(U89="ENVIADO A LA CE/UM",1/3,0)))+
IF(OR(V89="CONCLUIDO",V89="NO APLICA"),1,IF(V89="EN REVISIÓN CENTRAL",2/3,IF(V89="ENVIADO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IF(OR(W89="CONCLUIDO",W89="NO APLICA"),1,IF(W89="EN PROCESO",0.5,0))+
IF(OR(X89="CONCLUIDO",X89="NO APLICA"),1,IF(X89="EN PROCESO",0.5,0))+
IF(Y89="PROGRAMADAS",1/2,IF(Y89="CONCLUIDAS",1,0))+
IF(OR(Z89="SI",Z89="NO APLICA"),1,0)+
IF(OR(AA89="SI",AA89="NO APLICA"),1,0)
)/9</f>
        <v>1</v>
      </c>
      <c r="AF89" s="92" t="s">
        <v>1825</v>
      </c>
      <c r="AG89" s="64"/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>
        <f t="shared" si="2"/>
        <v>0</v>
      </c>
      <c r="AC90">
        <f t="shared" si="3"/>
        <v>1</v>
      </c>
      <c r="AD90" s="67"/>
      <c r="AE90" s="87">
        <f>(
IF(S90="ENVIADO A LA CE/UM",1/3,IF(S90="ENTREGADO/REVISIÓN",2/3,IF(S90="ENVIADO A TICS",1,0)))+
IF(T90="EN PROCESO",1/2,IF(T90="CONCLUIDO",1,0))+
IF(OR(U90="CONCLUIDO",U90="NO APLICA"),1,IF(U90="EN REVISIÓN CENTRAL",2/3,IF(U90="ENVIADO A LA CE/UM",1/3,0)))+
IF(OR(V90="CONCLUIDO",V90="NO APLICA"),1,IF(V90="EN REVISIÓN CENTRAL",2/3,IF(V90="ENVIADO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IF(OR(W90="CONCLUIDO",W90="NO APLICA"),1,IF(W90="EN PROCESO",0.5,0))+
IF(OR(X90="CONCLUIDO",X90="NO APLICA"),1,IF(X90="EN PROCESO",0.5,0))+
IF(Y90="PROGRAMADAS",1/2,IF(Y90="CONCLUIDAS",1,0))+
IF(OR(Z90="SI",Z90="NO APLICA"),1,0)+
IF(OR(AA90="SI",AA90="NO APLICA"),1,0)
)/9</f>
        <v>1</v>
      </c>
      <c r="AF90" s="92" t="s">
        <v>1825</v>
      </c>
      <c r="AG90" s="64"/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>
        <f t="shared" si="2"/>
        <v>0</v>
      </c>
      <c r="AC91">
        <f t="shared" si="3"/>
        <v>1</v>
      </c>
      <c r="AD91" s="67"/>
      <c r="AE91" s="87">
        <f>(
IF(S91="ENVIADO A LA CE/UM",1/3,IF(S91="ENTREGADO/REVISIÓN",2/3,IF(S91="ENVIADO A TICS",1,0)))+
IF(T91="EN PROCESO",1/2,IF(T91="CONCLUIDO",1,0))+
IF(OR(U91="CONCLUIDO",U91="NO APLICA"),1,IF(U91="EN REVISIÓN CENTRAL",2/3,IF(U91="ENVIADO A LA CE/UM",1/3,0)))+
IF(OR(V91="CONCLUIDO",V91="NO APLICA"),1,IF(V91="EN REVISIÓN CENTRAL",2/3,IF(V91="ENVIADO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IF(OR(W91="CONCLUIDO",W91="NO APLICA"),1,IF(W91="EN PROCESO",0.5,0))+
IF(OR(X91="CONCLUIDO",X91="NO APLICA"),1,IF(X91="EN PROCESO",0.5,0))+
IF(Y91="PROGRAMADAS",1/2,IF(Y91="CONCLUIDAS",1,0))+
IF(OR(Z91="SI",Z91="NO APLICA"),1,0)+
IF(OR(AA91="SI",AA91="NO APLICA"),1,0)
)/9</f>
        <v>1</v>
      </c>
      <c r="AF91" s="92" t="s">
        <v>1825</v>
      </c>
      <c r="AG91" s="64"/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>
        <f t="shared" si="2"/>
        <v>0</v>
      </c>
      <c r="AC92">
        <f t="shared" si="3"/>
        <v>1</v>
      </c>
      <c r="AD92" s="67"/>
      <c r="AE92" s="87">
        <f>(
IF(S92="ENVIADO A LA CE/UM",1/3,IF(S92="ENTREGADO/REVISIÓN",2/3,IF(S92="ENVIADO A TICS",1,0)))+
IF(T92="EN PROCESO",1/2,IF(T92="CONCLUIDO",1,0))+
IF(OR(U92="CONCLUIDO",U92="NO APLICA"),1,IF(U92="EN REVISIÓN CENTRAL",2/3,IF(U92="ENVIADO A LA CE/UM",1/3,0)))+
IF(OR(V92="CONCLUIDO",V92="NO APLICA"),1,IF(V92="EN REVISIÓN CENTRAL",2/3,IF(V92="ENVIADO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IF(OR(W92="CONCLUIDO",W92="NO APLICA"),1,IF(W92="EN PROCESO",0.5,0))+
IF(OR(X92="CONCLUIDO",X92="NO APLICA"),1,IF(X92="EN PROCESO",0.5,0))+
IF(Y92="PROGRAMADAS",1/2,IF(Y92="CONCLUIDAS",1,0))+
IF(OR(Z92="SI",Z92="NO APLICA"),1,0)+
IF(OR(AA92="SI",AA92="NO APLICA"),1,0)
)/9</f>
        <v>1</v>
      </c>
      <c r="AF92" s="92" t="s">
        <v>1825</v>
      </c>
      <c r="AG92" s="64"/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>
        <f t="shared" si="2"/>
        <v>0</v>
      </c>
      <c r="AC93">
        <f t="shared" si="3"/>
        <v>1</v>
      </c>
      <c r="AD93" s="67"/>
      <c r="AE93" s="87">
        <f>(
IF(S93="ENVIADO A LA CE/UM",1/3,IF(S93="ENTREGADO/REVISIÓN",2/3,IF(S93="ENVIADO A TICS",1,0)))+
IF(T93="EN PROCESO",1/2,IF(T93="CONCLUIDO",1,0))+
IF(OR(U93="CONCLUIDO",U93="NO APLICA"),1,IF(U93="EN REVISIÓN CENTRAL",2/3,IF(U93="ENVIADO A LA CE/UM",1/3,0)))+
IF(OR(V93="CONCLUIDO",V93="NO APLICA"),1,IF(V93="EN REVISIÓN CENTRAL",2/3,IF(V93="ENVIADO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IF(OR(W93="CONCLUIDO",W93="NO APLICA"),1,IF(W93="EN PROCESO",0.5,0))+
IF(OR(X93="CONCLUIDO",X93="NO APLICA"),1,IF(X93="EN PROCESO",0.5,0))+
IF(Y93="PROGRAMADAS",1/2,IF(Y93="CONCLUIDAS",1,0))+
IF(OR(Z93="SI",Z93="NO APLICA"),1,0)+
IF(OR(AA93="SI",AA93="NO APLICA"),1,0)
)/9</f>
        <v>1</v>
      </c>
      <c r="AF93" s="92" t="s">
        <v>1825</v>
      </c>
      <c r="AG93" s="64"/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>
        <f t="shared" si="2"/>
        <v>0</v>
      </c>
      <c r="AC94">
        <f t="shared" si="3"/>
        <v>1</v>
      </c>
      <c r="AD94" s="67"/>
      <c r="AE94" s="87">
        <f>(
IF(S94="ENVIADO A LA CE/UM",1/3,IF(S94="ENTREGADO/REVISIÓN",2/3,IF(S94="ENVIADO A TICS",1,0)))+
IF(T94="EN PROCESO",1/2,IF(T94="CONCLUIDO",1,0))+
IF(OR(U94="CONCLUIDO",U94="NO APLICA"),1,IF(U94="EN REVISIÓN CENTRAL",2/3,IF(U94="ENVIADO A LA CE/UM",1/3,0)))+
IF(OR(V94="CONCLUIDO",V94="NO APLICA"),1,IF(V94="EN REVISIÓN CENTRAL",2/3,IF(V94="ENVIADO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IF(OR(W94="CONCLUIDO",W94="NO APLICA"),1,IF(W94="EN PROCESO",0.5,0))+
IF(OR(X94="CONCLUIDO",X94="NO APLICA"),1,IF(X94="EN PROCESO",0.5,0))+
IF(Y94="PROGRAMADAS",1/2,IF(Y94="CONCLUIDAS",1,0))+
IF(OR(Z94="SI",Z94="NO APLICA"),1,0)+
IF(OR(AA94="SI",AA94="NO APLICA"),1,0)
)/9</f>
        <v>1</v>
      </c>
      <c r="AF94" s="92" t="s">
        <v>1825</v>
      </c>
      <c r="AG94" s="64"/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>
        <f t="shared" si="2"/>
        <v>0</v>
      </c>
      <c r="AC95">
        <f t="shared" si="3"/>
        <v>1</v>
      </c>
      <c r="AD95" s="67"/>
      <c r="AE95" s="87">
        <f>(
IF(S95="ENVIADO A LA CE/UM",1/3,IF(S95="ENTREGADO/REVISIÓN",2/3,IF(S95="ENVIADO A TICS",1,0)))+
IF(T95="EN PROCESO",1/2,IF(T95="CONCLUIDO",1,0))+
IF(OR(U95="CONCLUIDO",U95="NO APLICA"),1,IF(U95="EN REVISIÓN CENTRAL",2/3,IF(U95="ENVIADO A LA CE/UM",1/3,0)))+
IF(OR(V95="CONCLUIDO",V95="NO APLICA"),1,IF(V95="EN REVISIÓN CENTRAL",2/3,IF(V95="ENVIADO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IF(OR(W95="CONCLUIDO",W95="NO APLICA"),1,IF(W95="EN PROCESO",0.5,0))+
IF(OR(X95="CONCLUIDO",X95="NO APLICA"),1,IF(X95="EN PROCESO",0.5,0))+
IF(Y95="PROGRAMADAS",1/2,IF(Y95="CONCLUIDAS",1,0))+
IF(OR(Z95="SI",Z95="NO APLICA"),1,0)+
IF(OR(AA95="SI",AA95="NO APLICA"),1,0)
)/9</f>
        <v>1</v>
      </c>
      <c r="AF95" s="92" t="s">
        <v>1825</v>
      </c>
      <c r="AG95" s="64"/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>
        <f t="shared" si="2"/>
        <v>0</v>
      </c>
      <c r="AC96">
        <f t="shared" si="3"/>
        <v>1</v>
      </c>
      <c r="AD96" s="67"/>
      <c r="AE96" s="87">
        <f>(
IF(S96="ENVIADO A LA CE/UM",1/3,IF(S96="ENTREGADO/REVISIÓN",2/3,IF(S96="ENVIADO A TICS",1,0)))+
IF(T96="EN PROCESO",1/2,IF(T96="CONCLUIDO",1,0))+
IF(OR(U96="CONCLUIDO",U96="NO APLICA"),1,IF(U96="EN REVISIÓN CENTRAL",2/3,IF(U96="ENVIADO A LA CE/UM",1/3,0)))+
IF(OR(V96="CONCLUIDO",V96="NO APLICA"),1,IF(V96="EN REVISIÓN CENTRAL",2/3,IF(V96="ENVIADO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IF(OR(W96="CONCLUIDO",W96="NO APLICA"),1,IF(W96="EN PROCESO",0.5,0))+
IF(OR(X96="CONCLUIDO",X96="NO APLICA"),1,IF(X96="EN PROCESO",0.5,0))+
IF(Y96="PROGRAMADAS",1/2,IF(Y96="CONCLUIDAS",1,0))+
IF(OR(Z96="SI",Z96="NO APLICA"),1,0)+
IF(OR(AA96="SI",AA96="NO APLICA"),1,0)
)/9</f>
        <v>1</v>
      </c>
      <c r="AF96" s="92" t="s">
        <v>1825</v>
      </c>
      <c r="AG96" s="64"/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>
        <f t="shared" si="2"/>
        <v>0</v>
      </c>
      <c r="AC97">
        <f t="shared" si="3"/>
        <v>1</v>
      </c>
      <c r="AD97" s="67"/>
      <c r="AE97" s="87">
        <f>(
IF(S97="ENVIADO A LA CE/UM",1/3,IF(S97="ENTREGADO/REVISIÓN",2/3,IF(S97="ENVIADO A TICS",1,0)))+
IF(T97="EN PROCESO",1/2,IF(T97="CONCLUIDO",1,0))+
IF(OR(U97="CONCLUIDO",U97="NO APLICA"),1,IF(U97="EN REVISIÓN CENTRAL",2/3,IF(U97="ENVIADO A LA CE/UM",1/3,0)))+
IF(OR(V97="CONCLUIDO",V97="NO APLICA"),1,IF(V97="EN REVISIÓN CENTRAL",2/3,IF(V97="ENVIADO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IF(OR(W97="CONCLUIDO",W97="NO APLICA"),1,IF(W97="EN PROCESO",0.5,0))+
IF(OR(X97="CONCLUIDO",X97="NO APLICA"),1,IF(X97="EN PROCESO",0.5,0))+
IF(Y97="PROGRAMADAS",1/2,IF(Y97="CONCLUIDAS",1,0))+
IF(OR(Z97="SI",Z97="NO APLICA"),1,0)+
IF(OR(AA97="SI",AA97="NO APLICA"),1,0)
)/9</f>
        <v>1</v>
      </c>
      <c r="AF97" s="92" t="s">
        <v>1825</v>
      </c>
      <c r="AG97" s="64"/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>
        <f t="shared" si="2"/>
        <v>0</v>
      </c>
      <c r="AC98">
        <f t="shared" si="3"/>
        <v>1</v>
      </c>
      <c r="AD98" s="67"/>
      <c r="AE98" s="87">
        <f>(
IF(S98="ENVIADO A LA CE/UM",1/3,IF(S98="ENTREGADO/REVISIÓN",2/3,IF(S98="ENVIADO A TICS",1,0)))+
IF(T98="EN PROCESO",1/2,IF(T98="CONCLUIDO",1,0))+
IF(OR(U98="CONCLUIDO",U98="NO APLICA"),1,IF(U98="EN REVISIÓN CENTRAL",2/3,IF(U98="ENVIADO A LA CE/UM",1/3,0)))+
IF(OR(V98="CONCLUIDO",V98="NO APLICA"),1,IF(V98="EN REVISIÓN CENTRAL",2/3,IF(V98="ENVIADO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IF(OR(W98="CONCLUIDO",W98="NO APLICA"),1,IF(W98="EN PROCESO",0.5,0))+
IF(OR(X98="CONCLUIDO",X98="NO APLICA"),1,IF(X98="EN PROCESO",0.5,0))+
IF(Y98="PROGRAMADAS",1/2,IF(Y98="CONCLUIDAS",1,0))+
IF(OR(Z98="SI",Z98="NO APLICA"),1,0)+
IF(OR(AA98="SI",AA98="NO APLICA"),1,0)
)/9</f>
        <v>1</v>
      </c>
      <c r="AF98" s="92" t="s">
        <v>1825</v>
      </c>
      <c r="AG98" s="64"/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>
        <f t="shared" si="2"/>
        <v>0</v>
      </c>
      <c r="AC99">
        <f t="shared" si="3"/>
        <v>1</v>
      </c>
      <c r="AD99" s="67"/>
      <c r="AE99" s="87">
        <f>(
IF(S99="ENVIADO A LA CE/UM",1/3,IF(S99="ENTREGADO/REVISIÓN",2/3,IF(S99="ENVIADO A TICS",1,0)))+
IF(T99="EN PROCESO",1/2,IF(T99="CONCLUIDO",1,0))+
IF(OR(U99="CONCLUIDO",U99="NO APLICA"),1,IF(U99="EN REVISIÓN CENTRAL",2/3,IF(U99="ENVIADO A LA CE/UM",1/3,0)))+
IF(OR(V99="CONCLUIDO",V99="NO APLICA"),1,IF(V99="EN REVISIÓN CENTRAL",2/3,IF(V99="ENVIADO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IF(OR(W99="CONCLUIDO",W99="NO APLICA"),1,IF(W99="EN PROCESO",0.5,0))+
IF(OR(X99="CONCLUIDO",X99="NO APLICA"),1,IF(X99="EN PROCESO",0.5,0))+
IF(Y99="PROGRAMADAS",1/2,IF(Y99="CONCLUIDAS",1,0))+
IF(OR(Z99="SI",Z99="NO APLICA"),1,0)+
IF(OR(AA99="SI",AA99="NO APLICA"),1,0)
)/9</f>
        <v>1</v>
      </c>
      <c r="AF99" s="92" t="s">
        <v>1825</v>
      </c>
      <c r="AG99" s="64"/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>
        <f t="shared" si="2"/>
        <v>0</v>
      </c>
      <c r="AC100">
        <f t="shared" si="3"/>
        <v>1</v>
      </c>
      <c r="AD100" s="67"/>
      <c r="AE100" s="87">
        <f>(
IF(S100="ENVIADO A LA CE/UM",1/3,IF(S100="ENTREGADO/REVISIÓN",2/3,IF(S100="ENVIADO A TICS",1,0)))+
IF(T100="EN PROCESO",1/2,IF(T100="CONCLUIDO",1,0))+
IF(OR(U100="CONCLUIDO",U100="NO APLICA"),1,IF(U100="EN REVISIÓN CENTRAL",2/3,IF(U100="ENVIADO A LA CE/UM",1/3,0)))+
IF(OR(V100="CONCLUIDO",V100="NO APLICA"),1,IF(V100="EN REVISIÓN CENTRAL",2/3,IF(V100="ENVIADO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IF(OR(W100="CONCLUIDO",W100="NO APLICA"),1,IF(W100="EN PROCESO",0.5,0))+
IF(OR(X100="CONCLUIDO",X100="NO APLICA"),1,IF(X100="EN PROCESO",0.5,0))+
IF(Y100="PROGRAMADAS",1/2,IF(Y100="CONCLUIDAS",1,0))+
IF(OR(Z100="SI",Z100="NO APLICA"),1,0)+
IF(OR(AA100="SI",AA100="NO APLICA"),1,0)
)/9</f>
        <v>1</v>
      </c>
      <c r="AF100" s="92" t="s">
        <v>1825</v>
      </c>
      <c r="AG100" s="64"/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>
        <f t="shared" si="2"/>
        <v>0</v>
      </c>
      <c r="AC101">
        <f t="shared" si="3"/>
        <v>1</v>
      </c>
      <c r="AD101" s="67"/>
      <c r="AE101" s="87">
        <f>(
IF(S101="ENVIADO A LA CE/UM",1/3,IF(S101="ENTREGADO/REVISIÓN",2/3,IF(S101="ENVIADO A TICS",1,0)))+
IF(T101="EN PROCESO",1/2,IF(T101="CONCLUIDO",1,0))+
IF(OR(U101="CONCLUIDO",U101="NO APLICA"),1,IF(U101="EN REVISIÓN CENTRAL",2/3,IF(U101="ENVIADO A LA CE/UM",1/3,0)))+
IF(OR(V101="CONCLUIDO",V101="NO APLICA"),1,IF(V101="EN REVISIÓN CENTRAL",2/3,IF(V101="ENVIADO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IF(OR(W101="CONCLUIDO",W101="NO APLICA"),1,IF(W101="EN PROCESO",0.5,0))+
IF(OR(X101="CONCLUIDO",X101="NO APLICA"),1,IF(X101="EN PROCESO",0.5,0))+
IF(Y101="PROGRAMADAS",1/2,IF(Y101="CONCLUIDAS",1,0))+
IF(OR(Z101="SI",Z101="NO APLICA"),1,0)+
IF(OR(AA101="SI",AA101="NO APLICA"),1,0)
)/9</f>
        <v>1</v>
      </c>
      <c r="AF101" s="92" t="s">
        <v>1825</v>
      </c>
      <c r="AG101" s="64"/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>
        <f t="shared" si="2"/>
        <v>0</v>
      </c>
      <c r="AC102">
        <f t="shared" si="3"/>
        <v>1</v>
      </c>
      <c r="AD102" s="67"/>
      <c r="AE102" s="87">
        <f>(
IF(S102="ENVIADO A LA CE/UM",1/3,IF(S102="ENTREGADO/REVISIÓN",2/3,IF(S102="ENVIADO A TICS",1,0)))+
IF(T102="EN PROCESO",1/2,IF(T102="CONCLUIDO",1,0))+
IF(OR(U102="CONCLUIDO",U102="NO APLICA"),1,IF(U102="EN REVISIÓN CENTRAL",2/3,IF(U102="ENVIADO A LA CE/UM",1/3,0)))+
IF(OR(V102="CONCLUIDO",V102="NO APLICA"),1,IF(V102="EN REVISIÓN CENTRAL",2/3,IF(V102="ENVIADO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IF(OR(W102="CONCLUIDO",W102="NO APLICA"),1,IF(W102="EN PROCESO",0.5,0))+
IF(OR(X102="CONCLUIDO",X102="NO APLICA"),1,IF(X102="EN PROCESO",0.5,0))+
IF(Y102="PROGRAMADAS",1/2,IF(Y102="CONCLUIDAS",1,0))+
IF(OR(Z102="SI",Z102="NO APLICA"),1,0)+
IF(OR(AA102="SI",AA102="NO APLICA"),1,0)
)/9</f>
        <v>1</v>
      </c>
      <c r="AF102" s="92" t="s">
        <v>1825</v>
      </c>
      <c r="AG102" s="64"/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>
        <f t="shared" si="2"/>
        <v>0</v>
      </c>
      <c r="AC103">
        <f t="shared" si="3"/>
        <v>1</v>
      </c>
      <c r="AD103" s="67"/>
      <c r="AE103" s="87">
        <f>(
IF(S103="ENVIADO A LA CE/UM",1/3,IF(S103="ENTREGADO/REVISIÓN",2/3,IF(S103="ENVIADO A TICS",1,0)))+
IF(T103="EN PROCESO",1/2,IF(T103="CONCLUIDO",1,0))+
IF(OR(U103="CONCLUIDO",U103="NO APLICA"),1,IF(U103="EN REVISIÓN CENTRAL",2/3,IF(U103="ENVIADO A LA CE/UM",1/3,0)))+
IF(OR(V103="CONCLUIDO",V103="NO APLICA"),1,IF(V103="EN REVISIÓN CENTRAL",2/3,IF(V103="ENVIADO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IF(OR(W103="CONCLUIDO",W103="NO APLICA"),1,IF(W103="EN PROCESO",0.5,0))+
IF(OR(X103="CONCLUIDO",X103="NO APLICA"),1,IF(X103="EN PROCESO",0.5,0))+
IF(Y103="PROGRAMADAS",1/2,IF(Y103="CONCLUIDAS",1,0))+
IF(OR(Z103="SI",Z103="NO APLICA"),1,0)+
IF(OR(AA103="SI",AA103="NO APLICA"),1,0)
)/9</f>
        <v>1</v>
      </c>
      <c r="AF103" s="92" t="s">
        <v>1825</v>
      </c>
      <c r="AG103" s="64"/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>
        <f t="shared" si="2"/>
        <v>0</v>
      </c>
      <c r="AC104">
        <f t="shared" si="3"/>
        <v>1</v>
      </c>
      <c r="AD104" s="67"/>
      <c r="AE104" s="87">
        <f>(
IF(S104="ENVIADO A LA CE/UM",1/3,IF(S104="ENTREGADO/REVISIÓN",2/3,IF(S104="ENVIADO A TICS",1,0)))+
IF(T104="EN PROCESO",1/2,IF(T104="CONCLUIDO",1,0))+
IF(OR(U104="CONCLUIDO",U104="NO APLICA"),1,IF(U104="EN REVISIÓN CENTRAL",2/3,IF(U104="ENVIADO A LA CE/UM",1/3,0)))+
IF(OR(V104="CONCLUIDO",V104="NO APLICA"),1,IF(V104="EN REVISIÓN CENTRAL",2/3,IF(V104="ENVIADO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IF(OR(W104="CONCLUIDO",W104="NO APLICA"),1,IF(W104="EN PROCESO",0.5,0))+
IF(OR(X104="CONCLUIDO",X104="NO APLICA"),1,IF(X104="EN PROCESO",0.5,0))+
IF(Y104="PROGRAMADAS",1/2,IF(Y104="CONCLUIDAS",1,0))+
IF(OR(Z104="SI",Z104="NO APLICA"),1,0)+
IF(OR(AA104="SI",AA104="NO APLICA"),1,0)
)/9</f>
        <v>1</v>
      </c>
      <c r="AF104" s="92" t="s">
        <v>1825</v>
      </c>
      <c r="AG104" s="64"/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>
        <f t="shared" si="2"/>
        <v>0</v>
      </c>
      <c r="AC105">
        <f t="shared" si="3"/>
        <v>1</v>
      </c>
      <c r="AD105" s="67"/>
      <c r="AE105" s="87">
        <f>(
IF(S105="ENVIADO A LA CE/UM",1/3,IF(S105="ENTREGADO/REVISIÓN",2/3,IF(S105="ENVIADO A TICS",1,0)))+
IF(T105="EN PROCESO",1/2,IF(T105="CONCLUIDO",1,0))+
IF(OR(U105="CONCLUIDO",U105="NO APLICA"),1,IF(U105="EN REVISIÓN CENTRAL",2/3,IF(U105="ENVIADO A LA CE/UM",1/3,0)))+
IF(OR(V105="CONCLUIDO",V105="NO APLICA"),1,IF(V105="EN REVISIÓN CENTRAL",2/3,IF(V105="ENVIADO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IF(OR(W105="CONCLUIDO",W105="NO APLICA"),1,IF(W105="EN PROCESO",0.5,0))+
IF(OR(X105="CONCLUIDO",X105="NO APLICA"),1,IF(X105="EN PROCESO",0.5,0))+
IF(Y105="PROGRAMADAS",1/2,IF(Y105="CONCLUIDAS",1,0))+
IF(OR(Z105="SI",Z105="NO APLICA"),1,0)+
IF(OR(AA105="SI",AA105="NO APLICA"),1,0)
)/9</f>
        <v>1</v>
      </c>
      <c r="AF105" s="92" t="s">
        <v>1825</v>
      </c>
      <c r="AG105" s="64"/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>
        <f t="shared" si="2"/>
        <v>0</v>
      </c>
      <c r="AC106">
        <f t="shared" si="3"/>
        <v>1</v>
      </c>
      <c r="AD106" s="67"/>
      <c r="AE106" s="87">
        <f>(
IF(S106="ENVIADO A LA CE/UM",1/3,IF(S106="ENTREGADO/REVISIÓN",2/3,IF(S106="ENVIADO A TICS",1,0)))+
IF(T106="EN PROCESO",1/2,IF(T106="CONCLUIDO",1,0))+
IF(OR(U106="CONCLUIDO",U106="NO APLICA"),1,IF(U106="EN REVISIÓN CENTRAL",2/3,IF(U106="ENVIADO A LA CE/UM",1/3,0)))+
IF(OR(V106="CONCLUIDO",V106="NO APLICA"),1,IF(V106="EN REVISIÓN CENTRAL",2/3,IF(V106="ENVIADO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IF(OR(W106="CONCLUIDO",W106="NO APLICA"),1,IF(W106="EN PROCESO",0.5,0))+
IF(OR(X106="CONCLUIDO",X106="NO APLICA"),1,IF(X106="EN PROCESO",0.5,0))+
IF(Y106="PROGRAMADAS",1/2,IF(Y106="CONCLUIDAS",1,0))+
IF(OR(Z106="SI",Z106="NO APLICA"),1,0)+
IF(OR(AA106="SI",AA106="NO APLICA"),1,0)
)/9</f>
        <v>1</v>
      </c>
      <c r="AF106" s="92" t="s">
        <v>1825</v>
      </c>
      <c r="AG106" s="64"/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>
        <f t="shared" si="2"/>
        <v>0</v>
      </c>
      <c r="AC107">
        <f t="shared" si="3"/>
        <v>1</v>
      </c>
      <c r="AD107" s="67"/>
      <c r="AE107" s="87">
        <f>(
IF(S107="ENVIADO A LA CE/UM",1/3,IF(S107="ENTREGADO/REVISIÓN",2/3,IF(S107="ENVIADO A TICS",1,0)))+
IF(T107="EN PROCESO",1/2,IF(T107="CONCLUIDO",1,0))+
IF(OR(U107="CONCLUIDO",U107="NO APLICA"),1,IF(U107="EN REVISIÓN CENTRAL",2/3,IF(U107="ENVIADO A LA CE/UM",1/3,0)))+
IF(OR(V107="CONCLUIDO",V107="NO APLICA"),1,IF(V107="EN REVISIÓN CENTRAL",2/3,IF(V107="ENVIADO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IF(OR(W107="CONCLUIDO",W107="NO APLICA"),1,IF(W107="EN PROCESO",0.5,0))+
IF(OR(X107="CONCLUIDO",X107="NO APLICA"),1,IF(X107="EN PROCESO",0.5,0))+
IF(Y107="PROGRAMADAS",1/2,IF(Y107="CONCLUIDAS",1,0))+
IF(OR(Z107="SI",Z107="NO APLICA"),1,0)+
IF(OR(AA107="SI",AA107="NO APLICA"),1,0)
)/9</f>
        <v>1</v>
      </c>
      <c r="AF107" s="92" t="s">
        <v>1825</v>
      </c>
      <c r="AG107" s="64"/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>
        <f t="shared" si="2"/>
        <v>0</v>
      </c>
      <c r="AC108">
        <f t="shared" si="3"/>
        <v>1</v>
      </c>
      <c r="AD108" s="67"/>
      <c r="AE108" s="87">
        <f>(
IF(S108="ENVIADO A LA CE/UM",1/3,IF(S108="ENTREGADO/REVISIÓN",2/3,IF(S108="ENVIADO A TICS",1,0)))+
IF(T108="EN PROCESO",1/2,IF(T108="CONCLUIDO",1,0))+
IF(OR(U108="CONCLUIDO",U108="NO APLICA"),1,IF(U108="EN REVISIÓN CENTRAL",2/3,IF(U108="ENVIADO A LA CE/UM",1/3,0)))+
IF(OR(V108="CONCLUIDO",V108="NO APLICA"),1,IF(V108="EN REVISIÓN CENTRAL",2/3,IF(V108="ENVIADO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IF(OR(W108="CONCLUIDO",W108="NO APLICA"),1,IF(W108="EN PROCESO",0.5,0))+
IF(OR(X108="CONCLUIDO",X108="NO APLICA"),1,IF(X108="EN PROCESO",0.5,0))+
IF(Y108="PROGRAMADAS",1/2,IF(Y108="CONCLUIDAS",1,0))+
IF(OR(Z108="SI",Z108="NO APLICA"),1,0)+
IF(OR(AA108="SI",AA108="NO APLICA"),1,0)
)/9</f>
        <v>1</v>
      </c>
      <c r="AF108" s="92" t="s">
        <v>1825</v>
      </c>
      <c r="AG108" s="64"/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>
        <f t="shared" si="2"/>
        <v>0</v>
      </c>
      <c r="AC109">
        <f t="shared" si="3"/>
        <v>1</v>
      </c>
      <c r="AD109" s="67"/>
      <c r="AE109" s="87">
        <f>(
IF(S109="ENVIADO A LA CE/UM",1/3,IF(S109="ENTREGADO/REVISIÓN",2/3,IF(S109="ENVIADO A TICS",1,0)))+
IF(T109="EN PROCESO",1/2,IF(T109="CONCLUIDO",1,0))+
IF(OR(U109="CONCLUIDO",U109="NO APLICA"),1,IF(U109="EN REVISIÓN CENTRAL",2/3,IF(U109="ENVIADO A LA CE/UM",1/3,0)))+
IF(OR(V109="CONCLUIDO",V109="NO APLICA"),1,IF(V109="EN REVISIÓN CENTRAL",2/3,IF(V109="ENVIADO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IF(OR(W109="CONCLUIDO",W109="NO APLICA"),1,IF(W109="EN PROCESO",0.5,0))+
IF(OR(X109="CONCLUIDO",X109="NO APLICA"),1,IF(X109="EN PROCESO",0.5,0))+
IF(Y109="PROGRAMADAS",1/2,IF(Y109="CONCLUIDAS",1,0))+
IF(OR(Z109="SI",Z109="NO APLICA"),1,0)+
IF(OR(AA109="SI",AA109="NO APLICA"),1,0)
)/9</f>
        <v>1</v>
      </c>
      <c r="AF109" s="92" t="s">
        <v>1825</v>
      </c>
      <c r="AG109" s="64"/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>
        <f t="shared" si="2"/>
        <v>0</v>
      </c>
      <c r="AC110">
        <f t="shared" si="3"/>
        <v>1</v>
      </c>
      <c r="AD110" s="67"/>
      <c r="AE110" s="87">
        <f>(
IF(S110="ENVIADO A LA CE/UM",1/3,IF(S110="ENTREGADO/REVISIÓN",2/3,IF(S110="ENVIADO A TICS",1,0)))+
IF(T110="EN PROCESO",1/2,IF(T110="CONCLUIDO",1,0))+
IF(OR(U110="CONCLUIDO",U110="NO APLICA"),1,IF(U110="EN REVISIÓN CENTRAL",2/3,IF(U110="ENVIADO A LA CE/UM",1/3,0)))+
IF(OR(V110="CONCLUIDO",V110="NO APLICA"),1,IF(V110="EN REVISIÓN CENTRAL",2/3,IF(V110="ENVIADO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IF(OR(W110="CONCLUIDO",W110="NO APLICA"),1,IF(W110="EN PROCESO",0.5,0))+
IF(OR(X110="CONCLUIDO",X110="NO APLICA"),1,IF(X110="EN PROCESO",0.5,0))+
IF(Y110="PROGRAMADAS",1/2,IF(Y110="CONCLUIDAS",1,0))+
IF(OR(Z110="SI",Z110="NO APLICA"),1,0)+
IF(OR(AA110="SI",AA110="NO APLICA"),1,0)
)/9</f>
        <v>1</v>
      </c>
      <c r="AF110" s="92" t="s">
        <v>1825</v>
      </c>
      <c r="AG110" s="64"/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>
        <f t="shared" si="2"/>
        <v>0</v>
      </c>
      <c r="AC111">
        <f t="shared" si="3"/>
        <v>1</v>
      </c>
      <c r="AD111" s="67"/>
      <c r="AE111" s="87">
        <f>(
IF(S111="ENVIADO A LA CE/UM",1/3,IF(S111="ENTREGADO/REVISIÓN",2/3,IF(S111="ENVIADO A TICS",1,0)))+
IF(T111="EN PROCESO",1/2,IF(T111="CONCLUIDO",1,0))+
IF(OR(U111="CONCLUIDO",U111="NO APLICA"),1,IF(U111="EN REVISIÓN CENTRAL",2/3,IF(U111="ENVIADO A LA CE/UM",1/3,0)))+
IF(OR(V111="CONCLUIDO",V111="NO APLICA"),1,IF(V111="EN REVISIÓN CENTRAL",2/3,IF(V111="ENVIADO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IF(OR(W111="CONCLUIDO",W111="NO APLICA"),1,IF(W111="EN PROCESO",0.5,0))+
IF(OR(X111="CONCLUIDO",X111="NO APLICA"),1,IF(X111="EN PROCESO",0.5,0))+
IF(Y111="PROGRAMADAS",1/2,IF(Y111="CONCLUIDAS",1,0))+
IF(OR(Z111="SI",Z111="NO APLICA"),1,0)+
IF(OR(AA111="SI",AA111="NO APLICA"),1,0)
)/9</f>
        <v>1</v>
      </c>
      <c r="AF111" s="92" t="s">
        <v>1825</v>
      </c>
      <c r="AG111" s="64"/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>
        <f t="shared" si="2"/>
        <v>0</v>
      </c>
      <c r="AC112">
        <f t="shared" si="3"/>
        <v>1</v>
      </c>
      <c r="AD112" s="67"/>
      <c r="AE112" s="87">
        <f>(
IF(S112="ENVIADO A LA CE/UM",1/3,IF(S112="ENTREGADO/REVISIÓN",2/3,IF(S112="ENVIADO A TICS",1,0)))+
IF(T112="EN PROCESO",1/2,IF(T112="CONCLUIDO",1,0))+
IF(OR(U112="CONCLUIDO",U112="NO APLICA"),1,IF(U112="EN REVISIÓN CENTRAL",2/3,IF(U112="ENVIADO A LA CE/UM",1/3,0)))+
IF(OR(V112="CONCLUIDO",V112="NO APLICA"),1,IF(V112="EN REVISIÓN CENTRAL",2/3,IF(V112="ENVIADO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IF(OR(W112="CONCLUIDO",W112="NO APLICA"),1,IF(W112="EN PROCESO",0.5,0))+
IF(OR(X112="CONCLUIDO",X112="NO APLICA"),1,IF(X112="EN PROCESO",0.5,0))+
IF(Y112="PROGRAMADAS",1/2,IF(Y112="CONCLUIDAS",1,0))+
IF(OR(Z112="SI",Z112="NO APLICA"),1,0)+
IF(OR(AA112="SI",AA112="NO APLICA"),1,0)
)/9</f>
        <v>1</v>
      </c>
      <c r="AF112" s="92" t="s">
        <v>1825</v>
      </c>
      <c r="AG112" s="64"/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>
        <f t="shared" si="2"/>
        <v>0</v>
      </c>
      <c r="AC113">
        <f t="shared" si="3"/>
        <v>1</v>
      </c>
      <c r="AD113" s="67"/>
      <c r="AE113" s="87">
        <f>(
IF(S113="ENVIADO A LA CE/UM",1/3,IF(S113="ENTREGADO/REVISIÓN",2/3,IF(S113="ENVIADO A TICS",1,0)))+
IF(T113="EN PROCESO",1/2,IF(T113="CONCLUIDO",1,0))+
IF(OR(U113="CONCLUIDO",U113="NO APLICA"),1,IF(U113="EN REVISIÓN CENTRAL",2/3,IF(U113="ENVIADO A LA CE/UM",1/3,0)))+
IF(OR(V113="CONCLUIDO",V113="NO APLICA"),1,IF(V113="EN REVISIÓN CENTRAL",2/3,IF(V113="ENVIADO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IF(OR(W113="CONCLUIDO",W113="NO APLICA"),1,IF(W113="EN PROCESO",0.5,0))+
IF(OR(X113="CONCLUIDO",X113="NO APLICA"),1,IF(X113="EN PROCESO",0.5,0))+
IF(Y113="PROGRAMADAS",1/2,IF(Y113="CONCLUIDAS",1,0))+
IF(OR(Z113="SI",Z113="NO APLICA"),1,0)+
IF(OR(AA113="SI",AA113="NO APLICA"),1,0)
)/9</f>
        <v>1</v>
      </c>
      <c r="AF113" s="92" t="s">
        <v>1825</v>
      </c>
      <c r="AG113" s="64"/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>
        <f t="shared" si="2"/>
        <v>0</v>
      </c>
      <c r="AC114">
        <f t="shared" si="3"/>
        <v>1</v>
      </c>
      <c r="AD114" s="67"/>
      <c r="AE114" s="87">
        <f>(
IF(S114="ENVIADO A LA CE/UM",1/3,IF(S114="ENTREGADO/REVISIÓN",2/3,IF(S114="ENVIADO A TICS",1,0)))+
IF(T114="EN PROCESO",1/2,IF(T114="CONCLUIDO",1,0))+
IF(OR(U114="CONCLUIDO",U114="NO APLICA"),1,IF(U114="EN REVISIÓN CENTRAL",2/3,IF(U114="ENVIADO A LA CE/UM",1/3,0)))+
IF(OR(V114="CONCLUIDO",V114="NO APLICA"),1,IF(V114="EN REVISIÓN CENTRAL",2/3,IF(V114="ENVIADO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IF(OR(W114="CONCLUIDO",W114="NO APLICA"),1,IF(W114="EN PROCESO",0.5,0))+
IF(OR(X114="CONCLUIDO",X114="NO APLICA"),1,IF(X114="EN PROCESO",0.5,0))+
IF(Y114="PROGRAMADAS",1/2,IF(Y114="CONCLUIDAS",1,0))+
IF(OR(Z114="SI",Z114="NO APLICA"),1,0)+
IF(OR(AA114="SI",AA114="NO APLICA"),1,0)
)/9</f>
        <v>1</v>
      </c>
      <c r="AF114" s="92" t="s">
        <v>1825</v>
      </c>
      <c r="AG114" s="64"/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>
        <f t="shared" si="2"/>
        <v>0</v>
      </c>
      <c r="AC115">
        <f t="shared" si="3"/>
        <v>1</v>
      </c>
      <c r="AD115" s="67"/>
      <c r="AE115" s="87">
        <f>(
IF(S115="ENVIADO A LA CE/UM",1/3,IF(S115="ENTREGADO/REVISIÓN",2/3,IF(S115="ENVIADO A TICS",1,0)))+
IF(T115="EN PROCESO",1/2,IF(T115="CONCLUIDO",1,0))+
IF(OR(U115="CONCLUIDO",U115="NO APLICA"),1,IF(U115="EN REVISIÓN CENTRAL",2/3,IF(U115="ENVIADO A LA CE/UM",1/3,0)))+
IF(OR(V115="CONCLUIDO",V115="NO APLICA"),1,IF(V115="EN REVISIÓN CENTRAL",2/3,IF(V115="ENVIADO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IF(OR(W115="CONCLUIDO",W115="NO APLICA"),1,IF(W115="EN PROCESO",0.5,0))+
IF(OR(X115="CONCLUIDO",X115="NO APLICA"),1,IF(X115="EN PROCESO",0.5,0))+
IF(Y115="PROGRAMADAS",1/2,IF(Y115="CONCLUIDAS",1,0))+
IF(OR(Z115="SI",Z115="NO APLICA"),1,0)+
IF(OR(AA115="SI",AA115="NO APLICA"),1,0)
)/9</f>
        <v>1</v>
      </c>
      <c r="AF115" s="92" t="s">
        <v>1825</v>
      </c>
      <c r="AG115" s="64"/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>
        <f t="shared" si="2"/>
        <v>0</v>
      </c>
      <c r="AC116">
        <f t="shared" si="3"/>
        <v>1</v>
      </c>
      <c r="AD116" s="67"/>
      <c r="AE116" s="87">
        <f>(
IF(S116="ENVIADO A LA CE/UM",1/3,IF(S116="ENTREGADO/REVISIÓN",2/3,IF(S116="ENVIADO A TICS",1,0)))+
IF(T116="EN PROCESO",1/2,IF(T116="CONCLUIDO",1,0))+
IF(OR(U116="CONCLUIDO",U116="NO APLICA"),1,IF(U116="EN REVISIÓN CENTRAL",2/3,IF(U116="ENVIADO A LA CE/UM",1/3,0)))+
IF(OR(V116="CONCLUIDO",V116="NO APLICA"),1,IF(V116="EN REVISIÓN CENTRAL",2/3,IF(V116="ENVIADO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IF(OR(W116="CONCLUIDO",W116="NO APLICA"),1,IF(W116="EN PROCESO",0.5,0))+
IF(OR(X116="CONCLUIDO",X116="NO APLICA"),1,IF(X116="EN PROCESO",0.5,0))+
IF(Y116="PROGRAMADAS",1/2,IF(Y116="CONCLUIDAS",1,0))+
IF(OR(Z116="SI",Z116="NO APLICA"),1,0)+
IF(OR(AA116="SI",AA116="NO APLICA"),1,0)
)/9</f>
        <v>1</v>
      </c>
      <c r="AF116" s="92" t="s">
        <v>1825</v>
      </c>
      <c r="AG116" s="64"/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>
        <f t="shared" si="2"/>
        <v>0</v>
      </c>
      <c r="AC117">
        <f t="shared" si="3"/>
        <v>1</v>
      </c>
      <c r="AD117" s="67"/>
      <c r="AE117" s="87">
        <f>(
IF(S117="ENVIADO A LA CE/UM",1/3,IF(S117="ENTREGADO/REVISIÓN",2/3,IF(S117="ENVIADO A TICS",1,0)))+
IF(T117="EN PROCESO",1/2,IF(T117="CONCLUIDO",1,0))+
IF(OR(U117="CONCLUIDO",U117="NO APLICA"),1,IF(U117="EN REVISIÓN CENTRAL",2/3,IF(U117="ENVIADO A LA CE/UM",1/3,0)))+
IF(OR(V117="CONCLUIDO",V117="NO APLICA"),1,IF(V117="EN REVISIÓN CENTRAL",2/3,IF(V117="ENVIADO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IF(OR(W117="CONCLUIDO",W117="NO APLICA"),1,IF(W117="EN PROCESO",0.5,0))+
IF(OR(X117="CONCLUIDO",X117="NO APLICA"),1,IF(X117="EN PROCESO",0.5,0))+
IF(Y117="PROGRAMADAS",1/2,IF(Y117="CONCLUIDAS",1,0))+
IF(OR(Z117="SI",Z117="NO APLICA"),1,0)+
IF(OR(AA117="SI",AA117="NO APLICA"),1,0)
)/9</f>
        <v>1</v>
      </c>
      <c r="AF117" s="92" t="s">
        <v>1825</v>
      </c>
      <c r="AG117" s="64"/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>
        <f t="shared" si="2"/>
        <v>0</v>
      </c>
      <c r="AC118">
        <f t="shared" si="3"/>
        <v>1</v>
      </c>
      <c r="AD118" s="67"/>
      <c r="AE118" s="87">
        <f>(
IF(S118="ENVIADO A LA CE/UM",1/3,IF(S118="ENTREGADO/REVISIÓN",2/3,IF(S118="ENVIADO A TICS",1,0)))+
IF(T118="EN PROCESO",1/2,IF(T118="CONCLUIDO",1,0))+
IF(OR(U118="CONCLUIDO",U118="NO APLICA"),1,IF(U118="EN REVISIÓN CENTRAL",2/3,IF(U118="ENVIADO A LA CE/UM",1/3,0)))+
IF(OR(V118="CONCLUIDO",V118="NO APLICA"),1,IF(V118="EN REVISIÓN CENTRAL",2/3,IF(V118="ENVIADO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IF(OR(W118="CONCLUIDO",W118="NO APLICA"),1,IF(W118="EN PROCESO",0.5,0))+
IF(OR(X118="CONCLUIDO",X118="NO APLICA"),1,IF(X118="EN PROCESO",0.5,0))+
IF(Y118="PROGRAMADAS",1/2,IF(Y118="CONCLUIDAS",1,0))+
IF(OR(Z118="SI",Z118="NO APLICA"),1,0)+
IF(OR(AA118="SI",AA118="NO APLICA"),1,0)
)/9</f>
        <v>1</v>
      </c>
      <c r="AF118" s="92" t="s">
        <v>1825</v>
      </c>
      <c r="AG118" s="64"/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>
        <f t="shared" si="2"/>
        <v>0</v>
      </c>
      <c r="AC119">
        <f t="shared" si="3"/>
        <v>1</v>
      </c>
      <c r="AD119" s="67"/>
      <c r="AE119" s="87">
        <f>(
IF(S119="ENVIADO A LA CE/UM",1/3,IF(S119="ENTREGADO/REVISIÓN",2/3,IF(S119="ENVIADO A TICS",1,0)))+
IF(T119="EN PROCESO",1/2,IF(T119="CONCLUIDO",1,0))+
IF(OR(U119="CONCLUIDO",U119="NO APLICA"),1,IF(U119="EN REVISIÓN CENTRAL",2/3,IF(U119="ENVIADO A LA CE/UM",1/3,0)))+
IF(OR(V119="CONCLUIDO",V119="NO APLICA"),1,IF(V119="EN REVISIÓN CENTRAL",2/3,IF(V119="ENVIADO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IF(OR(W119="CONCLUIDO",W119="NO APLICA"),1,IF(W119="EN PROCESO",0.5,0))+
IF(OR(X119="CONCLUIDO",X119="NO APLICA"),1,IF(X119="EN PROCESO",0.5,0))+
IF(Y119="PROGRAMADAS",1/2,IF(Y119="CONCLUIDAS",1,0))+
IF(OR(Z119="SI",Z119="NO APLICA"),1,0)+
IF(OR(AA119="SI",AA119="NO APLICA"),1,0)
)/9</f>
        <v>1</v>
      </c>
      <c r="AF119" s="92" t="s">
        <v>1825</v>
      </c>
      <c r="AG119" s="64"/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>
        <f t="shared" si="2"/>
        <v>0</v>
      </c>
      <c r="AC120">
        <f t="shared" si="3"/>
        <v>1</v>
      </c>
      <c r="AD120" s="67"/>
      <c r="AE120" s="87">
        <f>(
IF(S120="ENVIADO A LA CE/UM",1/3,IF(S120="ENTREGADO/REVISIÓN",2/3,IF(S120="ENVIADO A TICS",1,0)))+
IF(T120="EN PROCESO",1/2,IF(T120="CONCLUIDO",1,0))+
IF(OR(U120="CONCLUIDO",U120="NO APLICA"),1,IF(U120="EN REVISIÓN CENTRAL",2/3,IF(U120="ENVIADO A LA CE/UM",1/3,0)))+
IF(OR(V120="CONCLUIDO",V120="NO APLICA"),1,IF(V120="EN REVISIÓN CENTRAL",2/3,IF(V120="ENVIADO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IF(OR(W120="CONCLUIDO",W120="NO APLICA"),1,IF(W120="EN PROCESO",0.5,0))+
IF(OR(X120="CONCLUIDO",X120="NO APLICA"),1,IF(X120="EN PROCESO",0.5,0))+
IF(Y120="PROGRAMADAS",1/2,IF(Y120="CONCLUIDAS",1,0))+
IF(OR(Z120="SI",Z120="NO APLICA"),1,0)+
IF(OR(AA120="SI",AA120="NO APLICA"),1,0)
)/9</f>
        <v>1</v>
      </c>
      <c r="AF120" s="92" t="s">
        <v>1825</v>
      </c>
      <c r="AG120" s="64"/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>
        <f t="shared" si="2"/>
        <v>1</v>
      </c>
      <c r="AC121">
        <f t="shared" si="3"/>
        <v>0</v>
      </c>
      <c r="AD121" s="67"/>
      <c r="AE121" s="87">
        <f>(
IF(S121="ENVIADO A LA CE/UM",1/3,IF(S121="ENTREGADO/REVISIÓN",2/3,IF(S121="ENVIADO A TICS",1,0)))+
IF(T121="EN PROCESO",1/2,IF(T121="CONCLUIDO",1,0))+
IF(OR(U121="CONCLUIDO",U121="NO APLICA"),1,IF(U121="EN REVISIÓN CENTRAL",2/3,IF(U121="ENVIADO A LA CE/UM",1/3,0)))+
IF(OR(V121="CONCLUIDO",V121="NO APLICA"),1,IF(V121="EN REVISIÓN CENTRAL",2/3,IF(V121="ENVIADO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IF(OR(W121="CONCLUIDO",W121="NO APLICA"),1,IF(W121="EN PROCESO",0.5,0))+
IF(OR(X121="CONCLUIDO",X121="NO APLICA"),1,IF(X121="EN PROCESO",0.5,0))+
IF(Y121="PROGRAMADAS",1/2,IF(Y121="CONCLUIDAS",1,0))+
IF(OR(Z121="SI",Z121="NO APLICA"),1,0)+
IF(OR(AA121="SI",AA121="NO APLICA"),1,0)
)/9</f>
        <v>0.88888888888888884</v>
      </c>
      <c r="AF121" s="92" t="s">
        <v>1825</v>
      </c>
      <c r="AG121" s="64"/>
    </row>
    <row r="122" spans="1:33" x14ac:dyDescent="0.3">
      <c r="A122" s="84" t="s">
        <v>911</v>
      </c>
      <c r="B122" s="93" t="s">
        <v>25</v>
      </c>
      <c r="C122" s="93" t="s">
        <v>1776</v>
      </c>
      <c r="D122" s="33" t="s">
        <v>1775</v>
      </c>
      <c r="E122" s="34" t="s">
        <v>912</v>
      </c>
      <c r="F122" s="34" t="s">
        <v>913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26</v>
      </c>
      <c r="O122" s="48">
        <v>9</v>
      </c>
      <c r="P122" s="49">
        <v>200</v>
      </c>
      <c r="Q122" s="50">
        <v>19.344315300000002</v>
      </c>
      <c r="R122" s="50">
        <v>-99.027428599999993</v>
      </c>
      <c r="S122" s="66" t="s">
        <v>34</v>
      </c>
      <c r="T122" s="66" t="s">
        <v>175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74</v>
      </c>
      <c r="AA122" s="66" t="s">
        <v>37</v>
      </c>
      <c r="AB122">
        <f t="shared" si="2"/>
        <v>1</v>
      </c>
      <c r="AC122">
        <f t="shared" si="3"/>
        <v>0</v>
      </c>
      <c r="AD122" s="72" t="s">
        <v>1820</v>
      </c>
      <c r="AE122" s="87">
        <f>(
IF(S122="ENVIADO A LA CE/UM",1/3,IF(S122="ENTREGADO/REVISIÓN",2/3,IF(S122="ENVIADO A TICS",1,0)))+
IF(T122="EN PROCESO",1/2,IF(T122="CONCLUIDO",1,0))+
IF(OR(U122="CONCLUIDO",U122="NO APLICA"),1,IF(U122="EN REVISIÓN CENTRAL",2/3,IF(U122="ENVIADO A LA CE/UM",1/3,0)))+
IF(OR(V122="CONCLUIDO",V122="NO APLICA"),1,IF(V122="EN REVISIÓN CENTRAL",2/3,IF(V122="ENVIADO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IF(OR(W122="CONCLUIDO",W122="NO APLICA"),1,IF(W122="EN PROCESO",0.5,0))+
IF(OR(X122="CONCLUIDO",X122="NO APLICA"),1,IF(X122="EN PROCESO",0.5,0))+
IF(Y122="PROGRAMADAS",1/2,IF(Y122="CONCLUIDAS",1,0))+
IF(OR(Z122="SI",Z122="NO APLICA"),1,0)+
IF(OR(AA122="SI",AA122="NO APLICA"),1,0)
)/9</f>
        <v>0.83333333333333337</v>
      </c>
      <c r="AF122" s="91">
        <v>7</v>
      </c>
      <c r="AG122" s="103" t="s">
        <v>1830</v>
      </c>
    </row>
    <row r="123" spans="1:33" x14ac:dyDescent="0.3">
      <c r="A123" s="84" t="s">
        <v>923</v>
      </c>
      <c r="B123" s="93" t="s">
        <v>25</v>
      </c>
      <c r="C123" s="93" t="s">
        <v>1776</v>
      </c>
      <c r="D123" s="33" t="s">
        <v>1775</v>
      </c>
      <c r="E123" s="34" t="s">
        <v>912</v>
      </c>
      <c r="F123" s="38" t="s">
        <v>924</v>
      </c>
      <c r="G123" s="34" t="s">
        <v>111</v>
      </c>
      <c r="H123" s="37">
        <v>1</v>
      </c>
      <c r="I123" s="34" t="s">
        <v>155</v>
      </c>
      <c r="J123" s="34" t="s">
        <v>31</v>
      </c>
      <c r="K123" s="34" t="s">
        <v>32</v>
      </c>
      <c r="L123" s="34" t="s">
        <v>1756</v>
      </c>
      <c r="M123" s="34" t="s">
        <v>33</v>
      </c>
      <c r="N123" s="47">
        <v>30</v>
      </c>
      <c r="O123" s="48">
        <v>7</v>
      </c>
      <c r="P123" s="49">
        <v>182</v>
      </c>
      <c r="Q123" s="50">
        <v>19.3066411</v>
      </c>
      <c r="R123" s="50">
        <v>-99.066098400000001</v>
      </c>
      <c r="S123" s="66" t="s">
        <v>34</v>
      </c>
      <c r="T123" s="66" t="s">
        <v>175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>
        <f t="shared" si="2"/>
        <v>0</v>
      </c>
      <c r="AC123">
        <f t="shared" si="3"/>
        <v>1</v>
      </c>
      <c r="AD123" s="72" t="s">
        <v>1821</v>
      </c>
      <c r="AE123" s="87">
        <f>(
IF(S123="ENVIADO A LA CE/UM",1/3,IF(S123="ENTREGADO/REVISIÓN",2/3,IF(S123="ENVIADO A TICS",1,0)))+
IF(T123="EN PROCESO",1/2,IF(T123="CONCLUIDO",1,0))+
IF(OR(U123="CONCLUIDO",U123="NO APLICA"),1,IF(U123="EN REVISIÓN CENTRAL",2/3,IF(U123="ENVIADO A LA CE/UM",1/3,0)))+
IF(OR(V123="CONCLUIDO",V123="NO APLICA"),1,IF(V123="EN REVISIÓN CENTRAL",2/3,IF(V123="ENVIADO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IF(OR(W123="CONCLUIDO",W123="NO APLICA"),1,IF(W123="EN PROCESO",0.5,0))+
IF(OR(X123="CONCLUIDO",X123="NO APLICA"),1,IF(X123="EN PROCESO",0.5,0))+
IF(Y123="PROGRAMADAS",1/2,IF(Y123="CONCLUIDAS",1,0))+
IF(OR(Z123="SI",Z123="NO APLICA"),1,0)+
IF(OR(AA123="SI",AA123="NO APLICA"),1,0)
)/9</f>
        <v>0.94444444444444442</v>
      </c>
      <c r="AF123" s="91">
        <v>7</v>
      </c>
      <c r="AG123" s="103" t="s">
        <v>1830</v>
      </c>
    </row>
    <row r="124" spans="1:33" x14ac:dyDescent="0.3">
      <c r="A124" s="84" t="s">
        <v>914</v>
      </c>
      <c r="B124" s="93" t="s">
        <v>25</v>
      </c>
      <c r="C124" s="93" t="s">
        <v>1776</v>
      </c>
      <c r="D124" s="33" t="s">
        <v>1775</v>
      </c>
      <c r="E124" s="34" t="s">
        <v>915</v>
      </c>
      <c r="F124" s="34" t="s">
        <v>916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7</v>
      </c>
      <c r="P124" s="49">
        <v>200</v>
      </c>
      <c r="Q124" s="50">
        <v>19.287391</v>
      </c>
      <c r="R124" s="50">
        <v>-99.052743000000007</v>
      </c>
      <c r="S124" s="66" t="s">
        <v>34</v>
      </c>
      <c r="T124" s="66" t="s">
        <v>175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74</v>
      </c>
      <c r="AA124" s="66" t="s">
        <v>37</v>
      </c>
      <c r="AB124">
        <f t="shared" si="2"/>
        <v>1</v>
      </c>
      <c r="AC124">
        <f t="shared" si="3"/>
        <v>0</v>
      </c>
      <c r="AD124" s="72" t="s">
        <v>1822</v>
      </c>
      <c r="AE124" s="87">
        <f>(
IF(S124="ENVIADO A LA CE/UM",1/3,IF(S124="ENTREGADO/REVISIÓN",2/3,IF(S124="ENVIADO A TICS",1,0)))+
IF(T124="EN PROCESO",1/2,IF(T124="CONCLUIDO",1,0))+
IF(OR(U124="CONCLUIDO",U124="NO APLICA"),1,IF(U124="EN REVISIÓN CENTRAL",2/3,IF(U124="ENVIADO A LA CE/UM",1/3,0)))+
IF(OR(V124="CONCLUIDO",V124="NO APLICA"),1,IF(V124="EN REVISIÓN CENTRAL",2/3,IF(V124="ENVIADO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IF(OR(W124="CONCLUIDO",W124="NO APLICA"),1,IF(W124="EN PROCESO",0.5,0))+
IF(OR(X124="CONCLUIDO",X124="NO APLICA"),1,IF(X124="EN PROCESO",0.5,0))+
IF(Y124="PROGRAMADAS",1/2,IF(Y124="CONCLUIDAS",1,0))+
IF(OR(Z124="SI",Z124="NO APLICA"),1,0)+
IF(OR(AA124="SI",AA124="NO APLICA"),1,0)
)/9</f>
        <v>0.83333333333333337</v>
      </c>
      <c r="AF124" s="91">
        <v>7</v>
      </c>
      <c r="AG124" s="103" t="s">
        <v>1830</v>
      </c>
    </row>
    <row r="125" spans="1:33" x14ac:dyDescent="0.3">
      <c r="A125" s="84" t="s">
        <v>224</v>
      </c>
      <c r="B125" s="93" t="s">
        <v>25</v>
      </c>
      <c r="C125" s="93" t="s">
        <v>1776</v>
      </c>
      <c r="D125" s="34" t="s">
        <v>1775</v>
      </c>
      <c r="E125" s="34" t="s">
        <v>226</v>
      </c>
      <c r="F125" s="34" t="s">
        <v>227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29</v>
      </c>
      <c r="O125" s="48">
        <v>8</v>
      </c>
      <c r="P125" s="49">
        <v>253</v>
      </c>
      <c r="Q125" s="50">
        <v>19.359813599999999</v>
      </c>
      <c r="R125" s="50">
        <v>-99.163239399999995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>
        <f t="shared" si="2"/>
        <v>0</v>
      </c>
      <c r="AC125">
        <f t="shared" si="3"/>
        <v>1</v>
      </c>
      <c r="AD125" s="67" t="s">
        <v>1795</v>
      </c>
      <c r="AE125" s="87">
        <f>(
IF(S125="ENVIADO A LA CE/UM",1/3,IF(S125="ENTREGADO/REVISIÓN",2/3,IF(S125="ENVIADO A TICS",1,0)))+
IF(T125="EN PROCESO",1/2,IF(T125="CONCLUIDO",1,0))+
IF(OR(U125="CONCLUIDO",U125="NO APLICA"),1,IF(U125="EN REVISIÓN CENTRAL",2/3,IF(U125="ENVIADO A LA CE/UM",1/3,0)))+
IF(OR(V125="CONCLUIDO",V125="NO APLICA"),1,IF(V125="EN REVISIÓN CENTRAL",2/3,IF(V125="ENVIADO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IF(OR(W125="CONCLUIDO",W125="NO APLICA"),1,IF(W125="EN PROCESO",0.5,0))+
IF(OR(X125="CONCLUIDO",X125="NO APLICA"),1,IF(X125="EN PROCESO",0.5,0))+
IF(Y125="PROGRAMADAS",1/2,IF(Y125="CONCLUIDAS",1,0))+
IF(OR(Z125="SI",Z125="NO APLICA"),1,0)+
IF(OR(AA125="SI",AA125="NO APLICA"),1,0)
)/9</f>
        <v>1</v>
      </c>
      <c r="AF125" s="91">
        <v>7</v>
      </c>
      <c r="AG125" s="103" t="s">
        <v>1830</v>
      </c>
    </row>
    <row r="126" spans="1:33" x14ac:dyDescent="0.3">
      <c r="A126" s="84" t="s">
        <v>934</v>
      </c>
      <c r="B126" s="93" t="s">
        <v>25</v>
      </c>
      <c r="C126" s="93" t="s">
        <v>1776</v>
      </c>
      <c r="D126" s="33" t="s">
        <v>1775</v>
      </c>
      <c r="E126" s="34" t="s">
        <v>909</v>
      </c>
      <c r="F126" s="34" t="s">
        <v>935</v>
      </c>
      <c r="G126" s="34" t="s">
        <v>111</v>
      </c>
      <c r="H126" s="37">
        <v>1</v>
      </c>
      <c r="I126" s="34" t="s">
        <v>112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18</v>
      </c>
      <c r="O126" s="48">
        <v>5</v>
      </c>
      <c r="P126" s="49">
        <v>109</v>
      </c>
      <c r="Q126" s="50">
        <v>19.199019400000001</v>
      </c>
      <c r="R126" s="50">
        <v>-99.141540300000003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>
        <f t="shared" si="2"/>
        <v>0</v>
      </c>
      <c r="AC126">
        <f t="shared" si="3"/>
        <v>1</v>
      </c>
      <c r="AD126" s="67" t="s">
        <v>1795</v>
      </c>
      <c r="AE126" s="87">
        <f>(
IF(S126="ENVIADO A LA CE/UM",1/3,IF(S126="ENTREGADO/REVISIÓN",2/3,IF(S126="ENVIADO A TICS",1,0)))+
IF(T126="EN PROCESO",1/2,IF(T126="CONCLUIDO",1,0))+
IF(OR(U126="CONCLUIDO",U126="NO APLICA"),1,IF(U126="EN REVISIÓN CENTRAL",2/3,IF(U126="ENVIADO A LA CE/UM",1/3,0)))+
IF(OR(V126="CONCLUIDO",V126="NO APLICA"),1,IF(V126="EN REVISIÓN CENTRAL",2/3,IF(V126="ENVIADO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IF(OR(W126="CONCLUIDO",W126="NO APLICA"),1,IF(W126="EN PROCESO",0.5,0))+
IF(OR(X126="CONCLUIDO",X126="NO APLICA"),1,IF(X126="EN PROCESO",0.5,0))+
IF(Y126="PROGRAMADAS",1/2,IF(Y126="CONCLUIDAS",1,0))+
IF(OR(Z126="SI",Z126="NO APLICA"),1,0)+
IF(OR(AA126="SI",AA126="NO APLICA"),1,0)
)/9</f>
        <v>1</v>
      </c>
      <c r="AF126" s="91">
        <v>7</v>
      </c>
      <c r="AG126" s="103" t="s">
        <v>1830</v>
      </c>
    </row>
    <row r="127" spans="1:33" x14ac:dyDescent="0.3">
      <c r="A127" s="84" t="s">
        <v>1605</v>
      </c>
      <c r="B127" s="93" t="s">
        <v>25</v>
      </c>
      <c r="C127" s="93" t="s">
        <v>1776</v>
      </c>
      <c r="D127" s="33" t="s">
        <v>1775</v>
      </c>
      <c r="E127" s="34" t="s">
        <v>1606</v>
      </c>
      <c r="F127" s="34" t="s">
        <v>1607</v>
      </c>
      <c r="G127" s="34" t="s">
        <v>941</v>
      </c>
      <c r="H127" s="37">
        <v>2</v>
      </c>
      <c r="I127" s="34" t="s">
        <v>155</v>
      </c>
      <c r="J127" s="34" t="s">
        <v>31</v>
      </c>
      <c r="K127" s="34" t="s">
        <v>32</v>
      </c>
      <c r="L127" s="34" t="s">
        <v>1756</v>
      </c>
      <c r="M127" s="34" t="s">
        <v>33</v>
      </c>
      <c r="N127" s="47">
        <v>15</v>
      </c>
      <c r="O127" s="48">
        <v>2</v>
      </c>
      <c r="P127" s="49">
        <v>84</v>
      </c>
      <c r="Q127" s="50">
        <v>19.345625999999999</v>
      </c>
      <c r="R127" s="50">
        <v>-99.167851200000001</v>
      </c>
      <c r="S127" s="66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6" t="s">
        <v>36</v>
      </c>
      <c r="Z127" s="66" t="s">
        <v>37</v>
      </c>
      <c r="AA127" s="66" t="s">
        <v>37</v>
      </c>
      <c r="AB127">
        <f t="shared" si="2"/>
        <v>0</v>
      </c>
      <c r="AC127">
        <f t="shared" si="3"/>
        <v>1</v>
      </c>
      <c r="AD127" s="67" t="s">
        <v>1795</v>
      </c>
      <c r="AE127" s="87">
        <f>(
IF(S127="ENVIADO A LA CE/UM",1/3,IF(S127="ENTREGADO/REVISIÓN",2/3,IF(S127="ENVIADO A TICS",1,0)))+
IF(T127="EN PROCESO",1/2,IF(T127="CONCLUIDO",1,0))+
IF(OR(U127="CONCLUIDO",U127="NO APLICA"),1,IF(U127="EN REVISIÓN CENTRAL",2/3,IF(U127="ENVIADO A LA CE/UM",1/3,0)))+
IF(OR(V127="CONCLUIDO",V127="NO APLICA"),1,IF(V127="EN REVISIÓN CENTRAL",2/3,IF(V127="ENVIADO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IF(OR(W127="CONCLUIDO",W127="NO APLICA"),1,IF(W127="EN PROCESO",0.5,0))+
IF(OR(X127="CONCLUIDO",X127="NO APLICA"),1,IF(X127="EN PROCESO",0.5,0))+
IF(Y127="PROGRAMADAS",1/2,IF(Y127="CONCLUIDAS",1,0))+
IF(OR(Z127="SI",Z127="NO APLICA"),1,0)+
IF(OR(AA127="SI",AA127="NO APLICA"),1,0)
)/9</f>
        <v>1</v>
      </c>
      <c r="AF127" s="91">
        <v>7</v>
      </c>
      <c r="AG127" s="103" t="s">
        <v>1830</v>
      </c>
    </row>
    <row r="128" spans="1:33" x14ac:dyDescent="0.3">
      <c r="A128" s="84" t="s">
        <v>928</v>
      </c>
      <c r="B128" s="93" t="s">
        <v>25</v>
      </c>
      <c r="C128" s="93" t="s">
        <v>1776</v>
      </c>
      <c r="D128" s="33" t="s">
        <v>1775</v>
      </c>
      <c r="E128" s="34" t="s">
        <v>929</v>
      </c>
      <c r="F128" s="34" t="s">
        <v>930</v>
      </c>
      <c r="G128" s="34" t="s">
        <v>164</v>
      </c>
      <c r="H128" s="37">
        <v>2</v>
      </c>
      <c r="I128" s="34" t="s">
        <v>155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21</v>
      </c>
      <c r="O128" s="48">
        <v>3</v>
      </c>
      <c r="P128" s="49">
        <v>110</v>
      </c>
      <c r="Q128" s="50">
        <v>19.254965899999998</v>
      </c>
      <c r="R128" s="50">
        <v>-99.104500000000002</v>
      </c>
      <c r="S128" s="66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6" t="s">
        <v>36</v>
      </c>
      <c r="Z128" s="66" t="s">
        <v>37</v>
      </c>
      <c r="AA128" s="66" t="s">
        <v>37</v>
      </c>
      <c r="AB128">
        <f t="shared" si="2"/>
        <v>0</v>
      </c>
      <c r="AC128">
        <f t="shared" si="3"/>
        <v>1</v>
      </c>
      <c r="AD128" s="67" t="s">
        <v>1795</v>
      </c>
      <c r="AE128" s="87">
        <f>(
IF(S128="ENVIADO A LA CE/UM",1/3,IF(S128="ENTREGADO/REVISIÓN",2/3,IF(S128="ENVIADO A TICS",1,0)))+
IF(T128="EN PROCESO",1/2,IF(T128="CONCLUIDO",1,0))+
IF(OR(U128="CONCLUIDO",U128="NO APLICA"),1,IF(U128="EN REVISIÓN CENTRAL",2/3,IF(U128="ENVIADO A LA CE/UM",1/3,0)))+
IF(OR(V128="CONCLUIDO",V128="NO APLICA"),1,IF(V128="EN REVISIÓN CENTRAL",2/3,IF(V128="ENVIADO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IF(OR(W128="CONCLUIDO",W128="NO APLICA"),1,IF(W128="EN PROCESO",0.5,0))+
IF(OR(X128="CONCLUIDO",X128="NO APLICA"),1,IF(X128="EN PROCESO",0.5,0))+
IF(Y128="PROGRAMADAS",1/2,IF(Y128="CONCLUIDAS",1,0))+
IF(OR(Z128="SI",Z128="NO APLICA"),1,0)+
IF(OR(AA128="SI",AA128="NO APLICA"),1,0)
)/9</f>
        <v>1</v>
      </c>
      <c r="AF128" s="91">
        <v>7</v>
      </c>
      <c r="AG128" s="103" t="s">
        <v>1830</v>
      </c>
    </row>
    <row r="129" spans="1:33" x14ac:dyDescent="0.3">
      <c r="A129" s="97" t="s">
        <v>1666</v>
      </c>
      <c r="B129" s="98" t="s">
        <v>25</v>
      </c>
      <c r="C129" s="98" t="s">
        <v>1776</v>
      </c>
      <c r="D129" s="33" t="s">
        <v>1775</v>
      </c>
      <c r="E129" s="38" t="s">
        <v>1662</v>
      </c>
      <c r="F129" s="34" t="s">
        <v>1667</v>
      </c>
      <c r="G129" s="38" t="s">
        <v>941</v>
      </c>
      <c r="H129" s="57">
        <v>2</v>
      </c>
      <c r="I129" s="38" t="s">
        <v>155</v>
      </c>
      <c r="J129" s="38" t="s">
        <v>31</v>
      </c>
      <c r="K129" s="38" t="s">
        <v>32</v>
      </c>
      <c r="L129" s="38" t="s">
        <v>1756</v>
      </c>
      <c r="M129" s="38" t="s">
        <v>33</v>
      </c>
      <c r="N129" s="57">
        <v>13</v>
      </c>
      <c r="O129" s="57">
        <v>1</v>
      </c>
      <c r="P129" s="57">
        <v>27</v>
      </c>
      <c r="Q129" s="68">
        <v>19.484406799999999</v>
      </c>
      <c r="R129" s="68">
        <v>-99.185474999999997</v>
      </c>
      <c r="S129" s="69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9" t="s">
        <v>36</v>
      </c>
      <c r="Z129" s="66" t="s">
        <v>37</v>
      </c>
      <c r="AA129" s="66" t="s">
        <v>37</v>
      </c>
      <c r="AB129">
        <f t="shared" si="2"/>
        <v>0</v>
      </c>
      <c r="AC129">
        <f t="shared" si="3"/>
        <v>1</v>
      </c>
      <c r="AD129" s="70" t="s">
        <v>1795</v>
      </c>
      <c r="AE129" s="87">
        <f>(
IF(S129="ENVIADO A LA CE/UM",1/3,IF(S129="ENTREGADO/REVISIÓN",2/3,IF(S129="ENVIADO A TICS",1,0)))+
IF(T129="EN PROCESO",1/2,IF(T129="CONCLUIDO",1,0))+
IF(OR(U129="CONCLUIDO",U129="NO APLICA"),1,IF(U129="EN REVISIÓN CENTRAL",2/3,IF(U129="ENVIADO A LA CE/UM",1/3,0)))+
IF(OR(V129="CONCLUIDO",V129="NO APLICA"),1,IF(V129="EN REVISIÓN CENTRAL",2/3,IF(V129="ENVIADO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IF(OR(W129="CONCLUIDO",W129="NO APLICA"),1,IF(W129="EN PROCESO",0.5,0))+
IF(OR(X129="CONCLUIDO",X129="NO APLICA"),1,IF(X129="EN PROCESO",0.5,0))+
IF(Y129="PROGRAMADAS",1/2,IF(Y129="CONCLUIDAS",1,0))+
IF(OR(Z129="SI",Z129="NO APLICA"),1,0)+
IF(OR(AA129="SI",AA129="NO APLICA"),1,0)
)/9</f>
        <v>1</v>
      </c>
      <c r="AF129" s="91">
        <v>8</v>
      </c>
      <c r="AG129" s="103" t="s">
        <v>1830</v>
      </c>
    </row>
    <row r="130" spans="1:33" x14ac:dyDescent="0.3">
      <c r="A130" s="97" t="s">
        <v>938</v>
      </c>
      <c r="B130" s="98" t="s">
        <v>25</v>
      </c>
      <c r="C130" s="98" t="s">
        <v>1776</v>
      </c>
      <c r="D130" s="33" t="s">
        <v>1775</v>
      </c>
      <c r="E130" s="38" t="s">
        <v>939</v>
      </c>
      <c r="F130" s="34" t="s">
        <v>940</v>
      </c>
      <c r="G130" s="38" t="s">
        <v>941</v>
      </c>
      <c r="H130" s="57">
        <v>2</v>
      </c>
      <c r="I130" s="38" t="s">
        <v>155</v>
      </c>
      <c r="J130" s="38" t="s">
        <v>31</v>
      </c>
      <c r="K130" s="38" t="s">
        <v>32</v>
      </c>
      <c r="L130" s="38" t="s">
        <v>1756</v>
      </c>
      <c r="M130" s="38" t="s">
        <v>33</v>
      </c>
      <c r="N130" s="57">
        <v>22</v>
      </c>
      <c r="O130" s="57">
        <v>2</v>
      </c>
      <c r="P130" s="57">
        <v>105</v>
      </c>
      <c r="Q130" s="68">
        <v>19.459708500000001</v>
      </c>
      <c r="R130" s="68">
        <v>-99.141313400000001</v>
      </c>
      <c r="S130" s="69" t="s">
        <v>34</v>
      </c>
      <c r="T130" s="66" t="s">
        <v>35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9" t="s">
        <v>36</v>
      </c>
      <c r="Z130" s="66" t="s">
        <v>37</v>
      </c>
      <c r="AA130" s="66" t="s">
        <v>37</v>
      </c>
      <c r="AB130">
        <f t="shared" si="2"/>
        <v>0</v>
      </c>
      <c r="AC130">
        <f t="shared" si="3"/>
        <v>1</v>
      </c>
      <c r="AD130" s="70" t="s">
        <v>1795</v>
      </c>
      <c r="AE130" s="87">
        <f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1</v>
      </c>
      <c r="AF130" s="91">
        <v>8</v>
      </c>
      <c r="AG130" s="103" t="s">
        <v>1830</v>
      </c>
    </row>
    <row r="131" spans="1:33" x14ac:dyDescent="0.3">
      <c r="A131" s="84" t="s">
        <v>942</v>
      </c>
      <c r="B131" s="93" t="s">
        <v>25</v>
      </c>
      <c r="C131" s="93" t="s">
        <v>1776</v>
      </c>
      <c r="D131" s="33" t="s">
        <v>1775</v>
      </c>
      <c r="E131" s="34" t="s">
        <v>625</v>
      </c>
      <c r="F131" s="34" t="s">
        <v>943</v>
      </c>
      <c r="G131" s="34" t="s">
        <v>164</v>
      </c>
      <c r="H131" s="37">
        <v>2</v>
      </c>
      <c r="I131" s="34" t="s">
        <v>155</v>
      </c>
      <c r="J131" s="34" t="s">
        <v>31</v>
      </c>
      <c r="K131" s="34" t="s">
        <v>32</v>
      </c>
      <c r="L131" s="34" t="s">
        <v>1756</v>
      </c>
      <c r="M131" s="34" t="s">
        <v>33</v>
      </c>
      <c r="N131" s="47">
        <v>21</v>
      </c>
      <c r="O131" s="48">
        <v>5</v>
      </c>
      <c r="P131" s="49">
        <v>99</v>
      </c>
      <c r="Q131" s="50">
        <v>19.480653799999999</v>
      </c>
      <c r="R131" s="50">
        <v>-99.124137099999999</v>
      </c>
      <c r="S131" s="66" t="s">
        <v>34</v>
      </c>
      <c r="T131" s="66" t="s">
        <v>35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6" t="s">
        <v>36</v>
      </c>
      <c r="Z131" s="66" t="s">
        <v>74</v>
      </c>
      <c r="AA131" s="66" t="s">
        <v>37</v>
      </c>
      <c r="AB131">
        <f t="shared" ref="AB131:AB194" si="4">IF(OR(AND(Z131="SI",AA131="NO"),AND(Z131="NO",AA131="SI")),1,0)</f>
        <v>1</v>
      </c>
      <c r="AC131">
        <f t="shared" ref="AC131:AC194" si="5">IF(AND(OR(Z131="SI",Z131="NO APLICA"),OR(AA131="SI",AA131="NO APLICA")),1,0)</f>
        <v>0</v>
      </c>
      <c r="AD131" s="67" t="s">
        <v>1795</v>
      </c>
      <c r="AE131" s="87">
        <f>(
IF(S131="ENVIADO A LA CE/UM",1/3,IF(S131="ENTREGADO/REVISIÓN",2/3,IF(S131="ENVIADO A TICS",1,0)))+
IF(T131="EN PROCESO",1/2,IF(T131="CONCLUIDO",1,0))+
IF(OR(U131="CONCLUIDO",U131="NO APLICA"),1,IF(U131="EN REVISIÓN CENTRAL",2/3,IF(U131="ENVIADO A LA CE/UM",1/3,0)))+
IF(OR(V131="CONCLUIDO",V131="NO APLICA"),1,IF(V131="EN REVISIÓN CENTRAL",2/3,IF(V131="ENVIADO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IF(OR(W131="CONCLUIDO",W131="NO APLICA"),1,IF(W131="EN PROCESO",0.5,0))+
IF(OR(X131="CONCLUIDO",X131="NO APLICA"),1,IF(X131="EN PROCESO",0.5,0))+
IF(Y131="PROGRAMADAS",1/2,IF(Y131="CONCLUIDAS",1,0))+
IF(OR(Z131="SI",Z131="NO APLICA"),1,0)+
IF(OR(AA131="SI",AA131="NO APLICA"),1,0)
)/9</f>
        <v>0.88888888888888884</v>
      </c>
      <c r="AF131" s="91">
        <v>8</v>
      </c>
      <c r="AG131" s="103" t="s">
        <v>1830</v>
      </c>
    </row>
    <row r="132" spans="1:33" x14ac:dyDescent="0.3">
      <c r="A132" s="97" t="s">
        <v>925</v>
      </c>
      <c r="B132" s="98" t="s">
        <v>25</v>
      </c>
      <c r="C132" s="98" t="s">
        <v>1776</v>
      </c>
      <c r="D132" s="33" t="s">
        <v>1775</v>
      </c>
      <c r="E132" s="38" t="s">
        <v>926</v>
      </c>
      <c r="F132" s="34" t="s">
        <v>927</v>
      </c>
      <c r="G132" s="38" t="s">
        <v>111</v>
      </c>
      <c r="H132" s="57">
        <v>1</v>
      </c>
      <c r="I132" s="38" t="s">
        <v>112</v>
      </c>
      <c r="J132" s="38" t="s">
        <v>31</v>
      </c>
      <c r="K132" s="38" t="s">
        <v>32</v>
      </c>
      <c r="L132" s="38" t="s">
        <v>1755</v>
      </c>
      <c r="M132" s="38" t="s">
        <v>33</v>
      </c>
      <c r="N132" s="57">
        <v>27</v>
      </c>
      <c r="O132" s="57">
        <v>9</v>
      </c>
      <c r="P132" s="57">
        <v>173</v>
      </c>
      <c r="Q132" s="68">
        <v>19.45112</v>
      </c>
      <c r="R132" s="68">
        <v>-99.169314999999997</v>
      </c>
      <c r="S132" s="69" t="s">
        <v>34</v>
      </c>
      <c r="T132" s="69" t="s">
        <v>175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9" t="s">
        <v>36</v>
      </c>
      <c r="Z132" s="66" t="s">
        <v>37</v>
      </c>
      <c r="AA132" s="66" t="s">
        <v>37</v>
      </c>
      <c r="AB132">
        <f t="shared" si="4"/>
        <v>0</v>
      </c>
      <c r="AC132">
        <f t="shared" si="5"/>
        <v>1</v>
      </c>
      <c r="AD132" s="70" t="s">
        <v>1795</v>
      </c>
      <c r="AE132" s="87">
        <f>(
IF(S132="ENVIADO A LA CE/UM",1/3,IF(S132="ENTREGADO/REVISIÓN",2/3,IF(S132="ENVIADO A TICS",1,0)))+
IF(T132="EN PROCESO",1/2,IF(T132="CONCLUIDO",1,0))+
IF(OR(U132="CONCLUIDO",U132="NO APLICA"),1,IF(U132="EN REVISIÓN CENTRAL",2/3,IF(U132="ENVIADO A LA CE/UM",1/3,0)))+
IF(OR(V132="CONCLUIDO",V132="NO APLICA"),1,IF(V132="EN REVISIÓN CENTRAL",2/3,IF(V132="ENVIADO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IF(OR(W132="CONCLUIDO",W132="NO APLICA"),1,IF(W132="EN PROCESO",0.5,0))+
IF(OR(X132="CONCLUIDO",X132="NO APLICA"),1,IF(X132="EN PROCESO",0.5,0))+
IF(Y132="PROGRAMADAS",1/2,IF(Y132="CONCLUIDAS",1,0))+
IF(OR(Z132="SI",Z132="NO APLICA"),1,0)+
IF(OR(AA132="SI",AA132="NO APLICA"),1,0)
)/9</f>
        <v>0.94444444444444442</v>
      </c>
      <c r="AF132" s="91">
        <v>8</v>
      </c>
      <c r="AG132" s="103" t="s">
        <v>1830</v>
      </c>
    </row>
    <row r="133" spans="1:33" x14ac:dyDescent="0.3">
      <c r="A133" s="84" t="s">
        <v>1656</v>
      </c>
      <c r="B133" s="93" t="s">
        <v>25</v>
      </c>
      <c r="C133" s="93" t="s">
        <v>1776</v>
      </c>
      <c r="D133" s="33" t="s">
        <v>1775</v>
      </c>
      <c r="E133" s="34" t="s">
        <v>915</v>
      </c>
      <c r="F133" s="38" t="s">
        <v>1657</v>
      </c>
      <c r="G133" s="34" t="s">
        <v>164</v>
      </c>
      <c r="H133" s="37">
        <v>2</v>
      </c>
      <c r="I133" s="34" t="s">
        <v>155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9</v>
      </c>
      <c r="O133" s="48">
        <v>2</v>
      </c>
      <c r="P133" s="49">
        <v>56</v>
      </c>
      <c r="Q133" s="50">
        <v>19.2652517</v>
      </c>
      <c r="R133" s="50">
        <v>-98.998098900000002</v>
      </c>
      <c r="S133" s="66" t="s">
        <v>34</v>
      </c>
      <c r="T133" s="66" t="s">
        <v>35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37</v>
      </c>
      <c r="AA133" s="66" t="s">
        <v>37</v>
      </c>
      <c r="AB133">
        <f t="shared" si="4"/>
        <v>0</v>
      </c>
      <c r="AC133">
        <f t="shared" si="5"/>
        <v>1</v>
      </c>
      <c r="AD133" s="67" t="s">
        <v>1795</v>
      </c>
      <c r="AE133" s="87">
        <f>(
IF(S133="ENVIADO A LA CE/UM",1/3,IF(S133="ENTREGADO/REVISIÓN",2/3,IF(S133="ENVIADO A TICS",1,0)))+
IF(T133="EN PROCESO",1/2,IF(T133="CONCLUIDO",1,0))+
IF(OR(U133="CONCLUIDO",U133="NO APLICA"),1,IF(U133="EN REVISIÓN CENTRAL",2/3,IF(U133="ENVIADO A LA CE/UM",1/3,0)))+
IF(OR(V133="CONCLUIDO",V133="NO APLICA"),1,IF(V133="EN REVISIÓN CENTRAL",2/3,IF(V133="ENVIADO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IF(OR(W133="CONCLUIDO",W133="NO APLICA"),1,IF(W133="EN PROCESO",0.5,0))+
IF(OR(X133="CONCLUIDO",X133="NO APLICA"),1,IF(X133="EN PROCESO",0.5,0))+
IF(Y133="PROGRAMADAS",1/2,IF(Y133="CONCLUIDAS",1,0))+
IF(OR(Z133="SI",Z133="NO APLICA"),1,0)+
IF(OR(AA133="SI",AA133="NO APLICA"),1,0)
)/9</f>
        <v>1</v>
      </c>
      <c r="AF133" s="91">
        <v>7</v>
      </c>
      <c r="AG133" s="103" t="s">
        <v>1830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74</v>
      </c>
      <c r="AA134" s="66" t="s">
        <v>37</v>
      </c>
      <c r="AB134">
        <f t="shared" si="4"/>
        <v>1</v>
      </c>
      <c r="AC134">
        <f t="shared" si="5"/>
        <v>0</v>
      </c>
      <c r="AD134" s="67" t="s">
        <v>1795</v>
      </c>
      <c r="AE134" s="87">
        <f>(
IF(S134="ENVIADO A LA CE/UM",1/3,IF(S134="ENTREGADO/REVISIÓN",2/3,IF(S134="ENVIADO A TICS",1,0)))+
IF(T134="EN PROCESO",1/2,IF(T134="CONCLUIDO",1,0))+
IF(OR(U134="CONCLUIDO",U134="NO APLICA"),1,IF(U134="EN REVISIÓN CENTRAL",2/3,IF(U134="ENVIADO A LA CE/UM",1/3,0)))+
IF(OR(V134="CONCLUIDO",V134="NO APLICA"),1,IF(V134="EN REVISIÓN CENTRAL",2/3,IF(V134="ENVIADO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IF(OR(W134="CONCLUIDO",W134="NO APLICA"),1,IF(W134="EN PROCESO",0.5,0))+
IF(OR(X134="CONCLUIDO",X134="NO APLICA"),1,IF(X134="EN PROCESO",0.5,0))+
IF(Y134="PROGRAMADAS",1/2,IF(Y134="CONCLUIDAS",1,0))+
IF(OR(Z134="SI",Z134="NO APLICA"),1,0)+
IF(OR(AA134="SI",AA134="NO APLICA"),1,0)
)/9</f>
        <v>0.83333333333333337</v>
      </c>
      <c r="AF134" s="91">
        <v>7</v>
      </c>
      <c r="AG134" s="103" t="s">
        <v>1830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>
        <f t="shared" si="4"/>
        <v>1</v>
      </c>
      <c r="AC135">
        <f t="shared" si="5"/>
        <v>0</v>
      </c>
      <c r="AD135" s="67" t="s">
        <v>1795</v>
      </c>
      <c r="AE135" s="87">
        <f>(
IF(S135="ENVIADO A LA CE/UM",1/3,IF(S135="ENTREGADO/REVISIÓN",2/3,IF(S135="ENVIADO A TICS",1,0)))+
IF(T135="EN PROCESO",1/2,IF(T135="CONCLUIDO",1,0))+
IF(OR(U135="CONCLUIDO",U135="NO APLICA"),1,IF(U135="EN REVISIÓN CENTRAL",2/3,IF(U135="ENVIADO A LA CE/UM",1/3,0)))+
IF(OR(V135="CONCLUIDO",V135="NO APLICA"),1,IF(V135="EN REVISIÓN CENTRAL",2/3,IF(V135="ENVIADO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IF(OR(W135="CONCLUIDO",W135="NO APLICA"),1,IF(W135="EN PROCESO",0.5,0))+
IF(OR(X135="CONCLUIDO",X135="NO APLICA"),1,IF(X135="EN PROCESO",0.5,0))+
IF(Y135="PROGRAMADAS",1/2,IF(Y135="CONCLUIDAS",1,0))+
IF(OR(Z135="SI",Z135="NO APLICA"),1,0)+
IF(OR(AA135="SI",AA135="NO APLICA"),1,0)
)/9</f>
        <v>0.83333333333333337</v>
      </c>
      <c r="AF135" s="91">
        <v>8</v>
      </c>
      <c r="AG135" s="103" t="s">
        <v>1830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>
        <f t="shared" si="4"/>
        <v>0</v>
      </c>
      <c r="AC136">
        <f t="shared" si="5"/>
        <v>1</v>
      </c>
      <c r="AD136" s="70" t="s">
        <v>1795</v>
      </c>
      <c r="AE136" s="87">
        <f>(
IF(S136="ENVIADO A LA CE/UM",1/3,IF(S136="ENTREGADO/REVISIÓN",2/3,IF(S136="ENVIADO A TICS",1,0)))+
IF(T136="EN PROCESO",1/2,IF(T136="CONCLUIDO",1,0))+
IF(OR(U136="CONCLUIDO",U136="NO APLICA"),1,IF(U136="EN REVISIÓN CENTRAL",2/3,IF(U136="ENVIADO A LA CE/UM",1/3,0)))+
IF(OR(V136="CONCLUIDO",V136="NO APLICA"),1,IF(V136="EN REVISIÓN CENTRAL",2/3,IF(V136="ENVIADO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IF(OR(W136="CONCLUIDO",W136="NO APLICA"),1,IF(W136="EN PROCESO",0.5,0))+
IF(OR(X136="CONCLUIDO",X136="NO APLICA"),1,IF(X136="EN PROCESO",0.5,0))+
IF(Y136="PROGRAMADAS",1/2,IF(Y136="CONCLUIDAS",1,0))+
IF(OR(Z136="SI",Z136="NO APLICA"),1,0)+
IF(OR(AA136="SI",AA136="NO APLICA"),1,0)
)/9</f>
        <v>0.94444444444444442</v>
      </c>
      <c r="AF136" s="91">
        <v>8</v>
      </c>
      <c r="AG136" s="103" t="s">
        <v>1830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>
        <f t="shared" si="4"/>
        <v>0</v>
      </c>
      <c r="AC137">
        <f t="shared" si="5"/>
        <v>1</v>
      </c>
      <c r="AD137" s="70" t="s">
        <v>1795</v>
      </c>
      <c r="AE137" s="87">
        <f>(
IF(S137="ENVIADO A LA CE/UM",1/3,IF(S137="ENTREGADO/REVISIÓN",2/3,IF(S137="ENVIADO A TICS",1,0)))+
IF(T137="EN PROCESO",1/2,IF(T137="CONCLUIDO",1,0))+
IF(OR(U137="CONCLUIDO",U137="NO APLICA"),1,IF(U137="EN REVISIÓN CENTRAL",2/3,IF(U137="ENVIADO A LA CE/UM",1/3,0)))+
IF(OR(V137="CONCLUIDO",V137="NO APLICA"),1,IF(V137="EN REVISIÓN CENTRAL",2/3,IF(V137="ENVIADO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IF(OR(W137="CONCLUIDO",W137="NO APLICA"),1,IF(W137="EN PROCESO",0.5,0))+
IF(OR(X137="CONCLUIDO",X137="NO APLICA"),1,IF(X137="EN PROCESO",0.5,0))+
IF(Y137="PROGRAMADAS",1/2,IF(Y137="CONCLUIDAS",1,0))+
IF(OR(Z137="SI",Z137="NO APLICA"),1,0)+
IF(OR(AA137="SI",AA137="NO APLICA"),1,0)
)/9</f>
        <v>0.94444444444444442</v>
      </c>
      <c r="AF137" s="91">
        <v>8</v>
      </c>
      <c r="AG137" s="103" t="s">
        <v>1830</v>
      </c>
    </row>
    <row r="138" spans="1:33" x14ac:dyDescent="0.3">
      <c r="A138" s="84" t="s">
        <v>1670</v>
      </c>
      <c r="B138" s="93" t="s">
        <v>25</v>
      </c>
      <c r="C138" s="93" t="s">
        <v>1776</v>
      </c>
      <c r="D138" s="33" t="s">
        <v>1775</v>
      </c>
      <c r="E138" s="34" t="s">
        <v>921</v>
      </c>
      <c r="F138" s="34" t="s">
        <v>1671</v>
      </c>
      <c r="G138" s="34" t="s">
        <v>111</v>
      </c>
      <c r="H138" s="37">
        <v>1</v>
      </c>
      <c r="I138" s="34" t="s">
        <v>112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6</v>
      </c>
      <c r="O138" s="48">
        <v>0</v>
      </c>
      <c r="P138" s="49">
        <v>15</v>
      </c>
      <c r="Q138" s="50">
        <v>19.524347599999999</v>
      </c>
      <c r="R138" s="50">
        <v>-99.140138399999998</v>
      </c>
      <c r="S138" s="66" t="s">
        <v>34</v>
      </c>
      <c r="T138" s="66" t="s">
        <v>35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>
        <f t="shared" si="4"/>
        <v>0</v>
      </c>
      <c r="AC138">
        <f t="shared" si="5"/>
        <v>1</v>
      </c>
      <c r="AD138" s="67"/>
      <c r="AE138" s="87">
        <f>(
IF(S138="ENVIADO A LA CE/UM",1/3,IF(S138="ENTREGADO/REVISIÓN",2/3,IF(S138="ENVIADO A TICS",1,0)))+
IF(T138="EN PROCESO",1/2,IF(T138="CONCLUIDO",1,0))+
IF(OR(U138="CONCLUIDO",U138="NO APLICA"),1,IF(U138="EN REVISIÓN CENTRAL",2/3,IF(U138="ENVIADO A LA CE/UM",1/3,0)))+
IF(OR(V138="CONCLUIDO",V138="NO APLICA"),1,IF(V138="EN REVISIÓN CENTRAL",2/3,IF(V138="ENVIADO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IF(OR(W138="CONCLUIDO",W138="NO APLICA"),1,IF(W138="EN PROCESO",0.5,0))+
IF(OR(X138="CONCLUIDO",X138="NO APLICA"),1,IF(X138="EN PROCESO",0.5,0))+
IF(Y138="PROGRAMADAS",1/2,IF(Y138="CONCLUIDAS",1,0))+
IF(OR(Z138="SI",Z138="NO APLICA"),1,0)+
IF(OR(AA138="SI",AA138="NO APLICA"),1,0)
)/9</f>
        <v>1</v>
      </c>
      <c r="AF138" s="91" t="s">
        <v>1825</v>
      </c>
      <c r="AG138" s="64" t="s">
        <v>1831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>
        <f t="shared" si="4"/>
        <v>0</v>
      </c>
      <c r="AC139">
        <f t="shared" si="5"/>
        <v>1</v>
      </c>
      <c r="AD139" s="67"/>
      <c r="AE139" s="87">
        <f>(
IF(S139="ENVIADO A LA CE/UM",1/3,IF(S139="ENTREGADO/REVISIÓN",2/3,IF(S139="ENVIADO A TICS",1,0)))+
IF(T139="EN PROCESO",1/2,IF(T139="CONCLUIDO",1,0))+
IF(OR(U139="CONCLUIDO",U139="NO APLICA"),1,IF(U139="EN REVISIÓN CENTRAL",2/3,IF(U139="ENVIADO A LA CE/UM",1/3,0)))+
IF(OR(V139="CONCLUIDO",V139="NO APLICA"),1,IF(V139="EN REVISIÓN CENTRAL",2/3,IF(V139="ENVIADO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IF(OR(W139="CONCLUIDO",W139="NO APLICA"),1,IF(W139="EN PROCESO",0.5,0))+
IF(OR(X139="CONCLUIDO",X139="NO APLICA"),1,IF(X139="EN PROCESO",0.5,0))+
IF(Y139="PROGRAMADAS",1/2,IF(Y139="CONCLUIDAS",1,0))+
IF(OR(Z139="SI",Z139="NO APLICA"),1,0)+
IF(OR(AA139="SI",AA139="NO APLICA"),1,0)
)/9</f>
        <v>1</v>
      </c>
      <c r="AF139" s="91">
        <v>10</v>
      </c>
      <c r="AG139" s="104" t="s">
        <v>1780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>
        <f t="shared" si="4"/>
        <v>0</v>
      </c>
      <c r="AC140">
        <f t="shared" si="5"/>
        <v>1</v>
      </c>
      <c r="AD140" s="67"/>
      <c r="AE140" s="87">
        <f>(
IF(S140="ENVIADO A LA CE/UM",1/3,IF(S140="ENTREGADO/REVISIÓN",2/3,IF(S140="ENVIADO A TICS",1,0)))+
IF(T140="EN PROCESO",1/2,IF(T140="CONCLUIDO",1,0))+
IF(OR(U140="CONCLUIDO",U140="NO APLICA"),1,IF(U140="EN REVISIÓN CENTRAL",2/3,IF(U140="ENVIADO A LA CE/UM",1/3,0)))+
IF(OR(V140="CONCLUIDO",V140="NO APLICA"),1,IF(V140="EN REVISIÓN CENTRAL",2/3,IF(V140="ENVIADO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IF(OR(W140="CONCLUIDO",W140="NO APLICA"),1,IF(W140="EN PROCESO",0.5,0))+
IF(OR(X140="CONCLUIDO",X140="NO APLICA"),1,IF(X140="EN PROCESO",0.5,0))+
IF(Y140="PROGRAMADAS",1/2,IF(Y140="CONCLUIDAS",1,0))+
IF(OR(Z140="SI",Z140="NO APLICA"),1,0)+
IF(OR(AA140="SI",AA140="NO APLICA"),1,0)
)/9</f>
        <v>1</v>
      </c>
      <c r="AF140" s="91">
        <v>10</v>
      </c>
      <c r="AG140" s="104" t="s">
        <v>1780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>
        <f t="shared" si="4"/>
        <v>0</v>
      </c>
      <c r="AC141">
        <f t="shared" si="5"/>
        <v>1</v>
      </c>
      <c r="AD141" s="67"/>
      <c r="AE141" s="87">
        <f>(
IF(S141="ENVIADO A LA CE/UM",1/3,IF(S141="ENTREGADO/REVISIÓN",2/3,IF(S141="ENVIADO A TICS",1,0)))+
IF(T141="EN PROCESO",1/2,IF(T141="CONCLUIDO",1,0))+
IF(OR(U141="CONCLUIDO",U141="NO APLICA"),1,IF(U141="EN REVISIÓN CENTRAL",2/3,IF(U141="ENVIADO A LA CE/UM",1/3,0)))+
IF(OR(V141="CONCLUIDO",V141="NO APLICA"),1,IF(V141="EN REVISIÓN CENTRAL",2/3,IF(V141="ENVIADO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IF(OR(W141="CONCLUIDO",W141="NO APLICA"),1,IF(W141="EN PROCESO",0.5,0))+
IF(OR(X141="CONCLUIDO",X141="NO APLICA"),1,IF(X141="EN PROCESO",0.5,0))+
IF(Y141="PROGRAMADAS",1/2,IF(Y141="CONCLUIDAS",1,0))+
IF(OR(Z141="SI",Z141="NO APLICA"),1,0)+
IF(OR(AA141="SI",AA141="NO APLICA"),1,0)
)/9</f>
        <v>1</v>
      </c>
      <c r="AF141" s="91">
        <v>10</v>
      </c>
      <c r="AG141" s="104" t="s">
        <v>1780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>
        <f t="shared" si="4"/>
        <v>0</v>
      </c>
      <c r="AC142">
        <f t="shared" si="5"/>
        <v>1</v>
      </c>
      <c r="AD142" s="67"/>
      <c r="AE142" s="87">
        <f>(
IF(S142="ENVIADO A LA CE/UM",1/3,IF(S142="ENTREGADO/REVISIÓN",2/3,IF(S142="ENVIADO A TICS",1,0)))+
IF(T142="EN PROCESO",1/2,IF(T142="CONCLUIDO",1,0))+
IF(OR(U142="CONCLUIDO",U142="NO APLICA"),1,IF(U142="EN REVISIÓN CENTRAL",2/3,IF(U142="ENVIADO A LA CE/UM",1/3,0)))+
IF(OR(V142="CONCLUIDO",V142="NO APLICA"),1,IF(V142="EN REVISIÓN CENTRAL",2/3,IF(V142="ENVIADO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IF(OR(W142="CONCLUIDO",W142="NO APLICA"),1,IF(W142="EN PROCESO",0.5,0))+
IF(OR(X142="CONCLUIDO",X142="NO APLICA"),1,IF(X142="EN PROCESO",0.5,0))+
IF(Y142="PROGRAMADAS",1/2,IF(Y142="CONCLUIDAS",1,0))+
IF(OR(Z142="SI",Z142="NO APLICA"),1,0)+
IF(OR(AA142="SI",AA142="NO APLICA"),1,0)
)/9</f>
        <v>1</v>
      </c>
      <c r="AF142" s="91">
        <v>4</v>
      </c>
      <c r="AG142" s="64" t="s">
        <v>1834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>
        <f t="shared" si="4"/>
        <v>0</v>
      </c>
      <c r="AC143">
        <f t="shared" si="5"/>
        <v>1</v>
      </c>
      <c r="AD143" s="67"/>
      <c r="AE143" s="87">
        <f>(
IF(S143="ENVIADO A LA CE/UM",1/3,IF(S143="ENTREGADO/REVISIÓN",2/3,IF(S143="ENVIADO A TICS",1,0)))+
IF(T143="EN PROCESO",1/2,IF(T143="CONCLUIDO",1,0))+
IF(OR(U143="CONCLUIDO",U143="NO APLICA"),1,IF(U143="EN REVISIÓN CENTRAL",2/3,IF(U143="ENVIADO A LA CE/UM",1/3,0)))+
IF(OR(V143="CONCLUIDO",V143="NO APLICA"),1,IF(V143="EN REVISIÓN CENTRAL",2/3,IF(V143="ENVIADO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IF(OR(W143="CONCLUIDO",W143="NO APLICA"),1,IF(W143="EN PROCESO",0.5,0))+
IF(OR(X143="CONCLUIDO",X143="NO APLICA"),1,IF(X143="EN PROCESO",0.5,0))+
IF(Y143="PROGRAMADAS",1/2,IF(Y143="CONCLUIDAS",1,0))+
IF(OR(Z143="SI",Z143="NO APLICA"),1,0)+
IF(OR(AA143="SI",AA143="NO APLICA"),1,0)
)/9</f>
        <v>1</v>
      </c>
      <c r="AF143" s="91">
        <v>4</v>
      </c>
      <c r="AG143" s="64" t="s">
        <v>1834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>
        <f t="shared" si="4"/>
        <v>0</v>
      </c>
      <c r="AC144">
        <f t="shared" si="5"/>
        <v>1</v>
      </c>
      <c r="AD144" s="67"/>
      <c r="AE144" s="87">
        <f>(
IF(S144="ENVIADO A LA CE/UM",1/3,IF(S144="ENTREGADO/REVISIÓN",2/3,IF(S144="ENVIADO A TICS",1,0)))+
IF(T144="EN PROCESO",1/2,IF(T144="CONCLUIDO",1,0))+
IF(OR(U144="CONCLUIDO",U144="NO APLICA"),1,IF(U144="EN REVISIÓN CENTRAL",2/3,IF(U144="ENVIADO A LA CE/UM",1/3,0)))+
IF(OR(V144="CONCLUIDO",V144="NO APLICA"),1,IF(V144="EN REVISIÓN CENTRAL",2/3,IF(V144="ENVIADO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IF(OR(W144="CONCLUIDO",W144="NO APLICA"),1,IF(W144="EN PROCESO",0.5,0))+
IF(OR(X144="CONCLUIDO",X144="NO APLICA"),1,IF(X144="EN PROCESO",0.5,0))+
IF(Y144="PROGRAMADAS",1/2,IF(Y144="CONCLUIDAS",1,0))+
IF(OR(Z144="SI",Z144="NO APLICA"),1,0)+
IF(OR(AA144="SI",AA144="NO APLICA"),1,0)
)/9</f>
        <v>1</v>
      </c>
      <c r="AF144" s="91">
        <v>4</v>
      </c>
      <c r="AG144" s="64" t="s">
        <v>1834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>
        <f t="shared" si="4"/>
        <v>0</v>
      </c>
      <c r="AC145">
        <f t="shared" si="5"/>
        <v>1</v>
      </c>
      <c r="AD145" s="67"/>
      <c r="AE145" s="87">
        <f>(
IF(S145="ENVIADO A LA CE/UM",1/3,IF(S145="ENTREGADO/REVISIÓN",2/3,IF(S145="ENVIADO A TICS",1,0)))+
IF(T145="EN PROCESO",1/2,IF(T145="CONCLUIDO",1,0))+
IF(OR(U145="CONCLUIDO",U145="NO APLICA"),1,IF(U145="EN REVISIÓN CENTRAL",2/3,IF(U145="ENVIADO A LA CE/UM",1/3,0)))+
IF(OR(V145="CONCLUIDO",V145="NO APLICA"),1,IF(V145="EN REVISIÓN CENTRAL",2/3,IF(V145="ENVIADO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IF(OR(W145="CONCLUIDO",W145="NO APLICA"),1,IF(W145="EN PROCESO",0.5,0))+
IF(OR(X145="CONCLUIDO",X145="NO APLICA"),1,IF(X145="EN PROCESO",0.5,0))+
IF(Y145="PROGRAMADAS",1/2,IF(Y145="CONCLUIDAS",1,0))+
IF(OR(Z145="SI",Z145="NO APLICA"),1,0)+
IF(OR(AA145="SI",AA145="NO APLICA"),1,0)
)/9</f>
        <v>1</v>
      </c>
      <c r="AF145" s="91">
        <v>4</v>
      </c>
      <c r="AG145" s="64" t="s">
        <v>1834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>
        <f t="shared" si="4"/>
        <v>0</v>
      </c>
      <c r="AC146">
        <f t="shared" si="5"/>
        <v>1</v>
      </c>
      <c r="AD146" s="67"/>
      <c r="AE146" s="87">
        <f>(
IF(S146="ENVIADO A LA CE/UM",1/3,IF(S146="ENTREGADO/REVISIÓN",2/3,IF(S146="ENVIADO A TICS",1,0)))+
IF(T146="EN PROCESO",1/2,IF(T146="CONCLUIDO",1,0))+
IF(OR(U146="CONCLUIDO",U146="NO APLICA"),1,IF(U146="EN REVISIÓN CENTRAL",2/3,IF(U146="ENVIADO A LA CE/UM",1/3,0)))+
IF(OR(V146="CONCLUIDO",V146="NO APLICA"),1,IF(V146="EN REVISIÓN CENTRAL",2/3,IF(V146="ENVIADO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IF(OR(W146="CONCLUIDO",W146="NO APLICA"),1,IF(W146="EN PROCESO",0.5,0))+
IF(OR(X146="CONCLUIDO",X146="NO APLICA"),1,IF(X146="EN PROCESO",0.5,0))+
IF(Y146="PROGRAMADAS",1/2,IF(Y146="CONCLUIDAS",1,0))+
IF(OR(Z146="SI",Z146="NO APLICA"),1,0)+
IF(OR(AA146="SI",AA146="NO APLICA"),1,0)
)/9</f>
        <v>1</v>
      </c>
      <c r="AF146" s="91">
        <v>4</v>
      </c>
      <c r="AG146" s="64" t="s">
        <v>1834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>
        <f t="shared" si="4"/>
        <v>0</v>
      </c>
      <c r="AC147">
        <f t="shared" si="5"/>
        <v>1</v>
      </c>
      <c r="AD147" s="67"/>
      <c r="AE147" s="87">
        <f>(
IF(S147="ENVIADO A LA CE/UM",1/3,IF(S147="ENTREGADO/REVISIÓN",2/3,IF(S147="ENVIADO A TICS",1,0)))+
IF(T147="EN PROCESO",1/2,IF(T147="CONCLUIDO",1,0))+
IF(OR(U147="CONCLUIDO",U147="NO APLICA"),1,IF(U147="EN REVISIÓN CENTRAL",2/3,IF(U147="ENVIADO A LA CE/UM",1/3,0)))+
IF(OR(V147="CONCLUIDO",V147="NO APLICA"),1,IF(V147="EN REVISIÓN CENTRAL",2/3,IF(V147="ENVIADO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IF(OR(W147="CONCLUIDO",W147="NO APLICA"),1,IF(W147="EN PROCESO",0.5,0))+
IF(OR(X147="CONCLUIDO",X147="NO APLICA"),1,IF(X147="EN PROCESO",0.5,0))+
IF(Y147="PROGRAMADAS",1/2,IF(Y147="CONCLUIDAS",1,0))+
IF(OR(Z147="SI",Z147="NO APLICA"),1,0)+
IF(OR(AA147="SI",AA147="NO APLICA"),1,0)
)/9</f>
        <v>1</v>
      </c>
      <c r="AF147" s="91">
        <v>4</v>
      </c>
      <c r="AG147" s="64" t="s">
        <v>1834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>
        <f t="shared" si="4"/>
        <v>0</v>
      </c>
      <c r="AC148">
        <f t="shared" si="5"/>
        <v>1</v>
      </c>
      <c r="AD148" s="84"/>
      <c r="AE148" s="87">
        <f>(
IF(S148="ENVIADO A LA CE/UM",1/3,IF(S148="ENTREGADO/REVISIÓN",2/3,IF(S148="ENVIADO A TICS",1,0)))+
IF(T148="EN PROCESO",1/2,IF(T148="CONCLUIDO",1,0))+
IF(OR(U148="CONCLUIDO",U148="NO APLICA"),1,IF(U148="EN REVISIÓN CENTRAL",2/3,IF(U148="ENVIADO A LA CE/UM",1/3,0)))+
IF(OR(V148="CONCLUIDO",V148="NO APLICA"),1,IF(V148="EN REVISIÓN CENTRAL",2/3,IF(V148="ENVIADO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IF(OR(W148="CONCLUIDO",W148="NO APLICA"),1,IF(W148="EN PROCESO",0.5,0))+
IF(OR(X148="CONCLUIDO",X148="NO APLICA"),1,IF(X148="EN PROCESO",0.5,0))+
IF(Y148="PROGRAMADAS",1/2,IF(Y148="CONCLUIDAS",1,0))+
IF(OR(Z148="SI",Z148="NO APLICA"),1,0)+
IF(OR(AA148="SI",AA148="NO APLICA"),1,0)
)/9</f>
        <v>1</v>
      </c>
      <c r="AF148" s="91">
        <v>4</v>
      </c>
      <c r="AG148" s="64" t="s">
        <v>1834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>
        <f t="shared" si="4"/>
        <v>0</v>
      </c>
      <c r="AC149">
        <f t="shared" si="5"/>
        <v>1</v>
      </c>
      <c r="AD149" s="67"/>
      <c r="AE149" s="87">
        <f>(
IF(S149="ENVIADO A LA CE/UM",1/3,IF(S149="ENTREGADO/REVISIÓN",2/3,IF(S149="ENVIADO A TICS",1,0)))+
IF(T149="EN PROCESO",1/2,IF(T149="CONCLUIDO",1,0))+
IF(OR(U149="CONCLUIDO",U149="NO APLICA"),1,IF(U149="EN REVISIÓN CENTRAL",2/3,IF(U149="ENVIADO A LA CE/UM",1/3,0)))+
IF(OR(V149="CONCLUIDO",V149="NO APLICA"),1,IF(V149="EN REVISIÓN CENTRAL",2/3,IF(V149="ENVIADO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IF(OR(W149="CONCLUIDO",W149="NO APLICA"),1,IF(W149="EN PROCESO",0.5,0))+
IF(OR(X149="CONCLUIDO",X149="NO APLICA"),1,IF(X149="EN PROCESO",0.5,0))+
IF(Y149="PROGRAMADAS",1/2,IF(Y149="CONCLUIDAS",1,0))+
IF(OR(Z149="SI",Z149="NO APLICA"),1,0)+
IF(OR(AA149="SI",AA149="NO APLICA"),1,0)
)/9</f>
        <v>1</v>
      </c>
      <c r="AF149" s="91">
        <v>4</v>
      </c>
      <c r="AG149" s="64" t="s">
        <v>1834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>
        <f t="shared" si="4"/>
        <v>0</v>
      </c>
      <c r="AC150">
        <f t="shared" si="5"/>
        <v>1</v>
      </c>
      <c r="AD150" s="67"/>
      <c r="AE150" s="87">
        <f>(
IF(S150="ENVIADO A LA CE/UM",1/3,IF(S150="ENTREGADO/REVISIÓN",2/3,IF(S150="ENVIADO A TICS",1,0)))+
IF(T150="EN PROCESO",1/2,IF(T150="CONCLUIDO",1,0))+
IF(OR(U150="CONCLUIDO",U150="NO APLICA"),1,IF(U150="EN REVISIÓN CENTRAL",2/3,IF(U150="ENVIADO A LA CE/UM",1/3,0)))+
IF(OR(V150="CONCLUIDO",V150="NO APLICA"),1,IF(V150="EN REVISIÓN CENTRAL",2/3,IF(V150="ENVIADO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IF(OR(W150="CONCLUIDO",W150="NO APLICA"),1,IF(W150="EN PROCESO",0.5,0))+
IF(OR(X150="CONCLUIDO",X150="NO APLICA"),1,IF(X150="EN PROCESO",0.5,0))+
IF(Y150="PROGRAMADAS",1/2,IF(Y150="CONCLUIDAS",1,0))+
IF(OR(Z150="SI",Z150="NO APLICA"),1,0)+
IF(OR(AA150="SI",AA150="NO APLICA"),1,0)
)/9</f>
        <v>1</v>
      </c>
      <c r="AF150" s="91">
        <v>4</v>
      </c>
      <c r="AG150" s="64" t="s">
        <v>1834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>
        <f t="shared" si="4"/>
        <v>0</v>
      </c>
      <c r="AC151">
        <f t="shared" si="5"/>
        <v>1</v>
      </c>
      <c r="AD151" s="67"/>
      <c r="AE151" s="87">
        <f>(
IF(S151="ENVIADO A LA CE/UM",1/3,IF(S151="ENTREGADO/REVISIÓN",2/3,IF(S151="ENVIADO A TICS",1,0)))+
IF(T151="EN PROCESO",1/2,IF(T151="CONCLUIDO",1,0))+
IF(OR(U151="CONCLUIDO",U151="NO APLICA"),1,IF(U151="EN REVISIÓN CENTRAL",2/3,IF(U151="ENVIADO A LA CE/UM",1/3,0)))+
IF(OR(V151="CONCLUIDO",V151="NO APLICA"),1,IF(V151="EN REVISIÓN CENTRAL",2/3,IF(V151="ENVIADO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IF(OR(W151="CONCLUIDO",W151="NO APLICA"),1,IF(W151="EN PROCESO",0.5,0))+
IF(OR(X151="CONCLUIDO",X151="NO APLICA"),1,IF(X151="EN PROCESO",0.5,0))+
IF(Y151="PROGRAMADAS",1/2,IF(Y151="CONCLUIDAS",1,0))+
IF(OR(Z151="SI",Z151="NO APLICA"),1,0)+
IF(OR(AA151="SI",AA151="NO APLICA"),1,0)
)/9</f>
        <v>1</v>
      </c>
      <c r="AF151" s="91">
        <v>4</v>
      </c>
      <c r="AG151" s="64" t="s">
        <v>1834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>
        <f t="shared" si="4"/>
        <v>0</v>
      </c>
      <c r="AC152">
        <f t="shared" si="5"/>
        <v>1</v>
      </c>
      <c r="AD152" s="67"/>
      <c r="AE152" s="87">
        <f>(
IF(S152="ENVIADO A LA CE/UM",1/3,IF(S152="ENTREGADO/REVISIÓN",2/3,IF(S152="ENVIADO A TICS",1,0)))+
IF(T152="EN PROCESO",1/2,IF(T152="CONCLUIDO",1,0))+
IF(OR(U152="CONCLUIDO",U152="NO APLICA"),1,IF(U152="EN REVISIÓN CENTRAL",2/3,IF(U152="ENVIADO A LA CE/UM",1/3,0)))+
IF(OR(V152="CONCLUIDO",V152="NO APLICA"),1,IF(V152="EN REVISIÓN CENTRAL",2/3,IF(V152="ENVIADO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IF(OR(W152="CONCLUIDO",W152="NO APLICA"),1,IF(W152="EN PROCESO",0.5,0))+
IF(OR(X152="CONCLUIDO",X152="NO APLICA"),1,IF(X152="EN PROCESO",0.5,0))+
IF(Y152="PROGRAMADAS",1/2,IF(Y152="CONCLUIDAS",1,0))+
IF(OR(Z152="SI",Z152="NO APLICA"),1,0)+
IF(OR(AA152="SI",AA152="NO APLICA"),1,0)
)/9</f>
        <v>1</v>
      </c>
      <c r="AF152" s="91">
        <v>4</v>
      </c>
      <c r="AG152" s="64" t="s">
        <v>1834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>
        <f t="shared" si="4"/>
        <v>0</v>
      </c>
      <c r="AC153">
        <f t="shared" si="5"/>
        <v>1</v>
      </c>
      <c r="AD153" s="67"/>
      <c r="AE153" s="87">
        <f>(
IF(S153="ENVIADO A LA CE/UM",1/3,IF(S153="ENTREGADO/REVISIÓN",2/3,IF(S153="ENVIADO A TICS",1,0)))+
IF(T153="EN PROCESO",1/2,IF(T153="CONCLUIDO",1,0))+
IF(OR(U153="CONCLUIDO",U153="NO APLICA"),1,IF(U153="EN REVISIÓN CENTRAL",2/3,IF(U153="ENVIADO A LA CE/UM",1/3,0)))+
IF(OR(V153="CONCLUIDO",V153="NO APLICA"),1,IF(V153="EN REVISIÓN CENTRAL",2/3,IF(V153="ENVIADO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IF(OR(W153="CONCLUIDO",W153="NO APLICA"),1,IF(W153="EN PROCESO",0.5,0))+
IF(OR(X153="CONCLUIDO",X153="NO APLICA"),1,IF(X153="EN PROCESO",0.5,0))+
IF(Y153="PROGRAMADAS",1/2,IF(Y153="CONCLUIDAS",1,0))+
IF(OR(Z153="SI",Z153="NO APLICA"),1,0)+
IF(OR(AA153="SI",AA153="NO APLICA"),1,0)
)/9</f>
        <v>1</v>
      </c>
      <c r="AF153" s="91">
        <v>4</v>
      </c>
      <c r="AG153" s="64" t="s">
        <v>1834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>
        <f t="shared" si="4"/>
        <v>0</v>
      </c>
      <c r="AC154">
        <f t="shared" si="5"/>
        <v>1</v>
      </c>
      <c r="AD154" s="67"/>
      <c r="AE154" s="87">
        <f>(
IF(S154="ENVIADO A LA CE/UM",1/3,IF(S154="ENTREGADO/REVISIÓN",2/3,IF(S154="ENVIADO A TICS",1,0)))+
IF(T154="EN PROCESO",1/2,IF(T154="CONCLUIDO",1,0))+
IF(OR(U154="CONCLUIDO",U154="NO APLICA"),1,IF(U154="EN REVISIÓN CENTRAL",2/3,IF(U154="ENVIADO A LA CE/UM",1/3,0)))+
IF(OR(V154="CONCLUIDO",V154="NO APLICA"),1,IF(V154="EN REVISIÓN CENTRAL",2/3,IF(V154="ENVIADO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IF(OR(W154="CONCLUIDO",W154="NO APLICA"),1,IF(W154="EN PROCESO",0.5,0))+
IF(OR(X154="CONCLUIDO",X154="NO APLICA"),1,IF(X154="EN PROCESO",0.5,0))+
IF(Y154="PROGRAMADAS",1/2,IF(Y154="CONCLUIDAS",1,0))+
IF(OR(Z154="SI",Z154="NO APLICA"),1,0)+
IF(OR(AA154="SI",AA154="NO APLICA"),1,0)
)/9</f>
        <v>1</v>
      </c>
      <c r="AF154" s="91">
        <v>4</v>
      </c>
      <c r="AG154" s="64" t="s">
        <v>1834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>
        <f t="shared" si="4"/>
        <v>0</v>
      </c>
      <c r="AC155">
        <f t="shared" si="5"/>
        <v>1</v>
      </c>
      <c r="AD155" s="67"/>
      <c r="AE155" s="87">
        <f>(
IF(S155="ENVIADO A LA CE/UM",1/3,IF(S155="ENTREGADO/REVISIÓN",2/3,IF(S155="ENVIADO A TICS",1,0)))+
IF(T155="EN PROCESO",1/2,IF(T155="CONCLUIDO",1,0))+
IF(OR(U155="CONCLUIDO",U155="NO APLICA"),1,IF(U155="EN REVISIÓN CENTRAL",2/3,IF(U155="ENVIADO A LA CE/UM",1/3,0)))+
IF(OR(V155="CONCLUIDO",V155="NO APLICA"),1,IF(V155="EN REVISIÓN CENTRAL",2/3,IF(V155="ENVIADO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IF(OR(W155="CONCLUIDO",W155="NO APLICA"),1,IF(W155="EN PROCESO",0.5,0))+
IF(OR(X155="CONCLUIDO",X155="NO APLICA"),1,IF(X155="EN PROCESO",0.5,0))+
IF(Y155="PROGRAMADAS",1/2,IF(Y155="CONCLUIDAS",1,0))+
IF(OR(Z155="SI",Z155="NO APLICA"),1,0)+
IF(OR(AA155="SI",AA155="NO APLICA"),1,0)
)/9</f>
        <v>1</v>
      </c>
      <c r="AF155" s="91">
        <v>4</v>
      </c>
      <c r="AG155" s="64" t="s">
        <v>1834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>
        <f t="shared" si="4"/>
        <v>0</v>
      </c>
      <c r="AC156">
        <f t="shared" si="5"/>
        <v>1</v>
      </c>
      <c r="AD156" s="67"/>
      <c r="AE156" s="87">
        <f>(
IF(S156="ENVIADO A LA CE/UM",1/3,IF(S156="ENTREGADO/REVISIÓN",2/3,IF(S156="ENVIADO A TICS",1,0)))+
IF(T156="EN PROCESO",1/2,IF(T156="CONCLUIDO",1,0))+
IF(OR(U156="CONCLUIDO",U156="NO APLICA"),1,IF(U156="EN REVISIÓN CENTRAL",2/3,IF(U156="ENVIADO A LA CE/UM",1/3,0)))+
IF(OR(V156="CONCLUIDO",V156="NO APLICA"),1,IF(V156="EN REVISIÓN CENTRAL",2/3,IF(V156="ENVIADO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IF(OR(W156="CONCLUIDO",W156="NO APLICA"),1,IF(W156="EN PROCESO",0.5,0))+
IF(OR(X156="CONCLUIDO",X156="NO APLICA"),1,IF(X156="EN PROCESO",0.5,0))+
IF(Y156="PROGRAMADAS",1/2,IF(Y156="CONCLUIDAS",1,0))+
IF(OR(Z156="SI",Z156="NO APLICA"),1,0)+
IF(OR(AA156="SI",AA156="NO APLICA"),1,0)
)/9</f>
        <v>1</v>
      </c>
      <c r="AF156" s="91">
        <v>4</v>
      </c>
      <c r="AG156" s="64" t="s">
        <v>1834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>
        <f t="shared" si="4"/>
        <v>0</v>
      </c>
      <c r="AC157">
        <f t="shared" si="5"/>
        <v>1</v>
      </c>
      <c r="AD157" s="67"/>
      <c r="AE157" s="87">
        <f>(
IF(S157="ENVIADO A LA CE/UM",1/3,IF(S157="ENTREGADO/REVISIÓN",2/3,IF(S157="ENVIADO A TICS",1,0)))+
IF(T157="EN PROCESO",1/2,IF(T157="CONCLUIDO",1,0))+
IF(OR(U157="CONCLUIDO",U157="NO APLICA"),1,IF(U157="EN REVISIÓN CENTRAL",2/3,IF(U157="ENVIADO A LA CE/UM",1/3,0)))+
IF(OR(V157="CONCLUIDO",V157="NO APLICA"),1,IF(V157="EN REVISIÓN CENTRAL",2/3,IF(V157="ENVIADO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IF(OR(W157="CONCLUIDO",W157="NO APLICA"),1,IF(W157="EN PROCESO",0.5,0))+
IF(OR(X157="CONCLUIDO",X157="NO APLICA"),1,IF(X157="EN PROCESO",0.5,0))+
IF(Y157="PROGRAMADAS",1/2,IF(Y157="CONCLUIDAS",1,0))+
IF(OR(Z157="SI",Z157="NO APLICA"),1,0)+
IF(OR(AA157="SI",AA157="NO APLICA"),1,0)
)/9</f>
        <v>1</v>
      </c>
      <c r="AF157" s="91">
        <v>4</v>
      </c>
      <c r="AG157" s="64" t="s">
        <v>1834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>
        <f t="shared" si="4"/>
        <v>0</v>
      </c>
      <c r="AC158">
        <f t="shared" si="5"/>
        <v>1</v>
      </c>
      <c r="AD158" s="67"/>
      <c r="AE158" s="87">
        <f>(
IF(S158="ENVIADO A LA CE/UM",1/3,IF(S158="ENTREGADO/REVISIÓN",2/3,IF(S158="ENVIADO A TICS",1,0)))+
IF(T158="EN PROCESO",1/2,IF(T158="CONCLUIDO",1,0))+
IF(OR(U158="CONCLUIDO",U158="NO APLICA"),1,IF(U158="EN REVISIÓN CENTRAL",2/3,IF(U158="ENVIADO A LA CE/UM",1/3,0)))+
IF(OR(V158="CONCLUIDO",V158="NO APLICA"),1,IF(V158="EN REVISIÓN CENTRAL",2/3,IF(V158="ENVIADO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IF(OR(W158="CONCLUIDO",W158="NO APLICA"),1,IF(W158="EN PROCESO",0.5,0))+
IF(OR(X158="CONCLUIDO",X158="NO APLICA"),1,IF(X158="EN PROCESO",0.5,0))+
IF(Y158="PROGRAMADAS",1/2,IF(Y158="CONCLUIDAS",1,0))+
IF(OR(Z158="SI",Z158="NO APLICA"),1,0)+
IF(OR(AA158="SI",AA158="NO APLICA"),1,0)
)/9</f>
        <v>1</v>
      </c>
      <c r="AF158" s="91">
        <v>4</v>
      </c>
      <c r="AG158" s="64" t="s">
        <v>1834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>
        <f t="shared" si="4"/>
        <v>0</v>
      </c>
      <c r="AC159">
        <f t="shared" si="5"/>
        <v>1</v>
      </c>
      <c r="AD159" s="67"/>
      <c r="AE159" s="87">
        <f>(
IF(S159="ENVIADO A LA CE/UM",1/3,IF(S159="ENTREGADO/REVISIÓN",2/3,IF(S159="ENVIADO A TICS",1,0)))+
IF(T159="EN PROCESO",1/2,IF(T159="CONCLUIDO",1,0))+
IF(OR(U159="CONCLUIDO",U159="NO APLICA"),1,IF(U159="EN REVISIÓN CENTRAL",2/3,IF(U159="ENVIADO A LA CE/UM",1/3,0)))+
IF(OR(V159="CONCLUIDO",V159="NO APLICA"),1,IF(V159="EN REVISIÓN CENTRAL",2/3,IF(V159="ENVIADO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IF(OR(W159="CONCLUIDO",W159="NO APLICA"),1,IF(W159="EN PROCESO",0.5,0))+
IF(OR(X159="CONCLUIDO",X159="NO APLICA"),1,IF(X159="EN PROCESO",0.5,0))+
IF(Y159="PROGRAMADAS",1/2,IF(Y159="CONCLUIDAS",1,0))+
IF(OR(Z159="SI",Z159="NO APLICA"),1,0)+
IF(OR(AA159="SI",AA159="NO APLICA"),1,0)
)/9</f>
        <v>1</v>
      </c>
      <c r="AF159" s="92" t="s">
        <v>1825</v>
      </c>
      <c r="AG159" s="64"/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>
        <f t="shared" si="4"/>
        <v>0</v>
      </c>
      <c r="AC160">
        <f t="shared" si="5"/>
        <v>1</v>
      </c>
      <c r="AD160" s="67"/>
      <c r="AE160" s="87">
        <f>(
IF(S160="ENVIADO A LA CE/UM",1/3,IF(S160="ENTREGADO/REVISIÓN",2/3,IF(S160="ENVIADO A TICS",1,0)))+
IF(T160="EN PROCESO",1/2,IF(T160="CONCLUIDO",1,0))+
IF(OR(U160="CONCLUIDO",U160="NO APLICA"),1,IF(U160="EN REVISIÓN CENTRAL",2/3,IF(U160="ENVIADO A LA CE/UM",1/3,0)))+
IF(OR(V160="CONCLUIDO",V160="NO APLICA"),1,IF(V160="EN REVISIÓN CENTRAL",2/3,IF(V160="ENVIADO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IF(OR(W160="CONCLUIDO",W160="NO APLICA"),1,IF(W160="EN PROCESO",0.5,0))+
IF(OR(X160="CONCLUIDO",X160="NO APLICA"),1,IF(X160="EN PROCESO",0.5,0))+
IF(Y160="PROGRAMADAS",1/2,IF(Y160="CONCLUIDAS",1,0))+
IF(OR(Z160="SI",Z160="NO APLICA"),1,0)+
IF(OR(AA160="SI",AA160="NO APLICA"),1,0)
)/9</f>
        <v>1</v>
      </c>
      <c r="AF160" s="92" t="s">
        <v>1825</v>
      </c>
      <c r="AG160" s="64"/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>
        <f t="shared" si="4"/>
        <v>0</v>
      </c>
      <c r="AC161">
        <f t="shared" si="5"/>
        <v>1</v>
      </c>
      <c r="AD161" s="67"/>
      <c r="AE161" s="87">
        <f>(
IF(S161="ENVIADO A LA CE/UM",1/3,IF(S161="ENTREGADO/REVISIÓN",2/3,IF(S161="ENVIADO A TICS",1,0)))+
IF(T161="EN PROCESO",1/2,IF(T161="CONCLUIDO",1,0))+
IF(OR(U161="CONCLUIDO",U161="NO APLICA"),1,IF(U161="EN REVISIÓN CENTRAL",2/3,IF(U161="ENVIADO A LA CE/UM",1/3,0)))+
IF(OR(V161="CONCLUIDO",V161="NO APLICA"),1,IF(V161="EN REVISIÓN CENTRAL",2/3,IF(V161="ENVIADO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IF(OR(W161="CONCLUIDO",W161="NO APLICA"),1,IF(W161="EN PROCESO",0.5,0))+
IF(OR(X161="CONCLUIDO",X161="NO APLICA"),1,IF(X161="EN PROCESO",0.5,0))+
IF(Y161="PROGRAMADAS",1/2,IF(Y161="CONCLUIDAS",1,0))+
IF(OR(Z161="SI",Z161="NO APLICA"),1,0)+
IF(OR(AA161="SI",AA161="NO APLICA"),1,0)
)/9</f>
        <v>1</v>
      </c>
      <c r="AF161" s="92" t="s">
        <v>1825</v>
      </c>
      <c r="AG161" s="105"/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>
        <f t="shared" si="4"/>
        <v>0</v>
      </c>
      <c r="AC162">
        <f t="shared" si="5"/>
        <v>1</v>
      </c>
      <c r="AD162" s="70"/>
      <c r="AE162" s="87">
        <f>(
IF(S162="ENVIADO A LA CE/UM",1/3,IF(S162="ENTREGADO/REVISIÓN",2/3,IF(S162="ENVIADO A TICS",1,0)))+
IF(T162="EN PROCESO",1/2,IF(T162="CONCLUIDO",1,0))+
IF(OR(U162="CONCLUIDO",U162="NO APLICA"),1,IF(U162="EN REVISIÓN CENTRAL",2/3,IF(U162="ENVIADO A LA CE/UM",1/3,0)))+
IF(OR(V162="CONCLUIDO",V162="NO APLICA"),1,IF(V162="EN REVISIÓN CENTRAL",2/3,IF(V162="ENVIADO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IF(OR(W162="CONCLUIDO",W162="NO APLICA"),1,IF(W162="EN PROCESO",0.5,0))+
IF(OR(X162="CONCLUIDO",X162="NO APLICA"),1,IF(X162="EN PROCESO",0.5,0))+
IF(Y162="PROGRAMADAS",1/2,IF(Y162="CONCLUIDAS",1,0))+
IF(OR(Z162="SI",Z162="NO APLICA"),1,0)+
IF(OR(AA162="SI",AA162="NO APLICA"),1,0)
)/9</f>
        <v>1</v>
      </c>
      <c r="AF162" s="92" t="s">
        <v>1825</v>
      </c>
      <c r="AG162" s="105"/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>
        <f t="shared" si="4"/>
        <v>0</v>
      </c>
      <c r="AC163">
        <f t="shared" si="5"/>
        <v>1</v>
      </c>
      <c r="AD163" s="88"/>
      <c r="AE163" s="87">
        <f>(
IF(S163="ENVIADO A LA CE/UM",1/3,IF(S163="ENTREGADO/REVISIÓN",2/3,IF(S163="ENVIADO A TICS",1,0)))+
IF(T163="EN PROCESO",1/2,IF(T163="CONCLUIDO",1,0))+
IF(OR(U163="CONCLUIDO",U163="NO APLICA"),1,IF(U163="EN REVISIÓN CENTRAL",2/3,IF(U163="ENVIADO A LA CE/UM",1/3,0)))+
IF(OR(V163="CONCLUIDO",V163="NO APLICA"),1,IF(V163="EN REVISIÓN CENTRAL",2/3,IF(V163="ENVIADO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IF(OR(W163="CONCLUIDO",W163="NO APLICA"),1,IF(W163="EN PROCESO",0.5,0))+
IF(OR(X163="CONCLUIDO",X163="NO APLICA"),1,IF(X163="EN PROCESO",0.5,0))+
IF(Y163="PROGRAMADAS",1/2,IF(Y163="CONCLUIDAS",1,0))+
IF(OR(Z163="SI",Z163="NO APLICA"),1,0)+
IF(OR(AA163="SI",AA163="NO APLICA"),1,0)
)/9</f>
        <v>1</v>
      </c>
      <c r="AF163" s="91">
        <v>2</v>
      </c>
      <c r="AG163" s="103" t="s">
        <v>1837</v>
      </c>
    </row>
    <row r="164" spans="1:33" x14ac:dyDescent="0.3">
      <c r="A164" s="84" t="s">
        <v>1758</v>
      </c>
      <c r="B164" s="93" t="s">
        <v>25</v>
      </c>
      <c r="C164" s="93" t="s">
        <v>440</v>
      </c>
      <c r="D164" s="33" t="s">
        <v>1775</v>
      </c>
      <c r="E164" s="6" t="s">
        <v>1768</v>
      </c>
      <c r="F164" s="6" t="s">
        <v>1751</v>
      </c>
      <c r="G164" s="34" t="s">
        <v>111</v>
      </c>
      <c r="H164" s="37">
        <v>1</v>
      </c>
      <c r="I164" s="34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47"/>
      <c r="O164" s="48"/>
      <c r="P164" s="49"/>
      <c r="Q164" s="51">
        <v>188759753</v>
      </c>
      <c r="R164" s="51">
        <v>-991693427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>
        <f t="shared" si="4"/>
        <v>0</v>
      </c>
      <c r="AC164">
        <f t="shared" si="5"/>
        <v>1</v>
      </c>
      <c r="AD164" s="67"/>
      <c r="AE164" s="87">
        <f>(
IF(S164="ENVIADO A LA CE/UM",1/3,IF(S164="ENTREGADO/REVISIÓN",2/3,IF(S164="ENVIADO A TICS",1,0)))+
IF(T164="EN PROCESO",1/2,IF(T164="CONCLUIDO",1,0))+
IF(OR(U164="CONCLUIDO",U164="NO APLICA"),1,IF(U164="EN REVISIÓN CENTRAL",2/3,IF(U164="ENVIADO A LA CE/UM",1/3,0)))+
IF(OR(V164="CONCLUIDO",V164="NO APLICA"),1,IF(V164="EN REVISIÓN CENTRAL",2/3,IF(V164="ENVIADO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IF(OR(W164="CONCLUIDO",W164="NO APLICA"),1,IF(W164="EN PROCESO",0.5,0))+
IF(OR(X164="CONCLUIDO",X164="NO APLICA"),1,IF(X164="EN PROCESO",0.5,0))+
IF(Y164="PROGRAMADAS",1/2,IF(Y164="CONCLUIDAS",1,0))+
IF(OR(Z164="SI",Z164="NO APLICA"),1,0)+
IF(OR(AA164="SI",AA164="NO APLICA"),1,0)
)/9</f>
        <v>1</v>
      </c>
      <c r="AF164" s="91">
        <v>9</v>
      </c>
      <c r="AG164" s="105" t="s">
        <v>1842</v>
      </c>
    </row>
    <row r="165" spans="1:33" x14ac:dyDescent="0.3">
      <c r="A165" s="84" t="s">
        <v>1180</v>
      </c>
      <c r="B165" s="93" t="s">
        <v>25</v>
      </c>
      <c r="C165" s="93" t="s">
        <v>440</v>
      </c>
      <c r="D165" s="33" t="s">
        <v>1775</v>
      </c>
      <c r="E165" s="34" t="s">
        <v>1181</v>
      </c>
      <c r="F165" s="34" t="s">
        <v>1182</v>
      </c>
      <c r="G165" s="34" t="s">
        <v>111</v>
      </c>
      <c r="H165" s="37">
        <v>1</v>
      </c>
      <c r="I165" s="34" t="s">
        <v>112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48</v>
      </c>
      <c r="Q165" s="50">
        <v>18.836831100000001</v>
      </c>
      <c r="R165" s="50">
        <v>-99.239024700000002</v>
      </c>
      <c r="S165" s="66" t="s">
        <v>34</v>
      </c>
      <c r="T165" s="66" t="s">
        <v>175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74</v>
      </c>
      <c r="AA165" s="66" t="s">
        <v>37</v>
      </c>
      <c r="AB165">
        <f t="shared" si="4"/>
        <v>1</v>
      </c>
      <c r="AC165">
        <f t="shared" si="5"/>
        <v>0</v>
      </c>
      <c r="AD165" s="67"/>
      <c r="AE165" s="87">
        <f>(
IF(S165="ENVIADO A LA CE/UM",1/3,IF(S165="ENTREGADO/REVISIÓN",2/3,IF(S165="ENVIADO A TICS",1,0)))+
IF(T165="EN PROCESO",1/2,IF(T165="CONCLUIDO",1,0))+
IF(OR(U165="CONCLUIDO",U165="NO APLICA"),1,IF(U165="EN REVISIÓN CENTRAL",2/3,IF(U165="ENVIADO A LA CE/UM",1/3,0)))+
IF(OR(V165="CONCLUIDO",V165="NO APLICA"),1,IF(V165="EN REVISIÓN CENTRAL",2/3,IF(V165="ENVIADO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IF(OR(W165="CONCLUIDO",W165="NO APLICA"),1,IF(W165="EN PROCESO",0.5,0))+
IF(OR(X165="CONCLUIDO",X165="NO APLICA"),1,IF(X165="EN PROCESO",0.5,0))+
IF(Y165="PROGRAMADAS",1/2,IF(Y165="CONCLUIDAS",1,0))+
IF(OR(Z165="SI",Z165="NO APLICA"),1,0)+
IF(OR(AA165="SI",AA165="NO APLICA"),1,0)
)/9</f>
        <v>0.83333333333333337</v>
      </c>
      <c r="AF165" s="91">
        <v>9</v>
      </c>
      <c r="AG165" s="105" t="s">
        <v>1842</v>
      </c>
    </row>
    <row r="166" spans="1:33" x14ac:dyDescent="0.3">
      <c r="A166" s="84" t="s">
        <v>1174</v>
      </c>
      <c r="B166" s="93" t="s">
        <v>25</v>
      </c>
      <c r="C166" s="93" t="s">
        <v>440</v>
      </c>
      <c r="D166" s="33" t="s">
        <v>1775</v>
      </c>
      <c r="E166" s="34" t="s">
        <v>1175</v>
      </c>
      <c r="F166" s="34" t="s">
        <v>1176</v>
      </c>
      <c r="G166" s="34" t="s">
        <v>111</v>
      </c>
      <c r="H166" s="37">
        <v>1</v>
      </c>
      <c r="I166" s="34" t="s">
        <v>112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22</v>
      </c>
      <c r="O166" s="48">
        <v>5</v>
      </c>
      <c r="P166" s="49">
        <v>112</v>
      </c>
      <c r="Q166" s="50">
        <v>18.617699999999999</v>
      </c>
      <c r="R166" s="50">
        <v>-99.190700000000007</v>
      </c>
      <c r="S166" s="66" t="s">
        <v>34</v>
      </c>
      <c r="T166" s="66" t="s">
        <v>175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>
        <f t="shared" si="4"/>
        <v>0</v>
      </c>
      <c r="AC166">
        <f t="shared" si="5"/>
        <v>1</v>
      </c>
      <c r="AD166" s="67"/>
      <c r="AE166" s="87">
        <f>(
IF(S166="ENVIADO A LA CE/UM",1/3,IF(S166="ENTREGADO/REVISIÓN",2/3,IF(S166="ENVIADO A TICS",1,0)))+
IF(T166="EN PROCESO",1/2,IF(T166="CONCLUIDO",1,0))+
IF(OR(U166="CONCLUIDO",U166="NO APLICA"),1,IF(U166="EN REVISIÓN CENTRAL",2/3,IF(U166="ENVIADO A LA CE/UM",1/3,0)))+
IF(OR(V166="CONCLUIDO",V166="NO APLICA"),1,IF(V166="EN REVISIÓN CENTRAL",2/3,IF(V166="ENVIADO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IF(OR(W166="CONCLUIDO",W166="NO APLICA"),1,IF(W166="EN PROCESO",0.5,0))+
IF(OR(X166="CONCLUIDO",X166="NO APLICA"),1,IF(X166="EN PROCESO",0.5,0))+
IF(Y166="PROGRAMADAS",1/2,IF(Y166="CONCLUIDAS",1,0))+
IF(OR(Z166="SI",Z166="NO APLICA"),1,0)+
IF(OR(AA166="SI",AA166="NO APLICA"),1,0)
)/9</f>
        <v>0.94444444444444442</v>
      </c>
      <c r="AF166" s="91">
        <v>9</v>
      </c>
      <c r="AG166" s="105" t="s">
        <v>1842</v>
      </c>
    </row>
    <row r="167" spans="1:33" x14ac:dyDescent="0.3">
      <c r="A167" s="84" t="s">
        <v>1646</v>
      </c>
      <c r="B167" s="93" t="s">
        <v>25</v>
      </c>
      <c r="C167" s="93" t="s">
        <v>440</v>
      </c>
      <c r="D167" s="33" t="s">
        <v>1775</v>
      </c>
      <c r="E167" s="34" t="s">
        <v>1380</v>
      </c>
      <c r="F167" s="34" t="s">
        <v>1647</v>
      </c>
      <c r="G167" s="34" t="s">
        <v>941</v>
      </c>
      <c r="H167" s="37">
        <v>2</v>
      </c>
      <c r="I167" s="34" t="s">
        <v>155</v>
      </c>
      <c r="J167" s="34" t="s">
        <v>31</v>
      </c>
      <c r="K167" s="34" t="s">
        <v>32</v>
      </c>
      <c r="L167" s="34" t="s">
        <v>1756</v>
      </c>
      <c r="M167" s="34" t="s">
        <v>33</v>
      </c>
      <c r="N167" s="47">
        <v>42</v>
      </c>
      <c r="O167" s="48">
        <v>5</v>
      </c>
      <c r="P167" s="49">
        <v>82</v>
      </c>
      <c r="Q167" s="50">
        <v>18.843599999999999</v>
      </c>
      <c r="R167" s="50">
        <v>-99.202200000000005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74</v>
      </c>
      <c r="AA167" s="66" t="s">
        <v>37</v>
      </c>
      <c r="AB167">
        <f t="shared" si="4"/>
        <v>1</v>
      </c>
      <c r="AC167">
        <f t="shared" si="5"/>
        <v>0</v>
      </c>
      <c r="AD167" s="67"/>
      <c r="AE167" s="87">
        <f>(
IF(S167="ENVIADO A LA CE/UM",1/3,IF(S167="ENTREGADO/REVISIÓN",2/3,IF(S167="ENVIADO A TICS",1,0)))+
IF(T167="EN PROCESO",1/2,IF(T167="CONCLUIDO",1,0))+
IF(OR(U167="CONCLUIDO",U167="NO APLICA"),1,IF(U167="EN REVISIÓN CENTRAL",2/3,IF(U167="ENVIADO A LA CE/UM",1/3,0)))+
IF(OR(V167="CONCLUIDO",V167="NO APLICA"),1,IF(V167="EN REVISIÓN CENTRAL",2/3,IF(V167="ENVIADO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IF(OR(W167="CONCLUIDO",W167="NO APLICA"),1,IF(W167="EN PROCESO",0.5,0))+
IF(OR(X167="CONCLUIDO",X167="NO APLICA"),1,IF(X167="EN PROCESO",0.5,0))+
IF(Y167="PROGRAMADAS",1/2,IF(Y167="CONCLUIDAS",1,0))+
IF(OR(Z167="SI",Z167="NO APLICA"),1,0)+
IF(OR(AA167="SI",AA167="NO APLICA"),1,0)
)/9</f>
        <v>0.83333333333333337</v>
      </c>
      <c r="AF167" s="91">
        <v>9</v>
      </c>
      <c r="AG167" s="105" t="s">
        <v>1842</v>
      </c>
    </row>
    <row r="168" spans="1:33" x14ac:dyDescent="0.3">
      <c r="A168" s="84" t="s">
        <v>1171</v>
      </c>
      <c r="B168" s="93" t="s">
        <v>25</v>
      </c>
      <c r="C168" s="93" t="s">
        <v>440</v>
      </c>
      <c r="D168" s="33" t="s">
        <v>1775</v>
      </c>
      <c r="E168" s="34" t="s">
        <v>1172</v>
      </c>
      <c r="F168" s="34" t="s">
        <v>1173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36</v>
      </c>
      <c r="O168" s="48">
        <v>7</v>
      </c>
      <c r="P168" s="49">
        <v>223</v>
      </c>
      <c r="Q168" s="50">
        <v>18.9359</v>
      </c>
      <c r="R168" s="50">
        <v>-99.233500000000006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74</v>
      </c>
      <c r="AA168" s="66" t="s">
        <v>37</v>
      </c>
      <c r="AB168">
        <f t="shared" si="4"/>
        <v>1</v>
      </c>
      <c r="AC168">
        <f t="shared" si="5"/>
        <v>0</v>
      </c>
      <c r="AD168" s="67"/>
      <c r="AE168" s="87">
        <f>(
IF(S168="ENVIADO A LA CE/UM",1/3,IF(S168="ENTREGADO/REVISIÓN",2/3,IF(S168="ENVIADO A TICS",1,0)))+
IF(T168="EN PROCESO",1/2,IF(T168="CONCLUIDO",1,0))+
IF(OR(U168="CONCLUIDO",U168="NO APLICA"),1,IF(U168="EN REVISIÓN CENTRAL",2/3,IF(U168="ENVIADO A LA CE/UM",1/3,0)))+
IF(OR(V168="CONCLUIDO",V168="NO APLICA"),1,IF(V168="EN REVISIÓN CENTRAL",2/3,IF(V168="ENVIADO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IF(OR(W168="CONCLUIDO",W168="NO APLICA"),1,IF(W168="EN PROCESO",0.5,0))+
IF(OR(X168="CONCLUIDO",X168="NO APLICA"),1,IF(X168="EN PROCESO",0.5,0))+
IF(Y168="PROGRAMADAS",1/2,IF(Y168="CONCLUIDAS",1,0))+
IF(OR(Z168="SI",Z168="NO APLICA"),1,0)+
IF(OR(AA168="SI",AA168="NO APLICA"),1,0)
)/9</f>
        <v>0.83333333333333337</v>
      </c>
      <c r="AF168" s="91">
        <v>9</v>
      </c>
      <c r="AG168" s="105" t="s">
        <v>1842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>
        <f t="shared" si="4"/>
        <v>0</v>
      </c>
      <c r="AC169">
        <f t="shared" si="5"/>
        <v>1</v>
      </c>
      <c r="AD169" s="67"/>
      <c r="AE169" s="87">
        <f>(
IF(S169="ENVIADO A LA CE/UM",1/3,IF(S169="ENTREGADO/REVISIÓN",2/3,IF(S169="ENVIADO A TICS",1,0)))+
IF(T169="EN PROCESO",1/2,IF(T169="CONCLUIDO",1,0))+
IF(OR(U169="CONCLUIDO",U169="NO APLICA"),1,IF(U169="EN REVISIÓN CENTRAL",2/3,IF(U169="ENVIADO A LA CE/UM",1/3,0)))+
IF(OR(V169="CONCLUIDO",V169="NO APLICA"),1,IF(V169="EN REVISIÓN CENTRAL",2/3,IF(V169="ENVIADO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IF(OR(W169="CONCLUIDO",W169="NO APLICA"),1,IF(W169="EN PROCESO",0.5,0))+
IF(OR(X169="CONCLUIDO",X169="NO APLICA"),1,IF(X169="EN PROCESO",0.5,0))+
IF(Y169="PROGRAMADAS",1/2,IF(Y169="CONCLUIDAS",1,0))+
IF(OR(Z169="SI",Z169="NO APLICA"),1,0)+
IF(OR(AA169="SI",AA169="NO APLICA"),1,0)
)/9</f>
        <v>1</v>
      </c>
      <c r="AF169" s="91">
        <v>5</v>
      </c>
      <c r="AG169" s="105" t="s">
        <v>1846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>
        <f t="shared" si="4"/>
        <v>0</v>
      </c>
      <c r="AC170">
        <f t="shared" si="5"/>
        <v>1</v>
      </c>
      <c r="AD170" s="67"/>
      <c r="AE170" s="87">
        <f>(
IF(S170="ENVIADO A LA CE/UM",1/3,IF(S170="ENTREGADO/REVISIÓN",2/3,IF(S170="ENVIADO A TICS",1,0)))+
IF(T170="EN PROCESO",1/2,IF(T170="CONCLUIDO",1,0))+
IF(OR(U170="CONCLUIDO",U170="NO APLICA"),1,IF(U170="EN REVISIÓN CENTRAL",2/3,IF(U170="ENVIADO A LA CE/UM",1/3,0)))+
IF(OR(V170="CONCLUIDO",V170="NO APLICA"),1,IF(V170="EN REVISIÓN CENTRAL",2/3,IF(V170="ENVIADO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IF(OR(W170="CONCLUIDO",W170="NO APLICA"),1,IF(W170="EN PROCESO",0.5,0))+
IF(OR(X170="CONCLUIDO",X170="NO APLICA"),1,IF(X170="EN PROCESO",0.5,0))+
IF(Y170="PROGRAMADAS",1/2,IF(Y170="CONCLUIDAS",1,0))+
IF(OR(Z170="SI",Z170="NO APLICA"),1,0)+
IF(OR(AA170="SI",AA170="NO APLICA"),1,0)
)/9</f>
        <v>1</v>
      </c>
      <c r="AF170" s="91">
        <v>10</v>
      </c>
      <c r="AG170" s="105" t="s">
        <v>1782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>
        <f t="shared" si="4"/>
        <v>0</v>
      </c>
      <c r="AC171">
        <f t="shared" si="5"/>
        <v>1</v>
      </c>
      <c r="AD171" s="67"/>
      <c r="AE171" s="87">
        <f>(
IF(S171="ENVIADO A LA CE/UM",1/3,IF(S171="ENTREGADO/REVISIÓN",2/3,IF(S171="ENVIADO A TICS",1,0)))+
IF(T171="EN PROCESO",1/2,IF(T171="CONCLUIDO",1,0))+
IF(OR(U171="CONCLUIDO",U171="NO APLICA"),1,IF(U171="EN REVISIÓN CENTRAL",2/3,IF(U171="ENVIADO A LA CE/UM",1/3,0)))+
IF(OR(V171="CONCLUIDO",V171="NO APLICA"),1,IF(V171="EN REVISIÓN CENTRAL",2/3,IF(V171="ENVIADO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IF(OR(W171="CONCLUIDO",W171="NO APLICA"),1,IF(W171="EN PROCESO",0.5,0))+
IF(OR(X171="CONCLUIDO",X171="NO APLICA"),1,IF(X171="EN PROCESO",0.5,0))+
IF(Y171="PROGRAMADAS",1/2,IF(Y171="CONCLUIDAS",1,0))+
IF(OR(Z171="SI",Z171="NO APLICA"),1,0)+
IF(OR(AA171="SI",AA171="NO APLICA"),1,0)
)/9</f>
        <v>1</v>
      </c>
      <c r="AF171" s="91" t="s">
        <v>1825</v>
      </c>
      <c r="AG171" s="105" t="s">
        <v>1855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>
        <f t="shared" si="4"/>
        <v>0</v>
      </c>
      <c r="AC172">
        <f t="shared" si="5"/>
        <v>1</v>
      </c>
      <c r="AD172" s="67"/>
      <c r="AE172" s="87">
        <f>(
IF(S172="ENVIADO A LA CE/UM",1/3,IF(S172="ENTREGADO/REVISIÓN",2/3,IF(S172="ENVIADO A TICS",1,0)))+
IF(T172="EN PROCESO",1/2,IF(T172="CONCLUIDO",1,0))+
IF(OR(U172="CONCLUIDO",U172="NO APLICA"),1,IF(U172="EN REVISIÓN CENTRAL",2/3,IF(U172="ENVIADO A LA CE/UM",1/3,0)))+
IF(OR(V172="CONCLUIDO",V172="NO APLICA"),1,IF(V172="EN REVISIÓN CENTRAL",2/3,IF(V172="ENVIADO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IF(OR(W172="CONCLUIDO",W172="NO APLICA"),1,IF(W172="EN PROCESO",0.5,0))+
IF(OR(X172="CONCLUIDO",X172="NO APLICA"),1,IF(X172="EN PROCESO",0.5,0))+
IF(Y172="PROGRAMADAS",1/2,IF(Y172="CONCLUIDAS",1,0))+
IF(OR(Z172="SI",Z172="NO APLICA"),1,0)+
IF(OR(AA172="SI",AA172="NO APLICA"),1,0)
)/9</f>
        <v>1</v>
      </c>
      <c r="AF172" s="91">
        <v>3</v>
      </c>
      <c r="AG172" s="105" t="s">
        <v>1855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>
        <f t="shared" si="4"/>
        <v>0</v>
      </c>
      <c r="AC173">
        <f t="shared" si="5"/>
        <v>0</v>
      </c>
      <c r="AD173" s="67"/>
      <c r="AE173" s="87">
        <f>(
IF(S173="ENVIADO A LA CE/UM",1/3,IF(S173="ENTREGADO/REVISIÓN",2/3,IF(S173="ENVIADO A TICS",1,0)))+
IF(T173="EN PROCESO",1/2,IF(T173="CONCLUIDO",1,0))+
IF(OR(U173="CONCLUIDO",U173="NO APLICA"),1,IF(U173="EN REVISIÓN CENTRAL",2/3,IF(U173="ENVIADO A LA CE/UM",1/3,0)))+
IF(OR(V173="CONCLUIDO",V173="NO APLICA"),1,IF(V173="EN REVISIÓN CENTRAL",2/3,IF(V173="ENVIADO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IF(OR(W173="CONCLUIDO",W173="NO APLICA"),1,IF(W173="EN PROCESO",0.5,0))+
IF(OR(X173="CONCLUIDO",X173="NO APLICA"),1,IF(X173="EN PROCESO",0.5,0))+
IF(Y173="PROGRAMADAS",1/2,IF(Y173="CONCLUIDAS",1,0))+
IF(OR(Z173="SI",Z173="NO APLICA"),1,0)+
IF(OR(AA173="SI",AA173="NO APLICA"),1,0)
)/9</f>
        <v>0.77777777777777779</v>
      </c>
      <c r="AF173" s="91">
        <v>1</v>
      </c>
      <c r="AG173" s="64" t="s">
        <v>1828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/>
      <c r="AA174" s="66"/>
      <c r="AB174">
        <f t="shared" si="4"/>
        <v>0</v>
      </c>
      <c r="AC174">
        <f t="shared" si="5"/>
        <v>0</v>
      </c>
      <c r="AD174" s="67"/>
      <c r="AE174" s="87">
        <f>(
IF(S174="ENVIADO A LA CE/UM",1/3,IF(S174="ENTREGADO/REVISIÓN",2/3,IF(S174="ENVIADO A TICS",1,0)))+
IF(T174="EN PROCESO",1/2,IF(T174="CONCLUIDO",1,0))+
IF(OR(U174="CONCLUIDO",U174="NO APLICA"),1,IF(U174="EN REVISIÓN CENTRAL",2/3,IF(U174="ENVIADO A LA CE/UM",1/3,0)))+
IF(OR(V174="CONCLUIDO",V174="NO APLICA"),1,IF(V174="EN REVISIÓN CENTRAL",2/3,IF(V174="ENVIADO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IF(OR(W174="CONCLUIDO",W174="NO APLICA"),1,IF(W174="EN PROCESO",0.5,0))+
IF(OR(X174="CONCLUIDO",X174="NO APLICA"),1,IF(X174="EN PROCESO",0.5,0))+
IF(Y174="PROGRAMADAS",1/2,IF(Y174="CONCLUIDAS",1,0))+
IF(OR(Z174="SI",Z174="NO APLICA"),1,0)+
IF(OR(AA174="SI",AA174="NO APLICA"),1,0)
)/9</f>
        <v>0.77777777777777779</v>
      </c>
      <c r="AF174" s="91">
        <v>1</v>
      </c>
      <c r="AG174" s="64" t="s">
        <v>1828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>
        <f t="shared" si="4"/>
        <v>0</v>
      </c>
      <c r="AC175">
        <f t="shared" si="5"/>
        <v>0</v>
      </c>
      <c r="AD175" s="67"/>
      <c r="AE175" s="87">
        <f>(
IF(S175="ENVIADO A LA CE/UM",1/3,IF(S175="ENTREGADO/REVISIÓN",2/3,IF(S175="ENVIADO A TICS",1,0)))+
IF(T175="EN PROCESO",1/2,IF(T175="CONCLUIDO",1,0))+
IF(OR(U175="CONCLUIDO",U175="NO APLICA"),1,IF(U175="EN REVISIÓN CENTRAL",2/3,IF(U175="ENVIADO A LA CE/UM",1/3,0)))+
IF(OR(V175="CONCLUIDO",V175="NO APLICA"),1,IF(V175="EN REVISIÓN CENTRAL",2/3,IF(V175="ENVIADO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IF(OR(W175="CONCLUIDO",W175="NO APLICA"),1,IF(W175="EN PROCESO",0.5,0))+
IF(OR(X175="CONCLUIDO",X175="NO APLICA"),1,IF(X175="EN PROCESO",0.5,0))+
IF(Y175="PROGRAMADAS",1/2,IF(Y175="CONCLUIDAS",1,0))+
IF(OR(Z175="SI",Z175="NO APLICA"),1,0)+
IF(OR(AA175="SI",AA175="NO APLICA"),1,0)
)/9</f>
        <v>0.72222222222222221</v>
      </c>
      <c r="AF175" s="91">
        <v>1</v>
      </c>
      <c r="AG175" s="64" t="s">
        <v>1828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>
        <f t="shared" si="4"/>
        <v>0</v>
      </c>
      <c r="AC176">
        <f t="shared" si="5"/>
        <v>0</v>
      </c>
      <c r="AD176" s="67"/>
      <c r="AE176" s="87">
        <f>(
IF(S176="ENVIADO A LA CE/UM",1/3,IF(S176="ENTREGADO/REVISIÓN",2/3,IF(S176="ENVIADO A TICS",1,0)))+
IF(T176="EN PROCESO",1/2,IF(T176="CONCLUIDO",1,0))+
IF(OR(U176="CONCLUIDO",U176="NO APLICA"),1,IF(U176="EN REVISIÓN CENTRAL",2/3,IF(U176="ENVIADO A LA CE/UM",1/3,0)))+
IF(OR(V176="CONCLUIDO",V176="NO APLICA"),1,IF(V176="EN REVISIÓN CENTRAL",2/3,IF(V176="ENVIADO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IF(OR(W176="CONCLUIDO",W176="NO APLICA"),1,IF(W176="EN PROCESO",0.5,0))+
IF(OR(X176="CONCLUIDO",X176="NO APLICA"),1,IF(X176="EN PROCESO",0.5,0))+
IF(Y176="PROGRAMADAS",1/2,IF(Y176="CONCLUIDAS",1,0))+
IF(OR(Z176="SI",Z176="NO APLICA"),1,0)+
IF(OR(AA176="SI",AA176="NO APLICA"),1,0)
)/9</f>
        <v>0.72222222222222221</v>
      </c>
      <c r="AF176" s="91">
        <v>1</v>
      </c>
      <c r="AG176" s="64" t="s">
        <v>1828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>
        <f t="shared" si="4"/>
        <v>0</v>
      </c>
      <c r="AC177">
        <f t="shared" si="5"/>
        <v>0</v>
      </c>
      <c r="AD177" s="67"/>
      <c r="AE177" s="87">
        <f>(
IF(S177="ENVIADO A LA CE/UM",1/3,IF(S177="ENTREGADO/REVISIÓN",2/3,IF(S177="ENVIADO A TICS",1,0)))+
IF(T177="EN PROCESO",1/2,IF(T177="CONCLUIDO",1,0))+
IF(OR(U177="CONCLUIDO",U177="NO APLICA"),1,IF(U177="EN REVISIÓN CENTRAL",2/3,IF(U177="ENVIADO A LA CE/UM",1/3,0)))+
IF(OR(V177="CONCLUIDO",V177="NO APLICA"),1,IF(V177="EN REVISIÓN CENTRAL",2/3,IF(V177="ENVIADO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IF(OR(W177="CONCLUIDO",W177="NO APLICA"),1,IF(W177="EN PROCESO",0.5,0))+
IF(OR(X177="CONCLUIDO",X177="NO APLICA"),1,IF(X177="EN PROCESO",0.5,0))+
IF(Y177="PROGRAMADAS",1/2,IF(Y177="CONCLUIDAS",1,0))+
IF(OR(Z177="SI",Z177="NO APLICA"),1,0)+
IF(OR(AA177="SI",AA177="NO APLICA"),1,0)
)/9</f>
        <v>0.72222222222222221</v>
      </c>
      <c r="AF177" s="91">
        <v>1</v>
      </c>
      <c r="AG177" s="64" t="s">
        <v>1828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>
        <f t="shared" si="4"/>
        <v>0</v>
      </c>
      <c r="AC178">
        <f t="shared" si="5"/>
        <v>0</v>
      </c>
      <c r="AD178" s="67"/>
      <c r="AE178" s="87">
        <f>(
IF(S178="ENVIADO A LA CE/UM",1/3,IF(S178="ENTREGADO/REVISIÓN",2/3,IF(S178="ENVIADO A TICS",1,0)))+
IF(T178="EN PROCESO",1/2,IF(T178="CONCLUIDO",1,0))+
IF(OR(U178="CONCLUIDO",U178="NO APLICA"),1,IF(U178="EN REVISIÓN CENTRAL",2/3,IF(U178="ENVIADO A LA CE/UM",1/3,0)))+
IF(OR(V178="CONCLUIDO",V178="NO APLICA"),1,IF(V178="EN REVISIÓN CENTRAL",2/3,IF(V178="ENVIADO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IF(OR(W178="CONCLUIDO",W178="NO APLICA"),1,IF(W178="EN PROCESO",0.5,0))+
IF(OR(X178="CONCLUIDO",X178="NO APLICA"),1,IF(X178="EN PROCESO",0.5,0))+
IF(Y178="PROGRAMADAS",1/2,IF(Y178="CONCLUIDAS",1,0))+
IF(OR(Z178="SI",Z178="NO APLICA"),1,0)+
IF(OR(AA178="SI",AA178="NO APLICA"),1,0)
)/9</f>
        <v>0.72222222222222221</v>
      </c>
      <c r="AF178" s="91">
        <v>1</v>
      </c>
      <c r="AG178" s="64" t="s">
        <v>1828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>
        <f t="shared" si="4"/>
        <v>0</v>
      </c>
      <c r="AC179">
        <f t="shared" si="5"/>
        <v>0</v>
      </c>
      <c r="AD179" s="67"/>
      <c r="AE179" s="87">
        <f>(
IF(S179="ENVIADO A LA CE/UM",1/3,IF(S179="ENTREGADO/REVISIÓN",2/3,IF(S179="ENVIADO A TICS",1,0)))+
IF(T179="EN PROCESO",1/2,IF(T179="CONCLUIDO",1,0))+
IF(OR(U179="CONCLUIDO",U179="NO APLICA"),1,IF(U179="EN REVISIÓN CENTRAL",2/3,IF(U179="ENVIADO A LA CE/UM",1/3,0)))+
IF(OR(V179="CONCLUIDO",V179="NO APLICA"),1,IF(V179="EN REVISIÓN CENTRAL",2/3,IF(V179="ENVIADO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IF(OR(W179="CONCLUIDO",W179="NO APLICA"),1,IF(W179="EN PROCESO",0.5,0))+
IF(OR(X179="CONCLUIDO",X179="NO APLICA"),1,IF(X179="EN PROCESO",0.5,0))+
IF(Y179="PROGRAMADAS",1/2,IF(Y179="CONCLUIDAS",1,0))+
IF(OR(Z179="SI",Z179="NO APLICA"),1,0)+
IF(OR(AA179="SI",AA179="NO APLICA"),1,0)
)/9</f>
        <v>0.72222222222222221</v>
      </c>
      <c r="AF179" s="91">
        <v>1</v>
      </c>
      <c r="AG179" s="64" t="s">
        <v>1828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>
        <f t="shared" si="4"/>
        <v>0</v>
      </c>
      <c r="AC180">
        <f t="shared" si="5"/>
        <v>0</v>
      </c>
      <c r="AD180" s="67"/>
      <c r="AE180" s="87">
        <f>(
IF(S180="ENVIADO A LA CE/UM",1/3,IF(S180="ENTREGADO/REVISIÓN",2/3,IF(S180="ENVIADO A TICS",1,0)))+
IF(T180="EN PROCESO",1/2,IF(T180="CONCLUIDO",1,0))+
IF(OR(U180="CONCLUIDO",U180="NO APLICA"),1,IF(U180="EN REVISIÓN CENTRAL",2/3,IF(U180="ENVIADO A LA CE/UM",1/3,0)))+
IF(OR(V180="CONCLUIDO",V180="NO APLICA"),1,IF(V180="EN REVISIÓN CENTRAL",2/3,IF(V180="ENVIADO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IF(OR(W180="CONCLUIDO",W180="NO APLICA"),1,IF(W180="EN PROCESO",0.5,0))+
IF(OR(X180="CONCLUIDO",X180="NO APLICA"),1,IF(X180="EN PROCESO",0.5,0))+
IF(Y180="PROGRAMADAS",1/2,IF(Y180="CONCLUIDAS",1,0))+
IF(OR(Z180="SI",Z180="NO APLICA"),1,0)+
IF(OR(AA180="SI",AA180="NO APLICA"),1,0)
)/9</f>
        <v>0.72222222222222221</v>
      </c>
      <c r="AF180" s="91">
        <v>1</v>
      </c>
      <c r="AG180" s="64" t="s">
        <v>1828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>
        <f t="shared" si="4"/>
        <v>0</v>
      </c>
      <c r="AC181">
        <f t="shared" si="5"/>
        <v>0</v>
      </c>
      <c r="AD181" s="67"/>
      <c r="AE181" s="87">
        <f>(
IF(S181="ENVIADO A LA CE/UM",1/3,IF(S181="ENTREGADO/REVISIÓN",2/3,IF(S181="ENVIADO A TICS",1,0)))+
IF(T181="EN PROCESO",1/2,IF(T181="CONCLUIDO",1,0))+
IF(OR(U181="CONCLUIDO",U181="NO APLICA"),1,IF(U181="EN REVISIÓN CENTRAL",2/3,IF(U181="ENVIADO A LA CE/UM",1/3,0)))+
IF(OR(V181="CONCLUIDO",V181="NO APLICA"),1,IF(V181="EN REVISIÓN CENTRAL",2/3,IF(V181="ENVIADO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IF(OR(W181="CONCLUIDO",W181="NO APLICA"),1,IF(W181="EN PROCESO",0.5,0))+
IF(OR(X181="CONCLUIDO",X181="NO APLICA"),1,IF(X181="EN PROCESO",0.5,0))+
IF(Y181="PROGRAMADAS",1/2,IF(Y181="CONCLUIDAS",1,0))+
IF(OR(Z181="SI",Z181="NO APLICA"),1,0)+
IF(OR(AA181="SI",AA181="NO APLICA"),1,0)
)/9</f>
        <v>0.72222222222222221</v>
      </c>
      <c r="AF181" s="91">
        <v>1</v>
      </c>
      <c r="AG181" s="64" t="s">
        <v>1828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>
        <f t="shared" si="4"/>
        <v>0</v>
      </c>
      <c r="AC182">
        <f t="shared" si="5"/>
        <v>0</v>
      </c>
      <c r="AD182" s="67"/>
      <c r="AE182" s="87">
        <f>(
IF(S182="ENVIADO A LA CE/UM",1/3,IF(S182="ENTREGADO/REVISIÓN",2/3,IF(S182="ENVIADO A TICS",1,0)))+
IF(T182="EN PROCESO",1/2,IF(T182="CONCLUIDO",1,0))+
IF(OR(U182="CONCLUIDO",U182="NO APLICA"),1,IF(U182="EN REVISIÓN CENTRAL",2/3,IF(U182="ENVIADO A LA CE/UM",1/3,0)))+
IF(OR(V182="CONCLUIDO",V182="NO APLICA"),1,IF(V182="EN REVISIÓN CENTRAL",2/3,IF(V182="ENVIADO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IF(OR(W182="CONCLUIDO",W182="NO APLICA"),1,IF(W182="EN PROCESO",0.5,0))+
IF(OR(X182="CONCLUIDO",X182="NO APLICA"),1,IF(X182="EN PROCESO",0.5,0))+
IF(Y182="PROGRAMADAS",1/2,IF(Y182="CONCLUIDAS",1,0))+
IF(OR(Z182="SI",Z182="NO APLICA"),1,0)+
IF(OR(AA182="SI",AA182="NO APLICA"),1,0)
)/9</f>
        <v>0.72222222222222221</v>
      </c>
      <c r="AF182" s="91">
        <v>1</v>
      </c>
      <c r="AG182" s="64" t="s">
        <v>1828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>
        <f t="shared" si="4"/>
        <v>0</v>
      </c>
      <c r="AC183">
        <f t="shared" si="5"/>
        <v>0</v>
      </c>
      <c r="AD183" s="67"/>
      <c r="AE183" s="87">
        <f>(
IF(S183="ENVIADO A LA CE/UM",1/3,IF(S183="ENTREGADO/REVISIÓN",2/3,IF(S183="ENVIADO A TICS",1,0)))+
IF(T183="EN PROCESO",1/2,IF(T183="CONCLUIDO",1,0))+
IF(OR(U183="CONCLUIDO",U183="NO APLICA"),1,IF(U183="EN REVISIÓN CENTRAL",2/3,IF(U183="ENVIADO A LA CE/UM",1/3,0)))+
IF(OR(V183="CONCLUIDO",V183="NO APLICA"),1,IF(V183="EN REVISIÓN CENTRAL",2/3,IF(V183="ENVIADO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IF(OR(W183="CONCLUIDO",W183="NO APLICA"),1,IF(W183="EN PROCESO",0.5,0))+
IF(OR(X183="CONCLUIDO",X183="NO APLICA"),1,IF(X183="EN PROCESO",0.5,0))+
IF(Y183="PROGRAMADAS",1/2,IF(Y183="CONCLUIDAS",1,0))+
IF(OR(Z183="SI",Z183="NO APLICA"),1,0)+
IF(OR(AA183="SI",AA183="NO APLICA"),1,0)
)/9</f>
        <v>0.77777777777777779</v>
      </c>
      <c r="AF183" s="91">
        <v>2</v>
      </c>
      <c r="AG183" s="103" t="s">
        <v>1829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>
        <f t="shared" si="4"/>
        <v>0</v>
      </c>
      <c r="AC184">
        <f t="shared" si="5"/>
        <v>0</v>
      </c>
      <c r="AD184" s="73" t="s">
        <v>1864</v>
      </c>
      <c r="AE184" s="87">
        <f>(
IF(S184="ENVIADO A LA CE/UM",1/3,IF(S184="ENTREGADO/REVISIÓN",2/3,IF(S184="ENVIADO A TICS",1,0)))+
IF(T184="EN PROCESO",1/2,IF(T184="CONCLUIDO",1,0))+
IF(OR(U184="CONCLUIDO",U184="NO APLICA"),1,IF(U184="EN REVISIÓN CENTRAL",2/3,IF(U184="ENVIADO A LA CE/UM",1/3,0)))+
IF(OR(V184="CONCLUIDO",V184="NO APLICA"),1,IF(V184="EN REVISIÓN CENTRAL",2/3,IF(V184="ENVIADO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IF(OR(W184="CONCLUIDO",W184="NO APLICA"),1,IF(W184="EN PROCESO",0.5,0))+
IF(OR(X184="CONCLUIDO",X184="NO APLICA"),1,IF(X184="EN PROCESO",0.5,0))+
IF(Y184="PROGRAMADAS",1/2,IF(Y184="CONCLUIDAS",1,0))+
IF(OR(Z184="SI",Z184="NO APLICA"),1,0)+
IF(OR(AA184="SI",AA184="NO APLICA"),1,0)
)/9</f>
        <v>0.77777777777777779</v>
      </c>
      <c r="AF184" s="91">
        <v>2</v>
      </c>
      <c r="AG184" s="103" t="s">
        <v>1829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/>
      <c r="X185" s="66"/>
      <c r="Y185" s="66" t="s">
        <v>36</v>
      </c>
      <c r="Z185" s="66"/>
      <c r="AA185" s="66"/>
      <c r="AB185">
        <f t="shared" si="4"/>
        <v>0</v>
      </c>
      <c r="AC185">
        <f t="shared" si="5"/>
        <v>0</v>
      </c>
      <c r="AD185" s="67"/>
      <c r="AE185" s="87">
        <f>(
IF(S185="ENVIADO A LA CE/UM",1/3,IF(S185="ENTREGADO/REVISIÓN",2/3,IF(S185="ENVIADO A TICS",1,0)))+
IF(T185="EN PROCESO",1/2,IF(T185="CONCLUIDO",1,0))+
IF(OR(U185="CONCLUIDO",U185="NO APLICA"),1,IF(U185="EN REVISIÓN CENTRAL",2/3,IF(U185="ENVIADO A LA CE/UM",1/3,0)))+
IF(OR(V185="CONCLUIDO",V185="NO APLICA"),1,IF(V185="EN REVISIÓN CENTRAL",2/3,IF(V185="ENVIADO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IF(OR(W185="CONCLUIDO",W185="NO APLICA"),1,IF(W185="EN PROCESO",0.5,0))+
IF(OR(X185="CONCLUIDO",X185="NO APLICA"),1,IF(X185="EN PROCESO",0.5,0))+
IF(Y185="PROGRAMADAS",1/2,IF(Y185="CONCLUIDAS",1,0))+
IF(OR(Z185="SI",Z185="NO APLICA"),1,0)+
IF(OR(AA185="SI",AA185="NO APLICA"),1,0)
)/9</f>
        <v>0.55555555555555558</v>
      </c>
      <c r="AF185" s="91">
        <v>2</v>
      </c>
      <c r="AG185" s="103" t="s">
        <v>1829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>
        <f t="shared" si="4"/>
        <v>0</v>
      </c>
      <c r="AC186">
        <f t="shared" si="5"/>
        <v>0</v>
      </c>
      <c r="AD186" s="67"/>
      <c r="AE186" s="87">
        <f>(
IF(S186="ENVIADO A LA CE/UM",1/3,IF(S186="ENTREGADO/REVISIÓN",2/3,IF(S186="ENVIADO A TICS",1,0)))+
IF(T186="EN PROCESO",1/2,IF(T186="CONCLUIDO",1,0))+
IF(OR(U186="CONCLUIDO",U186="NO APLICA"),1,IF(U186="EN REVISIÓN CENTRAL",2/3,IF(U186="ENVIADO A LA CE/UM",1/3,0)))+
IF(OR(V186="CONCLUIDO",V186="NO APLICA"),1,IF(V186="EN REVISIÓN CENTRAL",2/3,IF(V186="ENVIADO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IF(OR(W186="CONCLUIDO",W186="NO APLICA"),1,IF(W186="EN PROCESO",0.5,0))+
IF(OR(X186="CONCLUIDO",X186="NO APLICA"),1,IF(X186="EN PROCESO",0.5,0))+
IF(Y186="PROGRAMADAS",1/2,IF(Y186="CONCLUIDAS",1,0))+
IF(OR(Z186="SI",Z186="NO APLICA"),1,0)+
IF(OR(AA186="SI",AA186="NO APLICA"),1,0)
)/9</f>
        <v>0.77777777777777779</v>
      </c>
      <c r="AF186" s="91">
        <v>2</v>
      </c>
      <c r="AG186" s="103" t="s">
        <v>1829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>
        <f t="shared" si="4"/>
        <v>0</v>
      </c>
      <c r="AC187">
        <f t="shared" si="5"/>
        <v>0</v>
      </c>
      <c r="AD187" s="67"/>
      <c r="AE187" s="87">
        <f>(
IF(S187="ENVIADO A LA CE/UM",1/3,IF(S187="ENTREGADO/REVISIÓN",2/3,IF(S187="ENVIADO A TICS",1,0)))+
IF(T187="EN PROCESO",1/2,IF(T187="CONCLUIDO",1,0))+
IF(OR(U187="CONCLUIDO",U187="NO APLICA"),1,IF(U187="EN REVISIÓN CENTRAL",2/3,IF(U187="ENVIADO A LA CE/UM",1/3,0)))+
IF(OR(V187="CONCLUIDO",V187="NO APLICA"),1,IF(V187="EN REVISIÓN CENTRAL",2/3,IF(V187="ENVIADO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IF(OR(W187="CONCLUIDO",W187="NO APLICA"),1,IF(W187="EN PROCESO",0.5,0))+
IF(OR(X187="CONCLUIDO",X187="NO APLICA"),1,IF(X187="EN PROCESO",0.5,0))+
IF(Y187="PROGRAMADAS",1/2,IF(Y187="CONCLUIDAS",1,0))+
IF(OR(Z187="SI",Z187="NO APLICA"),1,0)+
IF(OR(AA187="SI",AA187="NO APLICA"),1,0)
)/9</f>
        <v>0.77777777777777779</v>
      </c>
      <c r="AF187" s="91">
        <v>2</v>
      </c>
      <c r="AG187" s="103" t="s">
        <v>1829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>
        <f t="shared" si="4"/>
        <v>0</v>
      </c>
      <c r="AC188">
        <f t="shared" si="5"/>
        <v>0</v>
      </c>
      <c r="AD188" s="67"/>
      <c r="AE188" s="87">
        <f>(
IF(S188="ENVIADO A LA CE/UM",1/3,IF(S188="ENTREGADO/REVISIÓN",2/3,IF(S188="ENVIADO A TICS",1,0)))+
IF(T188="EN PROCESO",1/2,IF(T188="CONCLUIDO",1,0))+
IF(OR(U188="CONCLUIDO",U188="NO APLICA"),1,IF(U188="EN REVISIÓN CENTRAL",2/3,IF(U188="ENVIADO A LA CE/UM",1/3,0)))+
IF(OR(V188="CONCLUIDO",V188="NO APLICA"),1,IF(V188="EN REVISIÓN CENTRAL",2/3,IF(V188="ENVIADO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IF(OR(W188="CONCLUIDO",W188="NO APLICA"),1,IF(W188="EN PROCESO",0.5,0))+
IF(OR(X188="CONCLUIDO",X188="NO APLICA"),1,IF(X188="EN PROCESO",0.5,0))+
IF(Y188="PROGRAMADAS",1/2,IF(Y188="CONCLUIDAS",1,0))+
IF(OR(Z188="SI",Z188="NO APLICA"),1,0)+
IF(OR(AA188="SI",AA188="NO APLICA"),1,0)
)/9</f>
        <v>0.77777777777777779</v>
      </c>
      <c r="AF188" s="91">
        <v>2</v>
      </c>
      <c r="AG188" s="103" t="s">
        <v>1829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>
        <f t="shared" si="4"/>
        <v>0</v>
      </c>
      <c r="AC189">
        <f t="shared" si="5"/>
        <v>0</v>
      </c>
      <c r="AD189" s="67"/>
      <c r="AE189" s="87">
        <f>(
IF(S189="ENVIADO A LA CE/UM",1/3,IF(S189="ENTREGADO/REVISIÓN",2/3,IF(S189="ENVIADO A TICS",1,0)))+
IF(T189="EN PROCESO",1/2,IF(T189="CONCLUIDO",1,0))+
IF(OR(U189="CONCLUIDO",U189="NO APLICA"),1,IF(U189="EN REVISIÓN CENTRAL",2/3,IF(U189="ENVIADO A LA CE/UM",1/3,0)))+
IF(OR(V189="CONCLUIDO",V189="NO APLICA"),1,IF(V189="EN REVISIÓN CENTRAL",2/3,IF(V189="ENVIADO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IF(OR(W189="CONCLUIDO",W189="NO APLICA"),1,IF(W189="EN PROCESO",0.5,0))+
IF(OR(X189="CONCLUIDO",X189="NO APLICA"),1,IF(X189="EN PROCESO",0.5,0))+
IF(Y189="PROGRAMADAS",1/2,IF(Y189="CONCLUIDAS",1,0))+
IF(OR(Z189="SI",Z189="NO APLICA"),1,0)+
IF(OR(AA189="SI",AA189="NO APLICA"),1,0)
)/9</f>
        <v>0.77777777777777779</v>
      </c>
      <c r="AF189" s="91">
        <v>2</v>
      </c>
      <c r="AG189" s="103" t="s">
        <v>1829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>
        <f t="shared" si="4"/>
        <v>0</v>
      </c>
      <c r="AC190">
        <f t="shared" si="5"/>
        <v>0</v>
      </c>
      <c r="AD190" s="67"/>
      <c r="AE190" s="87">
        <f>(
IF(S190="ENVIADO A LA CE/UM",1/3,IF(S190="ENTREGADO/REVISIÓN",2/3,IF(S190="ENVIADO A TICS",1,0)))+
IF(T190="EN PROCESO",1/2,IF(T190="CONCLUIDO",1,0))+
IF(OR(U190="CONCLUIDO",U190="NO APLICA"),1,IF(U190="EN REVISIÓN CENTRAL",2/3,IF(U190="ENVIADO A LA CE/UM",1/3,0)))+
IF(OR(V190="CONCLUIDO",V190="NO APLICA"),1,IF(V190="EN REVISIÓN CENTRAL",2/3,IF(V190="ENVIADO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IF(OR(W190="CONCLUIDO",W190="NO APLICA"),1,IF(W190="EN PROCESO",0.5,0))+
IF(OR(X190="CONCLUIDO",X190="NO APLICA"),1,IF(X190="EN PROCESO",0.5,0))+
IF(Y190="PROGRAMADAS",1/2,IF(Y190="CONCLUIDAS",1,0))+
IF(OR(Z190="SI",Z190="NO APLICA"),1,0)+
IF(OR(AA190="SI",AA190="NO APLICA"),1,0)
)/9</f>
        <v>0.24074074074074073</v>
      </c>
      <c r="AF190" s="91">
        <v>10</v>
      </c>
      <c r="AG190" s="64" t="s">
        <v>1787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>
        <f t="shared" si="4"/>
        <v>0</v>
      </c>
      <c r="AC191">
        <f t="shared" si="5"/>
        <v>0</v>
      </c>
      <c r="AD191" s="67"/>
      <c r="AE191" s="87">
        <f>(
IF(S191="ENVIADO A LA CE/UM",1/3,IF(S191="ENTREGADO/REVISIÓN",2/3,IF(S191="ENVIADO A TICS",1,0)))+
IF(T191="EN PROCESO",1/2,IF(T191="CONCLUIDO",1,0))+
IF(OR(U191="CONCLUIDO",U191="NO APLICA"),1,IF(U191="EN REVISIÓN CENTRAL",2/3,IF(U191="ENVIADO A LA CE/UM",1/3,0)))+
IF(OR(V191="CONCLUIDO",V191="NO APLICA"),1,IF(V191="EN REVISIÓN CENTRAL",2/3,IF(V191="ENVIADO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IF(OR(W191="CONCLUIDO",W191="NO APLICA"),1,IF(W191="EN PROCESO",0.5,0))+
IF(OR(X191="CONCLUIDO",X191="NO APLICA"),1,IF(X191="EN PROCESO",0.5,0))+
IF(Y191="PROGRAMADAS",1/2,IF(Y191="CONCLUIDAS",1,0))+
IF(OR(Z191="SI",Z191="NO APLICA"),1,0)+
IF(OR(AA191="SI",AA191="NO APLICA"),1,0)
)/9</f>
        <v>0.24074074074074073</v>
      </c>
      <c r="AF191" s="91">
        <v>10</v>
      </c>
      <c r="AG191" s="64" t="s">
        <v>1787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>
        <f t="shared" si="4"/>
        <v>0</v>
      </c>
      <c r="AC192">
        <f t="shared" si="5"/>
        <v>0</v>
      </c>
      <c r="AD192" s="67"/>
      <c r="AE192" s="87">
        <f>(
IF(S192="ENVIADO A LA CE/UM",1/3,IF(S192="ENTREGADO/REVISIÓN",2/3,IF(S192="ENVIADO A TICS",1,0)))+
IF(T192="EN PROCESO",1/2,IF(T192="CONCLUIDO",1,0))+
IF(OR(U192="CONCLUIDO",U192="NO APLICA"),1,IF(U192="EN REVISIÓN CENTRAL",2/3,IF(U192="ENVIADO A LA CE/UM",1/3,0)))+
IF(OR(V192="CONCLUIDO",V192="NO APLICA"),1,IF(V192="EN REVISIÓN CENTRAL",2/3,IF(V192="ENVIADO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IF(OR(W192="CONCLUIDO",W192="NO APLICA"),1,IF(W192="EN PROCESO",0.5,0))+
IF(OR(X192="CONCLUIDO",X192="NO APLICA"),1,IF(X192="EN PROCESO",0.5,0))+
IF(Y192="PROGRAMADAS",1/2,IF(Y192="CONCLUIDAS",1,0))+
IF(OR(Z192="SI",Z192="NO APLICA"),1,0)+
IF(OR(AA192="SI",AA192="NO APLICA"),1,0)
)/9</f>
        <v>0.46296296296296291</v>
      </c>
      <c r="AF192" s="91">
        <v>10</v>
      </c>
      <c r="AG192" s="64" t="s">
        <v>1787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176</v>
      </c>
      <c r="V193" s="66" t="s">
        <v>176</v>
      </c>
      <c r="W193" s="66"/>
      <c r="X193" s="66"/>
      <c r="Y193" s="66"/>
      <c r="Z193" s="66"/>
      <c r="AA193" s="66"/>
      <c r="AB193">
        <f t="shared" si="4"/>
        <v>0</v>
      </c>
      <c r="AC193">
        <f t="shared" si="5"/>
        <v>0</v>
      </c>
      <c r="AD193" s="67"/>
      <c r="AE193" s="87">
        <f>(
IF(S193="ENVIADO A LA CE/UM",1/3,IF(S193="ENTREGADO/REVISIÓN",2/3,IF(S193="ENVIADO A TICS",1,0)))+
IF(T193="EN PROCESO",1/2,IF(T193="CONCLUIDO",1,0))+
IF(OR(U193="CONCLUIDO",U193="NO APLICA"),1,IF(U193="EN REVISIÓN CENTRAL",2/3,IF(U193="ENVIADO A LA CE/UM",1/3,0)))+
IF(OR(V193="CONCLUIDO",V193="NO APLICA"),1,IF(V193="EN REVISIÓN CENTRAL",2/3,IF(V193="ENVIADO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IF(OR(W193="CONCLUIDO",W193="NO APLICA"),1,IF(W193="EN PROCESO",0.5,0))+
IF(OR(X193="CONCLUIDO",X193="NO APLICA"),1,IF(X193="EN PROCESO",0.5,0))+
IF(Y193="PROGRAMADAS",1/2,IF(Y193="CONCLUIDAS",1,0))+
IF(OR(Z193="SI",Z193="NO APLICA"),1,0)+
IF(OR(AA193="SI",AA193="NO APLICA"),1,0)
)/9</f>
        <v>0.24074074074074073</v>
      </c>
      <c r="AF193" s="91">
        <v>10</v>
      </c>
      <c r="AG193" s="64" t="s">
        <v>1787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>
        <f t="shared" si="4"/>
        <v>0</v>
      </c>
      <c r="AC194">
        <f t="shared" si="5"/>
        <v>0</v>
      </c>
      <c r="AD194" s="67"/>
      <c r="AE194" s="87">
        <f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F194" s="91">
        <v>10</v>
      </c>
      <c r="AG194" s="64" t="s">
        <v>1787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>
        <f t="shared" ref="AB195:AB258" si="6">IF(OR(AND(Z195="SI",AA195="NO"),AND(Z195="NO",AA195="SI")),1,0)</f>
        <v>0</v>
      </c>
      <c r="AC195">
        <f t="shared" ref="AC195:AC258" si="7">IF(AND(OR(Z195="SI",Z195="NO APLICA"),OR(AA195="SI",AA195="NO APLICA")),1,0)</f>
        <v>0</v>
      </c>
      <c r="AD195" s="67"/>
      <c r="AE195" s="87">
        <f>(
IF(S195="ENVIADO A LA CE/UM",1/3,IF(S195="ENTREGADO/REVISIÓN",2/3,IF(S195="ENVIADO A TICS",1,0)))+
IF(T195="EN PROCESO",1/2,IF(T195="CONCLUIDO",1,0))+
IF(OR(U195="CONCLUIDO",U195="NO APLICA"),1,IF(U195="EN REVISIÓN CENTRAL",2/3,IF(U195="ENVIADO A LA CE/UM",1/3,0)))+
IF(OR(V195="CONCLUIDO",V195="NO APLICA"),1,IF(V195="EN REVISIÓN CENTRAL",2/3,IF(V195="ENVIADO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IF(OR(W195="CONCLUIDO",W195="NO APLICA"),1,IF(W195="EN PROCESO",0.5,0))+
IF(OR(X195="CONCLUIDO",X195="NO APLICA"),1,IF(X195="EN PROCESO",0.5,0))+
IF(Y195="PROGRAMADAS",1/2,IF(Y195="CONCLUIDAS",1,0))+
IF(OR(Z195="SI",Z195="NO APLICA"),1,0)+
IF(OR(AA195="SI",AA195="NO APLICA"),1,0)
)/9</f>
        <v>0.24074074074074073</v>
      </c>
      <c r="AF195" s="91">
        <v>10</v>
      </c>
      <c r="AG195" s="64" t="s">
        <v>1787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>
        <f t="shared" si="6"/>
        <v>0</v>
      </c>
      <c r="AC196">
        <f t="shared" si="7"/>
        <v>0</v>
      </c>
      <c r="AD196" s="67"/>
      <c r="AE196" s="87">
        <f>(
IF(S196="ENVIADO A LA CE/UM",1/3,IF(S196="ENTREGADO/REVISIÓN",2/3,IF(S196="ENVIADO A TICS",1,0)))+
IF(T196="EN PROCESO",1/2,IF(T196="CONCLUIDO",1,0))+
IF(OR(U196="CONCLUIDO",U196="NO APLICA"),1,IF(U196="EN REVISIÓN CENTRAL",2/3,IF(U196="ENVIADO A LA CE/UM",1/3,0)))+
IF(OR(V196="CONCLUIDO",V196="NO APLICA"),1,IF(V196="EN REVISIÓN CENTRAL",2/3,IF(V196="ENVIADO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IF(OR(W196="CONCLUIDO",W196="NO APLICA"),1,IF(W196="EN PROCESO",0.5,0))+
IF(OR(X196="CONCLUIDO",X196="NO APLICA"),1,IF(X196="EN PROCESO",0.5,0))+
IF(Y196="PROGRAMADAS",1/2,IF(Y196="CONCLUIDAS",1,0))+
IF(OR(Z196="SI",Z196="NO APLICA"),1,0)+
IF(OR(AA196="SI",AA196="NO APLICA"),1,0)
)/9</f>
        <v>0.24074074074074073</v>
      </c>
      <c r="AF196" s="91">
        <v>10</v>
      </c>
      <c r="AG196" s="64" t="s">
        <v>1787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>
        <f t="shared" si="6"/>
        <v>0</v>
      </c>
      <c r="AC197">
        <f t="shared" si="7"/>
        <v>0</v>
      </c>
      <c r="AD197" s="67"/>
      <c r="AE197" s="87">
        <f>(
IF(S197="ENVIADO A LA CE/UM",1/3,IF(S197="ENTREGADO/REVISIÓN",2/3,IF(S197="ENVIADO A TICS",1,0)))+
IF(T197="EN PROCESO",1/2,IF(T197="CONCLUIDO",1,0))+
IF(OR(U197="CONCLUIDO",U197="NO APLICA"),1,IF(U197="EN REVISIÓN CENTRAL",2/3,IF(U197="ENVIADO A LA CE/UM",1/3,0)))+
IF(OR(V197="CONCLUIDO",V197="NO APLICA"),1,IF(V197="EN REVISIÓN CENTRAL",2/3,IF(V197="ENVIADO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IF(OR(W197="CONCLUIDO",W197="NO APLICA"),1,IF(W197="EN PROCESO",0.5,0))+
IF(OR(X197="CONCLUIDO",X197="NO APLICA"),1,IF(X197="EN PROCESO",0.5,0))+
IF(Y197="PROGRAMADAS",1/2,IF(Y197="CONCLUIDAS",1,0))+
IF(OR(Z197="SI",Z197="NO APLICA"),1,0)+
IF(OR(AA197="SI",AA197="NO APLICA"),1,0)
)/9</f>
        <v>0.24074074074074073</v>
      </c>
      <c r="AF197" s="91">
        <v>10</v>
      </c>
      <c r="AG197" s="64" t="s">
        <v>1787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176</v>
      </c>
      <c r="V198" s="66" t="s">
        <v>176</v>
      </c>
      <c r="W198" s="66"/>
      <c r="X198" s="66"/>
      <c r="Y198" s="66"/>
      <c r="Z198" s="66"/>
      <c r="AA198" s="66"/>
      <c r="AB198">
        <f t="shared" si="6"/>
        <v>0</v>
      </c>
      <c r="AC198">
        <f t="shared" si="7"/>
        <v>0</v>
      </c>
      <c r="AD198" s="67"/>
      <c r="AE198" s="87">
        <f>(
IF(S198="ENVIADO A LA CE/UM",1/3,IF(S198="ENTREGADO/REVISIÓN",2/3,IF(S198="ENVIADO A TICS",1,0)))+
IF(T198="EN PROCESO",1/2,IF(T198="CONCLUIDO",1,0))+
IF(OR(U198="CONCLUIDO",U198="NO APLICA"),1,IF(U198="EN REVISIÓN CENTRAL",2/3,IF(U198="ENVIADO A LA CE/UM",1/3,0)))+
IF(OR(V198="CONCLUIDO",V198="NO APLICA"),1,IF(V198="EN REVISIÓN CENTRAL",2/3,IF(V198="ENVIADO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IF(OR(W198="CONCLUIDO",W198="NO APLICA"),1,IF(W198="EN PROCESO",0.5,0))+
IF(OR(X198="CONCLUIDO",X198="NO APLICA"),1,IF(X198="EN PROCESO",0.5,0))+
IF(Y198="PROGRAMADAS",1/2,IF(Y198="CONCLUIDAS",1,0))+
IF(OR(Z198="SI",Z198="NO APLICA"),1,0)+
IF(OR(AA198="SI",AA198="NO APLICA"),1,0)
)/9</f>
        <v>0.24074074074074073</v>
      </c>
      <c r="AF198" s="91">
        <v>10</v>
      </c>
      <c r="AG198" s="64" t="s">
        <v>1787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>
        <f t="shared" si="6"/>
        <v>0</v>
      </c>
      <c r="AC199">
        <f t="shared" si="7"/>
        <v>0</v>
      </c>
      <c r="AD199" s="67"/>
      <c r="AE199" s="87">
        <f>(
IF(S199="ENVIADO A LA CE/UM",1/3,IF(S199="ENTREGADO/REVISIÓN",2/3,IF(S199="ENVIADO A TICS",1,0)))+
IF(T199="EN PROCESO",1/2,IF(T199="CONCLUIDO",1,0))+
IF(OR(U199="CONCLUIDO",U199="NO APLICA"),1,IF(U199="EN REVISIÓN CENTRAL",2/3,IF(U199="ENVIADO A LA CE/UM",1/3,0)))+
IF(OR(V199="CONCLUIDO",V199="NO APLICA"),1,IF(V199="EN REVISIÓN CENTRAL",2/3,IF(V199="ENVIADO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IF(OR(W199="CONCLUIDO",W199="NO APLICA"),1,IF(W199="EN PROCESO",0.5,0))+
IF(OR(X199="CONCLUIDO",X199="NO APLICA"),1,IF(X199="EN PROCESO",0.5,0))+
IF(Y199="PROGRAMADAS",1/2,IF(Y199="CONCLUIDAS",1,0))+
IF(OR(Z199="SI",Z199="NO APLICA"),1,0)+
IF(OR(AA199="SI",AA199="NO APLICA"),1,0)
)/9</f>
        <v>0.24074074074074073</v>
      </c>
      <c r="AF199" s="91">
        <v>10</v>
      </c>
      <c r="AG199" s="64" t="s">
        <v>1787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213</v>
      </c>
      <c r="W200" s="66" t="s">
        <v>35</v>
      </c>
      <c r="X200" s="66" t="s">
        <v>175</v>
      </c>
      <c r="Y200" s="66"/>
      <c r="Z200" s="66"/>
      <c r="AA200" s="66"/>
      <c r="AB200">
        <f t="shared" si="6"/>
        <v>0</v>
      </c>
      <c r="AC200">
        <f t="shared" si="7"/>
        <v>0</v>
      </c>
      <c r="AD200" s="67"/>
      <c r="AE200" s="87">
        <f>(
IF(S200="ENVIADO A LA CE/UM",1/3,IF(S200="ENTREGADO/REVISIÓN",2/3,IF(S200="ENVIADO A TICS",1,0)))+
IF(T200="EN PROCESO",1/2,IF(T200="CONCLUIDO",1,0))+
IF(OR(U200="CONCLUIDO",U200="NO APLICA"),1,IF(U200="EN REVISIÓN CENTRAL",2/3,IF(U200="ENVIADO A LA CE/UM",1/3,0)))+
IF(OR(V200="CONCLUIDO",V200="NO APLICA"),1,IF(V200="EN REVISIÓN CENTRAL",2/3,IF(V200="ENVIADO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IF(OR(W200="CONCLUIDO",W200="NO APLICA"),1,IF(W200="EN PROCESO",0.5,0))+
IF(OR(X200="CONCLUIDO",X200="NO APLICA"),1,IF(X200="EN PROCESO",0.5,0))+
IF(Y200="PROGRAMADAS",1/2,IF(Y200="CONCLUIDAS",1,0))+
IF(OR(Z200="SI",Z200="NO APLICA"),1,0)+
IF(OR(AA200="SI",AA200="NO APLICA"),1,0)
)/9</f>
        <v>0.51851851851851849</v>
      </c>
      <c r="AF200" s="91">
        <v>10</v>
      </c>
      <c r="AG200" s="64" t="s">
        <v>1787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>
        <f t="shared" si="6"/>
        <v>0</v>
      </c>
      <c r="AC201">
        <f t="shared" si="7"/>
        <v>0</v>
      </c>
      <c r="AD201" s="67"/>
      <c r="AE201" s="87">
        <f>(
IF(S201="ENVIADO A LA CE/UM",1/3,IF(S201="ENTREGADO/REVISIÓN",2/3,IF(S201="ENVIADO A TICS",1,0)))+
IF(T201="EN PROCESO",1/2,IF(T201="CONCLUIDO",1,0))+
IF(OR(U201="CONCLUIDO",U201="NO APLICA"),1,IF(U201="EN REVISIÓN CENTRAL",2/3,IF(U201="ENVIADO A LA CE/UM",1/3,0)))+
IF(OR(V201="CONCLUIDO",V201="NO APLICA"),1,IF(V201="EN REVISIÓN CENTRAL",2/3,IF(V201="ENVIADO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IF(OR(W201="CONCLUIDO",W201="NO APLICA"),1,IF(W201="EN PROCESO",0.5,0))+
IF(OR(X201="CONCLUIDO",X201="NO APLICA"),1,IF(X201="EN PROCESO",0.5,0))+
IF(Y201="PROGRAMADAS",1/2,IF(Y201="CONCLUIDAS",1,0))+
IF(OR(Z201="SI",Z201="NO APLICA"),1,0)+
IF(OR(AA201="SI",AA201="NO APLICA"),1,0)
)/9</f>
        <v>0.24074074074074073</v>
      </c>
      <c r="AF201" s="91">
        <v>10</v>
      </c>
      <c r="AG201" s="64" t="s">
        <v>1787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>
        <f t="shared" si="6"/>
        <v>0</v>
      </c>
      <c r="AC202">
        <f t="shared" si="7"/>
        <v>0</v>
      </c>
      <c r="AD202" s="67"/>
      <c r="AE202" s="87">
        <f>(
IF(S202="ENVIADO A LA CE/UM",1/3,IF(S202="ENTREGADO/REVISIÓN",2/3,IF(S202="ENVIADO A TICS",1,0)))+
IF(T202="EN PROCESO",1/2,IF(T202="CONCLUIDO",1,0))+
IF(OR(U202="CONCLUIDO",U202="NO APLICA"),1,IF(U202="EN REVISIÓN CENTRAL",2/3,IF(U202="ENVIADO A LA CE/UM",1/3,0)))+
IF(OR(V202="CONCLUIDO",V202="NO APLICA"),1,IF(V202="EN REVISIÓN CENTRAL",2/3,IF(V202="ENVIADO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IF(OR(W202="CONCLUIDO",W202="NO APLICA"),1,IF(W202="EN PROCESO",0.5,0))+
IF(OR(X202="CONCLUIDO",X202="NO APLICA"),1,IF(X202="EN PROCESO",0.5,0))+
IF(Y202="PROGRAMADAS",1/2,IF(Y202="CONCLUIDAS",1,0))+
IF(OR(Z202="SI",Z202="NO APLICA"),1,0)+
IF(OR(AA202="SI",AA202="NO APLICA"),1,0)
)/9</f>
        <v>0.24074074074074073</v>
      </c>
      <c r="AF202" s="91">
        <v>10</v>
      </c>
      <c r="AG202" s="64" t="s">
        <v>1787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>
        <f t="shared" si="6"/>
        <v>0</v>
      </c>
      <c r="AC203">
        <f t="shared" si="7"/>
        <v>0</v>
      </c>
      <c r="AD203" s="67"/>
      <c r="AE203" s="87">
        <f>(
IF(S203="ENVIADO A LA CE/UM",1/3,IF(S203="ENTREGADO/REVISIÓN",2/3,IF(S203="ENVIADO A TICS",1,0)))+
IF(T203="EN PROCESO",1/2,IF(T203="CONCLUIDO",1,0))+
IF(OR(U203="CONCLUIDO",U203="NO APLICA"),1,IF(U203="EN REVISIÓN CENTRAL",2/3,IF(U203="ENVIADO A LA CE/UM",1/3,0)))+
IF(OR(V203="CONCLUIDO",V203="NO APLICA"),1,IF(V203="EN REVISIÓN CENTRAL",2/3,IF(V203="ENVIADO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IF(OR(W203="CONCLUIDO",W203="NO APLICA"),1,IF(W203="EN PROCESO",0.5,0))+
IF(OR(X203="CONCLUIDO",X203="NO APLICA"),1,IF(X203="EN PROCESO",0.5,0))+
IF(Y203="PROGRAMADAS",1/2,IF(Y203="CONCLUIDAS",1,0))+
IF(OR(Z203="SI",Z203="NO APLICA"),1,0)+
IF(OR(AA203="SI",AA203="NO APLICA"),1,0)
)/9</f>
        <v>3.7037037037037035E-2</v>
      </c>
      <c r="AF203" s="91">
        <v>7</v>
      </c>
      <c r="AG203" s="103" t="s">
        <v>1832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>
        <f t="shared" si="6"/>
        <v>0</v>
      </c>
      <c r="AC204">
        <f t="shared" si="7"/>
        <v>0</v>
      </c>
      <c r="AD204" s="67"/>
      <c r="AE204" s="87">
        <f>(
IF(S204="ENVIADO A LA CE/UM",1/3,IF(S204="ENTREGADO/REVISIÓN",2/3,IF(S204="ENVIADO A TICS",1,0)))+
IF(T204="EN PROCESO",1/2,IF(T204="CONCLUIDO",1,0))+
IF(OR(U204="CONCLUIDO",U204="NO APLICA"),1,IF(U204="EN REVISIÓN CENTRAL",2/3,IF(U204="ENVIADO A LA CE/UM",1/3,0)))+
IF(OR(V204="CONCLUIDO",V204="NO APLICA"),1,IF(V204="EN REVISIÓN CENTRAL",2/3,IF(V204="ENVIADO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IF(OR(W204="CONCLUIDO",W204="NO APLICA"),1,IF(W204="EN PROCESO",0.5,0))+
IF(OR(X204="CONCLUIDO",X204="NO APLICA"),1,IF(X204="EN PROCESO",0.5,0))+
IF(Y204="PROGRAMADAS",1/2,IF(Y204="CONCLUIDAS",1,0))+
IF(OR(Z204="SI",Z204="NO APLICA"),1,0)+
IF(OR(AA204="SI",AA204="NO APLICA"),1,0)
)/9</f>
        <v>3.7037037037037035E-2</v>
      </c>
      <c r="AF204" s="91">
        <v>7</v>
      </c>
      <c r="AG204" s="103" t="s">
        <v>1832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>
        <f t="shared" si="6"/>
        <v>0</v>
      </c>
      <c r="AC205">
        <f t="shared" si="7"/>
        <v>0</v>
      </c>
      <c r="AD205" s="67"/>
      <c r="AE205" s="87">
        <f>(
IF(S205="ENVIADO A LA CE/UM",1/3,IF(S205="ENTREGADO/REVISIÓN",2/3,IF(S205="ENVIADO A TICS",1,0)))+
IF(T205="EN PROCESO",1/2,IF(T205="CONCLUIDO",1,0))+
IF(OR(U205="CONCLUIDO",U205="NO APLICA"),1,IF(U205="EN REVISIÓN CENTRAL",2/3,IF(U205="ENVIADO A LA CE/UM",1/3,0)))+
IF(OR(V205="CONCLUIDO",V205="NO APLICA"),1,IF(V205="EN REVISIÓN CENTRAL",2/3,IF(V205="ENVIADO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IF(OR(W205="CONCLUIDO",W205="NO APLICA"),1,IF(W205="EN PROCESO",0.5,0))+
IF(OR(X205="CONCLUIDO",X205="NO APLICA"),1,IF(X205="EN PROCESO",0.5,0))+
IF(Y205="PROGRAMADAS",1/2,IF(Y205="CONCLUIDAS",1,0))+
IF(OR(Z205="SI",Z205="NO APLICA"),1,0)+
IF(OR(AA205="SI",AA205="NO APLICA"),1,0)
)/9</f>
        <v>3.7037037037037035E-2</v>
      </c>
      <c r="AF205" s="91">
        <v>7</v>
      </c>
      <c r="AG205" s="103" t="s">
        <v>1832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>
        <f t="shared" si="6"/>
        <v>0</v>
      </c>
      <c r="AC206">
        <f t="shared" si="7"/>
        <v>0</v>
      </c>
      <c r="AD206" s="67"/>
      <c r="AE206" s="87">
        <f>(
IF(S206="ENVIADO A LA CE/UM",1/3,IF(S206="ENTREGADO/REVISIÓN",2/3,IF(S206="ENVIADO A TICS",1,0)))+
IF(T206="EN PROCESO",1/2,IF(T206="CONCLUIDO",1,0))+
IF(OR(U206="CONCLUIDO",U206="NO APLICA"),1,IF(U206="EN REVISIÓN CENTRAL",2/3,IF(U206="ENVIADO A LA CE/UM",1/3,0)))+
IF(OR(V206="CONCLUIDO",V206="NO APLICA"),1,IF(V206="EN REVISIÓN CENTRAL",2/3,IF(V206="ENVIADO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IF(OR(W206="CONCLUIDO",W206="NO APLICA"),1,IF(W206="EN PROCESO",0.5,0))+
IF(OR(X206="CONCLUIDO",X206="NO APLICA"),1,IF(X206="EN PROCESO",0.5,0))+
IF(Y206="PROGRAMADAS",1/2,IF(Y206="CONCLUIDAS",1,0))+
IF(OR(Z206="SI",Z206="NO APLICA"),1,0)+
IF(OR(AA206="SI",AA206="NO APLICA"),1,0)
)/9</f>
        <v>3.7037037037037035E-2</v>
      </c>
      <c r="AF206" s="91">
        <v>7</v>
      </c>
      <c r="AG206" s="103" t="s">
        <v>1832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>
        <f t="shared" si="6"/>
        <v>0</v>
      </c>
      <c r="AC207">
        <f t="shared" si="7"/>
        <v>0</v>
      </c>
      <c r="AD207" s="67"/>
      <c r="AE207" s="87">
        <f>(
IF(S207="ENVIADO A LA CE/UM",1/3,IF(S207="ENTREGADO/REVISIÓN",2/3,IF(S207="ENVIADO A TICS",1,0)))+
IF(T207="EN PROCESO",1/2,IF(T207="CONCLUIDO",1,0))+
IF(OR(U207="CONCLUIDO",U207="NO APLICA"),1,IF(U207="EN REVISIÓN CENTRAL",2/3,IF(U207="ENVIADO A LA CE/UM",1/3,0)))+
IF(OR(V207="CONCLUIDO",V207="NO APLICA"),1,IF(V207="EN REVISIÓN CENTRAL",2/3,IF(V207="ENVIADO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IF(OR(W207="CONCLUIDO",W207="NO APLICA"),1,IF(W207="EN PROCESO",0.5,0))+
IF(OR(X207="CONCLUIDO",X207="NO APLICA"),1,IF(X207="EN PROCESO",0.5,0))+
IF(Y207="PROGRAMADAS",1/2,IF(Y207="CONCLUIDAS",1,0))+
IF(OR(Z207="SI",Z207="NO APLICA"),1,0)+
IF(OR(AA207="SI",AA207="NO APLICA"),1,0)
)/9</f>
        <v>3.7037037037037035E-2</v>
      </c>
      <c r="AF207" s="91">
        <v>7</v>
      </c>
      <c r="AG207" s="103" t="s">
        <v>1832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>
        <f t="shared" si="6"/>
        <v>0</v>
      </c>
      <c r="AC208">
        <f t="shared" si="7"/>
        <v>0</v>
      </c>
      <c r="AD208" s="67"/>
      <c r="AE208" s="87">
        <f>(
IF(S208="ENVIADO A LA CE/UM",1/3,IF(S208="ENTREGADO/REVISIÓN",2/3,IF(S208="ENVIADO A TICS",1,0)))+
IF(T208="EN PROCESO",1/2,IF(T208="CONCLUIDO",1,0))+
IF(OR(U208="CONCLUIDO",U208="NO APLICA"),1,IF(U208="EN REVISIÓN CENTRAL",2/3,IF(U208="ENVIADO A LA CE/UM",1/3,0)))+
IF(OR(V208="CONCLUIDO",V208="NO APLICA"),1,IF(V208="EN REVISIÓN CENTRAL",2/3,IF(V208="ENVIADO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IF(OR(W208="CONCLUIDO",W208="NO APLICA"),1,IF(W208="EN PROCESO",0.5,0))+
IF(OR(X208="CONCLUIDO",X208="NO APLICA"),1,IF(X208="EN PROCESO",0.5,0))+
IF(Y208="PROGRAMADAS",1/2,IF(Y208="CONCLUIDAS",1,0))+
IF(OR(Z208="SI",Z208="NO APLICA"),1,0)+
IF(OR(AA208="SI",AA208="NO APLICA"),1,0)
)/9</f>
        <v>3.7037037037037035E-2</v>
      </c>
      <c r="AF208" s="91">
        <v>7</v>
      </c>
      <c r="AG208" s="103" t="s">
        <v>1832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>
        <f t="shared" si="6"/>
        <v>0</v>
      </c>
      <c r="AC209">
        <f t="shared" si="7"/>
        <v>0</v>
      </c>
      <c r="AD209" s="67"/>
      <c r="AE209" s="87">
        <f>(
IF(S209="ENVIADO A LA CE/UM",1/3,IF(S209="ENTREGADO/REVISIÓN",2/3,IF(S209="ENVIADO A TICS",1,0)))+
IF(T209="EN PROCESO",1/2,IF(T209="CONCLUIDO",1,0))+
IF(OR(U209="CONCLUIDO",U209="NO APLICA"),1,IF(U209="EN REVISIÓN CENTRAL",2/3,IF(U209="ENVIADO A LA CE/UM",1/3,0)))+
IF(OR(V209="CONCLUIDO",V209="NO APLICA"),1,IF(V209="EN REVISIÓN CENTRAL",2/3,IF(V209="ENVIADO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IF(OR(W209="CONCLUIDO",W209="NO APLICA"),1,IF(W209="EN PROCESO",0.5,0))+
IF(OR(X209="CONCLUIDO",X209="NO APLICA"),1,IF(X209="EN PROCESO",0.5,0))+
IF(Y209="PROGRAMADAS",1/2,IF(Y209="CONCLUIDAS",1,0))+
IF(OR(Z209="SI",Z209="NO APLICA"),1,0)+
IF(OR(AA209="SI",AA209="NO APLICA"),1,0)
)/9</f>
        <v>3.7037037037037035E-2</v>
      </c>
      <c r="AF209" s="91">
        <v>7</v>
      </c>
      <c r="AG209" s="103" t="s">
        <v>1832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>
        <f t="shared" si="6"/>
        <v>0</v>
      </c>
      <c r="AC210">
        <f t="shared" si="7"/>
        <v>0</v>
      </c>
      <c r="AD210" s="67"/>
      <c r="AE210" s="87">
        <f>(
IF(S210="ENVIADO A LA CE/UM",1/3,IF(S210="ENTREGADO/REVISIÓN",2/3,IF(S210="ENVIADO A TICS",1,0)))+
IF(T210="EN PROCESO",1/2,IF(T210="CONCLUIDO",1,0))+
IF(OR(U210="CONCLUIDO",U210="NO APLICA"),1,IF(U210="EN REVISIÓN CENTRAL",2/3,IF(U210="ENVIADO A LA CE/UM",1/3,0)))+
IF(OR(V210="CONCLUIDO",V210="NO APLICA"),1,IF(V210="EN REVISIÓN CENTRAL",2/3,IF(V210="ENVIADO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IF(OR(W210="CONCLUIDO",W210="NO APLICA"),1,IF(W210="EN PROCESO",0.5,0))+
IF(OR(X210="CONCLUIDO",X210="NO APLICA"),1,IF(X210="EN PROCESO",0.5,0))+
IF(Y210="PROGRAMADAS",1/2,IF(Y210="CONCLUIDAS",1,0))+
IF(OR(Z210="SI",Z210="NO APLICA"),1,0)+
IF(OR(AA210="SI",AA210="NO APLICA"),1,0)
)/9</f>
        <v>3.7037037037037035E-2</v>
      </c>
      <c r="AF210" s="91">
        <v>8</v>
      </c>
      <c r="AG210" s="103" t="s">
        <v>1833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>
        <f t="shared" si="6"/>
        <v>0</v>
      </c>
      <c r="AC211">
        <f t="shared" si="7"/>
        <v>0</v>
      </c>
      <c r="AD211" s="67"/>
      <c r="AE211" s="87">
        <f>(
IF(S211="ENVIADO A LA CE/UM",1/3,IF(S211="ENTREGADO/REVISIÓN",2/3,IF(S211="ENVIADO A TICS",1,0)))+
IF(T211="EN PROCESO",1/2,IF(T211="CONCLUIDO",1,0))+
IF(OR(U211="CONCLUIDO",U211="NO APLICA"),1,IF(U211="EN REVISIÓN CENTRAL",2/3,IF(U211="ENVIADO A LA CE/UM",1/3,0)))+
IF(OR(V211="CONCLUIDO",V211="NO APLICA"),1,IF(V211="EN REVISIÓN CENTRAL",2/3,IF(V211="ENVIADO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IF(OR(W211="CONCLUIDO",W211="NO APLICA"),1,IF(W211="EN PROCESO",0.5,0))+
IF(OR(X211="CONCLUIDO",X211="NO APLICA"),1,IF(X211="EN PROCESO",0.5,0))+
IF(Y211="PROGRAMADAS",1/2,IF(Y211="CONCLUIDAS",1,0))+
IF(OR(Z211="SI",Z211="NO APLICA"),1,0)+
IF(OR(AA211="SI",AA211="NO APLICA"),1,0)
)/9</f>
        <v>3.7037037037037035E-2</v>
      </c>
      <c r="AF211" s="91">
        <v>8</v>
      </c>
      <c r="AG211" s="103" t="s">
        <v>1833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>
        <f t="shared" si="6"/>
        <v>0</v>
      </c>
      <c r="AC212">
        <f t="shared" si="7"/>
        <v>0</v>
      </c>
      <c r="AD212" s="67"/>
      <c r="AE212" s="87">
        <f>(
IF(S212="ENVIADO A LA CE/UM",1/3,IF(S212="ENTREGADO/REVISIÓN",2/3,IF(S212="ENVIADO A TICS",1,0)))+
IF(T212="EN PROCESO",1/2,IF(T212="CONCLUIDO",1,0))+
IF(OR(U212="CONCLUIDO",U212="NO APLICA"),1,IF(U212="EN REVISIÓN CENTRAL",2/3,IF(U212="ENVIADO A LA CE/UM",1/3,0)))+
IF(OR(V212="CONCLUIDO",V212="NO APLICA"),1,IF(V212="EN REVISIÓN CENTRAL",2/3,IF(V212="ENVIADO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IF(OR(W212="CONCLUIDO",W212="NO APLICA"),1,IF(W212="EN PROCESO",0.5,0))+
IF(OR(X212="CONCLUIDO",X212="NO APLICA"),1,IF(X212="EN PROCESO",0.5,0))+
IF(Y212="PROGRAMADAS",1/2,IF(Y212="CONCLUIDAS",1,0))+
IF(OR(Z212="SI",Z212="NO APLICA"),1,0)+
IF(OR(AA212="SI",AA212="NO APLICA"),1,0)
)/9</f>
        <v>3.7037037037037035E-2</v>
      </c>
      <c r="AF212" s="91">
        <v>8</v>
      </c>
      <c r="AG212" s="103" t="s">
        <v>1833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>
        <f t="shared" si="6"/>
        <v>0</v>
      </c>
      <c r="AC213">
        <f t="shared" si="7"/>
        <v>0</v>
      </c>
      <c r="AD213" s="67"/>
      <c r="AE213" s="87">
        <f>(
IF(S213="ENVIADO A LA CE/UM",1/3,IF(S213="ENTREGADO/REVISIÓN",2/3,IF(S213="ENVIADO A TICS",1,0)))+
IF(T213="EN PROCESO",1/2,IF(T213="CONCLUIDO",1,0))+
IF(OR(U213="CONCLUIDO",U213="NO APLICA"),1,IF(U213="EN REVISIÓN CENTRAL",2/3,IF(U213="ENVIADO A LA CE/UM",1/3,0)))+
IF(OR(V213="CONCLUIDO",V213="NO APLICA"),1,IF(V213="EN REVISIÓN CENTRAL",2/3,IF(V213="ENVIADO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IF(OR(W213="CONCLUIDO",W213="NO APLICA"),1,IF(W213="EN PROCESO",0.5,0))+
IF(OR(X213="CONCLUIDO",X213="NO APLICA"),1,IF(X213="EN PROCESO",0.5,0))+
IF(Y213="PROGRAMADAS",1/2,IF(Y213="CONCLUIDAS",1,0))+
IF(OR(Z213="SI",Z213="NO APLICA"),1,0)+
IF(OR(AA213="SI",AA213="NO APLICA"),1,0)
)/9</f>
        <v>3.7037037037037035E-2</v>
      </c>
      <c r="AF213" s="91">
        <v>8</v>
      </c>
      <c r="AG213" s="103" t="s">
        <v>1833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>
        <f t="shared" si="6"/>
        <v>0</v>
      </c>
      <c r="AC214">
        <f t="shared" si="7"/>
        <v>0</v>
      </c>
      <c r="AD214" s="67"/>
      <c r="AE214" s="87">
        <f>(
IF(S214="ENVIADO A LA CE/UM",1/3,IF(S214="ENTREGADO/REVISIÓN",2/3,IF(S214="ENVIADO A TICS",1,0)))+
IF(T214="EN PROCESO",1/2,IF(T214="CONCLUIDO",1,0))+
IF(OR(U214="CONCLUIDO",U214="NO APLICA"),1,IF(U214="EN REVISIÓN CENTRAL",2/3,IF(U214="ENVIADO A LA CE/UM",1/3,0)))+
IF(OR(V214="CONCLUIDO",V214="NO APLICA"),1,IF(V214="EN REVISIÓN CENTRAL",2/3,IF(V214="ENVIADO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IF(OR(W214="CONCLUIDO",W214="NO APLICA"),1,IF(W214="EN PROCESO",0.5,0))+
IF(OR(X214="CONCLUIDO",X214="NO APLICA"),1,IF(X214="EN PROCESO",0.5,0))+
IF(Y214="PROGRAMADAS",1/2,IF(Y214="CONCLUIDAS",1,0))+
IF(OR(Z214="SI",Z214="NO APLICA"),1,0)+
IF(OR(AA214="SI",AA214="NO APLICA"),1,0)
)/9</f>
        <v>3.7037037037037035E-2</v>
      </c>
      <c r="AF214" s="91">
        <v>8</v>
      </c>
      <c r="AG214" s="103" t="s">
        <v>1833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>
        <f t="shared" si="6"/>
        <v>0</v>
      </c>
      <c r="AC215">
        <f t="shared" si="7"/>
        <v>0</v>
      </c>
      <c r="AD215" s="67"/>
      <c r="AE215" s="87">
        <f>(
IF(S215="ENVIADO A LA CE/UM",1/3,IF(S215="ENTREGADO/REVISIÓN",2/3,IF(S215="ENVIADO A TICS",1,0)))+
IF(T215="EN PROCESO",1/2,IF(T215="CONCLUIDO",1,0))+
IF(OR(U215="CONCLUIDO",U215="NO APLICA"),1,IF(U215="EN REVISIÓN CENTRAL",2/3,IF(U215="ENVIADO A LA CE/UM",1/3,0)))+
IF(OR(V215="CONCLUIDO",V215="NO APLICA"),1,IF(V215="EN REVISIÓN CENTRAL",2/3,IF(V215="ENVIADO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IF(OR(W215="CONCLUIDO",W215="NO APLICA"),1,IF(W215="EN PROCESO",0.5,0))+
IF(OR(X215="CONCLUIDO",X215="NO APLICA"),1,IF(X215="EN PROCESO",0.5,0))+
IF(Y215="PROGRAMADAS",1/2,IF(Y215="CONCLUIDAS",1,0))+
IF(OR(Z215="SI",Z215="NO APLICA"),1,0)+
IF(OR(AA215="SI",AA215="NO APLICA"),1,0)
)/9</f>
        <v>3.7037037037037035E-2</v>
      </c>
      <c r="AF215" s="91">
        <v>8</v>
      </c>
      <c r="AG215" s="103" t="s">
        <v>1833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>
        <f t="shared" si="6"/>
        <v>0</v>
      </c>
      <c r="AC216">
        <f t="shared" si="7"/>
        <v>0</v>
      </c>
      <c r="AD216" s="67"/>
      <c r="AE216" s="87">
        <f>(
IF(S216="ENVIADO A LA CE/UM",1/3,IF(S216="ENTREGADO/REVISIÓN",2/3,IF(S216="ENVIADO A TICS",1,0)))+
IF(T216="EN PROCESO",1/2,IF(T216="CONCLUIDO",1,0))+
IF(OR(U216="CONCLUIDO",U216="NO APLICA"),1,IF(U216="EN REVISIÓN CENTRAL",2/3,IF(U216="ENVIADO A LA CE/UM",1/3,0)))+
IF(OR(V216="CONCLUIDO",V216="NO APLICA"),1,IF(V216="EN REVISIÓN CENTRAL",2/3,IF(V216="ENVIADO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IF(OR(W216="CONCLUIDO",W216="NO APLICA"),1,IF(W216="EN PROCESO",0.5,0))+
IF(OR(X216="CONCLUIDO",X216="NO APLICA"),1,IF(X216="EN PROCESO",0.5,0))+
IF(Y216="PROGRAMADAS",1/2,IF(Y216="CONCLUIDAS",1,0))+
IF(OR(Z216="SI",Z216="NO APLICA"),1,0)+
IF(OR(AA216="SI",AA216="NO APLICA"),1,0)
)/9</f>
        <v>3.7037037037037035E-2</v>
      </c>
      <c r="AF216" s="91">
        <v>8</v>
      </c>
      <c r="AG216" s="103" t="s">
        <v>1833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>
        <f t="shared" si="6"/>
        <v>0</v>
      </c>
      <c r="AC217">
        <f t="shared" si="7"/>
        <v>0</v>
      </c>
      <c r="AD217" s="67"/>
      <c r="AE217" s="87">
        <f>(
IF(S217="ENVIADO A LA CE/UM",1/3,IF(S217="ENTREGADO/REVISIÓN",2/3,IF(S217="ENVIADO A TICS",1,0)))+
IF(T217="EN PROCESO",1/2,IF(T217="CONCLUIDO",1,0))+
IF(OR(U217="CONCLUIDO",U217="NO APLICA"),1,IF(U217="EN REVISIÓN CENTRAL",2/3,IF(U217="ENVIADO A LA CE/UM",1/3,0)))+
IF(OR(V217="CONCLUIDO",V217="NO APLICA"),1,IF(V217="EN REVISIÓN CENTRAL",2/3,IF(V217="ENVIADO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IF(OR(W217="CONCLUIDO",W217="NO APLICA"),1,IF(W217="EN PROCESO",0.5,0))+
IF(OR(X217="CONCLUIDO",X217="NO APLICA"),1,IF(X217="EN PROCESO",0.5,0))+
IF(Y217="PROGRAMADAS",1/2,IF(Y217="CONCLUIDAS",1,0))+
IF(OR(Z217="SI",Z217="NO APLICA"),1,0)+
IF(OR(AA217="SI",AA217="NO APLICA"),1,0)
)/9</f>
        <v>3.7037037037037035E-2</v>
      </c>
      <c r="AF217" s="91">
        <v>8</v>
      </c>
      <c r="AG217" s="103" t="s">
        <v>1833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>
        <f t="shared" si="6"/>
        <v>0</v>
      </c>
      <c r="AC218">
        <f t="shared" si="7"/>
        <v>0</v>
      </c>
      <c r="AD218" s="67"/>
      <c r="AE218" s="87">
        <f>(
IF(S218="ENVIADO A LA CE/UM",1/3,IF(S218="ENTREGADO/REVISIÓN",2/3,IF(S218="ENVIADO A TICS",1,0)))+
IF(T218="EN PROCESO",1/2,IF(T218="CONCLUIDO",1,0))+
IF(OR(U218="CONCLUIDO",U218="NO APLICA"),1,IF(U218="EN REVISIÓN CENTRAL",2/3,IF(U218="ENVIADO A LA CE/UM",1/3,0)))+
IF(OR(V218="CONCLUIDO",V218="NO APLICA"),1,IF(V218="EN REVISIÓN CENTRAL",2/3,IF(V218="ENVIADO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IF(OR(W218="CONCLUIDO",W218="NO APLICA"),1,IF(W218="EN PROCESO",0.5,0))+
IF(OR(X218="CONCLUIDO",X218="NO APLICA"),1,IF(X218="EN PROCESO",0.5,0))+
IF(Y218="PROGRAMADAS",1/2,IF(Y218="CONCLUIDAS",1,0))+
IF(OR(Z218="SI",Z218="NO APLICA"),1,0)+
IF(OR(AA218="SI",AA218="NO APLICA"),1,0)
)/9</f>
        <v>0.77777777777777779</v>
      </c>
      <c r="AF218" s="91">
        <v>10</v>
      </c>
      <c r="AG218" s="104" t="s">
        <v>1780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>
        <f t="shared" si="6"/>
        <v>0</v>
      </c>
      <c r="AC219">
        <f t="shared" si="7"/>
        <v>0</v>
      </c>
      <c r="AD219" s="67"/>
      <c r="AE219" s="87">
        <f>(
IF(S219="ENVIADO A LA CE/UM",1/3,IF(S219="ENTREGADO/REVISIÓN",2/3,IF(S219="ENVIADO A TICS",1,0)))+
IF(T219="EN PROCESO",1/2,IF(T219="CONCLUIDO",1,0))+
IF(OR(U219="CONCLUIDO",U219="NO APLICA"),1,IF(U219="EN REVISIÓN CENTRAL",2/3,IF(U219="ENVIADO A LA CE/UM",1/3,0)))+
IF(OR(V219="CONCLUIDO",V219="NO APLICA"),1,IF(V219="EN REVISIÓN CENTRAL",2/3,IF(V219="ENVIADO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IF(OR(W219="CONCLUIDO",W219="NO APLICA"),1,IF(W219="EN PROCESO",0.5,0))+
IF(OR(X219="CONCLUIDO",X219="NO APLICA"),1,IF(X219="EN PROCESO",0.5,0))+
IF(Y219="PROGRAMADAS",1/2,IF(Y219="CONCLUIDAS",1,0))+
IF(OR(Z219="SI",Z219="NO APLICA"),1,0)+
IF(OR(AA219="SI",AA219="NO APLICA"),1,0)
)/9</f>
        <v>0.77777777777777779</v>
      </c>
      <c r="AF219" s="91">
        <v>10</v>
      </c>
      <c r="AG219" s="104" t="s">
        <v>1780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>
        <f t="shared" si="6"/>
        <v>0</v>
      </c>
      <c r="AC220">
        <f t="shared" si="7"/>
        <v>0</v>
      </c>
      <c r="AD220" s="67"/>
      <c r="AE220" s="87">
        <f>(
IF(S220="ENVIADO A LA CE/UM",1/3,IF(S220="ENTREGADO/REVISIÓN",2/3,IF(S220="ENVIADO A TICS",1,0)))+
IF(T220="EN PROCESO",1/2,IF(T220="CONCLUIDO",1,0))+
IF(OR(U220="CONCLUIDO",U220="NO APLICA"),1,IF(U220="EN REVISIÓN CENTRAL",2/3,IF(U220="ENVIADO A LA CE/UM",1/3,0)))+
IF(OR(V220="CONCLUIDO",V220="NO APLICA"),1,IF(V220="EN REVISIÓN CENTRAL",2/3,IF(V220="ENVIADO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IF(OR(W220="CONCLUIDO",W220="NO APLICA"),1,IF(W220="EN PROCESO",0.5,0))+
IF(OR(X220="CONCLUIDO",X220="NO APLICA"),1,IF(X220="EN PROCESO",0.5,0))+
IF(Y220="PROGRAMADAS",1/2,IF(Y220="CONCLUIDAS",1,0))+
IF(OR(Z220="SI",Z220="NO APLICA"),1,0)+
IF(OR(AA220="SI",AA220="NO APLICA"),1,0)
)/9</f>
        <v>0.77777777777777779</v>
      </c>
      <c r="AF220" s="91">
        <v>10</v>
      </c>
      <c r="AG220" s="104" t="s">
        <v>1780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>
        <f t="shared" si="6"/>
        <v>0</v>
      </c>
      <c r="AC221">
        <f t="shared" si="7"/>
        <v>0</v>
      </c>
      <c r="AD221" s="67"/>
      <c r="AE221" s="87">
        <f>(
IF(S221="ENVIADO A LA CE/UM",1/3,IF(S221="ENTREGADO/REVISIÓN",2/3,IF(S221="ENVIADO A TICS",1,0)))+
IF(T221="EN PROCESO",1/2,IF(T221="CONCLUIDO",1,0))+
IF(OR(U221="CONCLUIDO",U221="NO APLICA"),1,IF(U221="EN REVISIÓN CENTRAL",2/3,IF(U221="ENVIADO A LA CE/UM",1/3,0)))+
IF(OR(V221="CONCLUIDO",V221="NO APLICA"),1,IF(V221="EN REVISIÓN CENTRAL",2/3,IF(V221="ENVIADO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IF(OR(W221="CONCLUIDO",W221="NO APLICA"),1,IF(W221="EN PROCESO",0.5,0))+
IF(OR(X221="CONCLUIDO",X221="NO APLICA"),1,IF(X221="EN PROCESO",0.5,0))+
IF(Y221="PROGRAMADAS",1/2,IF(Y221="CONCLUIDAS",1,0))+
IF(OR(Z221="SI",Z221="NO APLICA"),1,0)+
IF(OR(AA221="SI",AA221="NO APLICA"),1,0)
)/9</f>
        <v>0.66666666666666663</v>
      </c>
      <c r="AF221" s="91">
        <v>3</v>
      </c>
      <c r="AG221" s="64" t="s">
        <v>1798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>
        <f t="shared" si="6"/>
        <v>0</v>
      </c>
      <c r="AC222">
        <f t="shared" si="7"/>
        <v>0</v>
      </c>
      <c r="AD222" s="67"/>
      <c r="AE222" s="87">
        <f>(
IF(S222="ENVIADO A LA CE/UM",1/3,IF(S222="ENTREGADO/REVISIÓN",2/3,IF(S222="ENVIADO A TICS",1,0)))+
IF(T222="EN PROCESO",1/2,IF(T222="CONCLUIDO",1,0))+
IF(OR(U222="CONCLUIDO",U222="NO APLICA"),1,IF(U222="EN REVISIÓN CENTRAL",2/3,IF(U222="ENVIADO A LA CE/UM",1/3,0)))+
IF(OR(V222="CONCLUIDO",V222="NO APLICA"),1,IF(V222="EN REVISIÓN CENTRAL",2/3,IF(V222="ENVIADO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IF(OR(W222="CONCLUIDO",W222="NO APLICA"),1,IF(W222="EN PROCESO",0.5,0))+
IF(OR(X222="CONCLUIDO",X222="NO APLICA"),1,IF(X222="EN PROCESO",0.5,0))+
IF(Y222="PROGRAMADAS",1/2,IF(Y222="CONCLUIDAS",1,0))+
IF(OR(Z222="SI",Z222="NO APLICA"),1,0)+
IF(OR(AA222="SI",AA222="NO APLICA"),1,0)
)/9</f>
        <v>0.31481481481481477</v>
      </c>
      <c r="AF222" s="91">
        <v>4</v>
      </c>
      <c r="AG222" s="64" t="s">
        <v>1784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46"/>
      <c r="X223" s="66"/>
      <c r="Y223" s="66"/>
      <c r="Z223" s="66"/>
      <c r="AA223" s="66"/>
      <c r="AB223">
        <f t="shared" si="6"/>
        <v>0</v>
      </c>
      <c r="AC223">
        <f t="shared" si="7"/>
        <v>0</v>
      </c>
      <c r="AD223" s="67"/>
      <c r="AE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0.31481481481481477</v>
      </c>
      <c r="AF223" s="91">
        <v>4</v>
      </c>
      <c r="AG223" s="64" t="s">
        <v>1784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6"/>
      <c r="AB224">
        <f t="shared" si="6"/>
        <v>0</v>
      </c>
      <c r="AC224">
        <f t="shared" si="7"/>
        <v>0</v>
      </c>
      <c r="AD224" s="67"/>
      <c r="AE224" s="87">
        <v>0.315</v>
      </c>
      <c r="AF224" s="91">
        <v>4</v>
      </c>
      <c r="AG224" s="64" t="s">
        <v>1784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>
        <f t="shared" si="6"/>
        <v>0</v>
      </c>
      <c r="AC225">
        <f t="shared" si="7"/>
        <v>0</v>
      </c>
      <c r="AD225" s="67"/>
      <c r="AE225" s="87">
        <f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F225" s="91">
        <v>4</v>
      </c>
      <c r="AG225" s="64" t="s">
        <v>1784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6"/>
      <c r="AB226">
        <f t="shared" si="6"/>
        <v>0</v>
      </c>
      <c r="AC226">
        <f t="shared" si="7"/>
        <v>0</v>
      </c>
      <c r="AD226" s="67"/>
      <c r="AE226" s="87">
        <f>(
IF(S226="ENVIADO A LA CE/UM",1/3,IF(S226="ENTREGADO/REVISIÓN",2/3,IF(S226="ENVIADO A TICS",1,0)))+
IF(T226="EN PROCESO",1/2,IF(T226="CONCLUIDO",1,0))+
IF(OR(U226="CONCLUIDO",U226="NO APLICA"),1,IF(U226="EN REVISIÓN CENTRAL",2/3,IF(U226="ENVIADO A LA CE/UM",1/3,0)))+
IF(OR(V226="CONCLUIDO",V226="NO APLICA"),1,IF(V226="EN REVISIÓN CENTRAL",2/3,IF(V226="ENVIADO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IF(OR(W226="CONCLUIDO",W226="NO APLICA"),1,IF(W226="EN PROCESO",0.5,0))+
IF(OR(X226="CONCLUIDO",X226="NO APLICA"),1,IF(X226="EN PROCESO",0.5,0))+
IF(Y226="PROGRAMADAS",1/2,IF(Y226="CONCLUIDAS",1,0))+
IF(OR(Z226="SI",Z226="NO APLICA"),1,0)+
IF(OR(AA226="SI",AA226="NO APLICA"),1,0)
)/9</f>
        <v>0.31481481481481477</v>
      </c>
      <c r="AF226" s="91">
        <v>4</v>
      </c>
      <c r="AG226" s="64" t="s">
        <v>1784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>
        <f t="shared" si="6"/>
        <v>0</v>
      </c>
      <c r="AC227">
        <f t="shared" si="7"/>
        <v>0</v>
      </c>
      <c r="AD227" s="67"/>
      <c r="AE227" s="87">
        <f>(
IF(S227="ENVIADO A LA CE/UM",1/3,IF(S227="ENTREGADO/REVISIÓN",2/3,IF(S227="ENVIADO A TICS",1,0)))+
IF(T227="EN PROCESO",1/2,IF(T227="CONCLUIDO",1,0))+
IF(OR(U227="CONCLUIDO",U227="NO APLICA"),1,IF(U227="EN REVISIÓN CENTRAL",2/3,IF(U227="ENVIADO A LA CE/UM",1/3,0)))+
IF(OR(V227="CONCLUIDO",V227="NO APLICA"),1,IF(V227="EN REVISIÓN CENTRAL",2/3,IF(V227="ENVIADO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IF(OR(W227="CONCLUIDO",W227="NO APLICA"),1,IF(W227="EN PROCESO",0.5,0))+
IF(OR(X227="CONCLUIDO",X227="NO APLICA"),1,IF(X227="EN PROCESO",0.5,0))+
IF(Y227="PROGRAMADAS",1/2,IF(Y227="CONCLUIDAS",1,0))+
IF(OR(Z227="SI",Z227="NO APLICA"),1,0)+
IF(OR(AA227="SI",AA227="NO APLICA"),1,0)
)/9</f>
        <v>0.31481481481481477</v>
      </c>
      <c r="AF227" s="91">
        <v>4</v>
      </c>
      <c r="AG227" s="64" t="s">
        <v>1784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213</v>
      </c>
      <c r="V228" s="66" t="s">
        <v>213</v>
      </c>
      <c r="W228" s="66"/>
      <c r="X228" s="66"/>
      <c r="Y228" s="66"/>
      <c r="Z228" s="66"/>
      <c r="AA228" s="66"/>
      <c r="AB228">
        <f t="shared" si="6"/>
        <v>0</v>
      </c>
      <c r="AC228">
        <f t="shared" si="7"/>
        <v>0</v>
      </c>
      <c r="AD228" s="67"/>
      <c r="AE228" s="87">
        <f>(
IF(S228="ENVIADO A LA CE/UM",1/3,IF(S228="ENTREGADO/REVISIÓN",2/3,IF(S228="ENVIADO A TICS",1,0)))+
IF(T228="EN PROCESO",1/2,IF(T228="CONCLUIDO",1,0))+
IF(OR(U228="CONCLUIDO",U228="NO APLICA"),1,IF(U228="EN REVISIÓN CENTRAL",2/3,IF(U228="ENVIADO A LA CE/UM",1/3,0)))+
IF(OR(V228="CONCLUIDO",V228="NO APLICA"),1,IF(V228="EN REVISIÓN CENTRAL",2/3,IF(V228="ENVIADO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IF(OR(W228="CONCLUIDO",W228="NO APLICA"),1,IF(W228="EN PROCESO",0.5,0))+
IF(OR(X228="CONCLUIDO",X228="NO APLICA"),1,IF(X228="EN PROCESO",0.5,0))+
IF(Y228="PROGRAMADAS",1/2,IF(Y228="CONCLUIDAS",1,0))+
IF(OR(Z228="SI",Z228="NO APLICA"),1,0)+
IF(OR(AA228="SI",AA228="NO APLICA"),1,0)
)/9</f>
        <v>0.31481481481481477</v>
      </c>
      <c r="AF228" s="91">
        <v>4</v>
      </c>
      <c r="AG228" s="64" t="s">
        <v>1784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>
        <f t="shared" si="6"/>
        <v>0</v>
      </c>
      <c r="AC229">
        <f t="shared" si="7"/>
        <v>0</v>
      </c>
      <c r="AD229" s="67"/>
      <c r="AE229" s="87">
        <f>(
IF(S229="ENVIADO A LA CE/UM",1/3,IF(S229="ENTREGADO/REVISIÓN",2/3,IF(S229="ENVIADO A TICS",1,0)))+
IF(T229="EN PROCESO",1/2,IF(T229="CONCLUIDO",1,0))+
IF(OR(U229="CONCLUIDO",U229="NO APLICA"),1,IF(U229="EN REVISIÓN CENTRAL",2/3,IF(U229="ENVIADO A LA CE/UM",1/3,0)))+
IF(OR(V229="CONCLUIDO",V229="NO APLICA"),1,IF(V229="EN REVISIÓN CENTRAL",2/3,IF(V229="ENVIADO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IF(OR(W229="CONCLUIDO",W229="NO APLICA"),1,IF(W229="EN PROCESO",0.5,0))+
IF(OR(X229="CONCLUIDO",X229="NO APLICA"),1,IF(X229="EN PROCESO",0.5,0))+
IF(Y229="PROGRAMADAS",1/2,IF(Y229="CONCLUIDAS",1,0))+
IF(OR(Z229="SI",Z229="NO APLICA"),1,0)+
IF(OR(AA229="SI",AA229="NO APLICA"),1,0)
)/9</f>
        <v>0.31481481481481477</v>
      </c>
      <c r="AF229" s="91">
        <v>4</v>
      </c>
      <c r="AG229" s="64" t="s">
        <v>1784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175</v>
      </c>
      <c r="Y230" s="66"/>
      <c r="Z230" s="66"/>
      <c r="AA230" s="66"/>
      <c r="AB230">
        <f t="shared" si="6"/>
        <v>0</v>
      </c>
      <c r="AC230">
        <f t="shared" si="7"/>
        <v>0</v>
      </c>
      <c r="AD230" s="67"/>
      <c r="AE230" s="87">
        <f>(
IF(S230="ENVIADO A LA CE/UM",1/3,IF(S230="ENTREGADO/REVISIÓN",2/3,IF(S230="ENVIADO A TICS",1,0)))+
IF(T230="EN PROCESO",1/2,IF(T230="CONCLUIDO",1,0))+
IF(OR(U230="CONCLUIDO",U230="NO APLICA"),1,IF(U230="EN REVISIÓN CENTRAL",2/3,IF(U230="ENVIADO A LA CE/UM",1/3,0)))+
IF(OR(V230="CONCLUIDO",V230="NO APLICA"),1,IF(V230="EN REVISIÓN CENTRAL",2/3,IF(V230="ENVIADO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IF(OR(W230="CONCLUIDO",W230="NO APLICA"),1,IF(W230="EN PROCESO",0.5,0))+
IF(OR(X230="CONCLUIDO",X230="NO APLICA"),1,IF(X230="EN PROCESO",0.5,0))+
IF(Y230="PROGRAMADAS",1/2,IF(Y230="CONCLUIDAS",1,0))+
IF(OR(Z230="SI",Z230="NO APLICA"),1,0)+
IF(OR(AA230="SI",AA230="NO APLICA"),1,0)
)/9</f>
        <v>0.55555555555555558</v>
      </c>
      <c r="AF230" s="91">
        <v>4</v>
      </c>
      <c r="AG230" s="64" t="s">
        <v>1784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213</v>
      </c>
      <c r="V231" s="66" t="s">
        <v>213</v>
      </c>
      <c r="W231" s="66"/>
      <c r="X231" s="66"/>
      <c r="Y231" s="66"/>
      <c r="Z231" s="66"/>
      <c r="AA231" s="66"/>
      <c r="AB231">
        <f t="shared" si="6"/>
        <v>0</v>
      </c>
      <c r="AC231">
        <f t="shared" si="7"/>
        <v>0</v>
      </c>
      <c r="AD231" s="67"/>
      <c r="AE231" s="87">
        <f>(
IF(S231="ENVIADO A LA CE/UM",1/3,IF(S231="ENTREGADO/REVISIÓN",2/3,IF(S231="ENVIADO A TICS",1,0)))+
IF(T231="EN PROCESO",1/2,IF(T231="CONCLUIDO",1,0))+
IF(OR(U231="CONCLUIDO",U231="NO APLICA"),1,IF(U231="EN REVISIÓN CENTRAL",2/3,IF(U231="ENVIADO A LA CE/UM",1/3,0)))+
IF(OR(V231="CONCLUIDO",V231="NO APLICA"),1,IF(V231="EN REVISIÓN CENTRAL",2/3,IF(V231="ENVIADO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IF(OR(W231="CONCLUIDO",W231="NO APLICA"),1,IF(W231="EN PROCESO",0.5,0))+
IF(OR(X231="CONCLUIDO",X231="NO APLICA"),1,IF(X231="EN PROCESO",0.5,0))+
IF(Y231="PROGRAMADAS",1/2,IF(Y231="CONCLUIDAS",1,0))+
IF(OR(Z231="SI",Z231="NO APLICA"),1,0)+
IF(OR(AA231="SI",AA231="NO APLICA"),1,0)
)/9</f>
        <v>0.31481481481481477</v>
      </c>
      <c r="AF231" s="91">
        <v>4</v>
      </c>
      <c r="AG231" s="64" t="s">
        <v>1784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>
        <f t="shared" si="6"/>
        <v>0</v>
      </c>
      <c r="AC232">
        <f t="shared" si="7"/>
        <v>0</v>
      </c>
      <c r="AD232" s="67"/>
      <c r="AE232" s="87">
        <f>(
IF(S232="ENVIADO A LA CE/UM",1/3,IF(S232="ENTREGADO/REVISIÓN",2/3,IF(S232="ENVIADO A TICS",1,0)))+
IF(T232="EN PROCESO",1/2,IF(T232="CONCLUIDO",1,0))+
IF(OR(U232="CONCLUIDO",U232="NO APLICA"),1,IF(U232="EN REVISIÓN CENTRAL",2/3,IF(U232="ENVIADO A LA CE/UM",1/3,0)))+
IF(OR(V232="CONCLUIDO",V232="NO APLICA"),1,IF(V232="EN REVISIÓN CENTRAL",2/3,IF(V232="ENVIADO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IF(OR(W232="CONCLUIDO",W232="NO APLICA"),1,IF(W232="EN PROCESO",0.5,0))+
IF(OR(X232="CONCLUIDO",X232="NO APLICA"),1,IF(X232="EN PROCESO",0.5,0))+
IF(Y232="PROGRAMADAS",1/2,IF(Y232="CONCLUIDAS",1,0))+
IF(OR(Z232="SI",Z232="NO APLICA"),1,0)+
IF(OR(AA232="SI",AA232="NO APLICA"),1,0)
)/9</f>
        <v>0.31481481481481477</v>
      </c>
      <c r="AF232" s="91">
        <v>4</v>
      </c>
      <c r="AG232" s="64" t="s">
        <v>1784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>
        <f t="shared" si="6"/>
        <v>0</v>
      </c>
      <c r="AC233">
        <f t="shared" si="7"/>
        <v>0</v>
      </c>
      <c r="AD233" s="67"/>
      <c r="AE233" s="87">
        <f>(
IF(S233="ENVIADO A LA CE/UM",1/3,IF(S233="ENTREGADO/REVISIÓN",2/3,IF(S233="ENVIADO A TICS",1,0)))+
IF(T233="EN PROCESO",1/2,IF(T233="CONCLUIDO",1,0))+
IF(OR(U233="CONCLUIDO",U233="NO APLICA"),1,IF(U233="EN REVISIÓN CENTRAL",2/3,IF(U233="ENVIADO A LA CE/UM",1/3,0)))+
IF(OR(V233="CONCLUIDO",V233="NO APLICA"),1,IF(V233="EN REVISIÓN CENTRAL",2/3,IF(V233="ENVIADO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IF(OR(W233="CONCLUIDO",W233="NO APLICA"),1,IF(W233="EN PROCESO",0.5,0))+
IF(OR(X233="CONCLUIDO",X233="NO APLICA"),1,IF(X233="EN PROCESO",0.5,0))+
IF(Y233="PROGRAMADAS",1/2,IF(Y233="CONCLUIDAS",1,0))+
IF(OR(Z233="SI",Z233="NO APLICA"),1,0)+
IF(OR(AA233="SI",AA233="NO APLICA"),1,0)
)/9</f>
        <v>0.31481481481481477</v>
      </c>
      <c r="AF233" s="91">
        <v>4</v>
      </c>
      <c r="AG233" s="64" t="s">
        <v>1784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>
        <f t="shared" si="6"/>
        <v>0</v>
      </c>
      <c r="AC234">
        <f t="shared" si="7"/>
        <v>0</v>
      </c>
      <c r="AD234" s="67"/>
      <c r="AE234" s="87">
        <f>(
IF(S234="ENVIADO A LA CE/UM",1/3,IF(S234="ENTREGADO/REVISIÓN",2/3,IF(S234="ENVIADO A TICS",1,0)))+
IF(T234="EN PROCESO",1/2,IF(T234="CONCLUIDO",1,0))+
IF(OR(U234="CONCLUIDO",U234="NO APLICA"),1,IF(U234="EN REVISIÓN CENTRAL",2/3,IF(U234="ENVIADO A LA CE/UM",1/3,0)))+
IF(OR(V234="CONCLUIDO",V234="NO APLICA"),1,IF(V234="EN REVISIÓN CENTRAL",2/3,IF(V234="ENVIADO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IF(OR(W234="CONCLUIDO",W234="NO APLICA"),1,IF(W234="EN PROCESO",0.5,0))+
IF(OR(X234="CONCLUIDO",X234="NO APLICA"),1,IF(X234="EN PROCESO",0.5,0))+
IF(Y234="PROGRAMADAS",1/2,IF(Y234="CONCLUIDAS",1,0))+
IF(OR(Z234="SI",Z234="NO APLICA"),1,0)+
IF(OR(AA234="SI",AA234="NO APLICA"),1,0)
)/9</f>
        <v>0.31481481481481477</v>
      </c>
      <c r="AF234" s="91">
        <v>4</v>
      </c>
      <c r="AG234" s="64" t="s">
        <v>1784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213</v>
      </c>
      <c r="V235" s="66" t="s">
        <v>213</v>
      </c>
      <c r="W235" s="66"/>
      <c r="X235" s="66"/>
      <c r="Y235" s="66"/>
      <c r="Z235" s="66"/>
      <c r="AA235" s="66"/>
      <c r="AB235">
        <f t="shared" si="6"/>
        <v>0</v>
      </c>
      <c r="AC235">
        <f t="shared" si="7"/>
        <v>0</v>
      </c>
      <c r="AD235" s="67"/>
      <c r="AE235" s="87">
        <f>(
IF(S235="ENVIADO A LA CE/UM",1/3,IF(S235="ENTREGADO/REVISIÓN",2/3,IF(S235="ENVIADO A TICS",1,0)))+
IF(T235="EN PROCESO",1/2,IF(T235="CONCLUIDO",1,0))+
IF(OR(U235="CONCLUIDO",U235="NO APLICA"),1,IF(U235="EN REVISIÓN CENTRAL",2/3,IF(U235="ENVIADO A LA CE/UM",1/3,0)))+
IF(OR(V235="CONCLUIDO",V235="NO APLICA"),1,IF(V235="EN REVISIÓN CENTRAL",2/3,IF(V235="ENVIADO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IF(OR(W235="CONCLUIDO",W235="NO APLICA"),1,IF(W235="EN PROCESO",0.5,0))+
IF(OR(X235="CONCLUIDO",X235="NO APLICA"),1,IF(X235="EN PROCESO",0.5,0))+
IF(Y235="PROGRAMADAS",1/2,IF(Y235="CONCLUIDAS",1,0))+
IF(OR(Z235="SI",Z235="NO APLICA"),1,0)+
IF(OR(AA235="SI",AA235="NO APLICA"),1,0)
)/9</f>
        <v>0.31481481481481477</v>
      </c>
      <c r="AF235" s="91">
        <v>4</v>
      </c>
      <c r="AG235" s="64" t="s">
        <v>1784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>
        <f t="shared" si="6"/>
        <v>0</v>
      </c>
      <c r="AC236">
        <f t="shared" si="7"/>
        <v>0</v>
      </c>
      <c r="AD236" s="67"/>
      <c r="AE236" s="87">
        <f>(
IF(S236="ENVIADO A LA CE/UM",1/3,IF(S236="ENTREGADO/REVISIÓN",2/3,IF(S236="ENVIADO A TICS",1,0)))+
IF(T236="EN PROCESO",1/2,IF(T236="CONCLUIDO",1,0))+
IF(OR(U236="CONCLUIDO",U236="NO APLICA"),1,IF(U236="EN REVISIÓN CENTRAL",2/3,IF(U236="ENVIADO A LA CE/UM",1/3,0)))+
IF(OR(V236="CONCLUIDO",V236="NO APLICA"),1,IF(V236="EN REVISIÓN CENTRAL",2/3,IF(V236="ENVIADO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IF(OR(W236="CONCLUIDO",W236="NO APLICA"),1,IF(W236="EN PROCESO",0.5,0))+
IF(OR(X236="CONCLUIDO",X236="NO APLICA"),1,IF(X236="EN PROCESO",0.5,0))+
IF(Y236="PROGRAMADAS",1/2,IF(Y236="CONCLUIDAS",1,0))+
IF(OR(Z236="SI",Z236="NO APLICA"),1,0)+
IF(OR(AA236="SI",AA236="NO APLICA"),1,0)
)/9</f>
        <v>0.31481481481481477</v>
      </c>
      <c r="AF236" s="91">
        <v>4</v>
      </c>
      <c r="AG236" s="64" t="s">
        <v>1784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>
        <f t="shared" si="6"/>
        <v>0</v>
      </c>
      <c r="AC237">
        <f t="shared" si="7"/>
        <v>0</v>
      </c>
      <c r="AD237" s="67"/>
      <c r="AE237" s="87">
        <f>(
IF(S237="ENVIADO A LA CE/UM",1/3,IF(S237="ENTREGADO/REVISIÓN",2/3,IF(S237="ENVIADO A TICS",1,0)))+
IF(T237="EN PROCESO",1/2,IF(T237="CONCLUIDO",1,0))+
IF(OR(U237="CONCLUIDO",U237="NO APLICA"),1,IF(U237="EN REVISIÓN CENTRAL",2/3,IF(U237="ENVIADO A LA CE/UM",1/3,0)))+
IF(OR(V237="CONCLUIDO",V237="NO APLICA"),1,IF(V237="EN REVISIÓN CENTRAL",2/3,IF(V237="ENVIADO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IF(OR(W237="CONCLUIDO",W237="NO APLICA"),1,IF(W237="EN PROCESO",0.5,0))+
IF(OR(X237="CONCLUIDO",X237="NO APLICA"),1,IF(X237="EN PROCESO",0.5,0))+
IF(Y237="PROGRAMADAS",1/2,IF(Y237="CONCLUIDAS",1,0))+
IF(OR(Z237="SI",Z237="NO APLICA"),1,0)+
IF(OR(AA237="SI",AA237="NO APLICA"),1,0)
)/9</f>
        <v>0.31481481481481477</v>
      </c>
      <c r="AF237" s="91">
        <v>4</v>
      </c>
      <c r="AG237" s="64" t="s">
        <v>1784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>
        <f t="shared" si="6"/>
        <v>0</v>
      </c>
      <c r="AC238">
        <f t="shared" si="7"/>
        <v>0</v>
      </c>
      <c r="AD238" s="67"/>
      <c r="AE238" s="87">
        <f>(
IF(S238="ENVIADO A LA CE/UM",1/3,IF(S238="ENTREGADO/REVISIÓN",2/3,IF(S238="ENVIADO A TICS",1,0)))+
IF(T238="EN PROCESO",1/2,IF(T238="CONCLUIDO",1,0))+
IF(OR(U238="CONCLUIDO",U238="NO APLICA"),1,IF(U238="EN REVISIÓN CENTRAL",2/3,IF(U238="ENVIADO A LA CE/UM",1/3,0)))+
IF(OR(V238="CONCLUIDO",V238="NO APLICA"),1,IF(V238="EN REVISIÓN CENTRAL",2/3,IF(V238="ENVIADO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IF(OR(W238="CONCLUIDO",W238="NO APLICA"),1,IF(W238="EN PROCESO",0.5,0))+
IF(OR(X238="CONCLUIDO",X238="NO APLICA"),1,IF(X238="EN PROCESO",0.5,0))+
IF(Y238="PROGRAMADAS",1/2,IF(Y238="CONCLUIDAS",1,0))+
IF(OR(Z238="SI",Z238="NO APLICA"),1,0)+
IF(OR(AA238="SI",AA238="NO APLICA"),1,0)
)/9</f>
        <v>0.31481481481481477</v>
      </c>
      <c r="AF238" s="91">
        <v>4</v>
      </c>
      <c r="AG238" s="64" t="s">
        <v>1784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>
        <f t="shared" si="6"/>
        <v>0</v>
      </c>
      <c r="AC239">
        <f t="shared" si="7"/>
        <v>0</v>
      </c>
      <c r="AD239" s="67"/>
      <c r="AE239" s="87">
        <f>(
IF(S239="ENVIADO A LA CE/UM",1/3,IF(S239="ENTREGADO/REVISIÓN",2/3,IF(S239="ENVIADO A TICS",1,0)))+
IF(T239="EN PROCESO",1/2,IF(T239="CONCLUIDO",1,0))+
IF(OR(U239="CONCLUIDO",U239="NO APLICA"),1,IF(U239="EN REVISIÓN CENTRAL",2/3,IF(U239="ENVIADO A LA CE/UM",1/3,0)))+
IF(OR(V239="CONCLUIDO",V239="NO APLICA"),1,IF(V239="EN REVISIÓN CENTRAL",2/3,IF(V239="ENVIADO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IF(OR(W239="CONCLUIDO",W239="NO APLICA"),1,IF(W239="EN PROCESO",0.5,0))+
IF(OR(X239="CONCLUIDO",X239="NO APLICA"),1,IF(X239="EN PROCESO",0.5,0))+
IF(Y239="PROGRAMADAS",1/2,IF(Y239="CONCLUIDAS",1,0))+
IF(OR(Z239="SI",Z239="NO APLICA"),1,0)+
IF(OR(AA239="SI",AA239="NO APLICA"),1,0)
)/9</f>
        <v>0.31481481481481477</v>
      </c>
      <c r="AF239" s="91">
        <v>4</v>
      </c>
      <c r="AG239" s="64" t="s">
        <v>1784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>
        <f t="shared" si="6"/>
        <v>0</v>
      </c>
      <c r="AC240">
        <f t="shared" si="7"/>
        <v>0</v>
      </c>
      <c r="AD240" s="67"/>
      <c r="AE240" s="87">
        <f>(
IF(S240="ENVIADO A LA CE/UM",1/3,IF(S240="ENTREGADO/REVISIÓN",2/3,IF(S240="ENVIADO A TICS",1,0)))+
IF(T240="EN PROCESO",1/2,IF(T240="CONCLUIDO",1,0))+
IF(OR(U240="CONCLUIDO",U240="NO APLICA"),1,IF(U240="EN REVISIÓN CENTRAL",2/3,IF(U240="ENVIADO A LA CE/UM",1/3,0)))+
IF(OR(V240="CONCLUIDO",V240="NO APLICA"),1,IF(V240="EN REVISIÓN CENTRAL",2/3,IF(V240="ENVIADO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IF(OR(W240="CONCLUIDO",W240="NO APLICA"),1,IF(W240="EN PROCESO",0.5,0))+
IF(OR(X240="CONCLUIDO",X240="NO APLICA"),1,IF(X240="EN PROCESO",0.5,0))+
IF(Y240="PROGRAMADAS",1/2,IF(Y240="CONCLUIDAS",1,0))+
IF(OR(Z240="SI",Z240="NO APLICA"),1,0)+
IF(OR(AA240="SI",AA240="NO APLICA"),1,0)
)/9</f>
        <v>0.31481481481481477</v>
      </c>
      <c r="AF240" s="91">
        <v>4</v>
      </c>
      <c r="AG240" s="64" t="s">
        <v>1784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>
        <f t="shared" si="6"/>
        <v>0</v>
      </c>
      <c r="AC241">
        <f t="shared" si="7"/>
        <v>0</v>
      </c>
      <c r="AD241" s="67"/>
      <c r="AE241" s="87">
        <f>(
IF(S241="ENVIADO A LA CE/UM",1/3,IF(S241="ENTREGADO/REVISIÓN",2/3,IF(S241="ENVIADO A TICS",1,0)))+
IF(T241="EN PROCESO",1/2,IF(T241="CONCLUIDO",1,0))+
IF(OR(U241="CONCLUIDO",U241="NO APLICA"),1,IF(U241="EN REVISIÓN CENTRAL",2/3,IF(U241="ENVIADO A LA CE/UM",1/3,0)))+
IF(OR(V241="CONCLUIDO",V241="NO APLICA"),1,IF(V241="EN REVISIÓN CENTRAL",2/3,IF(V241="ENVIADO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IF(OR(W241="CONCLUIDO",W241="NO APLICA"),1,IF(W241="EN PROCESO",0.5,0))+
IF(OR(X241="CONCLUIDO",X241="NO APLICA"),1,IF(X241="EN PROCESO",0.5,0))+
IF(Y241="PROGRAMADAS",1/2,IF(Y241="CONCLUIDAS",1,0))+
IF(OR(Z241="SI",Z241="NO APLICA"),1,0)+
IF(OR(AA241="SI",AA241="NO APLICA"),1,0)
)/9</f>
        <v>0.31481481481481477</v>
      </c>
      <c r="AF241" s="91">
        <v>4</v>
      </c>
      <c r="AG241" s="64" t="s">
        <v>1784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>
        <f t="shared" si="6"/>
        <v>0</v>
      </c>
      <c r="AC242">
        <f t="shared" si="7"/>
        <v>0</v>
      </c>
      <c r="AD242" s="67"/>
      <c r="AE242" s="87">
        <f>(
IF(S242="ENVIADO A LA CE/UM",1/3,IF(S242="ENTREGADO/REVISIÓN",2/3,IF(S242="ENVIADO A TICS",1,0)))+
IF(T242="EN PROCESO",1/2,IF(T242="CONCLUIDO",1,0))+
IF(OR(U242="CONCLUIDO",U242="NO APLICA"),1,IF(U242="EN REVISIÓN CENTRAL",2/3,IF(U242="ENVIADO A LA CE/UM",1/3,0)))+
IF(OR(V242="CONCLUIDO",V242="NO APLICA"),1,IF(V242="EN REVISIÓN CENTRAL",2/3,IF(V242="ENVIADO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IF(OR(W242="CONCLUIDO",W242="NO APLICA"),1,IF(W242="EN PROCESO",0.5,0))+
IF(OR(X242="CONCLUIDO",X242="NO APLICA"),1,IF(X242="EN PROCESO",0.5,0))+
IF(Y242="PROGRAMADAS",1/2,IF(Y242="CONCLUIDAS",1,0))+
IF(OR(Z242="SI",Z242="NO APLICA"),1,0)+
IF(OR(AA242="SI",AA242="NO APLICA"),1,0)
)/9</f>
        <v>0.31481481481481477</v>
      </c>
      <c r="AF242" s="91">
        <v>4</v>
      </c>
      <c r="AG242" s="64" t="s">
        <v>1784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>
        <f t="shared" si="6"/>
        <v>0</v>
      </c>
      <c r="AC243">
        <f t="shared" si="7"/>
        <v>0</v>
      </c>
      <c r="AD243" s="67"/>
      <c r="AE243" s="87">
        <f>(
IF(S243="ENVIADO A LA CE/UM",1/3,IF(S243="ENTREGADO/REVISIÓN",2/3,IF(S243="ENVIADO A TICS",1,0)))+
IF(T243="EN PROCESO",1/2,IF(T243="CONCLUIDO",1,0))+
IF(OR(U243="CONCLUIDO",U243="NO APLICA"),1,IF(U243="EN REVISIÓN CENTRAL",2/3,IF(U243="ENVIADO A LA CE/UM",1/3,0)))+
IF(OR(V243="CONCLUIDO",V243="NO APLICA"),1,IF(V243="EN REVISIÓN CENTRAL",2/3,IF(V243="ENVIADO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IF(OR(W243="CONCLUIDO",W243="NO APLICA"),1,IF(W243="EN PROCESO",0.5,0))+
IF(OR(X243="CONCLUIDO",X243="NO APLICA"),1,IF(X243="EN PROCESO",0.5,0))+
IF(Y243="PROGRAMADAS",1/2,IF(Y243="CONCLUIDAS",1,0))+
IF(OR(Z243="SI",Z243="NO APLICA"),1,0)+
IF(OR(AA243="SI",AA243="NO APLICA"),1,0)
)/9</f>
        <v>0.31481481481481477</v>
      </c>
      <c r="AF243" s="91">
        <v>4</v>
      </c>
      <c r="AG243" s="64" t="s">
        <v>1784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>
        <f t="shared" si="6"/>
        <v>0</v>
      </c>
      <c r="AC244">
        <f t="shared" si="7"/>
        <v>0</v>
      </c>
      <c r="AD244" s="67"/>
      <c r="AE244" s="87">
        <f>(
IF(S244="ENVIADO A LA CE/UM",1/3,IF(S244="ENTREGADO/REVISIÓN",2/3,IF(S244="ENVIADO A TICS",1,0)))+
IF(T244="EN PROCESO",1/2,IF(T244="CONCLUIDO",1,0))+
IF(OR(U244="CONCLUIDO",U244="NO APLICA"),1,IF(U244="EN REVISIÓN CENTRAL",2/3,IF(U244="ENVIADO A LA CE/UM",1/3,0)))+
IF(OR(V244="CONCLUIDO",V244="NO APLICA"),1,IF(V244="EN REVISIÓN CENTRAL",2/3,IF(V244="ENVIADO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IF(OR(W244="CONCLUIDO",W244="NO APLICA"),1,IF(W244="EN PROCESO",0.5,0))+
IF(OR(X244="CONCLUIDO",X244="NO APLICA"),1,IF(X244="EN PROCESO",0.5,0))+
IF(Y244="PROGRAMADAS",1/2,IF(Y244="CONCLUIDAS",1,0))+
IF(OR(Z244="SI",Z244="NO APLICA"),1,0)+
IF(OR(AA244="SI",AA244="NO APLICA"),1,0)
)/9</f>
        <v>0.31481481481481477</v>
      </c>
      <c r="AF244" s="91">
        <v>4</v>
      </c>
      <c r="AG244" s="64" t="s">
        <v>1784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>
        <f t="shared" si="6"/>
        <v>0</v>
      </c>
      <c r="AC245">
        <f t="shared" si="7"/>
        <v>0</v>
      </c>
      <c r="AD245" s="67"/>
      <c r="AE245" s="87">
        <f>(
IF(S245="ENVIADO A LA CE/UM",1/3,IF(S245="ENTREGADO/REVISIÓN",2/3,IF(S245="ENVIADO A TICS",1,0)))+
IF(T245="EN PROCESO",1/2,IF(T245="CONCLUIDO",1,0))+
IF(OR(U245="CONCLUIDO",U245="NO APLICA"),1,IF(U245="EN REVISIÓN CENTRAL",2/3,IF(U245="ENVIADO A LA CE/UM",1/3,0)))+
IF(OR(V245="CONCLUIDO",V245="NO APLICA"),1,IF(V245="EN REVISIÓN CENTRAL",2/3,IF(V245="ENVIADO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IF(OR(W245="CONCLUIDO",W245="NO APLICA"),1,IF(W245="EN PROCESO",0.5,0))+
IF(OR(X245="CONCLUIDO",X245="NO APLICA"),1,IF(X245="EN PROCESO",0.5,0))+
IF(Y245="PROGRAMADAS",1/2,IF(Y245="CONCLUIDAS",1,0))+
IF(OR(Z245="SI",Z245="NO APLICA"),1,0)+
IF(OR(AA245="SI",AA245="NO APLICA"),1,0)
)/9</f>
        <v>0.5</v>
      </c>
      <c r="AF245" s="91">
        <v>4</v>
      </c>
      <c r="AG245" s="64" t="s">
        <v>1784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>
        <f t="shared" si="6"/>
        <v>0</v>
      </c>
      <c r="AC246">
        <f t="shared" si="7"/>
        <v>0</v>
      </c>
      <c r="AD246" s="67"/>
      <c r="AE246" s="87">
        <f>(
IF(S246="ENVIADO A LA CE/UM",1/3,IF(S246="ENTREGADO/REVISIÓN",2/3,IF(S246="ENVIADO A TICS",1,0)))+
IF(T246="EN PROCESO",1/2,IF(T246="CONCLUIDO",1,0))+
IF(OR(U246="CONCLUIDO",U246="NO APLICA"),1,IF(U246="EN REVISIÓN CENTRAL",2/3,IF(U246="ENVIADO A LA CE/UM",1/3,0)))+
IF(OR(V246="CONCLUIDO",V246="NO APLICA"),1,IF(V246="EN REVISIÓN CENTRAL",2/3,IF(V246="ENVIADO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IF(OR(W246="CONCLUIDO",W246="NO APLICA"),1,IF(W246="EN PROCESO",0.5,0))+
IF(OR(X246="CONCLUIDO",X246="NO APLICA"),1,IF(X246="EN PROCESO",0.5,0))+
IF(Y246="PROGRAMADAS",1/2,IF(Y246="CONCLUIDAS",1,0))+
IF(OR(Z246="SI",Z246="NO APLICA"),1,0)+
IF(OR(AA246="SI",AA246="NO APLICA"),1,0)
)/9</f>
        <v>0.31481481481481477</v>
      </c>
      <c r="AF246" s="91">
        <v>4</v>
      </c>
      <c r="AG246" s="64" t="s">
        <v>1784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213</v>
      </c>
      <c r="V247" s="66" t="s">
        <v>213</v>
      </c>
      <c r="W247" s="66"/>
      <c r="X247" s="66"/>
      <c r="Y247" s="66"/>
      <c r="Z247" s="66"/>
      <c r="AA247" s="66"/>
      <c r="AB247">
        <f t="shared" si="6"/>
        <v>0</v>
      </c>
      <c r="AC247">
        <f t="shared" si="7"/>
        <v>0</v>
      </c>
      <c r="AD247" s="67"/>
      <c r="AE247" s="87">
        <f>(
IF(S247="ENVIADO A LA CE/UM",1/3,IF(S247="ENTREGADO/REVISIÓN",2/3,IF(S247="ENVIADO A TICS",1,0)))+
IF(T247="EN PROCESO",1/2,IF(T247="CONCLUIDO",1,0))+
IF(OR(U247="CONCLUIDO",U247="NO APLICA"),1,IF(U247="EN REVISIÓN CENTRAL",2/3,IF(U247="ENVIADO A LA CE/UM",1/3,0)))+
IF(OR(V247="CONCLUIDO",V247="NO APLICA"),1,IF(V247="EN REVISIÓN CENTRAL",2/3,IF(V247="ENVIADO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IF(OR(W247="CONCLUIDO",W247="NO APLICA"),1,IF(W247="EN PROCESO",0.5,0))+
IF(OR(X247="CONCLUIDO",X247="NO APLICA"),1,IF(X247="EN PROCESO",0.5,0))+
IF(Y247="PROGRAMADAS",1/2,IF(Y247="CONCLUIDAS",1,0))+
IF(OR(Z247="SI",Z247="NO APLICA"),1,0)+
IF(OR(AA247="SI",AA247="NO APLICA"),1,0)
)/9</f>
        <v>0.31481481481481477</v>
      </c>
      <c r="AF247" s="91">
        <v>4</v>
      </c>
      <c r="AG247" s="64" t="s">
        <v>1784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>
        <f t="shared" si="6"/>
        <v>0</v>
      </c>
      <c r="AC248">
        <f t="shared" si="7"/>
        <v>0</v>
      </c>
      <c r="AD248" s="67"/>
      <c r="AE248" s="87">
        <f>(
IF(S248="ENVIADO A LA CE/UM",1/3,IF(S248="ENTREGADO/REVISIÓN",2/3,IF(S248="ENVIADO A TICS",1,0)))+
IF(T248="EN PROCESO",1/2,IF(T248="CONCLUIDO",1,0))+
IF(OR(U248="CONCLUIDO",U248="NO APLICA"),1,IF(U248="EN REVISIÓN CENTRAL",2/3,IF(U248="ENVIADO A LA CE/UM",1/3,0)))+
IF(OR(V248="CONCLUIDO",V248="NO APLICA"),1,IF(V248="EN REVISIÓN CENTRAL",2/3,IF(V248="ENVIADO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IF(OR(W248="CONCLUIDO",W248="NO APLICA"),1,IF(W248="EN PROCESO",0.5,0))+
IF(OR(X248="CONCLUIDO",X248="NO APLICA"),1,IF(X248="EN PROCESO",0.5,0))+
IF(Y248="PROGRAMADAS",1/2,IF(Y248="CONCLUIDAS",1,0))+
IF(OR(Z248="SI",Z248="NO APLICA"),1,0)+
IF(OR(AA248="SI",AA248="NO APLICA"),1,0)
)/9</f>
        <v>0.31481481481481477</v>
      </c>
      <c r="AF248" s="91">
        <v>4</v>
      </c>
      <c r="AG248" s="64" t="s">
        <v>1784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>
        <f t="shared" si="6"/>
        <v>0</v>
      </c>
      <c r="AC249">
        <f t="shared" si="7"/>
        <v>0</v>
      </c>
      <c r="AD249" s="67"/>
      <c r="AE249" s="87">
        <f>(
IF(S249="ENVIADO A LA CE/UM",1/3,IF(S249="ENTREGADO/REVISIÓN",2/3,IF(S249="ENVIADO A TICS",1,0)))+
IF(T249="EN PROCESO",1/2,IF(T249="CONCLUIDO",1,0))+
IF(OR(U249="CONCLUIDO",U249="NO APLICA"),1,IF(U249="EN REVISIÓN CENTRAL",2/3,IF(U249="ENVIADO A LA CE/UM",1/3,0)))+
IF(OR(V249="CONCLUIDO",V249="NO APLICA"),1,IF(V249="EN REVISIÓN CENTRAL",2/3,IF(V249="ENVIADO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IF(OR(W249="CONCLUIDO",W249="NO APLICA"),1,IF(W249="EN PROCESO",0.5,0))+
IF(OR(X249="CONCLUIDO",X249="NO APLICA"),1,IF(X249="EN PROCESO",0.5,0))+
IF(Y249="PROGRAMADAS",1/2,IF(Y249="CONCLUIDAS",1,0))+
IF(OR(Z249="SI",Z249="NO APLICA"),1,0)+
IF(OR(AA249="SI",AA249="NO APLICA"),1,0)
)/9</f>
        <v>0.31481481481481477</v>
      </c>
      <c r="AF249" s="91">
        <v>4</v>
      </c>
      <c r="AG249" s="64" t="s">
        <v>1784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213</v>
      </c>
      <c r="V250" s="66" t="s">
        <v>213</v>
      </c>
      <c r="W250" s="66"/>
      <c r="X250" s="66"/>
      <c r="Y250" s="66"/>
      <c r="Z250" s="66"/>
      <c r="AA250" s="66"/>
      <c r="AB250">
        <f t="shared" si="6"/>
        <v>0</v>
      </c>
      <c r="AC250">
        <f t="shared" si="7"/>
        <v>0</v>
      </c>
      <c r="AD250" s="67"/>
      <c r="AE250" s="87">
        <f>(
IF(S250="ENVIADO A LA CE/UM",1/3,IF(S250="ENTREGADO/REVISIÓN",2/3,IF(S250="ENVIADO A TICS",1,0)))+
IF(T250="EN PROCESO",1/2,IF(T250="CONCLUIDO",1,0))+
IF(OR(U250="CONCLUIDO",U250="NO APLICA"),1,IF(U250="EN REVISIÓN CENTRAL",2/3,IF(U250="ENVIADO A LA CE/UM",1/3,0)))+
IF(OR(V250="CONCLUIDO",V250="NO APLICA"),1,IF(V250="EN REVISIÓN CENTRAL",2/3,IF(V250="ENVIADO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IF(OR(W250="CONCLUIDO",W250="NO APLICA"),1,IF(W250="EN PROCESO",0.5,0))+
IF(OR(X250="CONCLUIDO",X250="NO APLICA"),1,IF(X250="EN PROCESO",0.5,0))+
IF(Y250="PROGRAMADAS",1/2,IF(Y250="CONCLUIDAS",1,0))+
IF(OR(Z250="SI",Z250="NO APLICA"),1,0)+
IF(OR(AA250="SI",AA250="NO APLICA"),1,0)
)/9</f>
        <v>0.31481481481481477</v>
      </c>
      <c r="AF250" s="91">
        <v>4</v>
      </c>
      <c r="AG250" s="64" t="s">
        <v>1784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>
        <f t="shared" si="6"/>
        <v>0</v>
      </c>
      <c r="AC251">
        <f t="shared" si="7"/>
        <v>0</v>
      </c>
      <c r="AD251" s="67"/>
      <c r="AE251" s="87">
        <f>(
IF(S251="ENVIADO A LA CE/UM",1/3,IF(S251="ENTREGADO/REVISIÓN",2/3,IF(S251="ENVIADO A TICS",1,0)))+
IF(T251="EN PROCESO",1/2,IF(T251="CONCLUIDO",1,0))+
IF(OR(U251="CONCLUIDO",U251="NO APLICA"),1,IF(U251="EN REVISIÓN CENTRAL",2/3,IF(U251="ENVIADO A LA CE/UM",1/3,0)))+
IF(OR(V251="CONCLUIDO",V251="NO APLICA"),1,IF(V251="EN REVISIÓN CENTRAL",2/3,IF(V251="ENVIADO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IF(OR(W251="CONCLUIDO",W251="NO APLICA"),1,IF(W251="EN PROCESO",0.5,0))+
IF(OR(X251="CONCLUIDO",X251="NO APLICA"),1,IF(X251="EN PROCESO",0.5,0))+
IF(Y251="PROGRAMADAS",1/2,IF(Y251="CONCLUIDAS",1,0))+
IF(OR(Z251="SI",Z251="NO APLICA"),1,0)+
IF(OR(AA251="SI",AA251="NO APLICA"),1,0)
)/9</f>
        <v>0.31481481481481477</v>
      </c>
      <c r="AF251" s="91">
        <v>4</v>
      </c>
      <c r="AG251" s="64" t="s">
        <v>1784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213</v>
      </c>
      <c r="V252" s="66" t="s">
        <v>213</v>
      </c>
      <c r="W252" s="66"/>
      <c r="X252" s="66"/>
      <c r="Y252" s="66"/>
      <c r="Z252" s="66"/>
      <c r="AA252" s="66"/>
      <c r="AB252">
        <f t="shared" si="6"/>
        <v>0</v>
      </c>
      <c r="AC252">
        <f t="shared" si="7"/>
        <v>0</v>
      </c>
      <c r="AD252" s="67"/>
      <c r="AE252" s="87">
        <f>(
IF(S252="ENVIADO A LA CE/UM",1/3,IF(S252="ENTREGADO/REVISIÓN",2/3,IF(S252="ENVIADO A TICS",1,0)))+
IF(T252="EN PROCESO",1/2,IF(T252="CONCLUIDO",1,0))+
IF(OR(U252="CONCLUIDO",U252="NO APLICA"),1,IF(U252="EN REVISIÓN CENTRAL",2/3,IF(U252="ENVIADO A LA CE/UM",1/3,0)))+
IF(OR(V252="CONCLUIDO",V252="NO APLICA"),1,IF(V252="EN REVISIÓN CENTRAL",2/3,IF(V252="ENVIADO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IF(OR(W252="CONCLUIDO",W252="NO APLICA"),1,IF(W252="EN PROCESO",0.5,0))+
IF(OR(X252="CONCLUIDO",X252="NO APLICA"),1,IF(X252="EN PROCESO",0.5,0))+
IF(Y252="PROGRAMADAS",1/2,IF(Y252="CONCLUIDAS",1,0))+
IF(OR(Z252="SI",Z252="NO APLICA"),1,0)+
IF(OR(AA252="SI",AA252="NO APLICA"),1,0)
)/9</f>
        <v>0.31481481481481477</v>
      </c>
      <c r="AF252" s="91">
        <v>4</v>
      </c>
      <c r="AG252" s="64" t="s">
        <v>1784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>
        <f t="shared" si="6"/>
        <v>0</v>
      </c>
      <c r="AC253">
        <f t="shared" si="7"/>
        <v>0</v>
      </c>
      <c r="AD253" s="67"/>
      <c r="AE253" s="87">
        <f>(
IF(S253="ENVIADO A LA CE/UM",1/3,IF(S253="ENTREGADO/REVISIÓN",2/3,IF(S253="ENVIADO A TICS",1,0)))+
IF(T253="EN PROCESO",1/2,IF(T253="CONCLUIDO",1,0))+
IF(OR(U253="CONCLUIDO",U253="NO APLICA"),1,IF(U253="EN REVISIÓN CENTRAL",2/3,IF(U253="ENVIADO A LA CE/UM",1/3,0)))+
IF(OR(V253="CONCLUIDO",V253="NO APLICA"),1,IF(V253="EN REVISIÓN CENTRAL",2/3,IF(V253="ENVIADO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IF(OR(W253="CONCLUIDO",W253="NO APLICA"),1,IF(W253="EN PROCESO",0.5,0))+
IF(OR(X253="CONCLUIDO",X253="NO APLICA"),1,IF(X253="EN PROCESO",0.5,0))+
IF(Y253="PROGRAMADAS",1/2,IF(Y253="CONCLUIDAS",1,0))+
IF(OR(Z253="SI",Z253="NO APLICA"),1,0)+
IF(OR(AA253="SI",AA253="NO APLICA"),1,0)
)/9</f>
        <v>0.31481481481481477</v>
      </c>
      <c r="AF253" s="91">
        <v>4</v>
      </c>
      <c r="AG253" s="64" t="s">
        <v>1784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>
        <f t="shared" si="6"/>
        <v>0</v>
      </c>
      <c r="AC254">
        <f t="shared" si="7"/>
        <v>0</v>
      </c>
      <c r="AD254" s="67"/>
      <c r="AE254" s="87">
        <f>(
IF(S254="ENVIADO A LA CE/UM",1/3,IF(S254="ENTREGADO/REVISIÓN",2/3,IF(S254="ENVIADO A TICS",1,0)))+
IF(T254="EN PROCESO",1/2,IF(T254="CONCLUIDO",1,0))+
IF(OR(U254="CONCLUIDO",U254="NO APLICA"),1,IF(U254="EN REVISIÓN CENTRAL",2/3,IF(U254="ENVIADO A LA CE/UM",1/3,0)))+
IF(OR(V254="CONCLUIDO",V254="NO APLICA"),1,IF(V254="EN REVISIÓN CENTRAL",2/3,IF(V254="ENVIADO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IF(OR(W254="CONCLUIDO",W254="NO APLICA"),1,IF(W254="EN PROCESO",0.5,0))+
IF(OR(X254="CONCLUIDO",X254="NO APLICA"),1,IF(X254="EN PROCESO",0.5,0))+
IF(Y254="PROGRAMADAS",1/2,IF(Y254="CONCLUIDAS",1,0))+
IF(OR(Z254="SI",Z254="NO APLICA"),1,0)+
IF(OR(AA254="SI",AA254="NO APLICA"),1,0)
)/9</f>
        <v>0.31481481481481477</v>
      </c>
      <c r="AF254" s="91">
        <v>4</v>
      </c>
      <c r="AG254" s="64" t="s">
        <v>1784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>
        <f t="shared" si="6"/>
        <v>0</v>
      </c>
      <c r="AC255">
        <f t="shared" si="7"/>
        <v>0</v>
      </c>
      <c r="AD255" s="67"/>
      <c r="AE255" s="87">
        <f>(
IF(S255="ENVIADO A LA CE/UM",1/3,IF(S255="ENTREGADO/REVISIÓN",2/3,IF(S255="ENVIADO A TICS",1,0)))+
IF(T255="EN PROCESO",1/2,IF(T255="CONCLUIDO",1,0))+
IF(OR(U255="CONCLUIDO",U255="NO APLICA"),1,IF(U255="EN REVISIÓN CENTRAL",2/3,IF(U255="ENVIADO A LA CE/UM",1/3,0)))+
IF(OR(V255="CONCLUIDO",V255="NO APLICA"),1,IF(V255="EN REVISIÓN CENTRAL",2/3,IF(V255="ENVIADO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IF(OR(W255="CONCLUIDO",W255="NO APLICA"),1,IF(W255="EN PROCESO",0.5,0))+
IF(OR(X255="CONCLUIDO",X255="NO APLICA"),1,IF(X255="EN PROCESO",0.5,0))+
IF(Y255="PROGRAMADAS",1/2,IF(Y255="CONCLUIDAS",1,0))+
IF(OR(Z255="SI",Z255="NO APLICA"),1,0)+
IF(OR(AA255="SI",AA255="NO APLICA"),1,0)
)/9</f>
        <v>0.31481481481481477</v>
      </c>
      <c r="AF255" s="91">
        <v>4</v>
      </c>
      <c r="AG255" s="64" t="s">
        <v>1784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>
        <f t="shared" si="6"/>
        <v>0</v>
      </c>
      <c r="AC256">
        <f t="shared" si="7"/>
        <v>0</v>
      </c>
      <c r="AD256" s="67"/>
      <c r="AE256" s="87">
        <f>(
IF(S256="ENVIADO A LA CE/UM",1/3,IF(S256="ENTREGADO/REVISIÓN",2/3,IF(S256="ENVIADO A TICS",1,0)))+
IF(T256="EN PROCESO",1/2,IF(T256="CONCLUIDO",1,0))+
IF(OR(U256="CONCLUIDO",U256="NO APLICA"),1,IF(U256="EN REVISIÓN CENTRAL",2/3,IF(U256="ENVIADO A LA CE/UM",1/3,0)))+
IF(OR(V256="CONCLUIDO",V256="NO APLICA"),1,IF(V256="EN REVISIÓN CENTRAL",2/3,IF(V256="ENVIADO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IF(OR(W256="CONCLUIDO",W256="NO APLICA"),1,IF(W256="EN PROCESO",0.5,0))+
IF(OR(X256="CONCLUIDO",X256="NO APLICA"),1,IF(X256="EN PROCESO",0.5,0))+
IF(Y256="PROGRAMADAS",1/2,IF(Y256="CONCLUIDAS",1,0))+
IF(OR(Z256="SI",Z256="NO APLICA"),1,0)+
IF(OR(AA256="SI",AA256="NO APLICA"),1,0)
)/9</f>
        <v>0.31481481481481477</v>
      </c>
      <c r="AF256" s="91">
        <v>4</v>
      </c>
      <c r="AG256" s="64" t="s">
        <v>1784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>
        <f t="shared" si="6"/>
        <v>0</v>
      </c>
      <c r="AC257">
        <f t="shared" si="7"/>
        <v>0</v>
      </c>
      <c r="AD257" s="67"/>
      <c r="AE257" s="87">
        <f>(
IF(S257="ENVIADO A LA CE/UM",1/3,IF(S257="ENTREGADO/REVISIÓN",2/3,IF(S257="ENVIADO A TICS",1,0)))+
IF(T257="EN PROCESO",1/2,IF(T257="CONCLUIDO",1,0))+
IF(OR(U257="CONCLUIDO",U257="NO APLICA"),1,IF(U257="EN REVISIÓN CENTRAL",2/3,IF(U257="ENVIADO A LA CE/UM",1/3,0)))+
IF(OR(V257="CONCLUIDO",V257="NO APLICA"),1,IF(V257="EN REVISIÓN CENTRAL",2/3,IF(V257="ENVIADO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IF(OR(W257="CONCLUIDO",W257="NO APLICA"),1,IF(W257="EN PROCESO",0.5,0))+
IF(OR(X257="CONCLUIDO",X257="NO APLICA"),1,IF(X257="EN PROCESO",0.5,0))+
IF(Y257="PROGRAMADAS",1/2,IF(Y257="CONCLUIDAS",1,0))+
IF(OR(Z257="SI",Z257="NO APLICA"),1,0)+
IF(OR(AA257="SI",AA257="NO APLICA"),1,0)
)/9</f>
        <v>0.31481481481481477</v>
      </c>
      <c r="AF257" s="91">
        <v>4</v>
      </c>
      <c r="AG257" s="64" t="s">
        <v>1784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213</v>
      </c>
      <c r="V258" s="66" t="s">
        <v>213</v>
      </c>
      <c r="W258" s="66"/>
      <c r="X258" s="66"/>
      <c r="Y258" s="66"/>
      <c r="Z258" s="66"/>
      <c r="AA258" s="66"/>
      <c r="AB258">
        <f t="shared" si="6"/>
        <v>0</v>
      </c>
      <c r="AC258">
        <f t="shared" si="7"/>
        <v>0</v>
      </c>
      <c r="AD258" s="67"/>
      <c r="AE258" s="87">
        <f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0.31481481481481477</v>
      </c>
      <c r="AF258" s="91">
        <v>4</v>
      </c>
      <c r="AG258" s="64" t="s">
        <v>1784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213</v>
      </c>
      <c r="V259" s="66" t="s">
        <v>213</v>
      </c>
      <c r="W259" s="66"/>
      <c r="X259" s="66"/>
      <c r="Y259" s="66"/>
      <c r="Z259" s="66"/>
      <c r="AA259" s="66"/>
      <c r="AB259">
        <f t="shared" ref="AB259:AB322" si="8">IF(OR(AND(Z259="SI",AA259="NO"),AND(Z259="NO",AA259="SI")),1,0)</f>
        <v>0</v>
      </c>
      <c r="AC259">
        <f t="shared" ref="AC259:AC322" si="9">IF(AND(OR(Z259="SI",Z259="NO APLICA"),OR(AA259="SI",AA259="NO APLICA")),1,0)</f>
        <v>0</v>
      </c>
      <c r="AD259" s="67"/>
      <c r="AE259" s="87">
        <f>(
IF(S259="ENVIADO A LA CE/UM",1/3,IF(S259="ENTREGADO/REVISIÓN",2/3,IF(S259="ENVIADO A TICS",1,0)))+
IF(T259="EN PROCESO",1/2,IF(T259="CONCLUIDO",1,0))+
IF(OR(U259="CONCLUIDO",U259="NO APLICA"),1,IF(U259="EN REVISIÓN CENTRAL",2/3,IF(U259="ENVIADO A LA CE/UM",1/3,0)))+
IF(OR(V259="CONCLUIDO",V259="NO APLICA"),1,IF(V259="EN REVISIÓN CENTRAL",2/3,IF(V259="ENVIADO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IF(OR(W259="CONCLUIDO",W259="NO APLICA"),1,IF(W259="EN PROCESO",0.5,0))+
IF(OR(X259="CONCLUIDO",X259="NO APLICA"),1,IF(X259="EN PROCESO",0.5,0))+
IF(Y259="PROGRAMADAS",1/2,IF(Y259="CONCLUIDAS",1,0))+
IF(OR(Z259="SI",Z259="NO APLICA"),1,0)+
IF(OR(AA259="SI",AA259="NO APLICA"),1,0)
)/9</f>
        <v>0.31481481481481477</v>
      </c>
      <c r="AF259" s="91">
        <v>4</v>
      </c>
      <c r="AG259" s="64" t="s">
        <v>1784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>
        <f t="shared" si="8"/>
        <v>0</v>
      </c>
      <c r="AC260">
        <f t="shared" si="9"/>
        <v>0</v>
      </c>
      <c r="AD260" s="67"/>
      <c r="AE260" s="87">
        <f>(
IF(S260="ENVIADO A LA CE/UM",1/3,IF(S260="ENTREGADO/REVISIÓN",2/3,IF(S260="ENVIADO A TICS",1,0)))+
IF(T260="EN PROCESO",1/2,IF(T260="CONCLUIDO",1,0))+
IF(OR(U260="CONCLUIDO",U260="NO APLICA"),1,IF(U260="EN REVISIÓN CENTRAL",2/3,IF(U260="ENVIADO A LA CE/UM",1/3,0)))+
IF(OR(V260="CONCLUIDO",V260="NO APLICA"),1,IF(V260="EN REVISIÓN CENTRAL",2/3,IF(V260="ENVIADO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IF(OR(W260="CONCLUIDO",W260="NO APLICA"),1,IF(W260="EN PROCESO",0.5,0))+
IF(OR(X260="CONCLUIDO",X260="NO APLICA"),1,IF(X260="EN PROCESO",0.5,0))+
IF(Y260="PROGRAMADAS",1/2,IF(Y260="CONCLUIDAS",1,0))+
IF(OR(Z260="SI",Z260="NO APLICA"),1,0)+
IF(OR(AA260="SI",AA260="NO APLICA"),1,0)
)/9</f>
        <v>0.31481481481481477</v>
      </c>
      <c r="AF260" s="91">
        <v>4</v>
      </c>
      <c r="AG260" s="64" t="s">
        <v>1784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213</v>
      </c>
      <c r="V261" s="66" t="s">
        <v>213</v>
      </c>
      <c r="W261" s="66"/>
      <c r="X261" s="66"/>
      <c r="Y261" s="66"/>
      <c r="Z261" s="66"/>
      <c r="AA261" s="66"/>
      <c r="AB261">
        <f t="shared" si="8"/>
        <v>0</v>
      </c>
      <c r="AC261">
        <f t="shared" si="9"/>
        <v>0</v>
      </c>
      <c r="AD261" s="67"/>
      <c r="AE261" s="87">
        <f>(
IF(S261="ENVIADO A LA CE/UM",1/3,IF(S261="ENTREGADO/REVISIÓN",2/3,IF(S261="ENVIADO A TICS",1,0)))+
IF(T261="EN PROCESO",1/2,IF(T261="CONCLUIDO",1,0))+
IF(OR(U261="CONCLUIDO",U261="NO APLICA"),1,IF(U261="EN REVISIÓN CENTRAL",2/3,IF(U261="ENVIADO A LA CE/UM",1/3,0)))+
IF(OR(V261="CONCLUIDO",V261="NO APLICA"),1,IF(V261="EN REVISIÓN CENTRAL",2/3,IF(V261="ENVIADO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IF(OR(W261="CONCLUIDO",W261="NO APLICA"),1,IF(W261="EN PROCESO",0.5,0))+
IF(OR(X261="CONCLUIDO",X261="NO APLICA"),1,IF(X261="EN PROCESO",0.5,0))+
IF(Y261="PROGRAMADAS",1/2,IF(Y261="CONCLUIDAS",1,0))+
IF(OR(Z261="SI",Z261="NO APLICA"),1,0)+
IF(OR(AA261="SI",AA261="NO APLICA"),1,0)
)/9</f>
        <v>0.31481481481481477</v>
      </c>
      <c r="AF261" s="91">
        <v>4</v>
      </c>
      <c r="AG261" s="64" t="s">
        <v>1784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213</v>
      </c>
      <c r="V262" s="66" t="s">
        <v>213</v>
      </c>
      <c r="W262" s="66"/>
      <c r="X262" s="66"/>
      <c r="Y262" s="66"/>
      <c r="Z262" s="66"/>
      <c r="AA262" s="66"/>
      <c r="AB262">
        <f t="shared" si="8"/>
        <v>0</v>
      </c>
      <c r="AC262">
        <f t="shared" si="9"/>
        <v>0</v>
      </c>
      <c r="AD262" s="67"/>
      <c r="AE262" s="87">
        <f>(
IF(S262="ENVIADO A LA CE/UM",1/3,IF(S262="ENTREGADO/REVISIÓN",2/3,IF(S262="ENVIADO A TICS",1,0)))+
IF(T262="EN PROCESO",1/2,IF(T262="CONCLUIDO",1,0))+
IF(OR(U262="CONCLUIDO",U262="NO APLICA"),1,IF(U262="EN REVISIÓN CENTRAL",2/3,IF(U262="ENVIADO A LA CE/UM",1/3,0)))+
IF(OR(V262="CONCLUIDO",V262="NO APLICA"),1,IF(V262="EN REVISIÓN CENTRAL",2/3,IF(V262="ENVIADO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IF(OR(W262="CONCLUIDO",W262="NO APLICA"),1,IF(W262="EN PROCESO",0.5,0))+
IF(OR(X262="CONCLUIDO",X262="NO APLICA"),1,IF(X262="EN PROCESO",0.5,0))+
IF(Y262="PROGRAMADAS",1/2,IF(Y262="CONCLUIDAS",1,0))+
IF(OR(Z262="SI",Z262="NO APLICA"),1,0)+
IF(OR(AA262="SI",AA262="NO APLICA"),1,0)
)/9</f>
        <v>0.31481481481481477</v>
      </c>
      <c r="AF262" s="91">
        <v>4</v>
      </c>
      <c r="AG262" s="64" t="s">
        <v>1784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>
        <f t="shared" si="8"/>
        <v>0</v>
      </c>
      <c r="AC263">
        <f t="shared" si="9"/>
        <v>0</v>
      </c>
      <c r="AD263" s="67"/>
      <c r="AE263" s="87">
        <f>(
IF(S263="ENVIADO A LA CE/UM",1/3,IF(S263="ENTREGADO/REVISIÓN",2/3,IF(S263="ENVIADO A TICS",1,0)))+
IF(T263="EN PROCESO",1/2,IF(T263="CONCLUIDO",1,0))+
IF(OR(U263="CONCLUIDO",U263="NO APLICA"),1,IF(U263="EN REVISIÓN CENTRAL",2/3,IF(U263="ENVIADO A LA CE/UM",1/3,0)))+
IF(OR(V263="CONCLUIDO",V263="NO APLICA"),1,IF(V263="EN REVISIÓN CENTRAL",2/3,IF(V263="ENVIADO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IF(OR(W263="CONCLUIDO",W263="NO APLICA"),1,IF(W263="EN PROCESO",0.5,0))+
IF(OR(X263="CONCLUIDO",X263="NO APLICA"),1,IF(X263="EN PROCESO",0.5,0))+
IF(Y263="PROGRAMADAS",1/2,IF(Y263="CONCLUIDAS",1,0))+
IF(OR(Z263="SI",Z263="NO APLICA"),1,0)+
IF(OR(AA263="SI",AA263="NO APLICA"),1,0)
)/9</f>
        <v>0</v>
      </c>
      <c r="AF263" s="91">
        <v>3</v>
      </c>
      <c r="AG263" s="64" t="s">
        <v>1798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>
        <f t="shared" si="8"/>
        <v>0</v>
      </c>
      <c r="AC264">
        <f t="shared" si="9"/>
        <v>0</v>
      </c>
      <c r="AD264" s="67"/>
      <c r="AE264" s="87">
        <f>(
IF(S264="ENVIADO A LA CE/UM",1/3,IF(S264="ENTREGADO/REVISIÓN",2/3,IF(S264="ENVIADO A TICS",1,0)))+
IF(T264="EN PROCESO",1/2,IF(T264="CONCLUIDO",1,0))+
IF(OR(U264="CONCLUIDO",U264="NO APLICA"),1,IF(U264="EN REVISIÓN CENTRAL",2/3,IF(U264="ENVIADO A LA CE/UM",1/3,0)))+
IF(OR(V264="CONCLUIDO",V264="NO APLICA"),1,IF(V264="EN REVISIÓN CENTRAL",2/3,IF(V264="ENVIADO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IF(OR(W264="CONCLUIDO",W264="NO APLICA"),1,IF(W264="EN PROCESO",0.5,0))+
IF(OR(X264="CONCLUIDO",X264="NO APLICA"),1,IF(X264="EN PROCESO",0.5,0))+
IF(Y264="PROGRAMADAS",1/2,IF(Y264="CONCLUIDAS",1,0))+
IF(OR(Z264="SI",Z264="NO APLICA"),1,0)+
IF(OR(AA264="SI",AA264="NO APLICA"),1,0)
)/9</f>
        <v>0</v>
      </c>
      <c r="AF264" s="91">
        <v>9</v>
      </c>
      <c r="AG264" s="103" t="s">
        <v>1836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>
        <f t="shared" si="8"/>
        <v>0</v>
      </c>
      <c r="AC265">
        <f t="shared" si="9"/>
        <v>0</v>
      </c>
      <c r="AD265" s="73"/>
      <c r="AE265" s="87">
        <f>(
IF(S265="ENVIADO A LA CE/UM",1/3,IF(S265="ENTREGADO/REVISIÓN",2/3,IF(S265="ENVIADO A TICS",1,0)))+
IF(T265="EN PROCESO",1/2,IF(T265="CONCLUIDO",1,0))+
IF(OR(U265="CONCLUIDO",U265="NO APLICA"),1,IF(U265="EN REVISIÓN CENTRAL",2/3,IF(U265="ENVIADO A LA CE/UM",1/3,0)))+
IF(OR(V265="CONCLUIDO",V265="NO APLICA"),1,IF(V265="EN REVISIÓN CENTRAL",2/3,IF(V265="ENVIADO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IF(OR(W265="CONCLUIDO",W265="NO APLICA"),1,IF(W265="EN PROCESO",0.5,0))+
IF(OR(X265="CONCLUIDO",X265="NO APLICA"),1,IF(X265="EN PROCESO",0.5,0))+
IF(Y265="PROGRAMADAS",1/2,IF(Y265="CONCLUIDAS",1,0))+
IF(OR(Z265="SI",Z265="NO APLICA"),1,0)+
IF(OR(AA265="SI",AA265="NO APLICA"),1,0)
)/9</f>
        <v>0.77777777777777779</v>
      </c>
      <c r="AF265" s="91">
        <v>1</v>
      </c>
      <c r="AG265" s="103" t="s">
        <v>1838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>
        <f t="shared" si="8"/>
        <v>0</v>
      </c>
      <c r="AC266">
        <f t="shared" si="9"/>
        <v>0</v>
      </c>
      <c r="AD266" s="73"/>
      <c r="AE266" s="87">
        <f>(
IF(S266="ENVIADO A LA CE/UM",1/3,IF(S266="ENTREGADO/REVISIÓN",2/3,IF(S266="ENVIADO A TICS",1,0)))+
IF(T266="EN PROCESO",1/2,IF(T266="CONCLUIDO",1,0))+
IF(OR(U266="CONCLUIDO",U266="NO APLICA"),1,IF(U266="EN REVISIÓN CENTRAL",2/3,IF(U266="ENVIADO A LA CE/UM",1/3,0)))+
IF(OR(V266="CONCLUIDO",V266="NO APLICA"),1,IF(V266="EN REVISIÓN CENTRAL",2/3,IF(V266="ENVIADO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IF(OR(W266="CONCLUIDO",W266="NO APLICA"),1,IF(W266="EN PROCESO",0.5,0))+
IF(OR(X266="CONCLUIDO",X266="NO APLICA"),1,IF(X266="EN PROCESO",0.5,0))+
IF(Y266="PROGRAMADAS",1/2,IF(Y266="CONCLUIDAS",1,0))+
IF(OR(Z266="SI",Z266="NO APLICA"),1,0)+
IF(OR(AA266="SI",AA266="NO APLICA"),1,0)
)/9</f>
        <v>0.77777777777777779</v>
      </c>
      <c r="AF266" s="91">
        <v>1</v>
      </c>
      <c r="AG266" s="103" t="s">
        <v>1838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>
        <f t="shared" si="8"/>
        <v>0</v>
      </c>
      <c r="AC267">
        <f t="shared" si="9"/>
        <v>0</v>
      </c>
      <c r="AD267" s="73"/>
      <c r="AE267" s="87">
        <f>(
IF(S267="ENVIADO A LA CE/UM",1/3,IF(S267="ENTREGADO/REVISIÓN",2/3,IF(S267="ENVIADO A TICS",1,0)))+
IF(T267="EN PROCESO",1/2,IF(T267="CONCLUIDO",1,0))+
IF(OR(U267="CONCLUIDO",U267="NO APLICA"),1,IF(U267="EN REVISIÓN CENTRAL",2/3,IF(U267="ENVIADO A LA CE/UM",1/3,0)))+
IF(OR(V267="CONCLUIDO",V267="NO APLICA"),1,IF(V267="EN REVISIÓN CENTRAL",2/3,IF(V267="ENVIADO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IF(OR(W267="CONCLUIDO",W267="NO APLICA"),1,IF(W267="EN PROCESO",0.5,0))+
IF(OR(X267="CONCLUIDO",X267="NO APLICA"),1,IF(X267="EN PROCESO",0.5,0))+
IF(Y267="PROGRAMADAS",1/2,IF(Y267="CONCLUIDAS",1,0))+
IF(OR(Z267="SI",Z267="NO APLICA"),1,0)+
IF(OR(AA267="SI",AA267="NO APLICA"),1,0)
)/9</f>
        <v>0.77777777777777779</v>
      </c>
      <c r="AF267" s="91">
        <v>1</v>
      </c>
      <c r="AG267" s="103" t="s">
        <v>1838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>
        <f t="shared" si="8"/>
        <v>0</v>
      </c>
      <c r="AC268">
        <f t="shared" si="9"/>
        <v>0</v>
      </c>
      <c r="AD268" s="73"/>
      <c r="AE268" s="87">
        <f>(
IF(S268="ENVIADO A LA CE/UM",1/3,IF(S268="ENTREGADO/REVISIÓN",2/3,IF(S268="ENVIADO A TICS",1,0)))+
IF(T268="EN PROCESO",1/2,IF(T268="CONCLUIDO",1,0))+
IF(OR(U268="CONCLUIDO",U268="NO APLICA"),1,IF(U268="EN REVISIÓN CENTRAL",2/3,IF(U268="ENVIADO A LA CE/UM",1/3,0)))+
IF(OR(V268="CONCLUIDO",V268="NO APLICA"),1,IF(V268="EN REVISIÓN CENTRAL",2/3,IF(V268="ENVIADO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IF(OR(W268="CONCLUIDO",W268="NO APLICA"),1,IF(W268="EN PROCESO",0.5,0))+
IF(OR(X268="CONCLUIDO",X268="NO APLICA"),1,IF(X268="EN PROCESO",0.5,0))+
IF(Y268="PROGRAMADAS",1/2,IF(Y268="CONCLUIDAS",1,0))+
IF(OR(Z268="SI",Z268="NO APLICA"),1,0)+
IF(OR(AA268="SI",AA268="NO APLICA"),1,0)
)/9</f>
        <v>0.77777777777777779</v>
      </c>
      <c r="AF268" s="91">
        <v>1</v>
      </c>
      <c r="AG268" s="103" t="s">
        <v>1838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>
        <f t="shared" si="8"/>
        <v>0</v>
      </c>
      <c r="AC269">
        <f t="shared" si="9"/>
        <v>0</v>
      </c>
      <c r="AD269" s="73"/>
      <c r="AE269" s="87">
        <f>(
IF(S269="ENVIADO A LA CE/UM",1/3,IF(S269="ENTREGADO/REVISIÓN",2/3,IF(S269="ENVIADO A TICS",1,0)))+
IF(T269="EN PROCESO",1/2,IF(T269="CONCLUIDO",1,0))+
IF(OR(U269="CONCLUIDO",U269="NO APLICA"),1,IF(U269="EN REVISIÓN CENTRAL",2/3,IF(U269="ENVIADO A LA CE/UM",1/3,0)))+
IF(OR(V269="CONCLUIDO",V269="NO APLICA"),1,IF(V269="EN REVISIÓN CENTRAL",2/3,IF(V269="ENVIADO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IF(OR(W269="CONCLUIDO",W269="NO APLICA"),1,IF(W269="EN PROCESO",0.5,0))+
IF(OR(X269="CONCLUIDO",X269="NO APLICA"),1,IF(X269="EN PROCESO",0.5,0))+
IF(Y269="PROGRAMADAS",1/2,IF(Y269="CONCLUIDAS",1,0))+
IF(OR(Z269="SI",Z269="NO APLICA"),1,0)+
IF(OR(AA269="SI",AA269="NO APLICA"),1,0)
)/9</f>
        <v>0.77777777777777779</v>
      </c>
      <c r="AF269" s="91">
        <v>1</v>
      </c>
      <c r="AG269" s="103" t="s">
        <v>1838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>
        <f t="shared" si="8"/>
        <v>0</v>
      </c>
      <c r="AC270">
        <f t="shared" si="9"/>
        <v>1</v>
      </c>
      <c r="AD270" s="73"/>
      <c r="AE270" s="87">
        <f>(
IF(S270="ENVIADO A LA CE/UM",1/3,IF(S270="ENTREGADO/REVISIÓN",2/3,IF(S270="ENVIADO A TICS",1,0)))+
IF(T270="EN PROCESO",1/2,IF(T270="CONCLUIDO",1,0))+
IF(OR(U270="CONCLUIDO",U270="NO APLICA"),1,IF(U270="EN REVISIÓN CENTRAL",2/3,IF(U270="ENVIADO A LA CE/UM",1/3,0)))+
IF(OR(V270="CONCLUIDO",V270="NO APLICA"),1,IF(V270="EN REVISIÓN CENTRAL",2/3,IF(V270="ENVIADO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IF(OR(W270="CONCLUIDO",W270="NO APLICA"),1,IF(W270="EN PROCESO",0.5,0))+
IF(OR(X270="CONCLUIDO",X270="NO APLICA"),1,IF(X270="EN PROCESO",0.5,0))+
IF(Y270="PROGRAMADAS",1/2,IF(Y270="CONCLUIDAS",1,0))+
IF(OR(Z270="SI",Z270="NO APLICA"),1,0)+
IF(OR(AA270="SI",AA270="NO APLICA"),1,0)
)/9</f>
        <v>1</v>
      </c>
      <c r="AF270" s="91">
        <v>1</v>
      </c>
      <c r="AG270" s="103" t="s">
        <v>1838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>
        <f t="shared" si="8"/>
        <v>0</v>
      </c>
      <c r="AC271">
        <f t="shared" si="9"/>
        <v>0</v>
      </c>
      <c r="AD271" s="73"/>
      <c r="AE271" s="87">
        <f>(
IF(S271="ENVIADO A LA CE/UM",1/3,IF(S271="ENTREGADO/REVISIÓN",2/3,IF(S271="ENVIADO A TICS",1,0)))+
IF(T271="EN PROCESO",1/2,IF(T271="CONCLUIDO",1,0))+
IF(OR(U271="CONCLUIDO",U271="NO APLICA"),1,IF(U271="EN REVISIÓN CENTRAL",2/3,IF(U271="ENVIADO A LA CE/UM",1/3,0)))+
IF(OR(V271="CONCLUIDO",V271="NO APLICA"),1,IF(V271="EN REVISIÓN CENTRAL",2/3,IF(V271="ENVIADO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IF(OR(W271="CONCLUIDO",W271="NO APLICA"),1,IF(W271="EN PROCESO",0.5,0))+
IF(OR(X271="CONCLUIDO",X271="NO APLICA"),1,IF(X271="EN PROCESO",0.5,0))+
IF(Y271="PROGRAMADAS",1/2,IF(Y271="CONCLUIDAS",1,0))+
IF(OR(Z271="SI",Z271="NO APLICA"),1,0)+
IF(OR(AA271="SI",AA271="NO APLICA"),1,0)
)/9</f>
        <v>0.72222222222222221</v>
      </c>
      <c r="AF271" s="91">
        <v>1</v>
      </c>
      <c r="AG271" s="103" t="s">
        <v>1838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>
        <f t="shared" si="8"/>
        <v>0</v>
      </c>
      <c r="AC272">
        <f t="shared" si="9"/>
        <v>0</v>
      </c>
      <c r="AD272" s="73"/>
      <c r="AE272" s="87">
        <f>(
IF(S272="ENVIADO A LA CE/UM",1/3,IF(S272="ENTREGADO/REVISIÓN",2/3,IF(S272="ENVIADO A TICS",1,0)))+
IF(T272="EN PROCESO",1/2,IF(T272="CONCLUIDO",1,0))+
IF(OR(U272="CONCLUIDO",U272="NO APLICA"),1,IF(U272="EN REVISIÓN CENTRAL",2/3,IF(U272="ENVIADO A LA CE/UM",1/3,0)))+
IF(OR(V272="CONCLUIDO",V272="NO APLICA"),1,IF(V272="EN REVISIÓN CENTRAL",2/3,IF(V272="ENVIADO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IF(OR(W272="CONCLUIDO",W272="NO APLICA"),1,IF(W272="EN PROCESO",0.5,0))+
IF(OR(X272="CONCLUIDO",X272="NO APLICA"),1,IF(X272="EN PROCESO",0.5,0))+
IF(Y272="PROGRAMADAS",1/2,IF(Y272="CONCLUIDAS",1,0))+
IF(OR(Z272="SI",Z272="NO APLICA"),1,0)+
IF(OR(AA272="SI",AA272="NO APLICA"),1,0)
)/9</f>
        <v>0.72222222222222221</v>
      </c>
      <c r="AF272" s="91">
        <v>1</v>
      </c>
      <c r="AG272" s="103" t="s">
        <v>1838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>
        <f t="shared" si="8"/>
        <v>0</v>
      </c>
      <c r="AC273">
        <f t="shared" si="9"/>
        <v>0</v>
      </c>
      <c r="AD273" s="67"/>
      <c r="AE273" s="87">
        <f>(
IF(S273="ENVIADO A LA CE/UM",1/3,IF(S273="ENTREGADO/REVISIÓN",2/3,IF(S273="ENVIADO A TICS",1,0)))+
IF(T273="EN PROCESO",1/2,IF(T273="CONCLUIDO",1,0))+
IF(OR(U273="CONCLUIDO",U273="NO APLICA"),1,IF(U273="EN REVISIÓN CENTRAL",2/3,IF(U273="ENVIADO A LA CE/UM",1/3,0)))+
IF(OR(V273="CONCLUIDO",V273="NO APLICA"),1,IF(V273="EN REVISIÓN CENTRAL",2/3,IF(V273="ENVIADO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IF(OR(W273="CONCLUIDO",W273="NO APLICA"),1,IF(W273="EN PROCESO",0.5,0))+
IF(OR(X273="CONCLUIDO",X273="NO APLICA"),1,IF(X273="EN PROCESO",0.5,0))+
IF(Y273="PROGRAMADAS",1/2,IF(Y273="CONCLUIDAS",1,0))+
IF(OR(Z273="SI",Z273="NO APLICA"),1,0)+
IF(OR(AA273="SI",AA273="NO APLICA"),1,0)
)/9</f>
        <v>0.16666666666666666</v>
      </c>
      <c r="AF273" s="91">
        <v>1</v>
      </c>
      <c r="AG273" s="103" t="s">
        <v>1839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>
        <f t="shared" si="8"/>
        <v>0</v>
      </c>
      <c r="AC274">
        <f t="shared" si="9"/>
        <v>0</v>
      </c>
      <c r="AD274" s="67"/>
      <c r="AE274" s="87">
        <f>(
IF(S274="ENVIADO A LA CE/UM",1/3,IF(S274="ENTREGADO/REVISIÓN",2/3,IF(S274="ENVIADO A TICS",1,0)))+
IF(T274="EN PROCESO",1/2,IF(T274="CONCLUIDO",1,0))+
IF(OR(U274="CONCLUIDO",U274="NO APLICA"),1,IF(U274="EN REVISIÓN CENTRAL",2/3,IF(U274="ENVIADO A LA CE/UM",1/3,0)))+
IF(OR(V274="CONCLUIDO",V274="NO APLICA"),1,IF(V274="EN REVISIÓN CENTRAL",2/3,IF(V274="ENVIADO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IF(OR(W274="CONCLUIDO",W274="NO APLICA"),1,IF(W274="EN PROCESO",0.5,0))+
IF(OR(X274="CONCLUIDO",X274="NO APLICA"),1,IF(X274="EN PROCESO",0.5,0))+
IF(Y274="PROGRAMADAS",1/2,IF(Y274="CONCLUIDAS",1,0))+
IF(OR(Z274="SI",Z274="NO APLICA"),1,0)+
IF(OR(AA274="SI",AA274="NO APLICA"),1,0)
)/9</f>
        <v>0.16666666666666666</v>
      </c>
      <c r="AF274" s="91">
        <v>1</v>
      </c>
      <c r="AG274" s="103" t="s">
        <v>1839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>
        <f t="shared" si="8"/>
        <v>0</v>
      </c>
      <c r="AC275">
        <f t="shared" si="9"/>
        <v>0</v>
      </c>
      <c r="AD275" s="67"/>
      <c r="AE275" s="87">
        <f>(
IF(S275="ENVIADO A LA CE/UM",1/3,IF(S275="ENTREGADO/REVISIÓN",2/3,IF(S275="ENVIADO A TICS",1,0)))+
IF(T275="EN PROCESO",1/2,IF(T275="CONCLUIDO",1,0))+
IF(OR(U275="CONCLUIDO",U275="NO APLICA"),1,IF(U275="EN REVISIÓN CENTRAL",2/3,IF(U275="ENVIADO A LA CE/UM",1/3,0)))+
IF(OR(V275="CONCLUIDO",V275="NO APLICA"),1,IF(V275="EN REVISIÓN CENTRAL",2/3,IF(V275="ENVIADO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IF(OR(W275="CONCLUIDO",W275="NO APLICA"),1,IF(W275="EN PROCESO",0.5,0))+
IF(OR(X275="CONCLUIDO",X275="NO APLICA"),1,IF(X275="EN PROCESO",0.5,0))+
IF(Y275="PROGRAMADAS",1/2,IF(Y275="CONCLUIDAS",1,0))+
IF(OR(Z275="SI",Z275="NO APLICA"),1,0)+
IF(OR(AA275="SI",AA275="NO APLICA"),1,0)
)/9</f>
        <v>0.16666666666666666</v>
      </c>
      <c r="AF275" s="91">
        <v>1</v>
      </c>
      <c r="AG275" s="103" t="s">
        <v>1839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>
        <f t="shared" si="8"/>
        <v>0</v>
      </c>
      <c r="AC276">
        <f t="shared" si="9"/>
        <v>0</v>
      </c>
      <c r="AD276" s="67"/>
      <c r="AE276" s="87">
        <f>(
IF(S276="ENVIADO A LA CE/UM",1/3,IF(S276="ENTREGADO/REVISIÓN",2/3,IF(S276="ENVIADO A TICS",1,0)))+
IF(T276="EN PROCESO",1/2,IF(T276="CONCLUIDO",1,0))+
IF(OR(U276="CONCLUIDO",U276="NO APLICA"),1,IF(U276="EN REVISIÓN CENTRAL",2/3,IF(U276="ENVIADO A LA CE/UM",1/3,0)))+
IF(OR(V276="CONCLUIDO",V276="NO APLICA"),1,IF(V276="EN REVISIÓN CENTRAL",2/3,IF(V276="ENVIADO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IF(OR(W276="CONCLUIDO",W276="NO APLICA"),1,IF(W276="EN PROCESO",0.5,0))+
IF(OR(X276="CONCLUIDO",X276="NO APLICA"),1,IF(X276="EN PROCESO",0.5,0))+
IF(Y276="PROGRAMADAS",1/2,IF(Y276="CONCLUIDAS",1,0))+
IF(OR(Z276="SI",Z276="NO APLICA"),1,0)+
IF(OR(AA276="SI",AA276="NO APLICA"),1,0)
)/9</f>
        <v>0.16666666666666666</v>
      </c>
      <c r="AF276" s="91">
        <v>1</v>
      </c>
      <c r="AG276" s="103" t="s">
        <v>1839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>
        <f t="shared" si="8"/>
        <v>0</v>
      </c>
      <c r="AC277">
        <f t="shared" si="9"/>
        <v>0</v>
      </c>
      <c r="AD277" s="67"/>
      <c r="AE277" s="87">
        <f>(
IF(S277="ENVIADO A LA CE/UM",1/3,IF(S277="ENTREGADO/REVISIÓN",2/3,IF(S277="ENVIADO A TICS",1,0)))+
IF(T277="EN PROCESO",1/2,IF(T277="CONCLUIDO",1,0))+
IF(OR(U277="CONCLUIDO",U277="NO APLICA"),1,IF(U277="EN REVISIÓN CENTRAL",2/3,IF(U277="ENVIADO A LA CE/UM",1/3,0)))+
IF(OR(V277="CONCLUIDO",V277="NO APLICA"),1,IF(V277="EN REVISIÓN CENTRAL",2/3,IF(V277="ENVIADO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IF(OR(W277="CONCLUIDO",W277="NO APLICA"),1,IF(W277="EN PROCESO",0.5,0))+
IF(OR(X277="CONCLUIDO",X277="NO APLICA"),1,IF(X277="EN PROCESO",0.5,0))+
IF(Y277="PROGRAMADAS",1/2,IF(Y277="CONCLUIDAS",1,0))+
IF(OR(Z277="SI",Z277="NO APLICA"),1,0)+
IF(OR(AA277="SI",AA277="NO APLICA"),1,0)
)/9</f>
        <v>0.16666666666666666</v>
      </c>
      <c r="AF277" s="91">
        <v>1</v>
      </c>
      <c r="AG277" s="103" t="s">
        <v>1839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>
        <f t="shared" si="8"/>
        <v>0</v>
      </c>
      <c r="AC278">
        <f t="shared" si="9"/>
        <v>0</v>
      </c>
      <c r="AD278" s="67"/>
      <c r="AE278" s="87">
        <f>(
IF(S278="ENVIADO A LA CE/UM",1/3,IF(S278="ENTREGADO/REVISIÓN",2/3,IF(S278="ENVIADO A TICS",1,0)))+
IF(T278="EN PROCESO",1/2,IF(T278="CONCLUIDO",1,0))+
IF(OR(U278="CONCLUIDO",U278="NO APLICA"),1,IF(U278="EN REVISIÓN CENTRAL",2/3,IF(U278="ENVIADO A LA CE/UM",1/3,0)))+
IF(OR(V278="CONCLUIDO",V278="NO APLICA"),1,IF(V278="EN REVISIÓN CENTRAL",2/3,IF(V278="ENVIADO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IF(OR(W278="CONCLUIDO",W278="NO APLICA"),1,IF(W278="EN PROCESO",0.5,0))+
IF(OR(X278="CONCLUIDO",X278="NO APLICA"),1,IF(X278="EN PROCESO",0.5,0))+
IF(Y278="PROGRAMADAS",1/2,IF(Y278="CONCLUIDAS",1,0))+
IF(OR(Z278="SI",Z278="NO APLICA"),1,0)+
IF(OR(AA278="SI",AA278="NO APLICA"),1,0)
)/9</f>
        <v>0.16666666666666666</v>
      </c>
      <c r="AF278" s="91">
        <v>1</v>
      </c>
      <c r="AG278" s="103" t="s">
        <v>1839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>
        <f t="shared" si="8"/>
        <v>0</v>
      </c>
      <c r="AC279">
        <f t="shared" si="9"/>
        <v>0</v>
      </c>
      <c r="AD279" s="67"/>
      <c r="AE279" s="87">
        <f>(
IF(S279="ENVIADO A LA CE/UM",1/3,IF(S279="ENTREGADO/REVISIÓN",2/3,IF(S279="ENVIADO A TICS",1,0)))+
IF(T279="EN PROCESO",1/2,IF(T279="CONCLUIDO",1,0))+
IF(OR(U279="CONCLUIDO",U279="NO APLICA"),1,IF(U279="EN REVISIÓN CENTRAL",2/3,IF(U279="ENVIADO A LA CE/UM",1/3,0)))+
IF(OR(V279="CONCLUIDO",V279="NO APLICA"),1,IF(V279="EN REVISIÓN CENTRAL",2/3,IF(V279="ENVIADO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IF(OR(W279="CONCLUIDO",W279="NO APLICA"),1,IF(W279="EN PROCESO",0.5,0))+
IF(OR(X279="CONCLUIDO",X279="NO APLICA"),1,IF(X279="EN PROCESO",0.5,0))+
IF(Y279="PROGRAMADAS",1/2,IF(Y279="CONCLUIDAS",1,0))+
IF(OR(Z279="SI",Z279="NO APLICA"),1,0)+
IF(OR(AA279="SI",AA279="NO APLICA"),1,0)
)/9</f>
        <v>0.16666666666666666</v>
      </c>
      <c r="AF279" s="91">
        <v>1</v>
      </c>
      <c r="AG279" s="103" t="s">
        <v>1839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>
        <f t="shared" si="8"/>
        <v>0</v>
      </c>
      <c r="AC280">
        <f t="shared" si="9"/>
        <v>0</v>
      </c>
      <c r="AD280" s="67"/>
      <c r="AE280" s="87">
        <f>(
IF(S280="ENVIADO A LA CE/UM",1/3,IF(S280="ENTREGADO/REVISIÓN",2/3,IF(S280="ENVIADO A TICS",1,0)))+
IF(T280="EN PROCESO",1/2,IF(T280="CONCLUIDO",1,0))+
IF(OR(U280="CONCLUIDO",U280="NO APLICA"),1,IF(U280="EN REVISIÓN CENTRAL",2/3,IF(U280="ENVIADO A LA CE/UM",1/3,0)))+
IF(OR(V280="CONCLUIDO",V280="NO APLICA"),1,IF(V280="EN REVISIÓN CENTRAL",2/3,IF(V280="ENVIADO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IF(OR(W280="CONCLUIDO",W280="NO APLICA"),1,IF(W280="EN PROCESO",0.5,0))+
IF(OR(X280="CONCLUIDO",X280="NO APLICA"),1,IF(X280="EN PROCESO",0.5,0))+
IF(Y280="PROGRAMADAS",1/2,IF(Y280="CONCLUIDAS",1,0))+
IF(OR(Z280="SI",Z280="NO APLICA"),1,0)+
IF(OR(AA280="SI",AA280="NO APLICA"),1,0)
)/9</f>
        <v>0.16666666666666666</v>
      </c>
      <c r="AF280" s="91">
        <v>1</v>
      </c>
      <c r="AG280" s="103" t="s">
        <v>1839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>
        <f t="shared" si="8"/>
        <v>0</v>
      </c>
      <c r="AC281">
        <f t="shared" si="9"/>
        <v>0</v>
      </c>
      <c r="AD281" s="67"/>
      <c r="AE281" s="87">
        <f>(
IF(S281="ENVIADO A LA CE/UM",1/3,IF(S281="ENTREGADO/REVISIÓN",2/3,IF(S281="ENVIADO A TICS",1,0)))+
IF(T281="EN PROCESO",1/2,IF(T281="CONCLUIDO",1,0))+
IF(OR(U281="CONCLUIDO",U281="NO APLICA"),1,IF(U281="EN REVISIÓN CENTRAL",2/3,IF(U281="ENVIADO A LA CE/UM",1/3,0)))+
IF(OR(V281="CONCLUIDO",V281="NO APLICA"),1,IF(V281="EN REVISIÓN CENTRAL",2/3,IF(V281="ENVIADO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IF(OR(W281="CONCLUIDO",W281="NO APLICA"),1,IF(W281="EN PROCESO",0.5,0))+
IF(OR(X281="CONCLUIDO",X281="NO APLICA"),1,IF(X281="EN PROCESO",0.5,0))+
IF(Y281="PROGRAMADAS",1/2,IF(Y281="CONCLUIDAS",1,0))+
IF(OR(Z281="SI",Z281="NO APLICA"),1,0)+
IF(OR(AA281="SI",AA281="NO APLICA"),1,0)
)/9</f>
        <v>0.1111111111111111</v>
      </c>
      <c r="AF281" s="91">
        <v>2</v>
      </c>
      <c r="AG281" s="103" t="s">
        <v>1840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>
        <f t="shared" si="8"/>
        <v>0</v>
      </c>
      <c r="AC282">
        <f t="shared" si="9"/>
        <v>0</v>
      </c>
      <c r="AD282" s="67" t="s">
        <v>1810</v>
      </c>
      <c r="AE282" s="87">
        <f>(
IF(S282="ENVIADO A LA CE/UM",1/3,IF(S282="ENTREGADO/REVISIÓN",2/3,IF(S282="ENVIADO A TICS",1,0)))+
IF(T282="EN PROCESO",1/2,IF(T282="CONCLUIDO",1,0))+
IF(OR(U282="CONCLUIDO",U282="NO APLICA"),1,IF(U282="EN REVISIÓN CENTRAL",2/3,IF(U282="ENVIADO A LA CE/UM",1/3,0)))+
IF(OR(V282="CONCLUIDO",V282="NO APLICA"),1,IF(V282="EN REVISIÓN CENTRAL",2/3,IF(V282="ENVIADO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IF(OR(W282="CONCLUIDO",W282="NO APLICA"),1,IF(W282="EN PROCESO",0.5,0))+
IF(OR(X282="CONCLUIDO",X282="NO APLICA"),1,IF(X282="EN PROCESO",0.5,0))+
IF(Y282="PROGRAMADAS",1/2,IF(Y282="CONCLUIDAS",1,0))+
IF(OR(Z282="SI",Z282="NO APLICA"),1,0)+
IF(OR(AA282="SI",AA282="NO APLICA"),1,0)
)/9</f>
        <v>0.1111111111111111</v>
      </c>
      <c r="AF282" s="91">
        <v>2</v>
      </c>
      <c r="AG282" s="103" t="s">
        <v>1840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>
        <f t="shared" si="8"/>
        <v>0</v>
      </c>
      <c r="AC283">
        <f t="shared" si="9"/>
        <v>0</v>
      </c>
      <c r="AD283" s="67"/>
      <c r="AE283" s="87">
        <f>(
IF(S283="ENVIADO A LA CE/UM",1/3,IF(S283="ENTREGADO/REVISIÓN",2/3,IF(S283="ENVIADO A TICS",1,0)))+
IF(T283="EN PROCESO",1/2,IF(T283="CONCLUIDO",1,0))+
IF(OR(U283="CONCLUIDO",U283="NO APLICA"),1,IF(U283="EN REVISIÓN CENTRAL",2/3,IF(U283="ENVIADO A LA CE/UM",1/3,0)))+
IF(OR(V283="CONCLUIDO",V283="NO APLICA"),1,IF(V283="EN REVISIÓN CENTRAL",2/3,IF(V283="ENVIADO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IF(OR(W283="CONCLUIDO",W283="NO APLICA"),1,IF(W283="EN PROCESO",0.5,0))+
IF(OR(X283="CONCLUIDO",X283="NO APLICA"),1,IF(X283="EN PROCESO",0.5,0))+
IF(Y283="PROGRAMADAS",1/2,IF(Y283="CONCLUIDAS",1,0))+
IF(OR(Z283="SI",Z283="NO APLICA"),1,0)+
IF(OR(AA283="SI",AA283="NO APLICA"),1,0)
)/9</f>
        <v>0.1111111111111111</v>
      </c>
      <c r="AF283" s="91">
        <v>2</v>
      </c>
      <c r="AG283" s="103" t="s">
        <v>1840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>
        <f t="shared" si="8"/>
        <v>0</v>
      </c>
      <c r="AC284">
        <f t="shared" si="9"/>
        <v>0</v>
      </c>
      <c r="AD284" s="67"/>
      <c r="AE284" s="87">
        <f>(
IF(S284="ENVIADO A LA CE/UM",1/3,IF(S284="ENTREGADO/REVISIÓN",2/3,IF(S284="ENVIADO A TICS",1,0)))+
IF(T284="EN PROCESO",1/2,IF(T284="CONCLUIDO",1,0))+
IF(OR(U284="CONCLUIDO",U284="NO APLICA"),1,IF(U284="EN REVISIÓN CENTRAL",2/3,IF(U284="ENVIADO A LA CE/UM",1/3,0)))+
IF(OR(V284="CONCLUIDO",V284="NO APLICA"),1,IF(V284="EN REVISIÓN CENTRAL",2/3,IF(V284="ENVIADO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IF(OR(W284="CONCLUIDO",W284="NO APLICA"),1,IF(W284="EN PROCESO",0.5,0))+
IF(OR(X284="CONCLUIDO",X284="NO APLICA"),1,IF(X284="EN PROCESO",0.5,0))+
IF(Y284="PROGRAMADAS",1/2,IF(Y284="CONCLUIDAS",1,0))+
IF(OR(Z284="SI",Z284="NO APLICA"),1,0)+
IF(OR(AA284="SI",AA284="NO APLICA"),1,0)
)/9</f>
        <v>0.1111111111111111</v>
      </c>
      <c r="AF284" s="91">
        <v>2</v>
      </c>
      <c r="AG284" s="103" t="s">
        <v>1840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>
        <f t="shared" si="8"/>
        <v>0</v>
      </c>
      <c r="AC285">
        <f t="shared" si="9"/>
        <v>0</v>
      </c>
      <c r="AD285" s="67"/>
      <c r="AE285" s="87">
        <f>(
IF(S285="ENVIADO A LA CE/UM",1/3,IF(S285="ENTREGADO/REVISIÓN",2/3,IF(S285="ENVIADO A TICS",1,0)))+
IF(T285="EN PROCESO",1/2,IF(T285="CONCLUIDO",1,0))+
IF(OR(U285="CONCLUIDO",U285="NO APLICA"),1,IF(U285="EN REVISIÓN CENTRAL",2/3,IF(U285="ENVIADO A LA CE/UM",1/3,0)))+
IF(OR(V285="CONCLUIDO",V285="NO APLICA"),1,IF(V285="EN REVISIÓN CENTRAL",2/3,IF(V285="ENVIADO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IF(OR(W285="CONCLUIDO",W285="NO APLICA"),1,IF(W285="EN PROCESO",0.5,0))+
IF(OR(X285="CONCLUIDO",X285="NO APLICA"),1,IF(X285="EN PROCESO",0.5,0))+
IF(Y285="PROGRAMADAS",1/2,IF(Y285="CONCLUIDAS",1,0))+
IF(OR(Z285="SI",Z285="NO APLICA"),1,0)+
IF(OR(AA285="SI",AA285="NO APLICA"),1,0)
)/9</f>
        <v>0.1111111111111111</v>
      </c>
      <c r="AF285" s="91">
        <v>2</v>
      </c>
      <c r="AG285" s="103" t="s">
        <v>1840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>
        <f t="shared" si="8"/>
        <v>0</v>
      </c>
      <c r="AC286">
        <f t="shared" si="9"/>
        <v>0</v>
      </c>
      <c r="AD286" s="67"/>
      <c r="AE286" s="87">
        <f>(
IF(S286="ENVIADO A LA CE/UM",1/3,IF(S286="ENTREGADO/REVISIÓN",2/3,IF(S286="ENVIADO A TICS",1,0)))+
IF(T286="EN PROCESO",1/2,IF(T286="CONCLUIDO",1,0))+
IF(OR(U286="CONCLUIDO",U286="NO APLICA"),1,IF(U286="EN REVISIÓN CENTRAL",2/3,IF(U286="ENVIADO A LA CE/UM",1/3,0)))+
IF(OR(V286="CONCLUIDO",V286="NO APLICA"),1,IF(V286="EN REVISIÓN CENTRAL",2/3,IF(V286="ENVIADO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IF(OR(W286="CONCLUIDO",W286="NO APLICA"),1,IF(W286="EN PROCESO",0.5,0))+
IF(OR(X286="CONCLUIDO",X286="NO APLICA"),1,IF(X286="EN PROCESO",0.5,0))+
IF(Y286="PROGRAMADAS",1/2,IF(Y286="CONCLUIDAS",1,0))+
IF(OR(Z286="SI",Z286="NO APLICA"),1,0)+
IF(OR(AA286="SI",AA286="NO APLICA"),1,0)
)/9</f>
        <v>0.1111111111111111</v>
      </c>
      <c r="AF286" s="91">
        <v>2</v>
      </c>
      <c r="AG286" s="103" t="s">
        <v>1840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>
        <f t="shared" si="8"/>
        <v>0</v>
      </c>
      <c r="AC287">
        <f t="shared" si="9"/>
        <v>0</v>
      </c>
      <c r="AD287" s="67"/>
      <c r="AE287" s="87">
        <f>(
IF(S287="ENVIADO A LA CE/UM",1/3,IF(S287="ENTREGADO/REVISIÓN",2/3,IF(S287="ENVIADO A TICS",1,0)))+
IF(T287="EN PROCESO",1/2,IF(T287="CONCLUIDO",1,0))+
IF(OR(U287="CONCLUIDO",U287="NO APLICA"),1,IF(U287="EN REVISIÓN CENTRAL",2/3,IF(U287="ENVIADO A LA CE/UM",1/3,0)))+
IF(OR(V287="CONCLUIDO",V287="NO APLICA"),1,IF(V287="EN REVISIÓN CENTRAL",2/3,IF(V287="ENVIADO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IF(OR(W287="CONCLUIDO",W287="NO APLICA"),1,IF(W287="EN PROCESO",0.5,0))+
IF(OR(X287="CONCLUIDO",X287="NO APLICA"),1,IF(X287="EN PROCESO",0.5,0))+
IF(Y287="PROGRAMADAS",1/2,IF(Y287="CONCLUIDAS",1,0))+
IF(OR(Z287="SI",Z287="NO APLICA"),1,0)+
IF(OR(AA287="SI",AA287="NO APLICA"),1,0)
)/9</f>
        <v>0.1111111111111111</v>
      </c>
      <c r="AF287" s="91">
        <v>2</v>
      </c>
      <c r="AG287" s="103" t="s">
        <v>1840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>
        <f t="shared" si="8"/>
        <v>0</v>
      </c>
      <c r="AC288">
        <f t="shared" si="9"/>
        <v>0</v>
      </c>
      <c r="AD288" s="67"/>
      <c r="AE288" s="87">
        <f>(
IF(S288="ENVIADO A LA CE/UM",1/3,IF(S288="ENTREGADO/REVISIÓN",2/3,IF(S288="ENVIADO A TICS",1,0)))+
IF(T288="EN PROCESO",1/2,IF(T288="CONCLUIDO",1,0))+
IF(OR(U288="CONCLUIDO",U288="NO APLICA"),1,IF(U288="EN REVISIÓN CENTRAL",2/3,IF(U288="ENVIADO A LA CE/UM",1/3,0)))+
IF(OR(V288="CONCLUIDO",V288="NO APLICA"),1,IF(V288="EN REVISIÓN CENTRAL",2/3,IF(V288="ENVIADO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IF(OR(W288="CONCLUIDO",W288="NO APLICA"),1,IF(W288="EN PROCESO",0.5,0))+
IF(OR(X288="CONCLUIDO",X288="NO APLICA"),1,IF(X288="EN PROCESO",0.5,0))+
IF(Y288="PROGRAMADAS",1/2,IF(Y288="CONCLUIDAS",1,0))+
IF(OR(Z288="SI",Z288="NO APLICA"),1,0)+
IF(OR(AA288="SI",AA288="NO APLICA"),1,0)
)/9</f>
        <v>0.1111111111111111</v>
      </c>
      <c r="AF288" s="91">
        <v>2</v>
      </c>
      <c r="AG288" s="103" t="s">
        <v>1840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>
        <f t="shared" si="8"/>
        <v>0</v>
      </c>
      <c r="AC289">
        <f t="shared" si="9"/>
        <v>0</v>
      </c>
      <c r="AD289" s="67"/>
      <c r="AE289" s="87">
        <f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F289" s="91">
        <v>2</v>
      </c>
      <c r="AG289" s="103" t="s">
        <v>1840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>
        <f t="shared" si="8"/>
        <v>0</v>
      </c>
      <c r="AC290">
        <f t="shared" si="9"/>
        <v>0</v>
      </c>
      <c r="AD290" s="67"/>
      <c r="AE290" s="87">
        <f>(
IF(S290="ENVIADO A LA CE/UM",1/3,IF(S290="ENTREGADO/REVISIÓN",2/3,IF(S290="ENVIADO A TICS",1,0)))+
IF(T290="EN PROCESO",1/2,IF(T290="CONCLUIDO",1,0))+
IF(OR(U290="CONCLUIDO",U290="NO APLICA"),1,IF(U290="EN REVISIÓN CENTRAL",2/3,IF(U290="ENVIADO A LA CE/UM",1/3,0)))+
IF(OR(V290="CONCLUIDO",V290="NO APLICA"),1,IF(V290="EN REVISIÓN CENTRAL",2/3,IF(V290="ENVIADO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IF(OR(W290="CONCLUIDO",W290="NO APLICA"),1,IF(W290="EN PROCESO",0.5,0))+
IF(OR(X290="CONCLUIDO",X290="NO APLICA"),1,IF(X290="EN PROCESO",0.5,0))+
IF(Y290="PROGRAMADAS",1/2,IF(Y290="CONCLUIDAS",1,0))+
IF(OR(Z290="SI",Z290="NO APLICA"),1,0)+
IF(OR(AA290="SI",AA290="NO APLICA"),1,0)
)/9</f>
        <v>0.1111111111111111</v>
      </c>
      <c r="AF290" s="91">
        <v>2</v>
      </c>
      <c r="AG290" s="103" t="s">
        <v>1840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>
        <f t="shared" si="8"/>
        <v>0</v>
      </c>
      <c r="AC291">
        <f t="shared" si="9"/>
        <v>0</v>
      </c>
      <c r="AD291" s="67"/>
      <c r="AE291" s="87">
        <f>(
IF(S291="ENVIADO A LA CE/UM",1/3,IF(S291="ENTREGADO/REVISIÓN",2/3,IF(S291="ENVIADO A TICS",1,0)))+
IF(T291="EN PROCESO",1/2,IF(T291="CONCLUIDO",1,0))+
IF(OR(U291="CONCLUIDO",U291="NO APLICA"),1,IF(U291="EN REVISIÓN CENTRAL",2/3,IF(U291="ENVIADO A LA CE/UM",1/3,0)))+
IF(OR(V291="CONCLUIDO",V291="NO APLICA"),1,IF(V291="EN REVISIÓN CENTRAL",2/3,IF(V291="ENVIADO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IF(OR(W291="CONCLUIDO",W291="NO APLICA"),1,IF(W291="EN PROCESO",0.5,0))+
IF(OR(X291="CONCLUIDO",X291="NO APLICA"),1,IF(X291="EN PROCESO",0.5,0))+
IF(Y291="PROGRAMADAS",1/2,IF(Y291="CONCLUIDAS",1,0))+
IF(OR(Z291="SI",Z291="NO APLICA"),1,0)+
IF(OR(AA291="SI",AA291="NO APLICA"),1,0)
)/9</f>
        <v>0.16666666666666666</v>
      </c>
      <c r="AF291" s="91">
        <v>1</v>
      </c>
      <c r="AG291" s="103" t="s">
        <v>1839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>
        <f t="shared" si="8"/>
        <v>0</v>
      </c>
      <c r="AC292">
        <f t="shared" si="9"/>
        <v>0</v>
      </c>
      <c r="AD292" s="67"/>
      <c r="AE292" s="87">
        <f>(
IF(S292="ENVIADO A LA CE/UM",1/3,IF(S292="ENTREGADO/REVISIÓN",2/3,IF(S292="ENVIADO A TICS",1,0)))+
IF(T292="EN PROCESO",1/2,IF(T292="CONCLUIDO",1,0))+
IF(OR(U292="CONCLUIDO",U292="NO APLICA"),1,IF(U292="EN REVISIÓN CENTRAL",2/3,IF(U292="ENVIADO A LA CE/UM",1/3,0)))+
IF(OR(V292="CONCLUIDO",V292="NO APLICA"),1,IF(V292="EN REVISIÓN CENTRAL",2/3,IF(V292="ENVIADO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IF(OR(W292="CONCLUIDO",W292="NO APLICA"),1,IF(W292="EN PROCESO",0.5,0))+
IF(OR(X292="CONCLUIDO",X292="NO APLICA"),1,IF(X292="EN PROCESO",0.5,0))+
IF(Y292="PROGRAMADAS",1/2,IF(Y292="CONCLUIDAS",1,0))+
IF(OR(Z292="SI",Z292="NO APLICA"),1,0)+
IF(OR(AA292="SI",AA292="NO APLICA"),1,0)
)/9</f>
        <v>0.1111111111111111</v>
      </c>
      <c r="AF292" s="91">
        <v>2</v>
      </c>
      <c r="AG292" s="103" t="s">
        <v>1840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>
        <f t="shared" si="8"/>
        <v>0</v>
      </c>
      <c r="AC293">
        <f t="shared" si="9"/>
        <v>0</v>
      </c>
      <c r="AD293" s="67"/>
      <c r="AE293" s="87">
        <f>(
IF(S293="ENVIADO A LA CE/UM",1/3,IF(S293="ENTREGADO/REVISIÓN",2/3,IF(S293="ENVIADO A TICS",1,0)))+
IF(T293="EN PROCESO",1/2,IF(T293="CONCLUIDO",1,0))+
IF(OR(U293="CONCLUIDO",U293="NO APLICA"),1,IF(U293="EN REVISIÓN CENTRAL",2/3,IF(U293="ENVIADO A LA CE/UM",1/3,0)))+
IF(OR(V293="CONCLUIDO",V293="NO APLICA"),1,IF(V293="EN REVISIÓN CENTRAL",2/3,IF(V293="ENVIADO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IF(OR(W293="CONCLUIDO",W293="NO APLICA"),1,IF(W293="EN PROCESO",0.5,0))+
IF(OR(X293="CONCLUIDO",X293="NO APLICA"),1,IF(X293="EN PROCESO",0.5,0))+
IF(Y293="PROGRAMADAS",1/2,IF(Y293="CONCLUIDAS",1,0))+
IF(OR(Z293="SI",Z293="NO APLICA"),1,0)+
IF(OR(AA293="SI",AA293="NO APLICA"),1,0)
)/9</f>
        <v>0.1111111111111111</v>
      </c>
      <c r="AF293" s="91">
        <v>2</v>
      </c>
      <c r="AG293" s="103" t="s">
        <v>1840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>
        <f t="shared" si="8"/>
        <v>0</v>
      </c>
      <c r="AC294">
        <f t="shared" si="9"/>
        <v>0</v>
      </c>
      <c r="AD294" s="67"/>
      <c r="AE294" s="87">
        <f>(
IF(S294="ENVIADO A LA CE/UM",1/3,IF(S294="ENTREGADO/REVISIÓN",2/3,IF(S294="ENVIADO A TICS",1,0)))+
IF(T294="EN PROCESO",1/2,IF(T294="CONCLUIDO",1,0))+
IF(OR(U294="CONCLUIDO",U294="NO APLICA"),1,IF(U294="EN REVISIÓN CENTRAL",2/3,IF(U294="ENVIADO A LA CE/UM",1/3,0)))+
IF(OR(V294="CONCLUIDO",V294="NO APLICA"),1,IF(V294="EN REVISIÓN CENTRAL",2/3,IF(V294="ENVIADO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IF(OR(W294="CONCLUIDO",W294="NO APLICA"),1,IF(W294="EN PROCESO",0.5,0))+
IF(OR(X294="CONCLUIDO",X294="NO APLICA"),1,IF(X294="EN PROCESO",0.5,0))+
IF(Y294="PROGRAMADAS",1/2,IF(Y294="CONCLUIDAS",1,0))+
IF(OR(Z294="SI",Z294="NO APLICA"),1,0)+
IF(OR(AA294="SI",AA294="NO APLICA"),1,0)
)/9</f>
        <v>0.16666666666666666</v>
      </c>
      <c r="AF294" s="91">
        <v>1</v>
      </c>
      <c r="AG294" s="103" t="s">
        <v>1839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>
        <f t="shared" si="8"/>
        <v>0</v>
      </c>
      <c r="AC295">
        <f t="shared" si="9"/>
        <v>0</v>
      </c>
      <c r="AD295" s="67"/>
      <c r="AE295" s="87">
        <f>(
IF(S295="ENVIADO A LA CE/UM",1/3,IF(S295="ENTREGADO/REVISIÓN",2/3,IF(S295="ENVIADO A TICS",1,0)))+
IF(T295="EN PROCESO",1/2,IF(T295="CONCLUIDO",1,0))+
IF(OR(U295="CONCLUIDO",U295="NO APLICA"),1,IF(U295="EN REVISIÓN CENTRAL",2/3,IF(U295="ENVIADO A LA CE/UM",1/3,0)))+
IF(OR(V295="CONCLUIDO",V295="NO APLICA"),1,IF(V295="EN REVISIÓN CENTRAL",2/3,IF(V295="ENVIADO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IF(OR(W295="CONCLUIDO",W295="NO APLICA"),1,IF(W295="EN PROCESO",0.5,0))+
IF(OR(X295="CONCLUIDO",X295="NO APLICA"),1,IF(X295="EN PROCESO",0.5,0))+
IF(Y295="PROGRAMADAS",1/2,IF(Y295="CONCLUIDAS",1,0))+
IF(OR(Z295="SI",Z295="NO APLICA"),1,0)+
IF(OR(AA295="SI",AA295="NO APLICA"),1,0)
)/9</f>
        <v>0.16666666666666666</v>
      </c>
      <c r="AF295" s="91">
        <v>1</v>
      </c>
      <c r="AG295" s="103" t="s">
        <v>1839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>
        <f t="shared" si="8"/>
        <v>0</v>
      </c>
      <c r="AC296">
        <f t="shared" si="9"/>
        <v>0</v>
      </c>
      <c r="AD296" s="67"/>
      <c r="AE296" s="87">
        <f>(
IF(S296="ENVIADO A LA CE/UM",1/3,IF(S296="ENTREGADO/REVISIÓN",2/3,IF(S296="ENVIADO A TICS",1,0)))+
IF(T296="EN PROCESO",1/2,IF(T296="CONCLUIDO",1,0))+
IF(OR(U296="CONCLUIDO",U296="NO APLICA"),1,IF(U296="EN REVISIÓN CENTRAL",2/3,IF(U296="ENVIADO A LA CE/UM",1/3,0)))+
IF(OR(V296="CONCLUIDO",V296="NO APLICA"),1,IF(V296="EN REVISIÓN CENTRAL",2/3,IF(V296="ENVIADO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IF(OR(W296="CONCLUIDO",W296="NO APLICA"),1,IF(W296="EN PROCESO",0.5,0))+
IF(OR(X296="CONCLUIDO",X296="NO APLICA"),1,IF(X296="EN PROCESO",0.5,0))+
IF(Y296="PROGRAMADAS",1/2,IF(Y296="CONCLUIDAS",1,0))+
IF(OR(Z296="SI",Z296="NO APLICA"),1,0)+
IF(OR(AA296="SI",AA296="NO APLICA"),1,0)
)/9</f>
        <v>0.16666666666666666</v>
      </c>
      <c r="AF296" s="91">
        <v>1</v>
      </c>
      <c r="AG296" s="103" t="s">
        <v>1839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>
        <f t="shared" si="8"/>
        <v>0</v>
      </c>
      <c r="AC297">
        <f t="shared" si="9"/>
        <v>0</v>
      </c>
      <c r="AD297" s="67"/>
      <c r="AE297" s="87">
        <f>(
IF(S297="ENVIADO A LA CE/UM",1/3,IF(S297="ENTREGADO/REVISIÓN",2/3,IF(S297="ENVIADO A TICS",1,0)))+
IF(T297="EN PROCESO",1/2,IF(T297="CONCLUIDO",1,0))+
IF(OR(U297="CONCLUIDO",U297="NO APLICA"),1,IF(U297="EN REVISIÓN CENTRAL",2/3,IF(U297="ENVIADO A LA CE/UM",1/3,0)))+
IF(OR(V297="CONCLUIDO",V297="NO APLICA"),1,IF(V297="EN REVISIÓN CENTRAL",2/3,IF(V297="ENVIADO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IF(OR(W297="CONCLUIDO",W297="NO APLICA"),1,IF(W297="EN PROCESO",0.5,0))+
IF(OR(X297="CONCLUIDO",X297="NO APLICA"),1,IF(X297="EN PROCESO",0.5,0))+
IF(Y297="PROGRAMADAS",1/2,IF(Y297="CONCLUIDAS",1,0))+
IF(OR(Z297="SI",Z297="NO APLICA"),1,0)+
IF(OR(AA297="SI",AA297="NO APLICA"),1,0)
)/9</f>
        <v>0.1111111111111111</v>
      </c>
      <c r="AF297" s="91">
        <v>2</v>
      </c>
      <c r="AG297" s="103" t="s">
        <v>1840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>
        <f t="shared" si="8"/>
        <v>0</v>
      </c>
      <c r="AC298">
        <f t="shared" si="9"/>
        <v>0</v>
      </c>
      <c r="AD298" s="67"/>
      <c r="AE298" s="87">
        <f>(
IF(S298="ENVIADO A LA CE/UM",1/3,IF(S298="ENTREGADO/REVISIÓN",2/3,IF(S298="ENVIADO A TICS",1,0)))+
IF(T298="EN PROCESO",1/2,IF(T298="CONCLUIDO",1,0))+
IF(OR(U298="CONCLUIDO",U298="NO APLICA"),1,IF(U298="EN REVISIÓN CENTRAL",2/3,IF(U298="ENVIADO A LA CE/UM",1/3,0)))+
IF(OR(V298="CONCLUIDO",V298="NO APLICA"),1,IF(V298="EN REVISIÓN CENTRAL",2/3,IF(V298="ENVIADO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IF(OR(W298="CONCLUIDO",W298="NO APLICA"),1,IF(W298="EN PROCESO",0.5,0))+
IF(OR(X298="CONCLUIDO",X298="NO APLICA"),1,IF(X298="EN PROCESO",0.5,0))+
IF(Y298="PROGRAMADAS",1/2,IF(Y298="CONCLUIDAS",1,0))+
IF(OR(Z298="SI",Z298="NO APLICA"),1,0)+
IF(OR(AA298="SI",AA298="NO APLICA"),1,0)
)/9</f>
        <v>0.16666666666666666</v>
      </c>
      <c r="AF298" s="91">
        <v>1</v>
      </c>
      <c r="AG298" s="103" t="s">
        <v>1839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>
        <f t="shared" si="8"/>
        <v>0</v>
      </c>
      <c r="AC299">
        <f t="shared" si="9"/>
        <v>0</v>
      </c>
      <c r="AD299" s="67"/>
      <c r="AE299" s="87">
        <f>(
IF(S299="ENVIADO A LA CE/UM",1/3,IF(S299="ENTREGADO/REVISIÓN",2/3,IF(S299="ENVIADO A TICS",1,0)))+
IF(T299="EN PROCESO",1/2,IF(T299="CONCLUIDO",1,0))+
IF(OR(U299="CONCLUIDO",U299="NO APLICA"),1,IF(U299="EN REVISIÓN CENTRAL",2/3,IF(U299="ENVIADO A LA CE/UM",1/3,0)))+
IF(OR(V299="CONCLUIDO",V299="NO APLICA"),1,IF(V299="EN REVISIÓN CENTRAL",2/3,IF(V299="ENVIADO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IF(OR(W299="CONCLUIDO",W299="NO APLICA"),1,IF(W299="EN PROCESO",0.5,0))+
IF(OR(X299="CONCLUIDO",X299="NO APLICA"),1,IF(X299="EN PROCESO",0.5,0))+
IF(Y299="PROGRAMADAS",1/2,IF(Y299="CONCLUIDAS",1,0))+
IF(OR(Z299="SI",Z299="NO APLICA"),1,0)+
IF(OR(AA299="SI",AA299="NO APLICA"),1,0)
)/9</f>
        <v>0.1111111111111111</v>
      </c>
      <c r="AF299" s="91">
        <v>2</v>
      </c>
      <c r="AG299" s="103" t="s">
        <v>1840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>
        <f t="shared" si="8"/>
        <v>0</v>
      </c>
      <c r="AC300">
        <f t="shared" si="9"/>
        <v>0</v>
      </c>
      <c r="AD300" s="67"/>
      <c r="AE300" s="87">
        <f>(
IF(S300="ENVIADO A LA CE/UM",1/3,IF(S300="ENTREGADO/REVISIÓN",2/3,IF(S300="ENVIADO A TICS",1,0)))+
IF(T300="EN PROCESO",1/2,IF(T300="CONCLUIDO",1,0))+
IF(OR(U300="CONCLUIDO",U300="NO APLICA"),1,IF(U300="EN REVISIÓN CENTRAL",2/3,IF(U300="ENVIADO A LA CE/UM",1/3,0)))+
IF(OR(V300="CONCLUIDO",V300="NO APLICA"),1,IF(V300="EN REVISIÓN CENTRAL",2/3,IF(V300="ENVIADO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IF(OR(W300="CONCLUIDO",W300="NO APLICA"),1,IF(W300="EN PROCESO",0.5,0))+
IF(OR(X300="CONCLUIDO",X300="NO APLICA"),1,IF(X300="EN PROCESO",0.5,0))+
IF(Y300="PROGRAMADAS",1/2,IF(Y300="CONCLUIDAS",1,0))+
IF(OR(Z300="SI",Z300="NO APLICA"),1,0)+
IF(OR(AA300="SI",AA300="NO APLICA"),1,0)
)/9</f>
        <v>0.1111111111111111</v>
      </c>
      <c r="AF300" s="91">
        <v>2</v>
      </c>
      <c r="AG300" s="103" t="s">
        <v>1840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>
        <f t="shared" si="8"/>
        <v>0</v>
      </c>
      <c r="AC301">
        <f t="shared" si="9"/>
        <v>0</v>
      </c>
      <c r="AD301" s="67"/>
      <c r="AE301" s="87">
        <f>(
IF(S301="ENVIADO A LA CE/UM",1/3,IF(S301="ENTREGADO/REVISIÓN",2/3,IF(S301="ENVIADO A TICS",1,0)))+
IF(T301="EN PROCESO",1/2,IF(T301="CONCLUIDO",1,0))+
IF(OR(U301="CONCLUIDO",U301="NO APLICA"),1,IF(U301="EN REVISIÓN CENTRAL",2/3,IF(U301="ENVIADO A LA CE/UM",1/3,0)))+
IF(OR(V301="CONCLUIDO",V301="NO APLICA"),1,IF(V301="EN REVISIÓN CENTRAL",2/3,IF(V301="ENVIADO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IF(OR(W301="CONCLUIDO",W301="NO APLICA"),1,IF(W301="EN PROCESO",0.5,0))+
IF(OR(X301="CONCLUIDO",X301="NO APLICA"),1,IF(X301="EN PROCESO",0.5,0))+
IF(Y301="PROGRAMADAS",1/2,IF(Y301="CONCLUIDAS",1,0))+
IF(OR(Z301="SI",Z301="NO APLICA"),1,0)+
IF(OR(AA301="SI",AA301="NO APLICA"),1,0)
)/9</f>
        <v>0.16666666666666666</v>
      </c>
      <c r="AF301" s="91">
        <v>1</v>
      </c>
      <c r="AG301" s="103" t="s">
        <v>1839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>
        <f t="shared" si="8"/>
        <v>0</v>
      </c>
      <c r="AC302">
        <f t="shared" si="9"/>
        <v>0</v>
      </c>
      <c r="AD302" s="67"/>
      <c r="AE302" s="87">
        <f>(
IF(S302="ENVIADO A LA CE/UM",1/3,IF(S302="ENTREGADO/REVISIÓN",2/3,IF(S302="ENVIADO A TICS",1,0)))+
IF(T302="EN PROCESO",1/2,IF(T302="CONCLUIDO",1,0))+
IF(OR(U302="CONCLUIDO",U302="NO APLICA"),1,IF(U302="EN REVISIÓN CENTRAL",2/3,IF(U302="ENVIADO A LA CE/UM",1/3,0)))+
IF(OR(V302="CONCLUIDO",V302="NO APLICA"),1,IF(V302="EN REVISIÓN CENTRAL",2/3,IF(V302="ENVIADO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IF(OR(W302="CONCLUIDO",W302="NO APLICA"),1,IF(W302="EN PROCESO",0.5,0))+
IF(OR(X302="CONCLUIDO",X302="NO APLICA"),1,IF(X302="EN PROCESO",0.5,0))+
IF(Y302="PROGRAMADAS",1/2,IF(Y302="CONCLUIDAS",1,0))+
IF(OR(Z302="SI",Z302="NO APLICA"),1,0)+
IF(OR(AA302="SI",AA302="NO APLICA"),1,0)
)/9</f>
        <v>0.16666666666666666</v>
      </c>
      <c r="AF302" s="91">
        <v>1</v>
      </c>
      <c r="AG302" s="103" t="s">
        <v>1839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>
        <f t="shared" si="8"/>
        <v>0</v>
      </c>
      <c r="AC303">
        <f t="shared" si="9"/>
        <v>0</v>
      </c>
      <c r="AD303" s="67"/>
      <c r="AE303" s="87">
        <f>(
IF(S303="ENVIADO A LA CE/UM",1/3,IF(S303="ENTREGADO/REVISIÓN",2/3,IF(S303="ENVIADO A TICS",1,0)))+
IF(T303="EN PROCESO",1/2,IF(T303="CONCLUIDO",1,0))+
IF(OR(U303="CONCLUIDO",U303="NO APLICA"),1,IF(U303="EN REVISIÓN CENTRAL",2/3,IF(U303="ENVIADO A LA CE/UM",1/3,0)))+
IF(OR(V303="CONCLUIDO",V303="NO APLICA"),1,IF(V303="EN REVISIÓN CENTRAL",2/3,IF(V303="ENVIADO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IF(OR(W303="CONCLUIDO",W303="NO APLICA"),1,IF(W303="EN PROCESO",0.5,0))+
IF(OR(X303="CONCLUIDO",X303="NO APLICA"),1,IF(X303="EN PROCESO",0.5,0))+
IF(Y303="PROGRAMADAS",1/2,IF(Y303="CONCLUIDAS",1,0))+
IF(OR(Z303="SI",Z303="NO APLICA"),1,0)+
IF(OR(AA303="SI",AA303="NO APLICA"),1,0)
)/9</f>
        <v>0.1111111111111111</v>
      </c>
      <c r="AF303" s="91">
        <v>2</v>
      </c>
      <c r="AG303" s="103" t="s">
        <v>1840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>
        <f t="shared" si="8"/>
        <v>0</v>
      </c>
      <c r="AC304">
        <f t="shared" si="9"/>
        <v>0</v>
      </c>
      <c r="AD304" s="67"/>
      <c r="AE304" s="87">
        <f>(
IF(S304="ENVIADO A LA CE/UM",1/3,IF(S304="ENTREGADO/REVISIÓN",2/3,IF(S304="ENVIADO A TICS",1,0)))+
IF(T304="EN PROCESO",1/2,IF(T304="CONCLUIDO",1,0))+
IF(OR(U304="CONCLUIDO",U304="NO APLICA"),1,IF(U304="EN REVISIÓN CENTRAL",2/3,IF(U304="ENVIADO A LA CE/UM",1/3,0)))+
IF(OR(V304="CONCLUIDO",V304="NO APLICA"),1,IF(V304="EN REVISIÓN CENTRAL",2/3,IF(V304="ENVIADO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IF(OR(W304="CONCLUIDO",W304="NO APLICA"),1,IF(W304="EN PROCESO",0.5,0))+
IF(OR(X304="CONCLUIDO",X304="NO APLICA"),1,IF(X304="EN PROCESO",0.5,0))+
IF(Y304="PROGRAMADAS",1/2,IF(Y304="CONCLUIDAS",1,0))+
IF(OR(Z304="SI",Z304="NO APLICA"),1,0)+
IF(OR(AA304="SI",AA304="NO APLICA"),1,0)
)/9</f>
        <v>0.16666666666666666</v>
      </c>
      <c r="AF304" s="91">
        <v>1</v>
      </c>
      <c r="AG304" s="103" t="s">
        <v>1839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>
        <f t="shared" si="8"/>
        <v>0</v>
      </c>
      <c r="AC305">
        <f t="shared" si="9"/>
        <v>0</v>
      </c>
      <c r="AD305" s="67"/>
      <c r="AE305" s="87">
        <f>(
IF(S305="ENVIADO A LA CE/UM",1/3,IF(S305="ENTREGADO/REVISIÓN",2/3,IF(S305="ENVIADO A TICS",1,0)))+
IF(T305="EN PROCESO",1/2,IF(T305="CONCLUIDO",1,0))+
IF(OR(U305="CONCLUIDO",U305="NO APLICA"),1,IF(U305="EN REVISIÓN CENTRAL",2/3,IF(U305="ENVIADO A LA CE/UM",1/3,0)))+
IF(OR(V305="CONCLUIDO",V305="NO APLICA"),1,IF(V305="EN REVISIÓN CENTRAL",2/3,IF(V305="ENVIADO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IF(OR(W305="CONCLUIDO",W305="NO APLICA"),1,IF(W305="EN PROCESO",0.5,0))+
IF(OR(X305="CONCLUIDO",X305="NO APLICA"),1,IF(X305="EN PROCESO",0.5,0))+
IF(Y305="PROGRAMADAS",1/2,IF(Y305="CONCLUIDAS",1,0))+
IF(OR(Z305="SI",Z305="NO APLICA"),1,0)+
IF(OR(AA305="SI",AA305="NO APLICA"),1,0)
)/9</f>
        <v>0.16666666666666666</v>
      </c>
      <c r="AF305" s="91">
        <v>1</v>
      </c>
      <c r="AG305" s="103" t="s">
        <v>1839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>
        <f t="shared" si="8"/>
        <v>0</v>
      </c>
      <c r="AC306">
        <f t="shared" si="9"/>
        <v>0</v>
      </c>
      <c r="AD306" s="67"/>
      <c r="AE306" s="87">
        <f>(
IF(S306="ENVIADO A LA CE/UM",1/3,IF(S306="ENTREGADO/REVISIÓN",2/3,IF(S306="ENVIADO A TICS",1,0)))+
IF(T306="EN PROCESO",1/2,IF(T306="CONCLUIDO",1,0))+
IF(OR(U306="CONCLUIDO",U306="NO APLICA"),1,IF(U306="EN REVISIÓN CENTRAL",2/3,IF(U306="ENVIADO A LA CE/UM",1/3,0)))+
IF(OR(V306="CONCLUIDO",V306="NO APLICA"),1,IF(V306="EN REVISIÓN CENTRAL",2/3,IF(V306="ENVIADO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IF(OR(W306="CONCLUIDO",W306="NO APLICA"),1,IF(W306="EN PROCESO",0.5,0))+
IF(OR(X306="CONCLUIDO",X306="NO APLICA"),1,IF(X306="EN PROCESO",0.5,0))+
IF(Y306="PROGRAMADAS",1/2,IF(Y306="CONCLUIDAS",1,0))+
IF(OR(Z306="SI",Z306="NO APLICA"),1,0)+
IF(OR(AA306="SI",AA306="NO APLICA"),1,0)
)/9</f>
        <v>0.1111111111111111</v>
      </c>
      <c r="AF306" s="91">
        <v>2</v>
      </c>
      <c r="AG306" s="103" t="s">
        <v>1840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>
        <f t="shared" si="8"/>
        <v>0</v>
      </c>
      <c r="AC307">
        <f t="shared" si="9"/>
        <v>0</v>
      </c>
      <c r="AD307" s="67"/>
      <c r="AE307" s="87">
        <f>(
IF(S307="ENVIADO A LA CE/UM",1/3,IF(S307="ENTREGADO/REVISIÓN",2/3,IF(S307="ENVIADO A TICS",1,0)))+
IF(T307="EN PROCESO",1/2,IF(T307="CONCLUIDO",1,0))+
IF(OR(U307="CONCLUIDO",U307="NO APLICA"),1,IF(U307="EN REVISIÓN CENTRAL",2/3,IF(U307="ENVIADO A LA CE/UM",1/3,0)))+
IF(OR(V307="CONCLUIDO",V307="NO APLICA"),1,IF(V307="EN REVISIÓN CENTRAL",2/3,IF(V307="ENVIADO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IF(OR(W307="CONCLUIDO",W307="NO APLICA"),1,IF(W307="EN PROCESO",0.5,0))+
IF(OR(X307="CONCLUIDO",X307="NO APLICA"),1,IF(X307="EN PROCESO",0.5,0))+
IF(Y307="PROGRAMADAS",1/2,IF(Y307="CONCLUIDAS",1,0))+
IF(OR(Z307="SI",Z307="NO APLICA"),1,0)+
IF(OR(AA307="SI",AA307="NO APLICA"),1,0)
)/9</f>
        <v>0.16666666666666666</v>
      </c>
      <c r="AF307" s="91">
        <v>1</v>
      </c>
      <c r="AG307" s="103" t="s">
        <v>1839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>
        <f t="shared" si="8"/>
        <v>0</v>
      </c>
      <c r="AC308">
        <f t="shared" si="9"/>
        <v>0</v>
      </c>
      <c r="AD308" s="67"/>
      <c r="AE308" s="87">
        <f>(
IF(S308="ENVIADO A LA CE/UM",1/3,IF(S308="ENTREGADO/REVISIÓN",2/3,IF(S308="ENVIADO A TICS",1,0)))+
IF(T308="EN PROCESO",1/2,IF(T308="CONCLUIDO",1,0))+
IF(OR(U308="CONCLUIDO",U308="NO APLICA"),1,IF(U308="EN REVISIÓN CENTRAL",2/3,IF(U308="ENVIADO A LA CE/UM",1/3,0)))+
IF(OR(V308="CONCLUIDO",V308="NO APLICA"),1,IF(V308="EN REVISIÓN CENTRAL",2/3,IF(V308="ENVIADO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IF(OR(W308="CONCLUIDO",W308="NO APLICA"),1,IF(W308="EN PROCESO",0.5,0))+
IF(OR(X308="CONCLUIDO",X308="NO APLICA"),1,IF(X308="EN PROCESO",0.5,0))+
IF(Y308="PROGRAMADAS",1/2,IF(Y308="CONCLUIDAS",1,0))+
IF(OR(Z308="SI",Z308="NO APLICA"),1,0)+
IF(OR(AA308="SI",AA308="NO APLICA"),1,0)
)/9</f>
        <v>0.1111111111111111</v>
      </c>
      <c r="AF308" s="91">
        <v>2</v>
      </c>
      <c r="AG308" s="103" t="s">
        <v>1840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>
        <f t="shared" si="8"/>
        <v>0</v>
      </c>
      <c r="AC309">
        <f t="shared" si="9"/>
        <v>0</v>
      </c>
      <c r="AD309" s="67"/>
      <c r="AE309" s="87">
        <f>(
IF(S309="ENVIADO A LA CE/UM",1/3,IF(S309="ENTREGADO/REVISIÓN",2/3,IF(S309="ENVIADO A TICS",1,0)))+
IF(T309="EN PROCESO",1/2,IF(T309="CONCLUIDO",1,0))+
IF(OR(U309="CONCLUIDO",U309="NO APLICA"),1,IF(U309="EN REVISIÓN CENTRAL",2/3,IF(U309="ENVIADO A LA CE/UM",1/3,0)))+
IF(OR(V309="CONCLUIDO",V309="NO APLICA"),1,IF(V309="EN REVISIÓN CENTRAL",2/3,IF(V309="ENVIADO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IF(OR(W309="CONCLUIDO",W309="NO APLICA"),1,IF(W309="EN PROCESO",0.5,0))+
IF(OR(X309="CONCLUIDO",X309="NO APLICA"),1,IF(X309="EN PROCESO",0.5,0))+
IF(Y309="PROGRAMADAS",1/2,IF(Y309="CONCLUIDAS",1,0))+
IF(OR(Z309="SI",Z309="NO APLICA"),1,0)+
IF(OR(AA309="SI",AA309="NO APLICA"),1,0)
)/9</f>
        <v>0.16666666666666666</v>
      </c>
      <c r="AF309" s="91">
        <v>1</v>
      </c>
      <c r="AG309" s="103" t="s">
        <v>1839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>
        <f t="shared" si="8"/>
        <v>0</v>
      </c>
      <c r="AC310">
        <f t="shared" si="9"/>
        <v>0</v>
      </c>
      <c r="AD310" s="67"/>
      <c r="AE310" s="87">
        <f>(
IF(S310="ENVIADO A LA CE/UM",1/3,IF(S310="ENTREGADO/REVISIÓN",2/3,IF(S310="ENVIADO A TICS",1,0)))+
IF(T310="EN PROCESO",1/2,IF(T310="CONCLUIDO",1,0))+
IF(OR(U310="CONCLUIDO",U310="NO APLICA"),1,IF(U310="EN REVISIÓN CENTRAL",2/3,IF(U310="ENVIADO A LA CE/UM",1/3,0)))+
IF(OR(V310="CONCLUIDO",V310="NO APLICA"),1,IF(V310="EN REVISIÓN CENTRAL",2/3,IF(V310="ENVIADO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IF(OR(W310="CONCLUIDO",W310="NO APLICA"),1,IF(W310="EN PROCESO",0.5,0))+
IF(OR(X310="CONCLUIDO",X310="NO APLICA"),1,IF(X310="EN PROCESO",0.5,0))+
IF(Y310="PROGRAMADAS",1/2,IF(Y310="CONCLUIDAS",1,0))+
IF(OR(Z310="SI",Z310="NO APLICA"),1,0)+
IF(OR(AA310="SI",AA310="NO APLICA"),1,0)
)/9</f>
        <v>0.16666666666666666</v>
      </c>
      <c r="AF310" s="91">
        <v>1</v>
      </c>
      <c r="AG310" s="103" t="s">
        <v>1839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>
        <f t="shared" si="8"/>
        <v>0</v>
      </c>
      <c r="AC311">
        <f t="shared" si="9"/>
        <v>0</v>
      </c>
      <c r="AD311" s="67"/>
      <c r="AE311" s="87">
        <f>(
IF(S311="ENVIADO A LA CE/UM",1/3,IF(S311="ENTREGADO/REVISIÓN",2/3,IF(S311="ENVIADO A TICS",1,0)))+
IF(T311="EN PROCESO",1/2,IF(T311="CONCLUIDO",1,0))+
IF(OR(U311="CONCLUIDO",U311="NO APLICA"),1,IF(U311="EN REVISIÓN CENTRAL",2/3,IF(U311="ENVIADO A LA CE/UM",1/3,0)))+
IF(OR(V311="CONCLUIDO",V311="NO APLICA"),1,IF(V311="EN REVISIÓN CENTRAL",2/3,IF(V311="ENVIADO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IF(OR(W311="CONCLUIDO",W311="NO APLICA"),1,IF(W311="EN PROCESO",0.5,0))+
IF(OR(X311="CONCLUIDO",X311="NO APLICA"),1,IF(X311="EN PROCESO",0.5,0))+
IF(Y311="PROGRAMADAS",1/2,IF(Y311="CONCLUIDAS",1,0))+
IF(OR(Z311="SI",Z311="NO APLICA"),1,0)+
IF(OR(AA311="SI",AA311="NO APLICA"),1,0)
)/9</f>
        <v>0.1111111111111111</v>
      </c>
      <c r="AF311" s="91">
        <v>2</v>
      </c>
      <c r="AG311" s="103" t="s">
        <v>1840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>
        <f t="shared" si="8"/>
        <v>0</v>
      </c>
      <c r="AC312">
        <f t="shared" si="9"/>
        <v>0</v>
      </c>
      <c r="AD312" s="67"/>
      <c r="AE312" s="87">
        <f>(
IF(S312="ENVIADO A LA CE/UM",1/3,IF(S312="ENTREGADO/REVISIÓN",2/3,IF(S312="ENVIADO A TICS",1,0)))+
IF(T312="EN PROCESO",1/2,IF(T312="CONCLUIDO",1,0))+
IF(OR(U312="CONCLUIDO",U312="NO APLICA"),1,IF(U312="EN REVISIÓN CENTRAL",2/3,IF(U312="ENVIADO A LA CE/UM",1/3,0)))+
IF(OR(V312="CONCLUIDO",V312="NO APLICA"),1,IF(V312="EN REVISIÓN CENTRAL",2/3,IF(V312="ENVIADO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IF(OR(W312="CONCLUIDO",W312="NO APLICA"),1,IF(W312="EN PROCESO",0.5,0))+
IF(OR(X312="CONCLUIDO",X312="NO APLICA"),1,IF(X312="EN PROCESO",0.5,0))+
IF(Y312="PROGRAMADAS",1/2,IF(Y312="CONCLUIDAS",1,0))+
IF(OR(Z312="SI",Z312="NO APLICA"),1,0)+
IF(OR(AA312="SI",AA312="NO APLICA"),1,0)
)/9</f>
        <v>0.16666666666666666</v>
      </c>
      <c r="AF312" s="91">
        <v>1</v>
      </c>
      <c r="AG312" s="103" t="s">
        <v>1839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>
        <f t="shared" si="8"/>
        <v>0</v>
      </c>
      <c r="AC313">
        <f t="shared" si="9"/>
        <v>0</v>
      </c>
      <c r="AD313" s="67" t="s">
        <v>1808</v>
      </c>
      <c r="AE313" s="87">
        <f>(
IF(S313="ENVIADO A LA CE/UM",1/3,IF(S313="ENTREGADO/REVISIÓN",2/3,IF(S313="ENVIADO A TICS",1,0)))+
IF(T313="EN PROCESO",1/2,IF(T313="CONCLUIDO",1,0))+
IF(OR(U313="CONCLUIDO",U313="NO APLICA"),1,IF(U313="EN REVISIÓN CENTRAL",2/3,IF(U313="ENVIADO A LA CE/UM",1/3,0)))+
IF(OR(V313="CONCLUIDO",V313="NO APLICA"),1,IF(V313="EN REVISIÓN CENTRAL",2/3,IF(V313="ENVIADO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IF(OR(W313="CONCLUIDO",W313="NO APLICA"),1,IF(W313="EN PROCESO",0.5,0))+
IF(OR(X313="CONCLUIDO",X313="NO APLICA"),1,IF(X313="EN PROCESO",0.5,0))+
IF(Y313="PROGRAMADAS",1/2,IF(Y313="CONCLUIDAS",1,0))+
IF(OR(Z313="SI",Z313="NO APLICA"),1,0)+
IF(OR(AA313="SI",AA313="NO APLICA"),1,0)
)/9</f>
        <v>0.1111111111111111</v>
      </c>
      <c r="AF313" s="91">
        <v>2</v>
      </c>
      <c r="AG313" s="103" t="s">
        <v>1840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>
        <f t="shared" si="8"/>
        <v>0</v>
      </c>
      <c r="AC314">
        <f t="shared" si="9"/>
        <v>0</v>
      </c>
      <c r="AD314" s="67"/>
      <c r="AE314" s="87">
        <f>(
IF(S314="ENVIADO A LA CE/UM",1/3,IF(S314="ENTREGADO/REVISIÓN",2/3,IF(S314="ENVIADO A TICS",1,0)))+
IF(T314="EN PROCESO",1/2,IF(T314="CONCLUIDO",1,0))+
IF(OR(U314="CONCLUIDO",U314="NO APLICA"),1,IF(U314="EN REVISIÓN CENTRAL",2/3,IF(U314="ENVIADO A LA CE/UM",1/3,0)))+
IF(OR(V314="CONCLUIDO",V314="NO APLICA"),1,IF(V314="EN REVISIÓN CENTRAL",2/3,IF(V314="ENVIADO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IF(OR(W314="CONCLUIDO",W314="NO APLICA"),1,IF(W314="EN PROCESO",0.5,0))+
IF(OR(X314="CONCLUIDO",X314="NO APLICA"),1,IF(X314="EN PROCESO",0.5,0))+
IF(Y314="PROGRAMADAS",1/2,IF(Y314="CONCLUIDAS",1,0))+
IF(OR(Z314="SI",Z314="NO APLICA"),1,0)+
IF(OR(AA314="SI",AA314="NO APLICA"),1,0)
)/9</f>
        <v>0.1111111111111111</v>
      </c>
      <c r="AF314" s="91">
        <v>2</v>
      </c>
      <c r="AG314" s="103" t="s">
        <v>1840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>
        <f t="shared" si="8"/>
        <v>0</v>
      </c>
      <c r="AC315">
        <f t="shared" si="9"/>
        <v>0</v>
      </c>
      <c r="AD315" s="67"/>
      <c r="AE315" s="87">
        <f>(
IF(S315="ENVIADO A LA CE/UM",1/3,IF(S315="ENTREGADO/REVISIÓN",2/3,IF(S315="ENVIADO A TICS",1,0)))+
IF(T315="EN PROCESO",1/2,IF(T315="CONCLUIDO",1,0))+
IF(OR(U315="CONCLUIDO",U315="NO APLICA"),1,IF(U315="EN REVISIÓN CENTRAL",2/3,IF(U315="ENVIADO A LA CE/UM",1/3,0)))+
IF(OR(V315="CONCLUIDO",V315="NO APLICA"),1,IF(V315="EN REVISIÓN CENTRAL",2/3,IF(V315="ENVIADO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IF(OR(W315="CONCLUIDO",W315="NO APLICA"),1,IF(W315="EN PROCESO",0.5,0))+
IF(OR(X315="CONCLUIDO",X315="NO APLICA"),1,IF(X315="EN PROCESO",0.5,0))+
IF(Y315="PROGRAMADAS",1/2,IF(Y315="CONCLUIDAS",1,0))+
IF(OR(Z315="SI",Z315="NO APLICA"),1,0)+
IF(OR(AA315="SI",AA315="NO APLICA"),1,0)
)/9</f>
        <v>0.16666666666666666</v>
      </c>
      <c r="AF315" s="91">
        <v>1</v>
      </c>
      <c r="AG315" s="103" t="s">
        <v>1839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>
        <f t="shared" si="8"/>
        <v>0</v>
      </c>
      <c r="AC316">
        <f t="shared" si="9"/>
        <v>0</v>
      </c>
      <c r="AD316" s="67"/>
      <c r="AE316" s="87">
        <f>(
IF(S316="ENVIADO A LA CE/UM",1/3,IF(S316="ENTREGADO/REVISIÓN",2/3,IF(S316="ENVIADO A TICS",1,0)))+
IF(T316="EN PROCESO",1/2,IF(T316="CONCLUIDO",1,0))+
IF(OR(U316="CONCLUIDO",U316="NO APLICA"),1,IF(U316="EN REVISIÓN CENTRAL",2/3,IF(U316="ENVIADO A LA CE/UM",1/3,0)))+
IF(OR(V316="CONCLUIDO",V316="NO APLICA"),1,IF(V316="EN REVISIÓN CENTRAL",2/3,IF(V316="ENVIADO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IF(OR(W316="CONCLUIDO",W316="NO APLICA"),1,IF(W316="EN PROCESO",0.5,0))+
IF(OR(X316="CONCLUIDO",X316="NO APLICA"),1,IF(X316="EN PROCESO",0.5,0))+
IF(Y316="PROGRAMADAS",1/2,IF(Y316="CONCLUIDAS",1,0))+
IF(OR(Z316="SI",Z316="NO APLICA"),1,0)+
IF(OR(AA316="SI",AA316="NO APLICA"),1,0)
)/9</f>
        <v>0.16666666666666666</v>
      </c>
      <c r="AF316" s="91">
        <v>1</v>
      </c>
      <c r="AG316" s="103" t="s">
        <v>1839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>
        <f t="shared" si="8"/>
        <v>0</v>
      </c>
      <c r="AC317">
        <f t="shared" si="9"/>
        <v>0</v>
      </c>
      <c r="AD317" s="67"/>
      <c r="AE317" s="87">
        <f>(
IF(S317="ENVIADO A LA CE/UM",1/3,IF(S317="ENTREGADO/REVISIÓN",2/3,IF(S317="ENVIADO A TICS",1,0)))+
IF(T317="EN PROCESO",1/2,IF(T317="CONCLUIDO",1,0))+
IF(OR(U317="CONCLUIDO",U317="NO APLICA"),1,IF(U317="EN REVISIÓN CENTRAL",2/3,IF(U317="ENVIADO A LA CE/UM",1/3,0)))+
IF(OR(V317="CONCLUIDO",V317="NO APLICA"),1,IF(V317="EN REVISIÓN CENTRAL",2/3,IF(V317="ENVIADO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IF(OR(W317="CONCLUIDO",W317="NO APLICA"),1,IF(W317="EN PROCESO",0.5,0))+
IF(OR(X317="CONCLUIDO",X317="NO APLICA"),1,IF(X317="EN PROCESO",0.5,0))+
IF(Y317="PROGRAMADAS",1/2,IF(Y317="CONCLUIDAS",1,0))+
IF(OR(Z317="SI",Z317="NO APLICA"),1,0)+
IF(OR(AA317="SI",AA317="NO APLICA"),1,0)
)/9</f>
        <v>0.16666666666666666</v>
      </c>
      <c r="AF317" s="91">
        <v>1</v>
      </c>
      <c r="AG317" s="103" t="s">
        <v>1839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>
        <f t="shared" si="8"/>
        <v>0</v>
      </c>
      <c r="AC318">
        <f t="shared" si="9"/>
        <v>0</v>
      </c>
      <c r="AD318" s="67"/>
      <c r="AE318" s="87">
        <f>(
IF(S318="ENVIADO A LA CE/UM",1/3,IF(S318="ENTREGADO/REVISIÓN",2/3,IF(S318="ENVIADO A TICS",1,0)))+
IF(T318="EN PROCESO",1/2,IF(T318="CONCLUIDO",1,0))+
IF(OR(U318="CONCLUIDO",U318="NO APLICA"),1,IF(U318="EN REVISIÓN CENTRAL",2/3,IF(U318="ENVIADO A LA CE/UM",1/3,0)))+
IF(OR(V318="CONCLUIDO",V318="NO APLICA"),1,IF(V318="EN REVISIÓN CENTRAL",2/3,IF(V318="ENVIADO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IF(OR(W318="CONCLUIDO",W318="NO APLICA"),1,IF(W318="EN PROCESO",0.5,0))+
IF(OR(X318="CONCLUIDO",X318="NO APLICA"),1,IF(X318="EN PROCESO",0.5,0))+
IF(Y318="PROGRAMADAS",1/2,IF(Y318="CONCLUIDAS",1,0))+
IF(OR(Z318="SI",Z318="NO APLICA"),1,0)+
IF(OR(AA318="SI",AA318="NO APLICA"),1,0)
)/9</f>
        <v>0.1111111111111111</v>
      </c>
      <c r="AF318" s="91">
        <v>2</v>
      </c>
      <c r="AG318" s="103" t="s">
        <v>1840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>
        <f t="shared" si="8"/>
        <v>0</v>
      </c>
      <c r="AC319">
        <f t="shared" si="9"/>
        <v>0</v>
      </c>
      <c r="AD319" s="67"/>
      <c r="AE319" s="87">
        <f>(
IF(S319="ENVIADO A LA CE/UM",1/3,IF(S319="ENTREGADO/REVISIÓN",2/3,IF(S319="ENVIADO A TICS",1,0)))+
IF(T319="EN PROCESO",1/2,IF(T319="CONCLUIDO",1,0))+
IF(OR(U319="CONCLUIDO",U319="NO APLICA"),1,IF(U319="EN REVISIÓN CENTRAL",2/3,IF(U319="ENVIADO A LA CE/UM",1/3,0)))+
IF(OR(V319="CONCLUIDO",V319="NO APLICA"),1,IF(V319="EN REVISIÓN CENTRAL",2/3,IF(V319="ENVIADO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IF(OR(W319="CONCLUIDO",W319="NO APLICA"),1,IF(W319="EN PROCESO",0.5,0))+
IF(OR(X319="CONCLUIDO",X319="NO APLICA"),1,IF(X319="EN PROCESO",0.5,0))+
IF(Y319="PROGRAMADAS",1/2,IF(Y319="CONCLUIDAS",1,0))+
IF(OR(Z319="SI",Z319="NO APLICA"),1,0)+
IF(OR(AA319="SI",AA319="NO APLICA"),1,0)
)/9</f>
        <v>0.77777777777777779</v>
      </c>
      <c r="AF319" s="91">
        <v>1</v>
      </c>
      <c r="AG319" s="105" t="s">
        <v>1841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>
        <f t="shared" si="8"/>
        <v>0</v>
      </c>
      <c r="AC320">
        <f t="shared" si="9"/>
        <v>0</v>
      </c>
      <c r="AD320" s="67"/>
      <c r="AE320" s="87">
        <f>(
IF(S320="ENVIADO A LA CE/UM",1/3,IF(S320="ENTREGADO/REVISIÓN",2/3,IF(S320="ENVIADO A TICS",1,0)))+
IF(T320="EN PROCESO",1/2,IF(T320="CONCLUIDO",1,0))+
IF(OR(U320="CONCLUIDO",U320="NO APLICA"),1,IF(U320="EN REVISIÓN CENTRAL",2/3,IF(U320="ENVIADO A LA CE/UM",1/3,0)))+
IF(OR(V320="CONCLUIDO",V320="NO APLICA"),1,IF(V320="EN REVISIÓN CENTRAL",2/3,IF(V320="ENVIADO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IF(OR(W320="CONCLUIDO",W320="NO APLICA"),1,IF(W320="EN PROCESO",0.5,0))+
IF(OR(X320="CONCLUIDO",X320="NO APLICA"),1,IF(X320="EN PROCESO",0.5,0))+
IF(Y320="PROGRAMADAS",1/2,IF(Y320="CONCLUIDAS",1,0))+
IF(OR(Z320="SI",Z320="NO APLICA"),1,0)+
IF(OR(AA320="SI",AA320="NO APLICA"),1,0)
)/9</f>
        <v>0.31481481481481477</v>
      </c>
      <c r="AF320" s="91">
        <v>1</v>
      </c>
      <c r="AG320" s="105" t="s">
        <v>1841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>
        <f t="shared" si="8"/>
        <v>0</v>
      </c>
      <c r="AC321">
        <f t="shared" si="9"/>
        <v>0</v>
      </c>
      <c r="AD321" s="67"/>
      <c r="AE321" s="87">
        <f>(
IF(S321="ENVIADO A LA CE/UM",1/3,IF(S321="ENTREGADO/REVISIÓN",2/3,IF(S321="ENVIADO A TICS",1,0)))+
IF(T321="EN PROCESO",1/2,IF(T321="CONCLUIDO",1,0))+
IF(OR(U321="CONCLUIDO",U321="NO APLICA"),1,IF(U321="EN REVISIÓN CENTRAL",2/3,IF(U321="ENVIADO A LA CE/UM",1/3,0)))+
IF(OR(V321="CONCLUIDO",V321="NO APLICA"),1,IF(V321="EN REVISIÓN CENTRAL",2/3,IF(V321="ENVIADO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IF(OR(W321="CONCLUIDO",W321="NO APLICA"),1,IF(W321="EN PROCESO",0.5,0))+
IF(OR(X321="CONCLUIDO",X321="NO APLICA"),1,IF(X321="EN PROCESO",0.5,0))+
IF(Y321="PROGRAMADAS",1/2,IF(Y321="CONCLUIDAS",1,0))+
IF(OR(Z321="SI",Z321="NO APLICA"),1,0)+
IF(OR(AA321="SI",AA321="NO APLICA"),1,0)
)/9</f>
        <v>0.31481481481481477</v>
      </c>
      <c r="AF321" s="91">
        <v>1</v>
      </c>
      <c r="AG321" s="105" t="s">
        <v>1841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>
        <f t="shared" si="8"/>
        <v>0</v>
      </c>
      <c r="AC322">
        <f t="shared" si="9"/>
        <v>0</v>
      </c>
      <c r="AD322" s="67"/>
      <c r="AE322" s="87">
        <f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0.31481481481481477</v>
      </c>
      <c r="AF322" s="91">
        <v>1</v>
      </c>
      <c r="AG322" s="105" t="s">
        <v>1841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>
        <f t="shared" ref="AB323:AB386" si="10">IF(OR(AND(Z323="SI",AA323="NO"),AND(Z323="NO",AA323="SI")),1,0)</f>
        <v>0</v>
      </c>
      <c r="AC323">
        <f t="shared" ref="AC323:AC386" si="11">IF(AND(OR(Z323="SI",Z323="NO APLICA"),OR(AA323="SI",AA323="NO APLICA")),1,0)</f>
        <v>0</v>
      </c>
      <c r="AD323" s="67"/>
      <c r="AE323" s="87">
        <f>(
IF(S323="ENVIADO A LA CE/UM",1/3,IF(S323="ENTREGADO/REVISIÓN",2/3,IF(S323="ENVIADO A TICS",1,0)))+
IF(T323="EN PROCESO",1/2,IF(T323="CONCLUIDO",1,0))+
IF(OR(U323="CONCLUIDO",U323="NO APLICA"),1,IF(U323="EN REVISIÓN CENTRAL",2/3,IF(U323="ENVIADO A LA CE/UM",1/3,0)))+
IF(OR(V323="CONCLUIDO",V323="NO APLICA"),1,IF(V323="EN REVISIÓN CENTRAL",2/3,IF(V323="ENVIADO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IF(OR(W323="CONCLUIDO",W323="NO APLICA"),1,IF(W323="EN PROCESO",0.5,0))+
IF(OR(X323="CONCLUIDO",X323="NO APLICA"),1,IF(X323="EN PROCESO",0.5,0))+
IF(Y323="PROGRAMADAS",1/2,IF(Y323="CONCLUIDAS",1,0))+
IF(OR(Z323="SI",Z323="NO APLICA"),1,0)+
IF(OR(AA323="SI",AA323="NO APLICA"),1,0)
)/9</f>
        <v>0.31481481481481477</v>
      </c>
      <c r="AF323" s="91">
        <v>1</v>
      </c>
      <c r="AG323" s="105" t="s">
        <v>1841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>
        <f t="shared" si="10"/>
        <v>0</v>
      </c>
      <c r="AC324">
        <f t="shared" si="11"/>
        <v>0</v>
      </c>
      <c r="AD324" s="67"/>
      <c r="AE324" s="87">
        <f>(
IF(S324="ENVIADO A LA CE/UM",1/3,IF(S324="ENTREGADO/REVISIÓN",2/3,IF(S324="ENVIADO A TICS",1,0)))+
IF(T324="EN PROCESO",1/2,IF(T324="CONCLUIDO",1,0))+
IF(OR(U324="CONCLUIDO",U324="NO APLICA"),1,IF(U324="EN REVISIÓN CENTRAL",2/3,IF(U324="ENVIADO A LA CE/UM",1/3,0)))+
IF(OR(V324="CONCLUIDO",V324="NO APLICA"),1,IF(V324="EN REVISIÓN CENTRAL",2/3,IF(V324="ENVIADO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IF(OR(W324="CONCLUIDO",W324="NO APLICA"),1,IF(W324="EN PROCESO",0.5,0))+
IF(OR(X324="CONCLUIDO",X324="NO APLICA"),1,IF(X324="EN PROCESO",0.5,0))+
IF(Y324="PROGRAMADAS",1/2,IF(Y324="CONCLUIDAS",1,0))+
IF(OR(Z324="SI",Z324="NO APLICA"),1,0)+
IF(OR(AA324="SI",AA324="NO APLICA"),1,0)
)/9</f>
        <v>0.31481481481481477</v>
      </c>
      <c r="AF324" s="91">
        <v>1</v>
      </c>
      <c r="AG324" s="105" t="s">
        <v>1841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>
        <f t="shared" si="10"/>
        <v>0</v>
      </c>
      <c r="AC325">
        <f t="shared" si="11"/>
        <v>0</v>
      </c>
      <c r="AD325" s="67"/>
      <c r="AE325" s="87">
        <f>(
IF(S325="ENVIADO A LA CE/UM",1/3,IF(S325="ENTREGADO/REVISIÓN",2/3,IF(S325="ENVIADO A TICS",1,0)))+
IF(T325="EN PROCESO",1/2,IF(T325="CONCLUIDO",1,0))+
IF(OR(U325="CONCLUIDO",U325="NO APLICA"),1,IF(U325="EN REVISIÓN CENTRAL",2/3,IF(U325="ENVIADO A LA CE/UM",1/3,0)))+
IF(OR(V325="CONCLUIDO",V325="NO APLICA"),1,IF(V325="EN REVISIÓN CENTRAL",2/3,IF(V325="ENVIADO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IF(OR(W325="CONCLUIDO",W325="NO APLICA"),1,IF(W325="EN PROCESO",0.5,0))+
IF(OR(X325="CONCLUIDO",X325="NO APLICA"),1,IF(X325="EN PROCESO",0.5,0))+
IF(Y325="PROGRAMADAS",1/2,IF(Y325="CONCLUIDAS",1,0))+
IF(OR(Z325="SI",Z325="NO APLICA"),1,0)+
IF(OR(AA325="SI",AA325="NO APLICA"),1,0)
)/9</f>
        <v>0.31481481481481477</v>
      </c>
      <c r="AF325" s="91">
        <v>1</v>
      </c>
      <c r="AG325" s="105" t="s">
        <v>1841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213</v>
      </c>
      <c r="V326" s="66" t="s">
        <v>213</v>
      </c>
      <c r="W326" s="66"/>
      <c r="X326" s="66"/>
      <c r="Y326" s="66"/>
      <c r="Z326" s="66"/>
      <c r="AA326" s="66"/>
      <c r="AB326">
        <f t="shared" si="10"/>
        <v>0</v>
      </c>
      <c r="AC326">
        <f t="shared" si="11"/>
        <v>0</v>
      </c>
      <c r="AD326" s="67"/>
      <c r="AE326" s="87">
        <f>(
IF(S326="ENVIADO A LA CE/UM",1/3,IF(S326="ENTREGADO/REVISIÓN",2/3,IF(S326="ENVIADO A TICS",1,0)))+
IF(T326="EN PROCESO",1/2,IF(T326="CONCLUIDO",1,0))+
IF(OR(U326="CONCLUIDO",U326="NO APLICA"),1,IF(U326="EN REVISIÓN CENTRAL",2/3,IF(U326="ENVIADO A LA CE/UM",1/3,0)))+
IF(OR(V326="CONCLUIDO",V326="NO APLICA"),1,IF(V326="EN REVISIÓN CENTRAL",2/3,IF(V326="ENVIADO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IF(OR(W326="CONCLUIDO",W326="NO APLICA"),1,IF(W326="EN PROCESO",0.5,0))+
IF(OR(X326="CONCLUIDO",X326="NO APLICA"),1,IF(X326="EN PROCESO",0.5,0))+
IF(Y326="PROGRAMADAS",1/2,IF(Y326="CONCLUIDAS",1,0))+
IF(OR(Z326="SI",Z326="NO APLICA"),1,0)+
IF(OR(AA326="SI",AA326="NO APLICA"),1,0)
)/9</f>
        <v>0.31481481481481477</v>
      </c>
      <c r="AF326" s="91">
        <v>1</v>
      </c>
      <c r="AG326" s="105" t="s">
        <v>1841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>
        <f t="shared" si="10"/>
        <v>0</v>
      </c>
      <c r="AC327">
        <f t="shared" si="11"/>
        <v>0</v>
      </c>
      <c r="AD327" s="67"/>
      <c r="AE327" s="87">
        <f>(
IF(S327="ENVIADO A LA CE/UM",1/3,IF(S327="ENTREGADO/REVISIÓN",2/3,IF(S327="ENVIADO A TICS",1,0)))+
IF(T327="EN PROCESO",1/2,IF(T327="CONCLUIDO",1,0))+
IF(OR(U327="CONCLUIDO",U327="NO APLICA"),1,IF(U327="EN REVISIÓN CENTRAL",2/3,IF(U327="ENVIADO A LA CE/UM",1/3,0)))+
IF(OR(V327="CONCLUIDO",V327="NO APLICA"),1,IF(V327="EN REVISIÓN CENTRAL",2/3,IF(V327="ENVIADO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IF(OR(W327="CONCLUIDO",W327="NO APLICA"),1,IF(W327="EN PROCESO",0.5,0))+
IF(OR(X327="CONCLUIDO",X327="NO APLICA"),1,IF(X327="EN PROCESO",0.5,0))+
IF(Y327="PROGRAMADAS",1/2,IF(Y327="CONCLUIDAS",1,0))+
IF(OR(Z327="SI",Z327="NO APLICA"),1,0)+
IF(OR(AA327="SI",AA327="NO APLICA"),1,0)
)/9</f>
        <v>0.31481481481481477</v>
      </c>
      <c r="AF327" s="91">
        <v>1</v>
      </c>
      <c r="AG327" s="105" t="s">
        <v>1841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213</v>
      </c>
      <c r="V328" s="66" t="s">
        <v>213</v>
      </c>
      <c r="W328" s="66"/>
      <c r="X328" s="66"/>
      <c r="Y328" s="66"/>
      <c r="Z328" s="66"/>
      <c r="AA328" s="66"/>
      <c r="AB328">
        <f t="shared" si="10"/>
        <v>0</v>
      </c>
      <c r="AC328">
        <f t="shared" si="11"/>
        <v>0</v>
      </c>
      <c r="AD328" s="67"/>
      <c r="AE328" s="87">
        <f>(
IF(S328="ENVIADO A LA CE/UM",1/3,IF(S328="ENTREGADO/REVISIÓN",2/3,IF(S328="ENVIADO A TICS",1,0)))+
IF(T328="EN PROCESO",1/2,IF(T328="CONCLUIDO",1,0))+
IF(OR(U328="CONCLUIDO",U328="NO APLICA"),1,IF(U328="EN REVISIÓN CENTRAL",2/3,IF(U328="ENVIADO A LA CE/UM",1/3,0)))+
IF(OR(V328="CONCLUIDO",V328="NO APLICA"),1,IF(V328="EN REVISIÓN CENTRAL",2/3,IF(V328="ENVIADO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IF(OR(W328="CONCLUIDO",W328="NO APLICA"),1,IF(W328="EN PROCESO",0.5,0))+
IF(OR(X328="CONCLUIDO",X328="NO APLICA"),1,IF(X328="EN PROCESO",0.5,0))+
IF(Y328="PROGRAMADAS",1/2,IF(Y328="CONCLUIDAS",1,0))+
IF(OR(Z328="SI",Z328="NO APLICA"),1,0)+
IF(OR(AA328="SI",AA328="NO APLICA"),1,0)
)/9</f>
        <v>0.31481481481481477</v>
      </c>
      <c r="AF328" s="91">
        <v>1</v>
      </c>
      <c r="AG328" s="105" t="s">
        <v>1841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>
        <f t="shared" si="10"/>
        <v>0</v>
      </c>
      <c r="AC329">
        <f t="shared" si="11"/>
        <v>0</v>
      </c>
      <c r="AD329" s="67"/>
      <c r="AE329" s="87">
        <f>(
IF(S329="ENVIADO A LA CE/UM",1/3,IF(S329="ENTREGADO/REVISIÓN",2/3,IF(S329="ENVIADO A TICS",1,0)))+
IF(T329="EN PROCESO",1/2,IF(T329="CONCLUIDO",1,0))+
IF(OR(U329="CONCLUIDO",U329="NO APLICA"),1,IF(U329="EN REVISIÓN CENTRAL",2/3,IF(U329="ENVIADO A LA CE/UM",1/3,0)))+
IF(OR(V329="CONCLUIDO",V329="NO APLICA"),1,IF(V329="EN REVISIÓN CENTRAL",2/3,IF(V329="ENVIADO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IF(OR(W329="CONCLUIDO",W329="NO APLICA"),1,IF(W329="EN PROCESO",0.5,0))+
IF(OR(X329="CONCLUIDO",X329="NO APLICA"),1,IF(X329="EN PROCESO",0.5,0))+
IF(Y329="PROGRAMADAS",1/2,IF(Y329="CONCLUIDAS",1,0))+
IF(OR(Z329="SI",Z329="NO APLICA"),1,0)+
IF(OR(AA329="SI",AA329="NO APLICA"),1,0)
)/9</f>
        <v>0.31481481481481477</v>
      </c>
      <c r="AF329" s="91">
        <v>1</v>
      </c>
      <c r="AG329" s="105" t="s">
        <v>1841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>
        <f t="shared" si="10"/>
        <v>0</v>
      </c>
      <c r="AC330">
        <f t="shared" si="11"/>
        <v>0</v>
      </c>
      <c r="AD330" s="67"/>
      <c r="AE330" s="87">
        <f>(
IF(S330="ENVIADO A LA CE/UM",1/3,IF(S330="ENTREGADO/REVISIÓN",2/3,IF(S330="ENVIADO A TICS",1,0)))+
IF(T330="EN PROCESO",1/2,IF(T330="CONCLUIDO",1,0))+
IF(OR(U330="CONCLUIDO",U330="NO APLICA"),1,IF(U330="EN REVISIÓN CENTRAL",2/3,IF(U330="ENVIADO A LA CE/UM",1/3,0)))+
IF(OR(V330="CONCLUIDO",V330="NO APLICA"),1,IF(V330="EN REVISIÓN CENTRAL",2/3,IF(V330="ENVIADO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IF(OR(W330="CONCLUIDO",W330="NO APLICA"),1,IF(W330="EN PROCESO",0.5,0))+
IF(OR(X330="CONCLUIDO",X330="NO APLICA"),1,IF(X330="EN PROCESO",0.5,0))+
IF(Y330="PROGRAMADAS",1/2,IF(Y330="CONCLUIDAS",1,0))+
IF(OR(Z330="SI",Z330="NO APLICA"),1,0)+
IF(OR(AA330="SI",AA330="NO APLICA"),1,0)
)/9</f>
        <v>0.31481481481481477</v>
      </c>
      <c r="AF330" s="91">
        <v>1</v>
      </c>
      <c r="AG330" s="105" t="s">
        <v>1841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>
        <f t="shared" si="10"/>
        <v>0</v>
      </c>
      <c r="AC331">
        <f t="shared" si="11"/>
        <v>0</v>
      </c>
      <c r="AD331" s="67"/>
      <c r="AE331" s="87">
        <f>(
IF(S331="ENVIADO A LA CE/UM",1/3,IF(S331="ENTREGADO/REVISIÓN",2/3,IF(S331="ENVIADO A TICS",1,0)))+
IF(T331="EN PROCESO",1/2,IF(T331="CONCLUIDO",1,0))+
IF(OR(U331="CONCLUIDO",U331="NO APLICA"),1,IF(U331="EN REVISIÓN CENTRAL",2/3,IF(U331="ENVIADO A LA CE/UM",1/3,0)))+
IF(OR(V331="CONCLUIDO",V331="NO APLICA"),1,IF(V331="EN REVISIÓN CENTRAL",2/3,IF(V331="ENVIADO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IF(OR(W331="CONCLUIDO",W331="NO APLICA"),1,IF(W331="EN PROCESO",0.5,0))+
IF(OR(X331="CONCLUIDO",X331="NO APLICA"),1,IF(X331="EN PROCESO",0.5,0))+
IF(Y331="PROGRAMADAS",1/2,IF(Y331="CONCLUIDAS",1,0))+
IF(OR(Z331="SI",Z331="NO APLICA"),1,0)+
IF(OR(AA331="SI",AA331="NO APLICA"),1,0)
)/9</f>
        <v>0.31481481481481477</v>
      </c>
      <c r="AF331" s="91">
        <v>1</v>
      </c>
      <c r="AG331" s="105" t="s">
        <v>1841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213</v>
      </c>
      <c r="V332" s="66" t="s">
        <v>213</v>
      </c>
      <c r="W332" s="66"/>
      <c r="X332" s="66"/>
      <c r="Y332" s="66"/>
      <c r="Z332" s="66"/>
      <c r="AA332" s="66"/>
      <c r="AB332">
        <f t="shared" si="10"/>
        <v>0</v>
      </c>
      <c r="AC332">
        <f t="shared" si="11"/>
        <v>0</v>
      </c>
      <c r="AD332" s="67"/>
      <c r="AE332" s="87">
        <f>(
IF(S332="ENVIADO A LA CE/UM",1/3,IF(S332="ENTREGADO/REVISIÓN",2/3,IF(S332="ENVIADO A TICS",1,0)))+
IF(T332="EN PROCESO",1/2,IF(T332="CONCLUIDO",1,0))+
IF(OR(U332="CONCLUIDO",U332="NO APLICA"),1,IF(U332="EN REVISIÓN CENTRAL",2/3,IF(U332="ENVIADO A LA CE/UM",1/3,0)))+
IF(OR(V332="CONCLUIDO",V332="NO APLICA"),1,IF(V332="EN REVISIÓN CENTRAL",2/3,IF(V332="ENVIADO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IF(OR(W332="CONCLUIDO",W332="NO APLICA"),1,IF(W332="EN PROCESO",0.5,0))+
IF(OR(X332="CONCLUIDO",X332="NO APLICA"),1,IF(X332="EN PROCESO",0.5,0))+
IF(Y332="PROGRAMADAS",1/2,IF(Y332="CONCLUIDAS",1,0))+
IF(OR(Z332="SI",Z332="NO APLICA"),1,0)+
IF(OR(AA332="SI",AA332="NO APLICA"),1,0)
)/9</f>
        <v>0.31481481481481477</v>
      </c>
      <c r="AF332" s="91">
        <v>1</v>
      </c>
      <c r="AG332" s="105" t="s">
        <v>1841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>
        <f t="shared" si="10"/>
        <v>0</v>
      </c>
      <c r="AC333">
        <f t="shared" si="11"/>
        <v>0</v>
      </c>
      <c r="AD333" s="67"/>
      <c r="AE333" s="87">
        <f>(
IF(S333="ENVIADO A LA CE/UM",1/3,IF(S333="ENTREGADO/REVISIÓN",2/3,IF(S333="ENVIADO A TICS",1,0)))+
IF(T333="EN PROCESO",1/2,IF(T333="CONCLUIDO",1,0))+
IF(OR(U333="CONCLUIDO",U333="NO APLICA"),1,IF(U333="EN REVISIÓN CENTRAL",2/3,IF(U333="ENVIADO A LA CE/UM",1/3,0)))+
IF(OR(V333="CONCLUIDO",V333="NO APLICA"),1,IF(V333="EN REVISIÓN CENTRAL",2/3,IF(V333="ENVIADO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IF(OR(W333="CONCLUIDO",W333="NO APLICA"),1,IF(W333="EN PROCESO",0.5,0))+
IF(OR(X333="CONCLUIDO",X333="NO APLICA"),1,IF(X333="EN PROCESO",0.5,0))+
IF(Y333="PROGRAMADAS",1/2,IF(Y333="CONCLUIDAS",1,0))+
IF(OR(Z333="SI",Z333="NO APLICA"),1,0)+
IF(OR(AA333="SI",AA333="NO APLICA"),1,0)
)/9</f>
        <v>0.31481481481481477</v>
      </c>
      <c r="AF333" s="91">
        <v>1</v>
      </c>
      <c r="AG333" s="105" t="s">
        <v>1841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>
        <f t="shared" si="10"/>
        <v>0</v>
      </c>
      <c r="AC334">
        <f t="shared" si="11"/>
        <v>0</v>
      </c>
      <c r="AD334" s="67"/>
      <c r="AE334" s="87">
        <f>(
IF(S334="ENVIADO A LA CE/UM",1/3,IF(S334="ENTREGADO/REVISIÓN",2/3,IF(S334="ENVIADO A TICS",1,0)))+
IF(T334="EN PROCESO",1/2,IF(T334="CONCLUIDO",1,0))+
IF(OR(U334="CONCLUIDO",U334="NO APLICA"),1,IF(U334="EN REVISIÓN CENTRAL",2/3,IF(U334="ENVIADO A LA CE/UM",1/3,0)))+
IF(OR(V334="CONCLUIDO",V334="NO APLICA"),1,IF(V334="EN REVISIÓN CENTRAL",2/3,IF(V334="ENVIADO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IF(OR(W334="CONCLUIDO",W334="NO APLICA"),1,IF(W334="EN PROCESO",0.5,0))+
IF(OR(X334="CONCLUIDO",X334="NO APLICA"),1,IF(X334="EN PROCESO",0.5,0))+
IF(Y334="PROGRAMADAS",1/2,IF(Y334="CONCLUIDAS",1,0))+
IF(OR(Z334="SI",Z334="NO APLICA"),1,0)+
IF(OR(AA334="SI",AA334="NO APLICA"),1,0)
)/9</f>
        <v>0.31481481481481477</v>
      </c>
      <c r="AF334" s="91">
        <v>1</v>
      </c>
      <c r="AG334" s="105" t="s">
        <v>1841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>
        <f t="shared" si="10"/>
        <v>0</v>
      </c>
      <c r="AC335">
        <f t="shared" si="11"/>
        <v>0</v>
      </c>
      <c r="AD335" s="67"/>
      <c r="AE335" s="87">
        <f>(
IF(S335="ENVIADO A LA CE/UM",1/3,IF(S335="ENTREGADO/REVISIÓN",2/3,IF(S335="ENVIADO A TICS",1,0)))+
IF(T335="EN PROCESO",1/2,IF(T335="CONCLUIDO",1,0))+
IF(OR(U335="CONCLUIDO",U335="NO APLICA"),1,IF(U335="EN REVISIÓN CENTRAL",2/3,IF(U335="ENVIADO A LA CE/UM",1/3,0)))+
IF(OR(V335="CONCLUIDO",V335="NO APLICA"),1,IF(V335="EN REVISIÓN CENTRAL",2/3,IF(V335="ENVIADO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IF(OR(W335="CONCLUIDO",W335="NO APLICA"),1,IF(W335="EN PROCESO",0.5,0))+
IF(OR(X335="CONCLUIDO",X335="NO APLICA"),1,IF(X335="EN PROCESO",0.5,0))+
IF(Y335="PROGRAMADAS",1/2,IF(Y335="CONCLUIDAS",1,0))+
IF(OR(Z335="SI",Z335="NO APLICA"),1,0)+
IF(OR(AA335="SI",AA335="NO APLICA"),1,0)
)/9</f>
        <v>0.31481481481481477</v>
      </c>
      <c r="AF335" s="91">
        <v>1</v>
      </c>
      <c r="AG335" s="105" t="s">
        <v>1841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>
        <f t="shared" si="10"/>
        <v>0</v>
      </c>
      <c r="AC336">
        <f t="shared" si="11"/>
        <v>0</v>
      </c>
      <c r="AD336" s="74"/>
      <c r="AE336" s="87">
        <f>(
IF(S336="ENVIADO A LA CE/UM",1/3,IF(S336="ENTREGADO/REVISIÓN",2/3,IF(S336="ENVIADO A TICS",1,0)))+
IF(T336="EN PROCESO",1/2,IF(T336="CONCLUIDO",1,0))+
IF(OR(U336="CONCLUIDO",U336="NO APLICA"),1,IF(U336="EN REVISIÓN CENTRAL",2/3,IF(U336="ENVIADO A LA CE/UM",1/3,0)))+
IF(OR(V336="CONCLUIDO",V336="NO APLICA"),1,IF(V336="EN REVISIÓN CENTRAL",2/3,IF(V336="ENVIADO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IF(OR(W336="CONCLUIDO",W336="NO APLICA"),1,IF(W336="EN PROCESO",0.5,0))+
IF(OR(X336="CONCLUIDO",X336="NO APLICA"),1,IF(X336="EN PROCESO",0.5,0))+
IF(Y336="PROGRAMADAS",1/2,IF(Y336="CONCLUIDAS",1,0))+
IF(OR(Z336="SI",Z336="NO APLICA"),1,0)+
IF(OR(AA336="SI",AA336="NO APLICA"),1,0)
)/9</f>
        <v>0.31481481481481477</v>
      </c>
      <c r="AF336" s="91">
        <v>1</v>
      </c>
      <c r="AG336" s="105" t="s">
        <v>1841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213</v>
      </c>
      <c r="V337" s="66" t="s">
        <v>213</v>
      </c>
      <c r="W337" s="66"/>
      <c r="X337" s="66"/>
      <c r="Y337" s="66"/>
      <c r="Z337" s="66"/>
      <c r="AA337" s="66"/>
      <c r="AB337">
        <f t="shared" si="10"/>
        <v>0</v>
      </c>
      <c r="AC337">
        <f t="shared" si="11"/>
        <v>0</v>
      </c>
      <c r="AD337" s="67"/>
      <c r="AE337" s="87">
        <f>(
IF(S337="ENVIADO A LA CE/UM",1/3,IF(S337="ENTREGADO/REVISIÓN",2/3,IF(S337="ENVIADO A TICS",1,0)))+
IF(T337="EN PROCESO",1/2,IF(T337="CONCLUIDO",1,0))+
IF(OR(U337="CONCLUIDO",U337="NO APLICA"),1,IF(U337="EN REVISIÓN CENTRAL",2/3,IF(U337="ENVIADO A LA CE/UM",1/3,0)))+
IF(OR(V337="CONCLUIDO",V337="NO APLICA"),1,IF(V337="EN REVISIÓN CENTRAL",2/3,IF(V337="ENVIADO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IF(OR(W337="CONCLUIDO",W337="NO APLICA"),1,IF(W337="EN PROCESO",0.5,0))+
IF(OR(X337="CONCLUIDO",X337="NO APLICA"),1,IF(X337="EN PROCESO",0.5,0))+
IF(Y337="PROGRAMADAS",1/2,IF(Y337="CONCLUIDAS",1,0))+
IF(OR(Z337="SI",Z337="NO APLICA"),1,0)+
IF(OR(AA337="SI",AA337="NO APLICA"),1,0)
)/9</f>
        <v>0.31481481481481477</v>
      </c>
      <c r="AF337" s="91">
        <v>1</v>
      </c>
      <c r="AG337" s="105" t="s">
        <v>1841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>
        <f t="shared" si="10"/>
        <v>0</v>
      </c>
      <c r="AC338">
        <f t="shared" si="11"/>
        <v>0</v>
      </c>
      <c r="AD338" s="67"/>
      <c r="AE338" s="87">
        <f>(
IF(S338="ENVIADO A LA CE/UM",1/3,IF(S338="ENTREGADO/REVISIÓN",2/3,IF(S338="ENVIADO A TICS",1,0)))+
IF(T338="EN PROCESO",1/2,IF(T338="CONCLUIDO",1,0))+
IF(OR(U338="CONCLUIDO",U338="NO APLICA"),1,IF(U338="EN REVISIÓN CENTRAL",2/3,IF(U338="ENVIADO A LA CE/UM",1/3,0)))+
IF(OR(V338="CONCLUIDO",V338="NO APLICA"),1,IF(V338="EN REVISIÓN CENTRAL",2/3,IF(V338="ENVIADO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IF(OR(W338="CONCLUIDO",W338="NO APLICA"),1,IF(W338="EN PROCESO",0.5,0))+
IF(OR(X338="CONCLUIDO",X338="NO APLICA"),1,IF(X338="EN PROCESO",0.5,0))+
IF(Y338="PROGRAMADAS",1/2,IF(Y338="CONCLUIDAS",1,0))+
IF(OR(Z338="SI",Z338="NO APLICA"),1,0)+
IF(OR(AA338="SI",AA338="NO APLICA"),1,0)
)/9</f>
        <v>0.31481481481481477</v>
      </c>
      <c r="AF338" s="91">
        <v>1</v>
      </c>
      <c r="AG338" s="105" t="s">
        <v>1841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>
        <f t="shared" si="10"/>
        <v>0</v>
      </c>
      <c r="AC339">
        <f t="shared" si="11"/>
        <v>0</v>
      </c>
      <c r="AD339" s="67"/>
      <c r="AE339" s="87">
        <f>(
IF(S339="ENVIADO A LA CE/UM",1/3,IF(S339="ENTREGADO/REVISIÓN",2/3,IF(S339="ENVIADO A TICS",1,0)))+
IF(T339="EN PROCESO",1/2,IF(T339="CONCLUIDO",1,0))+
IF(OR(U339="CONCLUIDO",U339="NO APLICA"),1,IF(U339="EN REVISIÓN CENTRAL",2/3,IF(U339="ENVIADO A LA CE/UM",1/3,0)))+
IF(OR(V339="CONCLUIDO",V339="NO APLICA"),1,IF(V339="EN REVISIÓN CENTRAL",2/3,IF(V339="ENVIADO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IF(OR(W339="CONCLUIDO",W339="NO APLICA"),1,IF(W339="EN PROCESO",0.5,0))+
IF(OR(X339="CONCLUIDO",X339="NO APLICA"),1,IF(X339="EN PROCESO",0.5,0))+
IF(Y339="PROGRAMADAS",1/2,IF(Y339="CONCLUIDAS",1,0))+
IF(OR(Z339="SI",Z339="NO APLICA"),1,0)+
IF(OR(AA339="SI",AA339="NO APLICA"),1,0)
)/9</f>
        <v>0.31481481481481477</v>
      </c>
      <c r="AF339" s="91">
        <v>1</v>
      </c>
      <c r="AG339" s="105" t="s">
        <v>1841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213</v>
      </c>
      <c r="V340" s="66" t="s">
        <v>213</v>
      </c>
      <c r="W340" s="66"/>
      <c r="X340" s="66"/>
      <c r="Y340" s="66"/>
      <c r="Z340" s="66"/>
      <c r="AA340" s="66"/>
      <c r="AB340">
        <f t="shared" si="10"/>
        <v>0</v>
      </c>
      <c r="AC340">
        <f t="shared" si="11"/>
        <v>0</v>
      </c>
      <c r="AD340" s="67"/>
      <c r="AE340" s="87">
        <f>(
IF(S340="ENVIADO A LA CE/UM",1/3,IF(S340="ENTREGADO/REVISIÓN",2/3,IF(S340="ENVIADO A TICS",1,0)))+
IF(T340="EN PROCESO",1/2,IF(T340="CONCLUIDO",1,0))+
IF(OR(U340="CONCLUIDO",U340="NO APLICA"),1,IF(U340="EN REVISIÓN CENTRAL",2/3,IF(U340="ENVIADO A LA CE/UM",1/3,0)))+
IF(OR(V340="CONCLUIDO",V340="NO APLICA"),1,IF(V340="EN REVISIÓN CENTRAL",2/3,IF(V340="ENVIADO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IF(OR(W340="CONCLUIDO",W340="NO APLICA"),1,IF(W340="EN PROCESO",0.5,0))+
IF(OR(X340="CONCLUIDO",X340="NO APLICA"),1,IF(X340="EN PROCESO",0.5,0))+
IF(Y340="PROGRAMADAS",1/2,IF(Y340="CONCLUIDAS",1,0))+
IF(OR(Z340="SI",Z340="NO APLICA"),1,0)+
IF(OR(AA340="SI",AA340="NO APLICA"),1,0)
)/9</f>
        <v>0.31481481481481477</v>
      </c>
      <c r="AF340" s="91">
        <v>1</v>
      </c>
      <c r="AG340" s="105" t="s">
        <v>1841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>
        <f t="shared" si="10"/>
        <v>0</v>
      </c>
      <c r="AC341">
        <f t="shared" si="11"/>
        <v>0</v>
      </c>
      <c r="AD341" s="67"/>
      <c r="AE341" s="87">
        <f>(
IF(S341="ENVIADO A LA CE/UM",1/3,IF(S341="ENTREGADO/REVISIÓN",2/3,IF(S341="ENVIADO A TICS",1,0)))+
IF(T341="EN PROCESO",1/2,IF(T341="CONCLUIDO",1,0))+
IF(OR(U341="CONCLUIDO",U341="NO APLICA"),1,IF(U341="EN REVISIÓN CENTRAL",2/3,IF(U341="ENVIADO A LA CE/UM",1/3,0)))+
IF(OR(V341="CONCLUIDO",V341="NO APLICA"),1,IF(V341="EN REVISIÓN CENTRAL",2/3,IF(V341="ENVIADO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IF(OR(W341="CONCLUIDO",W341="NO APLICA"),1,IF(W341="EN PROCESO",0.5,0))+
IF(OR(X341="CONCLUIDO",X341="NO APLICA"),1,IF(X341="EN PROCESO",0.5,0))+
IF(Y341="PROGRAMADAS",1/2,IF(Y341="CONCLUIDAS",1,0))+
IF(OR(Z341="SI",Z341="NO APLICA"),1,0)+
IF(OR(AA341="SI",AA341="NO APLICA"),1,0)
)/9</f>
        <v>0.31481481481481477</v>
      </c>
      <c r="AF341" s="91">
        <v>1</v>
      </c>
      <c r="AG341" s="105" t="s">
        <v>1841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>
        <f t="shared" si="10"/>
        <v>0</v>
      </c>
      <c r="AC342">
        <f t="shared" si="11"/>
        <v>0</v>
      </c>
      <c r="AD342" s="67"/>
      <c r="AE342" s="87">
        <f>(
IF(S342="ENVIADO A LA CE/UM",1/3,IF(S342="ENTREGADO/REVISIÓN",2/3,IF(S342="ENVIADO A TICS",1,0)))+
IF(T342="EN PROCESO",1/2,IF(T342="CONCLUIDO",1,0))+
IF(OR(U342="CONCLUIDO",U342="NO APLICA"),1,IF(U342="EN REVISIÓN CENTRAL",2/3,IF(U342="ENVIADO A LA CE/UM",1/3,0)))+
IF(OR(V342="CONCLUIDO",V342="NO APLICA"),1,IF(V342="EN REVISIÓN CENTRAL",2/3,IF(V342="ENVIADO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IF(OR(W342="CONCLUIDO",W342="NO APLICA"),1,IF(W342="EN PROCESO",0.5,0))+
IF(OR(X342="CONCLUIDO",X342="NO APLICA"),1,IF(X342="EN PROCESO",0.5,0))+
IF(Y342="PROGRAMADAS",1/2,IF(Y342="CONCLUIDAS",1,0))+
IF(OR(Z342="SI",Z342="NO APLICA"),1,0)+
IF(OR(AA342="SI",AA342="NO APLICA"),1,0)
)/9</f>
        <v>0.31481481481481477</v>
      </c>
      <c r="AF342" s="91">
        <v>1</v>
      </c>
      <c r="AG342" s="105" t="s">
        <v>1841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213</v>
      </c>
      <c r="V343" s="66" t="s">
        <v>213</v>
      </c>
      <c r="W343" s="66"/>
      <c r="X343" s="66"/>
      <c r="Y343" s="66"/>
      <c r="Z343" s="66"/>
      <c r="AA343" s="66"/>
      <c r="AB343">
        <f t="shared" si="10"/>
        <v>0</v>
      </c>
      <c r="AC343">
        <f t="shared" si="11"/>
        <v>0</v>
      </c>
      <c r="AD343" s="67"/>
      <c r="AE343" s="87">
        <f>(
IF(S343="ENVIADO A LA CE/UM",1/3,IF(S343="ENTREGADO/REVISIÓN",2/3,IF(S343="ENVIADO A TICS",1,0)))+
IF(T343="EN PROCESO",1/2,IF(T343="CONCLUIDO",1,0))+
IF(OR(U343="CONCLUIDO",U343="NO APLICA"),1,IF(U343="EN REVISIÓN CENTRAL",2/3,IF(U343="ENVIADO A LA CE/UM",1/3,0)))+
IF(OR(V343="CONCLUIDO",V343="NO APLICA"),1,IF(V343="EN REVISIÓN CENTRAL",2/3,IF(V343="ENVIADO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IF(OR(W343="CONCLUIDO",W343="NO APLICA"),1,IF(W343="EN PROCESO",0.5,0))+
IF(OR(X343="CONCLUIDO",X343="NO APLICA"),1,IF(X343="EN PROCESO",0.5,0))+
IF(Y343="PROGRAMADAS",1/2,IF(Y343="CONCLUIDAS",1,0))+
IF(OR(Z343="SI",Z343="NO APLICA"),1,0)+
IF(OR(AA343="SI",AA343="NO APLICA"),1,0)
)/9</f>
        <v>0.31481481481481477</v>
      </c>
      <c r="AF343" s="91">
        <v>1</v>
      </c>
      <c r="AG343" s="105" t="s">
        <v>1841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>
        <f t="shared" si="10"/>
        <v>0</v>
      </c>
      <c r="AC344">
        <f t="shared" si="11"/>
        <v>0</v>
      </c>
      <c r="AD344" s="67"/>
      <c r="AE344" s="87">
        <f>(
IF(S344="ENVIADO A LA CE/UM",1/3,IF(S344="ENTREGADO/REVISIÓN",2/3,IF(S344="ENVIADO A TICS",1,0)))+
IF(T344="EN PROCESO",1/2,IF(T344="CONCLUIDO",1,0))+
IF(OR(U344="CONCLUIDO",U344="NO APLICA"),1,IF(U344="EN REVISIÓN CENTRAL",2/3,IF(U344="ENVIADO A LA CE/UM",1/3,0)))+
IF(OR(V344="CONCLUIDO",V344="NO APLICA"),1,IF(V344="EN REVISIÓN CENTRAL",2/3,IF(V344="ENVIADO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IF(OR(W344="CONCLUIDO",W344="NO APLICA"),1,IF(W344="EN PROCESO",0.5,0))+
IF(OR(X344="CONCLUIDO",X344="NO APLICA"),1,IF(X344="EN PROCESO",0.5,0))+
IF(Y344="PROGRAMADAS",1/2,IF(Y344="CONCLUIDAS",1,0))+
IF(OR(Z344="SI",Z344="NO APLICA"),1,0)+
IF(OR(AA344="SI",AA344="NO APLICA"),1,0)
)/9</f>
        <v>0.31481481481481477</v>
      </c>
      <c r="AF344" s="91">
        <v>1</v>
      </c>
      <c r="AG344" s="105" t="s">
        <v>1841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>
        <f t="shared" si="10"/>
        <v>0</v>
      </c>
      <c r="AC345">
        <f t="shared" si="11"/>
        <v>0</v>
      </c>
      <c r="AD345" s="67"/>
      <c r="AE345" s="87">
        <f>(
IF(S345="ENVIADO A LA CE/UM",1/3,IF(S345="ENTREGADO/REVISIÓN",2/3,IF(S345="ENVIADO A TICS",1,0)))+
IF(T345="EN PROCESO",1/2,IF(T345="CONCLUIDO",1,0))+
IF(OR(U345="CONCLUIDO",U345="NO APLICA"),1,IF(U345="EN REVISIÓN CENTRAL",2/3,IF(U345="ENVIADO A LA CE/UM",1/3,0)))+
IF(OR(V345="CONCLUIDO",V345="NO APLICA"),1,IF(V345="EN REVISIÓN CENTRAL",2/3,IF(V345="ENVIADO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IF(OR(W345="CONCLUIDO",W345="NO APLICA"),1,IF(W345="EN PROCESO",0.5,0))+
IF(OR(X345="CONCLUIDO",X345="NO APLICA"),1,IF(X345="EN PROCESO",0.5,0))+
IF(Y345="PROGRAMADAS",1/2,IF(Y345="CONCLUIDAS",1,0))+
IF(OR(Z345="SI",Z345="NO APLICA"),1,0)+
IF(OR(AA345="SI",AA345="NO APLICA"),1,0)
)/9</f>
        <v>0.31481481481481477</v>
      </c>
      <c r="AF345" s="91">
        <v>1</v>
      </c>
      <c r="AG345" s="105" t="s">
        <v>1841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>
        <f t="shared" si="10"/>
        <v>0</v>
      </c>
      <c r="AC346">
        <f t="shared" si="11"/>
        <v>0</v>
      </c>
      <c r="AD346" s="67"/>
      <c r="AE346" s="87">
        <f>(
IF(S346="ENVIADO A LA CE/UM",1/3,IF(S346="ENTREGADO/REVISIÓN",2/3,IF(S346="ENVIADO A TICS",1,0)))+
IF(T346="EN PROCESO",1/2,IF(T346="CONCLUIDO",1,0))+
IF(OR(U346="CONCLUIDO",U346="NO APLICA"),1,IF(U346="EN REVISIÓN CENTRAL",2/3,IF(U346="ENVIADO A LA CE/UM",1/3,0)))+
IF(OR(V346="CONCLUIDO",V346="NO APLICA"),1,IF(V346="EN REVISIÓN CENTRAL",2/3,IF(V346="ENVIADO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IF(OR(W346="CONCLUIDO",W346="NO APLICA"),1,IF(W346="EN PROCESO",0.5,0))+
IF(OR(X346="CONCLUIDO",X346="NO APLICA"),1,IF(X346="EN PROCESO",0.5,0))+
IF(Y346="PROGRAMADAS",1/2,IF(Y346="CONCLUIDAS",1,0))+
IF(OR(Z346="SI",Z346="NO APLICA"),1,0)+
IF(OR(AA346="SI",AA346="NO APLICA"),1,0)
)/9</f>
        <v>0.44444444444444442</v>
      </c>
      <c r="AF346" s="91">
        <v>6</v>
      </c>
      <c r="AG346" s="105" t="s">
        <v>1781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>
        <f t="shared" si="10"/>
        <v>0</v>
      </c>
      <c r="AC347">
        <f t="shared" si="11"/>
        <v>0</v>
      </c>
      <c r="AD347" s="67"/>
      <c r="AE347" s="87">
        <f>(
IF(S347="ENVIADO A LA CE/UM",1/3,IF(S347="ENTREGADO/REVISIÓN",2/3,IF(S347="ENVIADO A TICS",1,0)))+
IF(T347="EN PROCESO",1/2,IF(T347="CONCLUIDO",1,0))+
IF(OR(U347="CONCLUIDO",U347="NO APLICA"),1,IF(U347="EN REVISIÓN CENTRAL",2/3,IF(U347="ENVIADO A LA CE/UM",1/3,0)))+
IF(OR(V347="CONCLUIDO",V347="NO APLICA"),1,IF(V347="EN REVISIÓN CENTRAL",2/3,IF(V347="ENVIADO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IF(OR(W347="CONCLUIDO",W347="NO APLICA"),1,IF(W347="EN PROCESO",0.5,0))+
IF(OR(X347="CONCLUIDO",X347="NO APLICA"),1,IF(X347="EN PROCESO",0.5,0))+
IF(Y347="PROGRAMADAS",1/2,IF(Y347="CONCLUIDAS",1,0))+
IF(OR(Z347="SI",Z347="NO APLICA"),1,0)+
IF(OR(AA347="SI",AA347="NO APLICA"),1,0)
)/9</f>
        <v>0.25925925925925924</v>
      </c>
      <c r="AF347" s="91">
        <v>6</v>
      </c>
      <c r="AG347" s="105" t="s">
        <v>1781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>
        <f t="shared" si="10"/>
        <v>0</v>
      </c>
      <c r="AC348">
        <f t="shared" si="11"/>
        <v>0</v>
      </c>
      <c r="AD348" s="67"/>
      <c r="AE348" s="87">
        <f>(
IF(S348="ENVIADO A LA CE/UM",1/3,IF(S348="ENTREGADO/REVISIÓN",2/3,IF(S348="ENVIADO A TICS",1,0)))+
IF(T348="EN PROCESO",1/2,IF(T348="CONCLUIDO",1,0))+
IF(OR(U348="CONCLUIDO",U348="NO APLICA"),1,IF(U348="EN REVISIÓN CENTRAL",2/3,IF(U348="ENVIADO A LA CE/UM",1/3,0)))+
IF(OR(V348="CONCLUIDO",V348="NO APLICA"),1,IF(V348="EN REVISIÓN CENTRAL",2/3,IF(V348="ENVIADO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IF(OR(W348="CONCLUIDO",W348="NO APLICA"),1,IF(W348="EN PROCESO",0.5,0))+
IF(OR(X348="CONCLUIDO",X348="NO APLICA"),1,IF(X348="EN PROCESO",0.5,0))+
IF(Y348="PROGRAMADAS",1/2,IF(Y348="CONCLUIDAS",1,0))+
IF(OR(Z348="SI",Z348="NO APLICA"),1,0)+
IF(OR(AA348="SI",AA348="NO APLICA"),1,0)
)/9</f>
        <v>0.25925925925925924</v>
      </c>
      <c r="AF348" s="91">
        <v>6</v>
      </c>
      <c r="AG348" s="105" t="s">
        <v>1781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>
        <f t="shared" si="10"/>
        <v>0</v>
      </c>
      <c r="AC349">
        <f t="shared" si="11"/>
        <v>0</v>
      </c>
      <c r="AD349" s="67"/>
      <c r="AE349" s="87">
        <f>(
IF(S349="ENVIADO A LA CE/UM",1/3,IF(S349="ENTREGADO/REVISIÓN",2/3,IF(S349="ENVIADO A TICS",1,0)))+
IF(T349="EN PROCESO",1/2,IF(T349="CONCLUIDO",1,0))+
IF(OR(U349="CONCLUIDO",U349="NO APLICA"),1,IF(U349="EN REVISIÓN CENTRAL",2/3,IF(U349="ENVIADO A LA CE/UM",1/3,0)))+
IF(OR(V349="CONCLUIDO",V349="NO APLICA"),1,IF(V349="EN REVISIÓN CENTRAL",2/3,IF(V349="ENVIADO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IF(OR(W349="CONCLUIDO",W349="NO APLICA"),1,IF(W349="EN PROCESO",0.5,0))+
IF(OR(X349="CONCLUIDO",X349="NO APLICA"),1,IF(X349="EN PROCESO",0.5,0))+
IF(Y349="PROGRAMADAS",1/2,IF(Y349="CONCLUIDAS",1,0))+
IF(OR(Z349="SI",Z349="NO APLICA"),1,0)+
IF(OR(AA349="SI",AA349="NO APLICA"),1,0)
)/9</f>
        <v>0.25925925925925924</v>
      </c>
      <c r="AF349" s="91">
        <v>6</v>
      </c>
      <c r="AG349" s="105" t="s">
        <v>1781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>
        <f t="shared" si="10"/>
        <v>0</v>
      </c>
      <c r="AC350">
        <f t="shared" si="11"/>
        <v>0</v>
      </c>
      <c r="AD350" s="67"/>
      <c r="AE350" s="87">
        <f>(
IF(S350="ENVIADO A LA CE/UM",1/3,IF(S350="ENTREGADO/REVISIÓN",2/3,IF(S350="ENVIADO A TICS",1,0)))+
IF(T350="EN PROCESO",1/2,IF(T350="CONCLUIDO",1,0))+
IF(OR(U350="CONCLUIDO",U350="NO APLICA"),1,IF(U350="EN REVISIÓN CENTRAL",2/3,IF(U350="ENVIADO A LA CE/UM",1/3,0)))+
IF(OR(V350="CONCLUIDO",V350="NO APLICA"),1,IF(V350="EN REVISIÓN CENTRAL",2/3,IF(V350="ENVIADO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IF(OR(W350="CONCLUIDO",W350="NO APLICA"),1,IF(W350="EN PROCESO",0.5,0))+
IF(OR(X350="CONCLUIDO",X350="NO APLICA"),1,IF(X350="EN PROCESO",0.5,0))+
IF(Y350="PROGRAMADAS",1/2,IF(Y350="CONCLUIDAS",1,0))+
IF(OR(Z350="SI",Z350="NO APLICA"),1,0)+
IF(OR(AA350="SI",AA350="NO APLICA"),1,0)
)/9</f>
        <v>0.25925925925925924</v>
      </c>
      <c r="AF350" s="91">
        <v>6</v>
      </c>
      <c r="AG350" s="105" t="s">
        <v>1781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/>
      <c r="X351" s="66"/>
      <c r="Y351" s="66"/>
      <c r="Z351" s="66"/>
      <c r="AA351" s="66"/>
      <c r="AB351">
        <f t="shared" si="10"/>
        <v>0</v>
      </c>
      <c r="AC351">
        <f t="shared" si="11"/>
        <v>0</v>
      </c>
      <c r="AD351" s="67"/>
      <c r="AE351" s="87">
        <f>(
IF(S351="ENVIADO A LA CE/UM",1/3,IF(S351="ENTREGADO/REVISIÓN",2/3,IF(S351="ENVIADO A TICS",1,0)))+
IF(T351="EN PROCESO",1/2,IF(T351="CONCLUIDO",1,0))+
IF(OR(U351="CONCLUIDO",U351="NO APLICA"),1,IF(U351="EN REVISIÓN CENTRAL",2/3,IF(U351="ENVIADO A LA CE/UM",1/3,0)))+
IF(OR(V351="CONCLUIDO",V351="NO APLICA"),1,IF(V351="EN REVISIÓN CENTRAL",2/3,IF(V351="ENVIADO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IF(OR(W351="CONCLUIDO",W351="NO APLICA"),1,IF(W351="EN PROCESO",0.5,0))+
IF(OR(X351="CONCLUIDO",X351="NO APLICA"),1,IF(X351="EN PROCESO",0.5,0))+
IF(Y351="PROGRAMADAS",1/2,IF(Y351="CONCLUIDAS",1,0))+
IF(OR(Z351="SI",Z351="NO APLICA"),1,0)+
IF(OR(AA351="SI",AA351="NO APLICA"),1,0)
)/9</f>
        <v>0.33333333333333331</v>
      </c>
      <c r="AF351" s="91">
        <v>6</v>
      </c>
      <c r="AG351" s="105" t="s">
        <v>1781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>
        <f t="shared" si="10"/>
        <v>0</v>
      </c>
      <c r="AC352">
        <f t="shared" si="11"/>
        <v>0</v>
      </c>
      <c r="AD352" s="67"/>
      <c r="AE352" s="87">
        <f>(
IF(S352="ENVIADO A LA CE/UM",1/3,IF(S352="ENTREGADO/REVISIÓN",2/3,IF(S352="ENVIADO A TICS",1,0)))+
IF(T352="EN PROCESO",1/2,IF(T352="CONCLUIDO",1,0))+
IF(OR(U352="CONCLUIDO",U352="NO APLICA"),1,IF(U352="EN REVISIÓN CENTRAL",2/3,IF(U352="ENVIADO A LA CE/UM",1/3,0)))+
IF(OR(V352="CONCLUIDO",V352="NO APLICA"),1,IF(V352="EN REVISIÓN CENTRAL",2/3,IF(V352="ENVIADO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IF(OR(W352="CONCLUIDO",W352="NO APLICA"),1,IF(W352="EN PROCESO",0.5,0))+
IF(OR(X352="CONCLUIDO",X352="NO APLICA"),1,IF(X352="EN PROCESO",0.5,0))+
IF(Y352="PROGRAMADAS",1/2,IF(Y352="CONCLUIDAS",1,0))+
IF(OR(Z352="SI",Z352="NO APLICA"),1,0)+
IF(OR(AA352="SI",AA352="NO APLICA"),1,0)
)/9</f>
        <v>0.25925925925925924</v>
      </c>
      <c r="AF352" s="91">
        <v>6</v>
      </c>
      <c r="AG352" s="105" t="s">
        <v>1781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/>
      <c r="X353" s="66"/>
      <c r="Y353" s="66"/>
      <c r="Z353" s="66"/>
      <c r="AA353" s="66"/>
      <c r="AB353">
        <f t="shared" si="10"/>
        <v>0</v>
      </c>
      <c r="AC353">
        <f t="shared" si="11"/>
        <v>0</v>
      </c>
      <c r="AD353" s="67"/>
      <c r="AE353" s="87">
        <f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0.33333333333333331</v>
      </c>
      <c r="AF353" s="91">
        <v>6</v>
      </c>
      <c r="AG353" s="105" t="s">
        <v>1781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213</v>
      </c>
      <c r="V354" s="66" t="s">
        <v>213</v>
      </c>
      <c r="W354" s="66"/>
      <c r="X354" s="66"/>
      <c r="Y354" s="66"/>
      <c r="Z354" s="66"/>
      <c r="AA354" s="66"/>
      <c r="AB354">
        <f t="shared" si="10"/>
        <v>0</v>
      </c>
      <c r="AC354">
        <f t="shared" si="11"/>
        <v>0</v>
      </c>
      <c r="AD354" s="67"/>
      <c r="AE354" s="87">
        <f>(
IF(S354="ENVIADO A LA CE/UM",1/3,IF(S354="ENTREGADO/REVISIÓN",2/3,IF(S354="ENVIADO A TICS",1,0)))+
IF(T354="EN PROCESO",1/2,IF(T354="CONCLUIDO",1,0))+
IF(OR(U354="CONCLUIDO",U354="NO APLICA"),1,IF(U354="EN REVISIÓN CENTRAL",2/3,IF(U354="ENVIADO A LA CE/UM",1/3,0)))+
IF(OR(V354="CONCLUIDO",V354="NO APLICA"),1,IF(V354="EN REVISIÓN CENTRAL",2/3,IF(V354="ENVIADO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IF(OR(W354="CONCLUIDO",W354="NO APLICA"),1,IF(W354="EN PROCESO",0.5,0))+
IF(OR(X354="CONCLUIDO",X354="NO APLICA"),1,IF(X354="EN PROCESO",0.5,0))+
IF(Y354="PROGRAMADAS",1/2,IF(Y354="CONCLUIDAS",1,0))+
IF(OR(Z354="SI",Z354="NO APLICA"),1,0)+
IF(OR(AA354="SI",AA354="NO APLICA"),1,0)
)/9</f>
        <v>0.25925925925925924</v>
      </c>
      <c r="AF354" s="91">
        <v>6</v>
      </c>
      <c r="AG354" s="105" t="s">
        <v>1781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6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>
        <f t="shared" si="10"/>
        <v>0</v>
      </c>
      <c r="AC355">
        <f t="shared" si="11"/>
        <v>0</v>
      </c>
      <c r="AD355" s="67"/>
      <c r="AE355" s="87">
        <f>(
IF(S355="ENVIADO A LA CE/UM",1/3,IF(S355="ENTREGADO/REVISIÓN",2/3,IF(S355="ENVIADO A TICS",1,0)))+
IF(T355="EN PROCESO",1/2,IF(T355="CONCLUIDO",1,0))+
IF(OR(U355="CONCLUIDO",U355="NO APLICA"),1,IF(U355="EN REVISIÓN CENTRAL",2/3,IF(U355="ENVIADO A LA CE/UM",1/3,0)))+
IF(OR(V355="CONCLUIDO",V355="NO APLICA"),1,IF(V355="EN REVISIÓN CENTRAL",2/3,IF(V355="ENVIADO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IF(OR(W355="CONCLUIDO",W355="NO APLICA"),1,IF(W355="EN PROCESO",0.5,0))+
IF(OR(X355="CONCLUIDO",X355="NO APLICA"),1,IF(X355="EN PROCESO",0.5,0))+
IF(Y355="PROGRAMADAS",1/2,IF(Y355="CONCLUIDAS",1,0))+
IF(OR(Z355="SI",Z355="NO APLICA"),1,0)+
IF(OR(AA355="SI",AA355="NO APLICA"),1,0)
)/9</f>
        <v>0.25925925925925924</v>
      </c>
      <c r="AF355" s="91">
        <v>6</v>
      </c>
      <c r="AG355" s="105" t="s">
        <v>1781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2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>
        <f t="shared" si="10"/>
        <v>0</v>
      </c>
      <c r="AC356">
        <f t="shared" si="11"/>
        <v>0</v>
      </c>
      <c r="AD356" s="74"/>
      <c r="AE356" s="87">
        <f>(
IF(S356="ENVIADO A LA CE/UM",1/3,IF(S356="ENTREGADO/REVISIÓN",2/3,IF(S356="ENVIADO A TICS",1,0)))+
IF(T356="EN PROCESO",1/2,IF(T356="CONCLUIDO",1,0))+
IF(OR(U356="CONCLUIDO",U356="NO APLICA"),1,IF(U356="EN REVISIÓN CENTRAL",2/3,IF(U356="ENVIADO A LA CE/UM",1/3,0)))+
IF(OR(V356="CONCLUIDO",V356="NO APLICA"),1,IF(V356="EN REVISIÓN CENTRAL",2/3,IF(V356="ENVIADO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IF(OR(W356="CONCLUIDO",W356="NO APLICA"),1,IF(W356="EN PROCESO",0.5,0))+
IF(OR(X356="CONCLUIDO",X356="NO APLICA"),1,IF(X356="EN PROCESO",0.5,0))+
IF(Y356="PROGRAMADAS",1/2,IF(Y356="CONCLUIDAS",1,0))+
IF(OR(Z356="SI",Z356="NO APLICA"),1,0)+
IF(OR(AA356="SI",AA356="NO APLICA"),1,0)
)/9</f>
        <v>0.25925925925925924</v>
      </c>
      <c r="AF356" s="91">
        <v>6</v>
      </c>
      <c r="AG356" s="105" t="s">
        <v>1781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>
        <f t="shared" si="10"/>
        <v>0</v>
      </c>
      <c r="AC357">
        <f t="shared" si="11"/>
        <v>0</v>
      </c>
      <c r="AD357" s="74"/>
      <c r="AE357" s="87">
        <f>(
IF(S357="ENVIADO A LA CE/UM",1/3,IF(S357="ENTREGADO/REVISIÓN",2/3,IF(S357="ENVIADO A TICS",1,0)))+
IF(T357="EN PROCESO",1/2,IF(T357="CONCLUIDO",1,0))+
IF(OR(U357="CONCLUIDO",U357="NO APLICA"),1,IF(U357="EN REVISIÓN CENTRAL",2/3,IF(U357="ENVIADO A LA CE/UM",1/3,0)))+
IF(OR(V357="CONCLUIDO",V357="NO APLICA"),1,IF(V357="EN REVISIÓN CENTRAL",2/3,IF(V357="ENVIADO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IF(OR(W357="CONCLUIDO",W357="NO APLICA"),1,IF(W357="EN PROCESO",0.5,0))+
IF(OR(X357="CONCLUIDO",X357="NO APLICA"),1,IF(X357="EN PROCESO",0.5,0))+
IF(Y357="PROGRAMADAS",1/2,IF(Y357="CONCLUIDAS",1,0))+
IF(OR(Z357="SI",Z357="NO APLICA"),1,0)+
IF(OR(AA357="SI",AA357="NO APLICA"),1,0)
)/9</f>
        <v>0.25925925925925924</v>
      </c>
      <c r="AF357" s="91">
        <v>6</v>
      </c>
      <c r="AG357" s="105" t="s">
        <v>1781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>
        <f t="shared" si="10"/>
        <v>0</v>
      </c>
      <c r="AC358">
        <f t="shared" si="11"/>
        <v>0</v>
      </c>
      <c r="AD358" s="67"/>
      <c r="AE358" s="87">
        <f>(
IF(S358="ENVIADO A LA CE/UM",1/3,IF(S358="ENTREGADO/REVISIÓN",2/3,IF(S358="ENVIADO A TICS",1,0)))+
IF(T358="EN PROCESO",1/2,IF(T358="CONCLUIDO",1,0))+
IF(OR(U358="CONCLUIDO",U358="NO APLICA"),1,IF(U358="EN REVISIÓN CENTRAL",2/3,IF(U358="ENVIADO A LA CE/UM",1/3,0)))+
IF(OR(V358="CONCLUIDO",V358="NO APLICA"),1,IF(V358="EN REVISIÓN CENTRAL",2/3,IF(V358="ENVIADO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IF(OR(W358="CONCLUIDO",W358="NO APLICA"),1,IF(W358="EN PROCESO",0.5,0))+
IF(OR(X358="CONCLUIDO",X358="NO APLICA"),1,IF(X358="EN PROCESO",0.5,0))+
IF(Y358="PROGRAMADAS",1/2,IF(Y358="CONCLUIDAS",1,0))+
IF(OR(Z358="SI",Z358="NO APLICA"),1,0)+
IF(OR(AA358="SI",AA358="NO APLICA"),1,0)
)/9</f>
        <v>0.25925925925925924</v>
      </c>
      <c r="AF358" s="91">
        <v>6</v>
      </c>
      <c r="AG358" s="105" t="s">
        <v>1781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/>
      <c r="X359" s="66"/>
      <c r="Y359" s="66"/>
      <c r="Z359" s="66"/>
      <c r="AA359" s="66"/>
      <c r="AB359">
        <f t="shared" si="10"/>
        <v>0</v>
      </c>
      <c r="AC359">
        <f t="shared" si="11"/>
        <v>0</v>
      </c>
      <c r="AD359" s="74"/>
      <c r="AE359" s="87">
        <f>(
IF(S359="ENVIADO A LA CE/UM",1/3,IF(S359="ENTREGADO/REVISIÓN",2/3,IF(S359="ENVIADO A TICS",1,0)))+
IF(T359="EN PROCESO",1/2,IF(T359="CONCLUIDO",1,0))+
IF(OR(U359="CONCLUIDO",U359="NO APLICA"),1,IF(U359="EN REVISIÓN CENTRAL",2/3,IF(U359="ENVIADO A LA CE/UM",1/3,0)))+
IF(OR(V359="CONCLUIDO",V359="NO APLICA"),1,IF(V359="EN REVISIÓN CENTRAL",2/3,IF(V359="ENVIADO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IF(OR(W359="CONCLUIDO",W359="NO APLICA"),1,IF(W359="EN PROCESO",0.5,0))+
IF(OR(X359="CONCLUIDO",X359="NO APLICA"),1,IF(X359="EN PROCESO",0.5,0))+
IF(Y359="PROGRAMADAS",1/2,IF(Y359="CONCLUIDAS",1,0))+
IF(OR(Z359="SI",Z359="NO APLICA"),1,0)+
IF(OR(AA359="SI",AA359="NO APLICA"),1,0)
)/9</f>
        <v>0.33333333333333331</v>
      </c>
      <c r="AF359" s="91">
        <v>6</v>
      </c>
      <c r="AG359" s="105" t="s">
        <v>1781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>
        <f t="shared" si="10"/>
        <v>0</v>
      </c>
      <c r="AC360">
        <f t="shared" si="11"/>
        <v>0</v>
      </c>
      <c r="AD360" s="67"/>
      <c r="AE360" s="87">
        <f>(
IF(S360="ENVIADO A LA CE/UM",1/3,IF(S360="ENTREGADO/REVISIÓN",2/3,IF(S360="ENVIADO A TICS",1,0)))+
IF(T360="EN PROCESO",1/2,IF(T360="CONCLUIDO",1,0))+
IF(OR(U360="CONCLUIDO",U360="NO APLICA"),1,IF(U360="EN REVISIÓN CENTRAL",2/3,IF(U360="ENVIADO A LA CE/UM",1/3,0)))+
IF(OR(V360="CONCLUIDO",V360="NO APLICA"),1,IF(V360="EN REVISIÓN CENTRAL",2/3,IF(V360="ENVIADO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IF(OR(W360="CONCLUIDO",W360="NO APLICA"),1,IF(W360="EN PROCESO",0.5,0))+
IF(OR(X360="CONCLUIDO",X360="NO APLICA"),1,IF(X360="EN PROCESO",0.5,0))+
IF(Y360="PROGRAMADAS",1/2,IF(Y360="CONCLUIDAS",1,0))+
IF(OR(Z360="SI",Z360="NO APLICA"),1,0)+
IF(OR(AA360="SI",AA360="NO APLICA"),1,0)
)/9</f>
        <v>0.25925925925925924</v>
      </c>
      <c r="AF360" s="91">
        <v>6</v>
      </c>
      <c r="AG360" s="105" t="s">
        <v>1781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213</v>
      </c>
      <c r="V361" s="66" t="s">
        <v>213</v>
      </c>
      <c r="W361" s="66"/>
      <c r="X361" s="66"/>
      <c r="Y361" s="66"/>
      <c r="Z361" s="66"/>
      <c r="AA361" s="66"/>
      <c r="AB361">
        <f t="shared" si="10"/>
        <v>0</v>
      </c>
      <c r="AC361">
        <f t="shared" si="11"/>
        <v>0</v>
      </c>
      <c r="AD361" s="67"/>
      <c r="AE361" s="87">
        <f>(
IF(S361="ENVIADO A LA CE/UM",1/3,IF(S361="ENTREGADO/REVISIÓN",2/3,IF(S361="ENVIADO A TICS",1,0)))+
IF(T361="EN PROCESO",1/2,IF(T361="CONCLUIDO",1,0))+
IF(OR(U361="CONCLUIDO",U361="NO APLICA"),1,IF(U361="EN REVISIÓN CENTRAL",2/3,IF(U361="ENVIADO A LA CE/UM",1/3,0)))+
IF(OR(V361="CONCLUIDO",V361="NO APLICA"),1,IF(V361="EN REVISIÓN CENTRAL",2/3,IF(V361="ENVIADO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IF(OR(W361="CONCLUIDO",W361="NO APLICA"),1,IF(W361="EN PROCESO",0.5,0))+
IF(OR(X361="CONCLUIDO",X361="NO APLICA"),1,IF(X361="EN PROCESO",0.5,0))+
IF(Y361="PROGRAMADAS",1/2,IF(Y361="CONCLUIDAS",1,0))+
IF(OR(Z361="SI",Z361="NO APLICA"),1,0)+
IF(OR(AA361="SI",AA361="NO APLICA"),1,0)
)/9</f>
        <v>0.25925925925925924</v>
      </c>
      <c r="AF361" s="91">
        <v>6</v>
      </c>
      <c r="AG361" s="105" t="s">
        <v>1781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>
        <f t="shared" si="10"/>
        <v>0</v>
      </c>
      <c r="AC362">
        <f t="shared" si="11"/>
        <v>0</v>
      </c>
      <c r="AD362" s="67"/>
      <c r="AE362" s="87">
        <f>(
IF(S362="ENVIADO A LA CE/UM",1/3,IF(S362="ENTREGADO/REVISIÓN",2/3,IF(S362="ENVIADO A TICS",1,0)))+
IF(T362="EN PROCESO",1/2,IF(T362="CONCLUIDO",1,0))+
IF(OR(U362="CONCLUIDO",U362="NO APLICA"),1,IF(U362="EN REVISIÓN CENTRAL",2/3,IF(U362="ENVIADO A LA CE/UM",1/3,0)))+
IF(OR(V362="CONCLUIDO",V362="NO APLICA"),1,IF(V362="EN REVISIÓN CENTRAL",2/3,IF(V362="ENVIADO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IF(OR(W362="CONCLUIDO",W362="NO APLICA"),1,IF(W362="EN PROCESO",0.5,0))+
IF(OR(X362="CONCLUIDO",X362="NO APLICA"),1,IF(X362="EN PROCESO",0.5,0))+
IF(Y362="PROGRAMADAS",1/2,IF(Y362="CONCLUIDAS",1,0))+
IF(OR(Z362="SI",Z362="NO APLICA"),1,0)+
IF(OR(AA362="SI",AA362="NO APLICA"),1,0)
)/9</f>
        <v>0.25925925925925924</v>
      </c>
      <c r="AF362" s="91">
        <v>6</v>
      </c>
      <c r="AG362" s="105" t="s">
        <v>1781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/>
      <c r="Z363" s="66"/>
      <c r="AA363" s="66"/>
      <c r="AB363">
        <f t="shared" si="10"/>
        <v>0</v>
      </c>
      <c r="AC363">
        <f t="shared" si="11"/>
        <v>0</v>
      </c>
      <c r="AD363" s="67"/>
      <c r="AE363" s="87">
        <f>(
IF(S363="ENVIADO A LA CE/UM",1/3,IF(S363="ENTREGADO/REVISIÓN",2/3,IF(S363="ENVIADO A TICS",1,0)))+
IF(T363="EN PROCESO",1/2,IF(T363="CONCLUIDO",1,0))+
IF(OR(U363="CONCLUIDO",U363="NO APLICA"),1,IF(U363="EN REVISIÓN CENTRAL",2/3,IF(U363="ENVIADO A LA CE/UM",1/3,0)))+
IF(OR(V363="CONCLUIDO",V363="NO APLICA"),1,IF(V363="EN REVISIÓN CENTRAL",2/3,IF(V363="ENVIADO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IF(OR(W363="CONCLUIDO",W363="NO APLICA"),1,IF(W363="EN PROCESO",0.5,0))+
IF(OR(X363="CONCLUIDO",X363="NO APLICA"),1,IF(X363="EN PROCESO",0.5,0))+
IF(Y363="PROGRAMADAS",1/2,IF(Y363="CONCLUIDAS",1,0))+
IF(OR(Z363="SI",Z363="NO APLICA"),1,0)+
IF(OR(AA363="SI",AA363="NO APLICA"),1,0)
)/9</f>
        <v>0.55555555555555558</v>
      </c>
      <c r="AF363" s="91">
        <v>3</v>
      </c>
      <c r="AG363" s="105" t="s">
        <v>1783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>
        <f t="shared" si="10"/>
        <v>0</v>
      </c>
      <c r="AC364">
        <f t="shared" si="11"/>
        <v>0</v>
      </c>
      <c r="AD364" s="67"/>
      <c r="AE364" s="87">
        <f>(
IF(S364="ENVIADO A LA CE/UM",1/3,IF(S364="ENTREGADO/REVISIÓN",2/3,IF(S364="ENVIADO A TICS",1,0)))+
IF(T364="EN PROCESO",1/2,IF(T364="CONCLUIDO",1,0))+
IF(OR(U364="CONCLUIDO",U364="NO APLICA"),1,IF(U364="EN REVISIÓN CENTRAL",2/3,IF(U364="ENVIADO A LA CE/UM",1/3,0)))+
IF(OR(V364="CONCLUIDO",V364="NO APLICA"),1,IF(V364="EN REVISIÓN CENTRAL",2/3,IF(V364="ENVIADO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IF(OR(W364="CONCLUIDO",W364="NO APLICA"),1,IF(W364="EN PROCESO",0.5,0))+
IF(OR(X364="CONCLUIDO",X364="NO APLICA"),1,IF(X364="EN PROCESO",0.5,0))+
IF(Y364="PROGRAMADAS",1/2,IF(Y364="CONCLUIDAS",1,0))+
IF(OR(Z364="SI",Z364="NO APLICA"),1,0)+
IF(OR(AA364="SI",AA364="NO APLICA"),1,0)
)/9</f>
        <v>0.18518518518518517</v>
      </c>
      <c r="AF364" s="91">
        <v>3</v>
      </c>
      <c r="AG364" s="105" t="s">
        <v>1783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>
        <f t="shared" si="10"/>
        <v>0</v>
      </c>
      <c r="AC365">
        <f t="shared" si="11"/>
        <v>0</v>
      </c>
      <c r="AD365" s="67"/>
      <c r="AE365" s="87">
        <f>(
IF(S365="ENVIADO A LA CE/UM",1/3,IF(S365="ENTREGADO/REVISIÓN",2/3,IF(S365="ENVIADO A TICS",1,0)))+
IF(T365="EN PROCESO",1/2,IF(T365="CONCLUIDO",1,0))+
IF(OR(U365="CONCLUIDO",U365="NO APLICA"),1,IF(U365="EN REVISIÓN CENTRAL",2/3,IF(U365="ENVIADO A LA CE/UM",1/3,0)))+
IF(OR(V365="CONCLUIDO",V365="NO APLICA"),1,IF(V365="EN REVISIÓN CENTRAL",2/3,IF(V365="ENVIADO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IF(OR(W365="CONCLUIDO",W365="NO APLICA"),1,IF(W365="EN PROCESO",0.5,0))+
IF(OR(X365="CONCLUIDO",X365="NO APLICA"),1,IF(X365="EN PROCESO",0.5,0))+
IF(Y365="PROGRAMADAS",1/2,IF(Y365="CONCLUIDAS",1,0))+
IF(OR(Z365="SI",Z365="NO APLICA"),1,0)+
IF(OR(AA365="SI",AA365="NO APLICA"),1,0)
)/9</f>
        <v>0.18518518518518517</v>
      </c>
      <c r="AF365" s="91">
        <v>3</v>
      </c>
      <c r="AG365" s="105" t="s">
        <v>1783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>
        <f t="shared" si="10"/>
        <v>0</v>
      </c>
      <c r="AC366">
        <f t="shared" si="11"/>
        <v>0</v>
      </c>
      <c r="AD366" s="67"/>
      <c r="AE366" s="87">
        <f>(
IF(S366="ENVIADO A LA CE/UM",1/3,IF(S366="ENTREGADO/REVISIÓN",2/3,IF(S366="ENVIADO A TICS",1,0)))+
IF(T366="EN PROCESO",1/2,IF(T366="CONCLUIDO",1,0))+
IF(OR(U366="CONCLUIDO",U366="NO APLICA"),1,IF(U366="EN REVISIÓN CENTRAL",2/3,IF(U366="ENVIADO A LA CE/UM",1/3,0)))+
IF(OR(V366="CONCLUIDO",V366="NO APLICA"),1,IF(V366="EN REVISIÓN CENTRAL",2/3,IF(V366="ENVIADO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IF(OR(W366="CONCLUIDO",W366="NO APLICA"),1,IF(W366="EN PROCESO",0.5,0))+
IF(OR(X366="CONCLUIDO",X366="NO APLICA"),1,IF(X366="EN PROCESO",0.5,0))+
IF(Y366="PROGRAMADAS",1/2,IF(Y366="CONCLUIDAS",1,0))+
IF(OR(Z366="SI",Z366="NO APLICA"),1,0)+
IF(OR(AA366="SI",AA366="NO APLICA"),1,0)
)/9</f>
        <v>0.18518518518518517</v>
      </c>
      <c r="AF366" s="91">
        <v>3</v>
      </c>
      <c r="AG366" s="105" t="s">
        <v>1783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/>
      <c r="Z367" s="66"/>
      <c r="AA367" s="66"/>
      <c r="AB367">
        <f t="shared" si="10"/>
        <v>0</v>
      </c>
      <c r="AC367">
        <f t="shared" si="11"/>
        <v>0</v>
      </c>
      <c r="AD367" s="67"/>
      <c r="AE367" s="87">
        <f>(
IF(S367="ENVIADO A LA CE/UM",1/3,IF(S367="ENTREGADO/REVISIÓN",2/3,IF(S367="ENVIADO A TICS",1,0)))+
IF(T367="EN PROCESO",1/2,IF(T367="CONCLUIDO",1,0))+
IF(OR(U367="CONCLUIDO",U367="NO APLICA"),1,IF(U367="EN REVISIÓN CENTRAL",2/3,IF(U367="ENVIADO A LA CE/UM",1/3,0)))+
IF(OR(V367="CONCLUIDO",V367="NO APLICA"),1,IF(V367="EN REVISIÓN CENTRAL",2/3,IF(V367="ENVIADO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IF(OR(W367="CONCLUIDO",W367="NO APLICA"),1,IF(W367="EN PROCESO",0.5,0))+
IF(OR(X367="CONCLUIDO",X367="NO APLICA"),1,IF(X367="EN PROCESO",0.5,0))+
IF(Y367="PROGRAMADAS",1/2,IF(Y367="CONCLUIDAS",1,0))+
IF(OR(Z367="SI",Z367="NO APLICA"),1,0)+
IF(OR(AA367="SI",AA367="NO APLICA"),1,0)
)/9</f>
        <v>0.55555555555555558</v>
      </c>
      <c r="AF367" s="91">
        <v>3</v>
      </c>
      <c r="AG367" s="105" t="s">
        <v>1783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>
        <f t="shared" si="10"/>
        <v>0</v>
      </c>
      <c r="AC368">
        <f t="shared" si="11"/>
        <v>0</v>
      </c>
      <c r="AD368" s="67"/>
      <c r="AE368" s="87">
        <f>(
IF(S368="ENVIADO A LA CE/UM",1/3,IF(S368="ENTREGADO/REVISIÓN",2/3,IF(S368="ENVIADO A TICS",1,0)))+
IF(T368="EN PROCESO",1/2,IF(T368="CONCLUIDO",1,0))+
IF(OR(U368="CONCLUIDO",U368="NO APLICA"),1,IF(U368="EN REVISIÓN CENTRAL",2/3,IF(U368="ENVIADO A LA CE/UM",1/3,0)))+
IF(OR(V368="CONCLUIDO",V368="NO APLICA"),1,IF(V368="EN REVISIÓN CENTRAL",2/3,IF(V368="ENVIADO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IF(OR(W368="CONCLUIDO",W368="NO APLICA"),1,IF(W368="EN PROCESO",0.5,0))+
IF(OR(X368="CONCLUIDO",X368="NO APLICA"),1,IF(X368="EN PROCESO",0.5,0))+
IF(Y368="PROGRAMADAS",1/2,IF(Y368="CONCLUIDAS",1,0))+
IF(OR(Z368="SI",Z368="NO APLICA"),1,0)+
IF(OR(AA368="SI",AA368="NO APLICA"),1,0)
)/9</f>
        <v>0.18518518518518517</v>
      </c>
      <c r="AF368" s="91">
        <v>3</v>
      </c>
      <c r="AG368" s="105" t="s">
        <v>1783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>
        <f t="shared" si="10"/>
        <v>0</v>
      </c>
      <c r="AC369">
        <f t="shared" si="11"/>
        <v>0</v>
      </c>
      <c r="AD369" s="67"/>
      <c r="AE369" s="87">
        <f>(
IF(S369="ENVIADO A LA CE/UM",1/3,IF(S369="ENTREGADO/REVISIÓN",2/3,IF(S369="ENVIADO A TICS",1,0)))+
IF(T369="EN PROCESO",1/2,IF(T369="CONCLUIDO",1,0))+
IF(OR(U369="CONCLUIDO",U369="NO APLICA"),1,IF(U369="EN REVISIÓN CENTRAL",2/3,IF(U369="ENVIADO A LA CE/UM",1/3,0)))+
IF(OR(V369="CONCLUIDO",V369="NO APLICA"),1,IF(V369="EN REVISIÓN CENTRAL",2/3,IF(V369="ENVIADO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IF(OR(W369="CONCLUIDO",W369="NO APLICA"),1,IF(W369="EN PROCESO",0.5,0))+
IF(OR(X369="CONCLUIDO",X369="NO APLICA"),1,IF(X369="EN PROCESO",0.5,0))+
IF(Y369="PROGRAMADAS",1/2,IF(Y369="CONCLUIDAS",1,0))+
IF(OR(Z369="SI",Z369="NO APLICA"),1,0)+
IF(OR(AA369="SI",AA369="NO APLICA"),1,0)
)/9</f>
        <v>0.18518518518518517</v>
      </c>
      <c r="AF369" s="91">
        <v>3</v>
      </c>
      <c r="AG369" s="105" t="s">
        <v>1783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176</v>
      </c>
      <c r="V370" s="66" t="s">
        <v>176</v>
      </c>
      <c r="W370" s="66"/>
      <c r="X370" s="66"/>
      <c r="Y370" s="66"/>
      <c r="Z370" s="66"/>
      <c r="AA370" s="66"/>
      <c r="AB370">
        <f t="shared" si="10"/>
        <v>0</v>
      </c>
      <c r="AC370">
        <f t="shared" si="11"/>
        <v>0</v>
      </c>
      <c r="AD370" s="67"/>
      <c r="AE370" s="87">
        <f>(
IF(S370="ENVIADO A LA CE/UM",1/3,IF(S370="ENTREGADO/REVISIÓN",2/3,IF(S370="ENVIADO A TICS",1,0)))+
IF(T370="EN PROCESO",1/2,IF(T370="CONCLUIDO",1,0))+
IF(OR(U370="CONCLUIDO",U370="NO APLICA"),1,IF(U370="EN REVISIÓN CENTRAL",2/3,IF(U370="ENVIADO A LA CE/UM",1/3,0)))+
IF(OR(V370="CONCLUIDO",V370="NO APLICA"),1,IF(V370="EN REVISIÓN CENTRAL",2/3,IF(V370="ENVIADO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IF(OR(W370="CONCLUIDO",W370="NO APLICA"),1,IF(W370="EN PROCESO",0.5,0))+
IF(OR(X370="CONCLUIDO",X370="NO APLICA"),1,IF(X370="EN PROCESO",0.5,0))+
IF(Y370="PROGRAMADAS",1/2,IF(Y370="CONCLUIDAS",1,0))+
IF(OR(Z370="SI",Z370="NO APLICA"),1,0)+
IF(OR(AA370="SI",AA370="NO APLICA"),1,0)
)/9</f>
        <v>0.18518518518518517</v>
      </c>
      <c r="AF370" s="91">
        <v>3</v>
      </c>
      <c r="AG370" s="105" t="s">
        <v>1783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/>
      <c r="Z371" s="66"/>
      <c r="AA371" s="66"/>
      <c r="AB371">
        <f t="shared" si="10"/>
        <v>0</v>
      </c>
      <c r="AC371">
        <f t="shared" si="11"/>
        <v>0</v>
      </c>
      <c r="AD371" s="67"/>
      <c r="AE371" s="87">
        <f>(
IF(S371="ENVIADO A LA CE/UM",1/3,IF(S371="ENTREGADO/REVISIÓN",2/3,IF(S371="ENVIADO A TICS",1,0)))+
IF(T371="EN PROCESO",1/2,IF(T371="CONCLUIDO",1,0))+
IF(OR(U371="CONCLUIDO",U371="NO APLICA"),1,IF(U371="EN REVISIÓN CENTRAL",2/3,IF(U371="ENVIADO A LA CE/UM",1/3,0)))+
IF(OR(V371="CONCLUIDO",V371="NO APLICA"),1,IF(V371="EN REVISIÓN CENTRAL",2/3,IF(V371="ENVIADO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IF(OR(W371="CONCLUIDO",W371="NO APLICA"),1,IF(W371="EN PROCESO",0.5,0))+
IF(OR(X371="CONCLUIDO",X371="NO APLICA"),1,IF(X371="EN PROCESO",0.5,0))+
IF(Y371="PROGRAMADAS",1/2,IF(Y371="CONCLUIDAS",1,0))+
IF(OR(Z371="SI",Z371="NO APLICA"),1,0)+
IF(OR(AA371="SI",AA371="NO APLICA"),1,0)
)/9</f>
        <v>0.18518518518518517</v>
      </c>
      <c r="AF371" s="91">
        <v>3</v>
      </c>
      <c r="AG371" s="105" t="s">
        <v>1783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175</v>
      </c>
      <c r="Y372" s="66"/>
      <c r="Z372" s="66"/>
      <c r="AA372" s="66"/>
      <c r="AB372">
        <f t="shared" si="10"/>
        <v>0</v>
      </c>
      <c r="AC372">
        <f t="shared" si="11"/>
        <v>0</v>
      </c>
      <c r="AD372" s="67"/>
      <c r="AE372" s="87">
        <f>(
IF(S372="ENVIADO A LA CE/UM",1/3,IF(S372="ENTREGADO/REVISIÓN",2/3,IF(S372="ENVIADO A TICS",1,0)))+
IF(T372="EN PROCESO",1/2,IF(T372="CONCLUIDO",1,0))+
IF(OR(U372="CONCLUIDO",U372="NO APLICA"),1,IF(U372="EN REVISIÓN CENTRAL",2/3,IF(U372="ENVIADO A LA CE/UM",1/3,0)))+
IF(OR(V372="CONCLUIDO",V372="NO APLICA"),1,IF(V372="EN REVISIÓN CENTRAL",2/3,IF(V372="ENVIADO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IF(OR(W372="CONCLUIDO",W372="NO APLICA"),1,IF(W372="EN PROCESO",0.5,0))+
IF(OR(X372="CONCLUIDO",X372="NO APLICA"),1,IF(X372="EN PROCESO",0.5,0))+
IF(Y372="PROGRAMADAS",1/2,IF(Y372="CONCLUIDAS",1,0))+
IF(OR(Z372="SI",Z372="NO APLICA"),1,0)+
IF(OR(AA372="SI",AA372="NO APLICA"),1,0)
)/9</f>
        <v>0.5</v>
      </c>
      <c r="AF372" s="91">
        <v>3</v>
      </c>
      <c r="AG372" s="105" t="s">
        <v>1783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/>
      <c r="Z373" s="66"/>
      <c r="AA373" s="66"/>
      <c r="AB373">
        <f t="shared" si="10"/>
        <v>0</v>
      </c>
      <c r="AC373">
        <f t="shared" si="11"/>
        <v>0</v>
      </c>
      <c r="AD373" s="67"/>
      <c r="AE373" s="87">
        <f>(
IF(S373="ENVIADO A LA CE/UM",1/3,IF(S373="ENTREGADO/REVISIÓN",2/3,IF(S373="ENVIADO A TICS",1,0)))+
IF(T373="EN PROCESO",1/2,IF(T373="CONCLUIDO",1,0))+
IF(OR(U373="CONCLUIDO",U373="NO APLICA"),1,IF(U373="EN REVISIÓN CENTRAL",2/3,IF(U373="ENVIADO A LA CE/UM",1/3,0)))+
IF(OR(V373="CONCLUIDO",V373="NO APLICA"),1,IF(V373="EN REVISIÓN CENTRAL",2/3,IF(V373="ENVIADO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IF(OR(W373="CONCLUIDO",W373="NO APLICA"),1,IF(W373="EN PROCESO",0.5,0))+
IF(OR(X373="CONCLUIDO",X373="NO APLICA"),1,IF(X373="EN PROCESO",0.5,0))+
IF(Y373="PROGRAMADAS",1/2,IF(Y373="CONCLUIDAS",1,0))+
IF(OR(Z373="SI",Z373="NO APLICA"),1,0)+
IF(OR(AA373="SI",AA373="NO APLICA"),1,0)
)/9</f>
        <v>0.18518518518518517</v>
      </c>
      <c r="AF373" s="91">
        <v>3</v>
      </c>
      <c r="AG373" s="105" t="s">
        <v>1783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/>
      <c r="Z374" s="66"/>
      <c r="AA374" s="66"/>
      <c r="AB374">
        <f t="shared" si="10"/>
        <v>0</v>
      </c>
      <c r="AC374">
        <f t="shared" si="11"/>
        <v>0</v>
      </c>
      <c r="AD374" s="67"/>
      <c r="AE374" s="87">
        <f>(
IF(S374="ENVIADO A LA CE/UM",1/3,IF(S374="ENTREGADO/REVISIÓN",2/3,IF(S374="ENVIADO A TICS",1,0)))+
IF(T374="EN PROCESO",1/2,IF(T374="CONCLUIDO",1,0))+
IF(OR(U374="CONCLUIDO",U374="NO APLICA"),1,IF(U374="EN REVISIÓN CENTRAL",2/3,IF(U374="ENVIADO A LA CE/UM",1/3,0)))+
IF(OR(V374="CONCLUIDO",V374="NO APLICA"),1,IF(V374="EN REVISIÓN CENTRAL",2/3,IF(V374="ENVIADO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IF(OR(W374="CONCLUIDO",W374="NO APLICA"),1,IF(W374="EN PROCESO",0.5,0))+
IF(OR(X374="CONCLUIDO",X374="NO APLICA"),1,IF(X374="EN PROCESO",0.5,0))+
IF(Y374="PROGRAMADAS",1/2,IF(Y374="CONCLUIDAS",1,0))+
IF(OR(Z374="SI",Z374="NO APLICA"),1,0)+
IF(OR(AA374="SI",AA374="NO APLICA"),1,0)
)/9</f>
        <v>0.18518518518518517</v>
      </c>
      <c r="AF374" s="91">
        <v>3</v>
      </c>
      <c r="AG374" s="105" t="s">
        <v>1783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/>
      <c r="Z375" s="66"/>
      <c r="AA375" s="66"/>
      <c r="AB375">
        <f t="shared" si="10"/>
        <v>0</v>
      </c>
      <c r="AC375">
        <f t="shared" si="11"/>
        <v>0</v>
      </c>
      <c r="AD375" s="67"/>
      <c r="AE375" s="87">
        <f>(
IF(S375="ENVIADO A LA CE/UM",1/3,IF(S375="ENTREGADO/REVISIÓN",2/3,IF(S375="ENVIADO A TICS",1,0)))+
IF(T375="EN PROCESO",1/2,IF(T375="CONCLUIDO",1,0))+
IF(OR(U375="CONCLUIDO",U375="NO APLICA"),1,IF(U375="EN REVISIÓN CENTRAL",2/3,IF(U375="ENVIADO A LA CE/UM",1/3,0)))+
IF(OR(V375="CONCLUIDO",V375="NO APLICA"),1,IF(V375="EN REVISIÓN CENTRAL",2/3,IF(V375="ENVIADO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IF(OR(W375="CONCLUIDO",W375="NO APLICA"),1,IF(W375="EN PROCESO",0.5,0))+
IF(OR(X375="CONCLUIDO",X375="NO APLICA"),1,IF(X375="EN PROCESO",0.5,0))+
IF(Y375="PROGRAMADAS",1/2,IF(Y375="CONCLUIDAS",1,0))+
IF(OR(Z375="SI",Z375="NO APLICA"),1,0)+
IF(OR(AA375="SI",AA375="NO APLICA"),1,0)
)/9</f>
        <v>0.18518518518518517</v>
      </c>
      <c r="AF375" s="91">
        <v>3</v>
      </c>
      <c r="AG375" s="105" t="s">
        <v>1783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/>
      <c r="Z376" s="66"/>
      <c r="AA376" s="66"/>
      <c r="AB376">
        <f t="shared" si="10"/>
        <v>0</v>
      </c>
      <c r="AC376">
        <f t="shared" si="11"/>
        <v>0</v>
      </c>
      <c r="AD376" s="67"/>
      <c r="AE376" s="87">
        <f>(
IF(S376="ENVIADO A LA CE/UM",1/3,IF(S376="ENTREGADO/REVISIÓN",2/3,IF(S376="ENVIADO A TICS",1,0)))+
IF(T376="EN PROCESO",1/2,IF(T376="CONCLUIDO",1,0))+
IF(OR(U376="CONCLUIDO",U376="NO APLICA"),1,IF(U376="EN REVISIÓN CENTRAL",2/3,IF(U376="ENVIADO A LA CE/UM",1/3,0)))+
IF(OR(V376="CONCLUIDO",V376="NO APLICA"),1,IF(V376="EN REVISIÓN CENTRAL",2/3,IF(V376="ENVIADO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IF(OR(W376="CONCLUIDO",W376="NO APLICA"),1,IF(W376="EN PROCESO",0.5,0))+
IF(OR(X376="CONCLUIDO",X376="NO APLICA"),1,IF(X376="EN PROCESO",0.5,0))+
IF(Y376="PROGRAMADAS",1/2,IF(Y376="CONCLUIDAS",1,0))+
IF(OR(Z376="SI",Z376="NO APLICA"),1,0)+
IF(OR(AA376="SI",AA376="NO APLICA"),1,0)
)/9</f>
        <v>0.18518518518518517</v>
      </c>
      <c r="AF376" s="91">
        <v>3</v>
      </c>
      <c r="AG376" s="105" t="s">
        <v>1783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/>
      <c r="Z377" s="66"/>
      <c r="AA377" s="66"/>
      <c r="AB377">
        <f t="shared" si="10"/>
        <v>0</v>
      </c>
      <c r="AC377">
        <f t="shared" si="11"/>
        <v>0</v>
      </c>
      <c r="AD377" s="67"/>
      <c r="AE377" s="87">
        <f>(
IF(S377="ENVIADO A LA CE/UM",1/3,IF(S377="ENTREGADO/REVISIÓN",2/3,IF(S377="ENVIADO A TICS",1,0)))+
IF(T377="EN PROCESO",1/2,IF(T377="CONCLUIDO",1,0))+
IF(OR(U377="CONCLUIDO",U377="NO APLICA"),1,IF(U377="EN REVISIÓN CENTRAL",2/3,IF(U377="ENVIADO A LA CE/UM",1/3,0)))+
IF(OR(V377="CONCLUIDO",V377="NO APLICA"),1,IF(V377="EN REVISIÓN CENTRAL",2/3,IF(V377="ENVIADO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IF(OR(W377="CONCLUIDO",W377="NO APLICA"),1,IF(W377="EN PROCESO",0.5,0))+
IF(OR(X377="CONCLUIDO",X377="NO APLICA"),1,IF(X377="EN PROCESO",0.5,0))+
IF(Y377="PROGRAMADAS",1/2,IF(Y377="CONCLUIDAS",1,0))+
IF(OR(Z377="SI",Z377="NO APLICA"),1,0)+
IF(OR(AA377="SI",AA377="NO APLICA"),1,0)
)/9</f>
        <v>0.18518518518518517</v>
      </c>
      <c r="AF377" s="91">
        <v>3</v>
      </c>
      <c r="AG377" s="105" t="s">
        <v>1783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/>
      <c r="Z378" s="66"/>
      <c r="AA378" s="66"/>
      <c r="AB378">
        <f t="shared" si="10"/>
        <v>0</v>
      </c>
      <c r="AC378">
        <f t="shared" si="11"/>
        <v>0</v>
      </c>
      <c r="AD378" s="67"/>
      <c r="AE378" s="87">
        <f>(
IF(S378="ENVIADO A LA CE/UM",1/3,IF(S378="ENTREGADO/REVISIÓN",2/3,IF(S378="ENVIADO A TICS",1,0)))+
IF(T378="EN PROCESO",1/2,IF(T378="CONCLUIDO",1,0))+
IF(OR(U378="CONCLUIDO",U378="NO APLICA"),1,IF(U378="EN REVISIÓN CENTRAL",2/3,IF(U378="ENVIADO A LA CE/UM",1/3,0)))+
IF(OR(V378="CONCLUIDO",V378="NO APLICA"),1,IF(V378="EN REVISIÓN CENTRAL",2/3,IF(V378="ENVIADO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IF(OR(W378="CONCLUIDO",W378="NO APLICA"),1,IF(W378="EN PROCESO",0.5,0))+
IF(OR(X378="CONCLUIDO",X378="NO APLICA"),1,IF(X378="EN PROCESO",0.5,0))+
IF(Y378="PROGRAMADAS",1/2,IF(Y378="CONCLUIDAS",1,0))+
IF(OR(Z378="SI",Z378="NO APLICA"),1,0)+
IF(OR(AA378="SI",AA378="NO APLICA"),1,0)
)/9</f>
        <v>0.55555555555555558</v>
      </c>
      <c r="AF378" s="91">
        <v>3</v>
      </c>
      <c r="AG378" s="105" t="s">
        <v>1783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/>
      <c r="Z379" s="66"/>
      <c r="AA379" s="66"/>
      <c r="AB379">
        <f t="shared" si="10"/>
        <v>0</v>
      </c>
      <c r="AC379">
        <f t="shared" si="11"/>
        <v>0</v>
      </c>
      <c r="AD379" s="67"/>
      <c r="AE379" s="87">
        <f>(
IF(S379="ENVIADO A LA CE/UM",1/3,IF(S379="ENTREGADO/REVISIÓN",2/3,IF(S379="ENVIADO A TICS",1,0)))+
IF(T379="EN PROCESO",1/2,IF(T379="CONCLUIDO",1,0))+
IF(OR(U379="CONCLUIDO",U379="NO APLICA"),1,IF(U379="EN REVISIÓN CENTRAL",2/3,IF(U379="ENVIADO A LA CE/UM",1/3,0)))+
IF(OR(V379="CONCLUIDO",V379="NO APLICA"),1,IF(V379="EN REVISIÓN CENTRAL",2/3,IF(V379="ENVIADO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IF(OR(W379="CONCLUIDO",W379="NO APLICA"),1,IF(W379="EN PROCESO",0.5,0))+
IF(OR(X379="CONCLUIDO",X379="NO APLICA"),1,IF(X379="EN PROCESO",0.5,0))+
IF(Y379="PROGRAMADAS",1/2,IF(Y379="CONCLUIDAS",1,0))+
IF(OR(Z379="SI",Z379="NO APLICA"),1,0)+
IF(OR(AA379="SI",AA379="NO APLICA"),1,0)
)/9</f>
        <v>0.18518518518518517</v>
      </c>
      <c r="AF379" s="91">
        <v>3</v>
      </c>
      <c r="AG379" s="105" t="s">
        <v>1783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/>
      <c r="Z380" s="66"/>
      <c r="AA380" s="66"/>
      <c r="AB380">
        <f t="shared" si="10"/>
        <v>0</v>
      </c>
      <c r="AC380">
        <f t="shared" si="11"/>
        <v>0</v>
      </c>
      <c r="AD380" s="67"/>
      <c r="AE380" s="87">
        <f>(
IF(S380="ENVIADO A LA CE/UM",1/3,IF(S380="ENTREGADO/REVISIÓN",2/3,IF(S380="ENVIADO A TICS",1,0)))+
IF(T380="EN PROCESO",1/2,IF(T380="CONCLUIDO",1,0))+
IF(OR(U380="CONCLUIDO",U380="NO APLICA"),1,IF(U380="EN REVISIÓN CENTRAL",2/3,IF(U380="ENVIADO A LA CE/UM",1/3,0)))+
IF(OR(V380="CONCLUIDO",V380="NO APLICA"),1,IF(V380="EN REVISIÓN CENTRAL",2/3,IF(V380="ENVIADO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IF(OR(W380="CONCLUIDO",W380="NO APLICA"),1,IF(W380="EN PROCESO",0.5,0))+
IF(OR(X380="CONCLUIDO",X380="NO APLICA"),1,IF(X380="EN PROCESO",0.5,0))+
IF(Y380="PROGRAMADAS",1/2,IF(Y380="CONCLUIDAS",1,0))+
IF(OR(Z380="SI",Z380="NO APLICA"),1,0)+
IF(OR(AA380="SI",AA380="NO APLICA"),1,0)
)/9</f>
        <v>0.18518518518518517</v>
      </c>
      <c r="AF380" s="91">
        <v>3</v>
      </c>
      <c r="AG380" s="105" t="s">
        <v>1783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/>
      <c r="Z381" s="66"/>
      <c r="AA381" s="66"/>
      <c r="AB381">
        <f t="shared" si="10"/>
        <v>0</v>
      </c>
      <c r="AC381">
        <f t="shared" si="11"/>
        <v>0</v>
      </c>
      <c r="AD381" s="67"/>
      <c r="AE381" s="87">
        <f>(
IF(S381="ENVIADO A LA CE/UM",1/3,IF(S381="ENTREGADO/REVISIÓN",2/3,IF(S381="ENVIADO A TICS",1,0)))+
IF(T381="EN PROCESO",1/2,IF(T381="CONCLUIDO",1,0))+
IF(OR(U381="CONCLUIDO",U381="NO APLICA"),1,IF(U381="EN REVISIÓN CENTRAL",2/3,IF(U381="ENVIADO A LA CE/UM",1/3,0)))+
IF(OR(V381="CONCLUIDO",V381="NO APLICA"),1,IF(V381="EN REVISIÓN CENTRAL",2/3,IF(V381="ENVIADO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IF(OR(W381="CONCLUIDO",W381="NO APLICA"),1,IF(W381="EN PROCESO",0.5,0))+
IF(OR(X381="CONCLUIDO",X381="NO APLICA"),1,IF(X381="EN PROCESO",0.5,0))+
IF(Y381="PROGRAMADAS",1/2,IF(Y381="CONCLUIDAS",1,0))+
IF(OR(Z381="SI",Z381="NO APLICA"),1,0)+
IF(OR(AA381="SI",AA381="NO APLICA"),1,0)
)/9</f>
        <v>0.18518518518518517</v>
      </c>
      <c r="AF381" s="91">
        <v>3</v>
      </c>
      <c r="AG381" s="105" t="s">
        <v>1783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/>
      <c r="Z382" s="66"/>
      <c r="AA382" s="66"/>
      <c r="AB382">
        <f t="shared" si="10"/>
        <v>0</v>
      </c>
      <c r="AC382">
        <f t="shared" si="11"/>
        <v>0</v>
      </c>
      <c r="AD382" s="67"/>
      <c r="AE382" s="87">
        <f>(
IF(S382="ENVIADO A LA CE/UM",1/3,IF(S382="ENTREGADO/REVISIÓN",2/3,IF(S382="ENVIADO A TICS",1,0)))+
IF(T382="EN PROCESO",1/2,IF(T382="CONCLUIDO",1,0))+
IF(OR(U382="CONCLUIDO",U382="NO APLICA"),1,IF(U382="EN REVISIÓN CENTRAL",2/3,IF(U382="ENVIADO A LA CE/UM",1/3,0)))+
IF(OR(V382="CONCLUIDO",V382="NO APLICA"),1,IF(V382="EN REVISIÓN CENTRAL",2/3,IF(V382="ENVIADO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IF(OR(W382="CONCLUIDO",W382="NO APLICA"),1,IF(W382="EN PROCESO",0.5,0))+
IF(OR(X382="CONCLUIDO",X382="NO APLICA"),1,IF(X382="EN PROCESO",0.5,0))+
IF(Y382="PROGRAMADAS",1/2,IF(Y382="CONCLUIDAS",1,0))+
IF(OR(Z382="SI",Z382="NO APLICA"),1,0)+
IF(OR(AA382="SI",AA382="NO APLICA"),1,0)
)/9</f>
        <v>0.18518518518518517</v>
      </c>
      <c r="AF382" s="91">
        <v>3</v>
      </c>
      <c r="AG382" s="105" t="s">
        <v>1783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/>
      <c r="Z383" s="66"/>
      <c r="AA383" s="66"/>
      <c r="AB383">
        <f t="shared" si="10"/>
        <v>0</v>
      </c>
      <c r="AC383">
        <f t="shared" si="11"/>
        <v>0</v>
      </c>
      <c r="AD383" s="67"/>
      <c r="AE383" s="87">
        <f>(
IF(S383="ENVIADO A LA CE/UM",1/3,IF(S383="ENTREGADO/REVISIÓN",2/3,IF(S383="ENVIADO A TICS",1,0)))+
IF(T383="EN PROCESO",1/2,IF(T383="CONCLUIDO",1,0))+
IF(OR(U383="CONCLUIDO",U383="NO APLICA"),1,IF(U383="EN REVISIÓN CENTRAL",2/3,IF(U383="ENVIADO A LA CE/UM",1/3,0)))+
IF(OR(V383="CONCLUIDO",V383="NO APLICA"),1,IF(V383="EN REVISIÓN CENTRAL",2/3,IF(V383="ENVIADO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IF(OR(W383="CONCLUIDO",W383="NO APLICA"),1,IF(W383="EN PROCESO",0.5,0))+
IF(OR(X383="CONCLUIDO",X383="NO APLICA"),1,IF(X383="EN PROCESO",0.5,0))+
IF(Y383="PROGRAMADAS",1/2,IF(Y383="CONCLUIDAS",1,0))+
IF(OR(Z383="SI",Z383="NO APLICA"),1,0)+
IF(OR(AA383="SI",AA383="NO APLICA"),1,0)
)/9</f>
        <v>0.18518518518518517</v>
      </c>
      <c r="AF383" s="91">
        <v>3</v>
      </c>
      <c r="AG383" s="105" t="s">
        <v>1783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/>
      <c r="Z384" s="66"/>
      <c r="AA384" s="66"/>
      <c r="AB384">
        <f t="shared" si="10"/>
        <v>0</v>
      </c>
      <c r="AC384">
        <f t="shared" si="11"/>
        <v>0</v>
      </c>
      <c r="AD384" s="67"/>
      <c r="AE384" s="87">
        <f>(
IF(S384="ENVIADO A LA CE/UM",1/3,IF(S384="ENTREGADO/REVISIÓN",2/3,IF(S384="ENVIADO A TICS",1,0)))+
IF(T384="EN PROCESO",1/2,IF(T384="CONCLUIDO",1,0))+
IF(OR(U384="CONCLUIDO",U384="NO APLICA"),1,IF(U384="EN REVISIÓN CENTRAL",2/3,IF(U384="ENVIADO A LA CE/UM",1/3,0)))+
IF(OR(V384="CONCLUIDO",V384="NO APLICA"),1,IF(V384="EN REVISIÓN CENTRAL",2/3,IF(V384="ENVIADO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IF(OR(W384="CONCLUIDO",W384="NO APLICA"),1,IF(W384="EN PROCESO",0.5,0))+
IF(OR(X384="CONCLUIDO",X384="NO APLICA"),1,IF(X384="EN PROCESO",0.5,0))+
IF(Y384="PROGRAMADAS",1/2,IF(Y384="CONCLUIDAS",1,0))+
IF(OR(Z384="SI",Z384="NO APLICA"),1,0)+
IF(OR(AA384="SI",AA384="NO APLICA"),1,0)
)/9</f>
        <v>0.18518518518518517</v>
      </c>
      <c r="AF384" s="91">
        <v>3</v>
      </c>
      <c r="AG384" s="105" t="s">
        <v>1783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/>
      <c r="Z385" s="66"/>
      <c r="AA385" s="66"/>
      <c r="AB385">
        <f t="shared" si="10"/>
        <v>0</v>
      </c>
      <c r="AC385">
        <f t="shared" si="11"/>
        <v>0</v>
      </c>
      <c r="AD385" s="67"/>
      <c r="AE385" s="87">
        <f>(
IF(S385="ENVIADO A LA CE/UM",1/3,IF(S385="ENTREGADO/REVISIÓN",2/3,IF(S385="ENVIADO A TICS",1,0)))+
IF(T385="EN PROCESO",1/2,IF(T385="CONCLUIDO",1,0))+
IF(OR(U385="CONCLUIDO",U385="NO APLICA"),1,IF(U385="EN REVISIÓN CENTRAL",2/3,IF(U385="ENVIADO A LA CE/UM",1/3,0)))+
IF(OR(V385="CONCLUIDO",V385="NO APLICA"),1,IF(V385="EN REVISIÓN CENTRAL",2/3,IF(V385="ENVIADO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IF(OR(W385="CONCLUIDO",W385="NO APLICA"),1,IF(W385="EN PROCESO",0.5,0))+
IF(OR(X385="CONCLUIDO",X385="NO APLICA"),1,IF(X385="EN PROCESO",0.5,0))+
IF(Y385="PROGRAMADAS",1/2,IF(Y385="CONCLUIDAS",1,0))+
IF(OR(Z385="SI",Z385="NO APLICA"),1,0)+
IF(OR(AA385="SI",AA385="NO APLICA"),1,0)
)/9</f>
        <v>0.18518518518518517</v>
      </c>
      <c r="AF385" s="91">
        <v>3</v>
      </c>
      <c r="AG385" s="105" t="s">
        <v>1783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/>
      <c r="Z386" s="66"/>
      <c r="AA386" s="66"/>
      <c r="AB386">
        <f t="shared" si="10"/>
        <v>0</v>
      </c>
      <c r="AC386">
        <f t="shared" si="11"/>
        <v>0</v>
      </c>
      <c r="AD386" s="67"/>
      <c r="AE386" s="87">
        <f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0.18518518518518517</v>
      </c>
      <c r="AF386" s="91">
        <v>3</v>
      </c>
      <c r="AG386" s="105" t="s">
        <v>1783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/>
      <c r="Z387" s="66"/>
      <c r="AA387" s="66"/>
      <c r="AB387">
        <f t="shared" ref="AB387:AB450" si="12">IF(OR(AND(Z387="SI",AA387="NO"),AND(Z387="NO",AA387="SI")),1,0)</f>
        <v>0</v>
      </c>
      <c r="AC387">
        <f t="shared" ref="AC387:AC450" si="13">IF(AND(OR(Z387="SI",Z387="NO APLICA"),OR(AA387="SI",AA387="NO APLICA")),1,0)</f>
        <v>0</v>
      </c>
      <c r="AD387" s="67"/>
      <c r="AE387" s="87">
        <f>(
IF(S387="ENVIADO A LA CE/UM",1/3,IF(S387="ENTREGADO/REVISIÓN",2/3,IF(S387="ENVIADO A TICS",1,0)))+
IF(T387="EN PROCESO",1/2,IF(T387="CONCLUIDO",1,0))+
IF(OR(U387="CONCLUIDO",U387="NO APLICA"),1,IF(U387="EN REVISIÓN CENTRAL",2/3,IF(U387="ENVIADO A LA CE/UM",1/3,0)))+
IF(OR(V387="CONCLUIDO",V387="NO APLICA"),1,IF(V387="EN REVISIÓN CENTRAL",2/3,IF(V387="ENVIADO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IF(OR(W387="CONCLUIDO",W387="NO APLICA"),1,IF(W387="EN PROCESO",0.5,0))+
IF(OR(X387="CONCLUIDO",X387="NO APLICA"),1,IF(X387="EN PROCESO",0.5,0))+
IF(Y387="PROGRAMADAS",1/2,IF(Y387="CONCLUIDAS",1,0))+
IF(OR(Z387="SI",Z387="NO APLICA"),1,0)+
IF(OR(AA387="SI",AA387="NO APLICA"),1,0)
)/9</f>
        <v>0.18518518518518517</v>
      </c>
      <c r="AF387" s="91">
        <v>3</v>
      </c>
      <c r="AG387" s="105" t="s">
        <v>1783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/>
      <c r="Z388" s="66"/>
      <c r="AA388" s="66"/>
      <c r="AB388">
        <f t="shared" si="12"/>
        <v>0</v>
      </c>
      <c r="AC388">
        <f t="shared" si="13"/>
        <v>0</v>
      </c>
      <c r="AD388" s="67"/>
      <c r="AE388" s="87">
        <f>(
IF(S388="ENVIADO A LA CE/UM",1/3,IF(S388="ENTREGADO/REVISIÓN",2/3,IF(S388="ENVIADO A TICS",1,0)))+
IF(T388="EN PROCESO",1/2,IF(T388="CONCLUIDO",1,0))+
IF(OR(U388="CONCLUIDO",U388="NO APLICA"),1,IF(U388="EN REVISIÓN CENTRAL",2/3,IF(U388="ENVIADO A LA CE/UM",1/3,0)))+
IF(OR(V388="CONCLUIDO",V388="NO APLICA"),1,IF(V388="EN REVISIÓN CENTRAL",2/3,IF(V388="ENVIADO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IF(OR(W388="CONCLUIDO",W388="NO APLICA"),1,IF(W388="EN PROCESO",0.5,0))+
IF(OR(X388="CONCLUIDO",X388="NO APLICA"),1,IF(X388="EN PROCESO",0.5,0))+
IF(Y388="PROGRAMADAS",1/2,IF(Y388="CONCLUIDAS",1,0))+
IF(OR(Z388="SI",Z388="NO APLICA"),1,0)+
IF(OR(AA388="SI",AA388="NO APLICA"),1,0)
)/9</f>
        <v>0.18518518518518517</v>
      </c>
      <c r="AF388" s="91">
        <v>3</v>
      </c>
      <c r="AG388" s="105" t="s">
        <v>1783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/>
      <c r="Z389" s="66"/>
      <c r="AA389" s="66"/>
      <c r="AB389">
        <f t="shared" si="12"/>
        <v>0</v>
      </c>
      <c r="AC389">
        <f t="shared" si="13"/>
        <v>0</v>
      </c>
      <c r="AD389" s="67"/>
      <c r="AE389" s="87">
        <f>(
IF(S389="ENVIADO A LA CE/UM",1/3,IF(S389="ENTREGADO/REVISIÓN",2/3,IF(S389="ENVIADO A TICS",1,0)))+
IF(T389="EN PROCESO",1/2,IF(T389="CONCLUIDO",1,0))+
IF(OR(U389="CONCLUIDO",U389="NO APLICA"),1,IF(U389="EN REVISIÓN CENTRAL",2/3,IF(U389="ENVIADO A LA CE/UM",1/3,0)))+
IF(OR(V389="CONCLUIDO",V389="NO APLICA"),1,IF(V389="EN REVISIÓN CENTRAL",2/3,IF(V389="ENVIADO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IF(OR(W389="CONCLUIDO",W389="NO APLICA"),1,IF(W389="EN PROCESO",0.5,0))+
IF(OR(X389="CONCLUIDO",X389="NO APLICA"),1,IF(X389="EN PROCESO",0.5,0))+
IF(Y389="PROGRAMADAS",1/2,IF(Y389="CONCLUIDAS",1,0))+
IF(OR(Z389="SI",Z389="NO APLICA"),1,0)+
IF(OR(AA389="SI",AA389="NO APLICA"),1,0)
)/9</f>
        <v>0.18518518518518517</v>
      </c>
      <c r="AF389" s="91">
        <v>3</v>
      </c>
      <c r="AG389" s="105" t="s">
        <v>1783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/>
      <c r="Z390" s="66"/>
      <c r="AA390" s="66"/>
      <c r="AB390">
        <f t="shared" si="12"/>
        <v>0</v>
      </c>
      <c r="AC390">
        <f t="shared" si="13"/>
        <v>0</v>
      </c>
      <c r="AD390" s="67"/>
      <c r="AE390" s="87">
        <f>(
IF(S390="ENVIADO A LA CE/UM",1/3,IF(S390="ENTREGADO/REVISIÓN",2/3,IF(S390="ENVIADO A TICS",1,0)))+
IF(T390="EN PROCESO",1/2,IF(T390="CONCLUIDO",1,0))+
IF(OR(U390="CONCLUIDO",U390="NO APLICA"),1,IF(U390="EN REVISIÓN CENTRAL",2/3,IF(U390="ENVIADO A LA CE/UM",1/3,0)))+
IF(OR(V390="CONCLUIDO",V390="NO APLICA"),1,IF(V390="EN REVISIÓN CENTRAL",2/3,IF(V390="ENVIADO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IF(OR(W390="CONCLUIDO",W390="NO APLICA"),1,IF(W390="EN PROCESO",0.5,0))+
IF(OR(X390="CONCLUIDO",X390="NO APLICA"),1,IF(X390="EN PROCESO",0.5,0))+
IF(Y390="PROGRAMADAS",1/2,IF(Y390="CONCLUIDAS",1,0))+
IF(OR(Z390="SI",Z390="NO APLICA"),1,0)+
IF(OR(AA390="SI",AA390="NO APLICA"),1,0)
)/9</f>
        <v>0.18518518518518517</v>
      </c>
      <c r="AF390" s="91">
        <v>3</v>
      </c>
      <c r="AG390" s="105" t="s">
        <v>1783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/>
      <c r="Z391" s="66"/>
      <c r="AA391" s="66"/>
      <c r="AB391">
        <f t="shared" si="12"/>
        <v>0</v>
      </c>
      <c r="AC391">
        <f t="shared" si="13"/>
        <v>0</v>
      </c>
      <c r="AD391" s="67"/>
      <c r="AE391" s="87">
        <f>(
IF(S391="ENVIADO A LA CE/UM",1/3,IF(S391="ENTREGADO/REVISIÓN",2/3,IF(S391="ENVIADO A TICS",1,0)))+
IF(T391="EN PROCESO",1/2,IF(T391="CONCLUIDO",1,0))+
IF(OR(U391="CONCLUIDO",U391="NO APLICA"),1,IF(U391="EN REVISIÓN CENTRAL",2/3,IF(U391="ENVIADO A LA CE/UM",1/3,0)))+
IF(OR(V391="CONCLUIDO",V391="NO APLICA"),1,IF(V391="EN REVISIÓN CENTRAL",2/3,IF(V391="ENVIADO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IF(OR(W391="CONCLUIDO",W391="NO APLICA"),1,IF(W391="EN PROCESO",0.5,0))+
IF(OR(X391="CONCLUIDO",X391="NO APLICA"),1,IF(X391="EN PROCESO",0.5,0))+
IF(Y391="PROGRAMADAS",1/2,IF(Y391="CONCLUIDAS",1,0))+
IF(OR(Z391="SI",Z391="NO APLICA"),1,0)+
IF(OR(AA391="SI",AA391="NO APLICA"),1,0)
)/9</f>
        <v>0.18518518518518517</v>
      </c>
      <c r="AF391" s="91">
        <v>3</v>
      </c>
      <c r="AG391" s="105" t="s">
        <v>1783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/>
      <c r="Z392" s="66"/>
      <c r="AA392" s="66"/>
      <c r="AB392">
        <f t="shared" si="12"/>
        <v>0</v>
      </c>
      <c r="AC392">
        <f t="shared" si="13"/>
        <v>0</v>
      </c>
      <c r="AD392" s="67"/>
      <c r="AE392" s="87">
        <f>(
IF(S392="ENVIADO A LA CE/UM",1/3,IF(S392="ENTREGADO/REVISIÓN",2/3,IF(S392="ENVIADO A TICS",1,0)))+
IF(T392="EN PROCESO",1/2,IF(T392="CONCLUIDO",1,0))+
IF(OR(U392="CONCLUIDO",U392="NO APLICA"),1,IF(U392="EN REVISIÓN CENTRAL",2/3,IF(U392="ENVIADO A LA CE/UM",1/3,0)))+
IF(OR(V392="CONCLUIDO",V392="NO APLICA"),1,IF(V392="EN REVISIÓN CENTRAL",2/3,IF(V392="ENVIADO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IF(OR(W392="CONCLUIDO",W392="NO APLICA"),1,IF(W392="EN PROCESO",0.5,0))+
IF(OR(X392="CONCLUIDO",X392="NO APLICA"),1,IF(X392="EN PROCESO",0.5,0))+
IF(Y392="PROGRAMADAS",1/2,IF(Y392="CONCLUIDAS",1,0))+
IF(OR(Z392="SI",Z392="NO APLICA"),1,0)+
IF(OR(AA392="SI",AA392="NO APLICA"),1,0)
)/9</f>
        <v>0.55555555555555558</v>
      </c>
      <c r="AF392" s="91">
        <v>3</v>
      </c>
      <c r="AG392" s="105" t="s">
        <v>1783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/>
      <c r="Z393" s="66"/>
      <c r="AA393" s="66"/>
      <c r="AB393">
        <f t="shared" si="12"/>
        <v>0</v>
      </c>
      <c r="AC393">
        <f t="shared" si="13"/>
        <v>0</v>
      </c>
      <c r="AD393" s="67"/>
      <c r="AE393" s="87">
        <f>(
IF(S393="ENVIADO A LA CE/UM",1/3,IF(S393="ENTREGADO/REVISIÓN",2/3,IF(S393="ENVIADO A TICS",1,0)))+
IF(T393="EN PROCESO",1/2,IF(T393="CONCLUIDO",1,0))+
IF(OR(U393="CONCLUIDO",U393="NO APLICA"),1,IF(U393="EN REVISIÓN CENTRAL",2/3,IF(U393="ENVIADO A LA CE/UM",1/3,0)))+
IF(OR(V393="CONCLUIDO",V393="NO APLICA"),1,IF(V393="EN REVISIÓN CENTRAL",2/3,IF(V393="ENVIADO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IF(OR(W393="CONCLUIDO",W393="NO APLICA"),1,IF(W393="EN PROCESO",0.5,0))+
IF(OR(X393="CONCLUIDO",X393="NO APLICA"),1,IF(X393="EN PROCESO",0.5,0))+
IF(Y393="PROGRAMADAS",1/2,IF(Y393="CONCLUIDAS",1,0))+
IF(OR(Z393="SI",Z393="NO APLICA"),1,0)+
IF(OR(AA393="SI",AA393="NO APLICA"),1,0)
)/9</f>
        <v>0.18518518518518517</v>
      </c>
      <c r="AF393" s="91">
        <v>3</v>
      </c>
      <c r="AG393" s="105" t="s">
        <v>1783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/>
      <c r="Z394" s="66"/>
      <c r="AA394" s="66"/>
      <c r="AB394">
        <f t="shared" si="12"/>
        <v>0</v>
      </c>
      <c r="AC394">
        <f t="shared" si="13"/>
        <v>0</v>
      </c>
      <c r="AD394" s="67"/>
      <c r="AE394" s="87">
        <f>(
IF(S394="ENVIADO A LA CE/UM",1/3,IF(S394="ENTREGADO/REVISIÓN",2/3,IF(S394="ENVIADO A TICS",1,0)))+
IF(T394="EN PROCESO",1/2,IF(T394="CONCLUIDO",1,0))+
IF(OR(U394="CONCLUIDO",U394="NO APLICA"),1,IF(U394="EN REVISIÓN CENTRAL",2/3,IF(U394="ENVIADO A LA CE/UM",1/3,0)))+
IF(OR(V394="CONCLUIDO",V394="NO APLICA"),1,IF(V394="EN REVISIÓN CENTRAL",2/3,IF(V394="ENVIADO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IF(OR(W394="CONCLUIDO",W394="NO APLICA"),1,IF(W394="EN PROCESO",0.5,0))+
IF(OR(X394="CONCLUIDO",X394="NO APLICA"),1,IF(X394="EN PROCESO",0.5,0))+
IF(Y394="PROGRAMADAS",1/2,IF(Y394="CONCLUIDAS",1,0))+
IF(OR(Z394="SI",Z394="NO APLICA"),1,0)+
IF(OR(AA394="SI",AA394="NO APLICA"),1,0)
)/9</f>
        <v>0.18518518518518517</v>
      </c>
      <c r="AF394" s="91">
        <v>3</v>
      </c>
      <c r="AG394" s="105" t="s">
        <v>1783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/>
      <c r="Z395" s="66"/>
      <c r="AA395" s="66"/>
      <c r="AB395">
        <f t="shared" si="12"/>
        <v>0</v>
      </c>
      <c r="AC395">
        <f t="shared" si="13"/>
        <v>0</v>
      </c>
      <c r="AD395" s="67"/>
      <c r="AE395" s="87">
        <f>(
IF(S395="ENVIADO A LA CE/UM",1/3,IF(S395="ENTREGADO/REVISIÓN",2/3,IF(S395="ENVIADO A TICS",1,0)))+
IF(T395="EN PROCESO",1/2,IF(T395="CONCLUIDO",1,0))+
IF(OR(U395="CONCLUIDO",U395="NO APLICA"),1,IF(U395="EN REVISIÓN CENTRAL",2/3,IF(U395="ENVIADO A LA CE/UM",1/3,0)))+
IF(OR(V395="CONCLUIDO",V395="NO APLICA"),1,IF(V395="EN REVISIÓN CENTRAL",2/3,IF(V395="ENVIADO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IF(OR(W395="CONCLUIDO",W395="NO APLICA"),1,IF(W395="EN PROCESO",0.5,0))+
IF(OR(X395="CONCLUIDO",X395="NO APLICA"),1,IF(X395="EN PROCESO",0.5,0))+
IF(Y395="PROGRAMADAS",1/2,IF(Y395="CONCLUIDAS",1,0))+
IF(OR(Z395="SI",Z395="NO APLICA"),1,0)+
IF(OR(AA395="SI",AA395="NO APLICA"),1,0)
)/9</f>
        <v>0.18518518518518517</v>
      </c>
      <c r="AF395" s="91">
        <v>3</v>
      </c>
      <c r="AG395" s="105" t="s">
        <v>1783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/>
      <c r="Z396" s="66"/>
      <c r="AA396" s="66"/>
      <c r="AB396">
        <f t="shared" si="12"/>
        <v>0</v>
      </c>
      <c r="AC396">
        <f t="shared" si="13"/>
        <v>0</v>
      </c>
      <c r="AD396" s="67"/>
      <c r="AE396" s="87">
        <f>(
IF(S396="ENVIADO A LA CE/UM",1/3,IF(S396="ENTREGADO/REVISIÓN",2/3,IF(S396="ENVIADO A TICS",1,0)))+
IF(T396="EN PROCESO",1/2,IF(T396="CONCLUIDO",1,0))+
IF(OR(U396="CONCLUIDO",U396="NO APLICA"),1,IF(U396="EN REVISIÓN CENTRAL",2/3,IF(U396="ENVIADO A LA CE/UM",1/3,0)))+
IF(OR(V396="CONCLUIDO",V396="NO APLICA"),1,IF(V396="EN REVISIÓN CENTRAL",2/3,IF(V396="ENVIADO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IF(OR(W396="CONCLUIDO",W396="NO APLICA"),1,IF(W396="EN PROCESO",0.5,0))+
IF(OR(X396="CONCLUIDO",X396="NO APLICA"),1,IF(X396="EN PROCESO",0.5,0))+
IF(Y396="PROGRAMADAS",1/2,IF(Y396="CONCLUIDAS",1,0))+
IF(OR(Z396="SI",Z396="NO APLICA"),1,0)+
IF(OR(AA396="SI",AA396="NO APLICA"),1,0)
)/9</f>
        <v>0.18518518518518517</v>
      </c>
      <c r="AF396" s="91">
        <v>3</v>
      </c>
      <c r="AG396" s="105" t="s">
        <v>1783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/>
      <c r="Z397" s="66"/>
      <c r="AA397" s="66"/>
      <c r="AB397">
        <f t="shared" si="12"/>
        <v>0</v>
      </c>
      <c r="AC397">
        <f t="shared" si="13"/>
        <v>0</v>
      </c>
      <c r="AD397" s="67" t="s">
        <v>1814</v>
      </c>
      <c r="AE397" s="87">
        <f>(
IF(S397="ENVIADO A LA CE/UM",1/3,IF(S397="ENTREGADO/REVISIÓN",2/3,IF(S397="ENVIADO A TICS",1,0)))+
IF(T397="EN PROCESO",1/2,IF(T397="CONCLUIDO",1,0))+
IF(OR(U397="CONCLUIDO",U397="NO APLICA"),1,IF(U397="EN REVISIÓN CENTRAL",2/3,IF(U397="ENVIADO A LA CE/UM",1/3,0)))+
IF(OR(V397="CONCLUIDO",V397="NO APLICA"),1,IF(V397="EN REVISIÓN CENTRAL",2/3,IF(V397="ENVIADO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IF(OR(W397="CONCLUIDO",W397="NO APLICA"),1,IF(W397="EN PROCESO",0.5,0))+
IF(OR(X397="CONCLUIDO",X397="NO APLICA"),1,IF(X397="EN PROCESO",0.5,0))+
IF(Y397="PROGRAMADAS",1/2,IF(Y397="CONCLUIDAS",1,0))+
IF(OR(Z397="SI",Z397="NO APLICA"),1,0)+
IF(OR(AA397="SI",AA397="NO APLICA"),1,0)
)/9</f>
        <v>0.55555555555555558</v>
      </c>
      <c r="AF397" s="91">
        <v>3</v>
      </c>
      <c r="AG397" s="105" t="s">
        <v>1835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176</v>
      </c>
      <c r="V398" s="66" t="s">
        <v>176</v>
      </c>
      <c r="W398" s="66"/>
      <c r="X398" s="66"/>
      <c r="Y398" s="66"/>
      <c r="Z398" s="66"/>
      <c r="AA398" s="66"/>
      <c r="AB398">
        <f t="shared" si="12"/>
        <v>0</v>
      </c>
      <c r="AC398">
        <f t="shared" si="13"/>
        <v>0</v>
      </c>
      <c r="AD398" s="67"/>
      <c r="AE398" s="87">
        <f>(
IF(S398="ENVIADO A LA CE/UM",1/3,IF(S398="ENTREGADO/REVISIÓN",2/3,IF(S398="ENVIADO A TICS",1,0)))+
IF(T398="EN PROCESO",1/2,IF(T398="CONCLUIDO",1,0))+
IF(OR(U398="CONCLUIDO",U398="NO APLICA"),1,IF(U398="EN REVISIÓN CENTRAL",2/3,IF(U398="ENVIADO A LA CE/UM",1/3,0)))+
IF(OR(V398="CONCLUIDO",V398="NO APLICA"),1,IF(V398="EN REVISIÓN CENTRAL",2/3,IF(V398="ENVIADO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IF(OR(W398="CONCLUIDO",W398="NO APLICA"),1,IF(W398="EN PROCESO",0.5,0))+
IF(OR(X398="CONCLUIDO",X398="NO APLICA"),1,IF(X398="EN PROCESO",0.5,0))+
IF(Y398="PROGRAMADAS",1/2,IF(Y398="CONCLUIDAS",1,0))+
IF(OR(Z398="SI",Z398="NO APLICA"),1,0)+
IF(OR(AA398="SI",AA398="NO APLICA"),1,0)
)/9</f>
        <v>0.18518518518518517</v>
      </c>
      <c r="AF398" s="91">
        <v>3</v>
      </c>
      <c r="AG398" s="105" t="s">
        <v>1783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>
        <f t="shared" si="12"/>
        <v>0</v>
      </c>
      <c r="AC399">
        <f t="shared" si="13"/>
        <v>0</v>
      </c>
      <c r="AD399" s="67"/>
      <c r="AE399" s="87">
        <f>(
IF(S399="ENVIADO A LA CE/UM",1/3,IF(S399="ENTREGADO/REVISIÓN",2/3,IF(S399="ENVIADO A TICS",1,0)))+
IF(T399="EN PROCESO",1/2,IF(T399="CONCLUIDO",1,0))+
IF(OR(U399="CONCLUIDO",U399="NO APLICA"),1,IF(U399="EN REVISIÓN CENTRAL",2/3,IF(U399="ENVIADO A LA CE/UM",1/3,0)))+
IF(OR(V399="CONCLUIDO",V399="NO APLICA"),1,IF(V399="EN REVISIÓN CENTRAL",2/3,IF(V399="ENVIADO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IF(OR(W399="CONCLUIDO",W399="NO APLICA"),1,IF(W399="EN PROCESO",0.5,0))+
IF(OR(X399="CONCLUIDO",X399="NO APLICA"),1,IF(X399="EN PROCESO",0.5,0))+
IF(Y399="PROGRAMADAS",1/2,IF(Y399="CONCLUIDAS",1,0))+
IF(OR(Z399="SI",Z399="NO APLICA"),1,0)+
IF(OR(AA399="SI",AA399="NO APLICA"),1,0)
)/9</f>
        <v>0.31481481481481477</v>
      </c>
      <c r="AF399" s="91">
        <v>5</v>
      </c>
      <c r="AG399" s="105" t="s">
        <v>1843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>
        <f t="shared" si="12"/>
        <v>0</v>
      </c>
      <c r="AC400">
        <f t="shared" si="13"/>
        <v>0</v>
      </c>
      <c r="AD400" s="67"/>
      <c r="AE400" s="87">
        <f>(
IF(S400="ENVIADO A LA CE/UM",1/3,IF(S400="ENTREGADO/REVISIÓN",2/3,IF(S400="ENVIADO A TICS",1,0)))+
IF(T400="EN PROCESO",1/2,IF(T400="CONCLUIDO",1,0))+
IF(OR(U400="CONCLUIDO",U400="NO APLICA"),1,IF(U400="EN REVISIÓN CENTRAL",2/3,IF(U400="ENVIADO A LA CE/UM",1/3,0)))+
IF(OR(V400="CONCLUIDO",V400="NO APLICA"),1,IF(V400="EN REVISIÓN CENTRAL",2/3,IF(V400="ENVIADO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IF(OR(W400="CONCLUIDO",W400="NO APLICA"),1,IF(W400="EN PROCESO",0.5,0))+
IF(OR(X400="CONCLUIDO",X400="NO APLICA"),1,IF(X400="EN PROCESO",0.5,0))+
IF(Y400="PROGRAMADAS",1/2,IF(Y400="CONCLUIDAS",1,0))+
IF(OR(Z400="SI",Z400="NO APLICA"),1,0)+
IF(OR(AA400="SI",AA400="NO APLICA"),1,0)
)/9</f>
        <v>0.31481481481481477</v>
      </c>
      <c r="AF400" s="91">
        <v>5</v>
      </c>
      <c r="AG400" s="105" t="s">
        <v>1843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>
        <f t="shared" si="12"/>
        <v>0</v>
      </c>
      <c r="AC401">
        <f t="shared" si="13"/>
        <v>0</v>
      </c>
      <c r="AD401" s="67"/>
      <c r="AE401" s="87">
        <f>(
IF(S401="ENVIADO A LA CE/UM",1/3,IF(S401="ENTREGADO/REVISIÓN",2/3,IF(S401="ENVIADO A TICS",1,0)))+
IF(T401="EN PROCESO",1/2,IF(T401="CONCLUIDO",1,0))+
IF(OR(U401="CONCLUIDO",U401="NO APLICA"),1,IF(U401="EN REVISIÓN CENTRAL",2/3,IF(U401="ENVIADO A LA CE/UM",1/3,0)))+
IF(OR(V401="CONCLUIDO",V401="NO APLICA"),1,IF(V401="EN REVISIÓN CENTRAL",2/3,IF(V401="ENVIADO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IF(OR(W401="CONCLUIDO",W401="NO APLICA"),1,IF(W401="EN PROCESO",0.5,0))+
IF(OR(X401="CONCLUIDO",X401="NO APLICA"),1,IF(X401="EN PROCESO",0.5,0))+
IF(Y401="PROGRAMADAS",1/2,IF(Y401="CONCLUIDAS",1,0))+
IF(OR(Z401="SI",Z401="NO APLICA"),1,0)+
IF(OR(AA401="SI",AA401="NO APLICA"),1,0)
)/9</f>
        <v>0.31481481481481477</v>
      </c>
      <c r="AF401" s="91">
        <v>5</v>
      </c>
      <c r="AG401" s="105" t="s">
        <v>1843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>
        <f t="shared" si="12"/>
        <v>0</v>
      </c>
      <c r="AC402">
        <f t="shared" si="13"/>
        <v>0</v>
      </c>
      <c r="AD402" s="67"/>
      <c r="AE402" s="87">
        <f>(
IF(S402="ENVIADO A LA CE/UM",1/3,IF(S402="ENTREGADO/REVISIÓN",2/3,IF(S402="ENVIADO A TICS",1,0)))+
IF(T402="EN PROCESO",1/2,IF(T402="CONCLUIDO",1,0))+
IF(OR(U402="CONCLUIDO",U402="NO APLICA"),1,IF(U402="EN REVISIÓN CENTRAL",2/3,IF(U402="ENVIADO A LA CE/UM",1/3,0)))+
IF(OR(V402="CONCLUIDO",V402="NO APLICA"),1,IF(V402="EN REVISIÓN CENTRAL",2/3,IF(V402="ENVIADO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IF(OR(W402="CONCLUIDO",W402="NO APLICA"),1,IF(W402="EN PROCESO",0.5,0))+
IF(OR(X402="CONCLUIDO",X402="NO APLICA"),1,IF(X402="EN PROCESO",0.5,0))+
IF(Y402="PROGRAMADAS",1/2,IF(Y402="CONCLUIDAS",1,0))+
IF(OR(Z402="SI",Z402="NO APLICA"),1,0)+
IF(OR(AA402="SI",AA402="NO APLICA"),1,0)
)/9</f>
        <v>0.31481481481481477</v>
      </c>
      <c r="AF402" s="91">
        <v>5</v>
      </c>
      <c r="AG402" s="105" t="s">
        <v>1843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>
        <f t="shared" si="12"/>
        <v>0</v>
      </c>
      <c r="AC403">
        <f t="shared" si="13"/>
        <v>0</v>
      </c>
      <c r="AD403" s="67"/>
      <c r="AE403" s="87">
        <f>(
IF(S403="ENVIADO A LA CE/UM",1/3,IF(S403="ENTREGADO/REVISIÓN",2/3,IF(S403="ENVIADO A TICS",1,0)))+
IF(T403="EN PROCESO",1/2,IF(T403="CONCLUIDO",1,0))+
IF(OR(U403="CONCLUIDO",U403="NO APLICA"),1,IF(U403="EN REVISIÓN CENTRAL",2/3,IF(U403="ENVIADO A LA CE/UM",1/3,0)))+
IF(OR(V403="CONCLUIDO",V403="NO APLICA"),1,IF(V403="EN REVISIÓN CENTRAL",2/3,IF(V403="ENVIADO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IF(OR(W403="CONCLUIDO",W403="NO APLICA"),1,IF(W403="EN PROCESO",0.5,0))+
IF(OR(X403="CONCLUIDO",X403="NO APLICA"),1,IF(X403="EN PROCESO",0.5,0))+
IF(Y403="PROGRAMADAS",1/2,IF(Y403="CONCLUIDAS",1,0))+
IF(OR(Z403="SI",Z403="NO APLICA"),1,0)+
IF(OR(AA403="SI",AA403="NO APLICA"),1,0)
)/9</f>
        <v>0.31481481481481477</v>
      </c>
      <c r="AF403" s="91">
        <v>5</v>
      </c>
      <c r="AG403" s="105" t="s">
        <v>1843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>
        <f t="shared" si="12"/>
        <v>0</v>
      </c>
      <c r="AC404">
        <f t="shared" si="13"/>
        <v>0</v>
      </c>
      <c r="AD404" s="67"/>
      <c r="AE404" s="87">
        <f>(
IF(S404="ENVIADO A LA CE/UM",1/3,IF(S404="ENTREGADO/REVISIÓN",2/3,IF(S404="ENVIADO A TICS",1,0)))+
IF(T404="EN PROCESO",1/2,IF(T404="CONCLUIDO",1,0))+
IF(OR(U404="CONCLUIDO",U404="NO APLICA"),1,IF(U404="EN REVISIÓN CENTRAL",2/3,IF(U404="ENVIADO A LA CE/UM",1/3,0)))+
IF(OR(V404="CONCLUIDO",V404="NO APLICA"),1,IF(V404="EN REVISIÓN CENTRAL",2/3,IF(V404="ENVIADO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IF(OR(W404="CONCLUIDO",W404="NO APLICA"),1,IF(W404="EN PROCESO",0.5,0))+
IF(OR(X404="CONCLUIDO",X404="NO APLICA"),1,IF(X404="EN PROCESO",0.5,0))+
IF(Y404="PROGRAMADAS",1/2,IF(Y404="CONCLUIDAS",1,0))+
IF(OR(Z404="SI",Z404="NO APLICA"),1,0)+
IF(OR(AA404="SI",AA404="NO APLICA"),1,0)
)/9</f>
        <v>0.31481481481481477</v>
      </c>
      <c r="AF404" s="91">
        <v>5</v>
      </c>
      <c r="AG404" s="105" t="s">
        <v>1843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>
        <f t="shared" si="12"/>
        <v>0</v>
      </c>
      <c r="AC405">
        <f t="shared" si="13"/>
        <v>0</v>
      </c>
      <c r="AD405" s="67"/>
      <c r="AE405" s="87">
        <f>(
IF(S405="ENVIADO A LA CE/UM",1/3,IF(S405="ENTREGADO/REVISIÓN",2/3,IF(S405="ENVIADO A TICS",1,0)))+
IF(T405="EN PROCESO",1/2,IF(T405="CONCLUIDO",1,0))+
IF(OR(U405="CONCLUIDO",U405="NO APLICA"),1,IF(U405="EN REVISIÓN CENTRAL",2/3,IF(U405="ENVIADO A LA CE/UM",1/3,0)))+
IF(OR(V405="CONCLUIDO",V405="NO APLICA"),1,IF(V405="EN REVISIÓN CENTRAL",2/3,IF(V405="ENVIADO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IF(OR(W405="CONCLUIDO",W405="NO APLICA"),1,IF(W405="EN PROCESO",0.5,0))+
IF(OR(X405="CONCLUIDO",X405="NO APLICA"),1,IF(X405="EN PROCESO",0.5,0))+
IF(Y405="PROGRAMADAS",1/2,IF(Y405="CONCLUIDAS",1,0))+
IF(OR(Z405="SI",Z405="NO APLICA"),1,0)+
IF(OR(AA405="SI",AA405="NO APLICA"),1,0)
)/9</f>
        <v>0.31481481481481477</v>
      </c>
      <c r="AF405" s="91">
        <v>5</v>
      </c>
      <c r="AG405" s="105" t="s">
        <v>1843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>
        <f t="shared" si="12"/>
        <v>0</v>
      </c>
      <c r="AC406">
        <f t="shared" si="13"/>
        <v>0</v>
      </c>
      <c r="AD406" s="67"/>
      <c r="AE406" s="87">
        <f>(
IF(S406="ENVIADO A LA CE/UM",1/3,IF(S406="ENTREGADO/REVISIÓN",2/3,IF(S406="ENVIADO A TICS",1,0)))+
IF(T406="EN PROCESO",1/2,IF(T406="CONCLUIDO",1,0))+
IF(OR(U406="CONCLUIDO",U406="NO APLICA"),1,IF(U406="EN REVISIÓN CENTRAL",2/3,IF(U406="ENVIADO A LA CE/UM",1/3,0)))+
IF(OR(V406="CONCLUIDO",V406="NO APLICA"),1,IF(V406="EN REVISIÓN CENTRAL",2/3,IF(V406="ENVIADO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IF(OR(W406="CONCLUIDO",W406="NO APLICA"),1,IF(W406="EN PROCESO",0.5,0))+
IF(OR(X406="CONCLUIDO",X406="NO APLICA"),1,IF(X406="EN PROCESO",0.5,0))+
IF(Y406="PROGRAMADAS",1/2,IF(Y406="CONCLUIDAS",1,0))+
IF(OR(Z406="SI",Z406="NO APLICA"),1,0)+
IF(OR(AA406="SI",AA406="NO APLICA"),1,0)
)/9</f>
        <v>0.31481481481481477</v>
      </c>
      <c r="AF406" s="91">
        <v>5</v>
      </c>
      <c r="AG406" s="105" t="s">
        <v>1843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176</v>
      </c>
      <c r="V407" s="66" t="s">
        <v>213</v>
      </c>
      <c r="W407" s="66"/>
      <c r="X407" s="66"/>
      <c r="Y407" s="66"/>
      <c r="Z407" s="66"/>
      <c r="AA407" s="66"/>
      <c r="AB407">
        <f t="shared" si="12"/>
        <v>0</v>
      </c>
      <c r="AC407">
        <f t="shared" si="13"/>
        <v>0</v>
      </c>
      <c r="AD407" s="67"/>
      <c r="AE407" s="87">
        <f>(
IF(S407="ENVIADO A LA CE/UM",1/3,IF(S407="ENTREGADO/REVISIÓN",2/3,IF(S407="ENVIADO A TICS",1,0)))+
IF(T407="EN PROCESO",1/2,IF(T407="CONCLUIDO",1,0))+
IF(OR(U407="CONCLUIDO",U407="NO APLICA"),1,IF(U407="EN REVISIÓN CENTRAL",2/3,IF(U407="ENVIADO A LA CE/UM",1/3,0)))+
IF(OR(V407="CONCLUIDO",V407="NO APLICA"),1,IF(V407="EN REVISIÓN CENTRAL",2/3,IF(V407="ENVIADO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IF(OR(W407="CONCLUIDO",W407="NO APLICA"),1,IF(W407="EN PROCESO",0.5,0))+
IF(OR(X407="CONCLUIDO",X407="NO APLICA"),1,IF(X407="EN PROCESO",0.5,0))+
IF(Y407="PROGRAMADAS",1/2,IF(Y407="CONCLUIDAS",1,0))+
IF(OR(Z407="SI",Z407="NO APLICA"),1,0)+
IF(OR(AA407="SI",AA407="NO APLICA"),1,0)
)/9</f>
        <v>0.27777777777777779</v>
      </c>
      <c r="AF407" s="91">
        <v>5</v>
      </c>
      <c r="AG407" s="105" t="s">
        <v>1843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>
        <f t="shared" si="12"/>
        <v>0</v>
      </c>
      <c r="AC408">
        <f t="shared" si="13"/>
        <v>0</v>
      </c>
      <c r="AD408" s="67"/>
      <c r="AE408" s="87">
        <f>(
IF(S408="ENVIADO A LA CE/UM",1/3,IF(S408="ENTREGADO/REVISIÓN",2/3,IF(S408="ENVIADO A TICS",1,0)))+
IF(T408="EN PROCESO",1/2,IF(T408="CONCLUIDO",1,0))+
IF(OR(U408="CONCLUIDO",U408="NO APLICA"),1,IF(U408="EN REVISIÓN CENTRAL",2/3,IF(U408="ENVIADO A LA CE/UM",1/3,0)))+
IF(OR(V408="CONCLUIDO",V408="NO APLICA"),1,IF(V408="EN REVISIÓN CENTRAL",2/3,IF(V408="ENVIADO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IF(OR(W408="CONCLUIDO",W408="NO APLICA"),1,IF(W408="EN PROCESO",0.5,0))+
IF(OR(X408="CONCLUIDO",X408="NO APLICA"),1,IF(X408="EN PROCESO",0.5,0))+
IF(Y408="PROGRAMADAS",1/2,IF(Y408="CONCLUIDAS",1,0))+
IF(OR(Z408="SI",Z408="NO APLICA"),1,0)+
IF(OR(AA408="SI",AA408="NO APLICA"),1,0)
)/9</f>
        <v>0.31481481481481477</v>
      </c>
      <c r="AF408" s="91">
        <v>5</v>
      </c>
      <c r="AG408" s="105" t="s">
        <v>1843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>
        <f t="shared" si="12"/>
        <v>0</v>
      </c>
      <c r="AC409">
        <f t="shared" si="13"/>
        <v>0</v>
      </c>
      <c r="AD409" s="67"/>
      <c r="AE409" s="87">
        <f>(
IF(S409="ENVIADO A LA CE/UM",1/3,IF(S409="ENTREGADO/REVISIÓN",2/3,IF(S409="ENVIADO A TICS",1,0)))+
IF(T409="EN PROCESO",1/2,IF(T409="CONCLUIDO",1,0))+
IF(OR(U409="CONCLUIDO",U409="NO APLICA"),1,IF(U409="EN REVISIÓN CENTRAL",2/3,IF(U409="ENVIADO A LA CE/UM",1/3,0)))+
IF(OR(V409="CONCLUIDO",V409="NO APLICA"),1,IF(V409="EN REVISIÓN CENTRAL",2/3,IF(V409="ENVIADO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IF(OR(W409="CONCLUIDO",W409="NO APLICA"),1,IF(W409="EN PROCESO",0.5,0))+
IF(OR(X409="CONCLUIDO",X409="NO APLICA"),1,IF(X409="EN PROCESO",0.5,0))+
IF(Y409="PROGRAMADAS",1/2,IF(Y409="CONCLUIDAS",1,0))+
IF(OR(Z409="SI",Z409="NO APLICA"),1,0)+
IF(OR(AA409="SI",AA409="NO APLICA"),1,0)
)/9</f>
        <v>0.31481481481481477</v>
      </c>
      <c r="AF409" s="91">
        <v>5</v>
      </c>
      <c r="AG409" s="105" t="s">
        <v>1843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>
        <f t="shared" si="12"/>
        <v>0</v>
      </c>
      <c r="AC410">
        <f t="shared" si="13"/>
        <v>0</v>
      </c>
      <c r="AD410" s="67"/>
      <c r="AE410" s="87">
        <f>(
IF(S410="ENVIADO A LA CE/UM",1/3,IF(S410="ENTREGADO/REVISIÓN",2/3,IF(S410="ENVIADO A TICS",1,0)))+
IF(T410="EN PROCESO",1/2,IF(T410="CONCLUIDO",1,0))+
IF(OR(U410="CONCLUIDO",U410="NO APLICA"),1,IF(U410="EN REVISIÓN CENTRAL",2/3,IF(U410="ENVIADO A LA CE/UM",1/3,0)))+
IF(OR(V410="CONCLUIDO",V410="NO APLICA"),1,IF(V410="EN REVISIÓN CENTRAL",2/3,IF(V410="ENVIADO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IF(OR(W410="CONCLUIDO",W410="NO APLICA"),1,IF(W410="EN PROCESO",0.5,0))+
IF(OR(X410="CONCLUIDO",X410="NO APLICA"),1,IF(X410="EN PROCESO",0.5,0))+
IF(Y410="PROGRAMADAS",1/2,IF(Y410="CONCLUIDAS",1,0))+
IF(OR(Z410="SI",Z410="NO APLICA"),1,0)+
IF(OR(AA410="SI",AA410="NO APLICA"),1,0)
)/9</f>
        <v>0.31481481481481477</v>
      </c>
      <c r="AF410" s="91">
        <v>5</v>
      </c>
      <c r="AG410" s="105" t="s">
        <v>1843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>
        <f t="shared" si="12"/>
        <v>0</v>
      </c>
      <c r="AC411">
        <f t="shared" si="13"/>
        <v>0</v>
      </c>
      <c r="AD411" s="67"/>
      <c r="AE411" s="87">
        <f>(
IF(S411="ENVIADO A LA CE/UM",1/3,IF(S411="ENTREGADO/REVISIÓN",2/3,IF(S411="ENVIADO A TICS",1,0)))+
IF(T411="EN PROCESO",1/2,IF(T411="CONCLUIDO",1,0))+
IF(OR(U411="CONCLUIDO",U411="NO APLICA"),1,IF(U411="EN REVISIÓN CENTRAL",2/3,IF(U411="ENVIADO A LA CE/UM",1/3,0)))+
IF(OR(V411="CONCLUIDO",V411="NO APLICA"),1,IF(V411="EN REVISIÓN CENTRAL",2/3,IF(V411="ENVIADO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IF(OR(W411="CONCLUIDO",W411="NO APLICA"),1,IF(W411="EN PROCESO",0.5,0))+
IF(OR(X411="CONCLUIDO",X411="NO APLICA"),1,IF(X411="EN PROCESO",0.5,0))+
IF(Y411="PROGRAMADAS",1/2,IF(Y411="CONCLUIDAS",1,0))+
IF(OR(Z411="SI",Z411="NO APLICA"),1,0)+
IF(OR(AA411="SI",AA411="NO APLICA"),1,0)
)/9</f>
        <v>0.24074074074074073</v>
      </c>
      <c r="AF411" s="91">
        <v>5</v>
      </c>
      <c r="AG411" s="105" t="s">
        <v>1843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>
        <f t="shared" si="12"/>
        <v>0</v>
      </c>
      <c r="AC412">
        <f t="shared" si="13"/>
        <v>0</v>
      </c>
      <c r="AD412" s="67"/>
      <c r="AE412" s="87">
        <f>(
IF(S412="ENVIADO A LA CE/UM",1/3,IF(S412="ENTREGADO/REVISIÓN",2/3,IF(S412="ENVIADO A TICS",1,0)))+
IF(T412="EN PROCESO",1/2,IF(T412="CONCLUIDO",1,0))+
IF(OR(U412="CONCLUIDO",U412="NO APLICA"),1,IF(U412="EN REVISIÓN CENTRAL",2/3,IF(U412="ENVIADO A LA CE/UM",1/3,0)))+
IF(OR(V412="CONCLUIDO",V412="NO APLICA"),1,IF(V412="EN REVISIÓN CENTRAL",2/3,IF(V412="ENVIADO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IF(OR(W412="CONCLUIDO",W412="NO APLICA"),1,IF(W412="EN PROCESO",0.5,0))+
IF(OR(X412="CONCLUIDO",X412="NO APLICA"),1,IF(X412="EN PROCESO",0.5,0))+
IF(Y412="PROGRAMADAS",1/2,IF(Y412="CONCLUIDAS",1,0))+
IF(OR(Z412="SI",Z412="NO APLICA"),1,0)+
IF(OR(AA412="SI",AA412="NO APLICA"),1,0)
)/9</f>
        <v>0.31481481481481477</v>
      </c>
      <c r="AF412" s="91">
        <v>5</v>
      </c>
      <c r="AG412" s="105" t="s">
        <v>1843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>
        <f t="shared" si="12"/>
        <v>0</v>
      </c>
      <c r="AC413">
        <f t="shared" si="13"/>
        <v>0</v>
      </c>
      <c r="AD413" s="67"/>
      <c r="AE413" s="87">
        <f>(
IF(S413="ENVIADO A LA CE/UM",1/3,IF(S413="ENTREGADO/REVISIÓN",2/3,IF(S413="ENVIADO A TICS",1,0)))+
IF(T413="EN PROCESO",1/2,IF(T413="CONCLUIDO",1,0))+
IF(OR(U413="CONCLUIDO",U413="NO APLICA"),1,IF(U413="EN REVISIÓN CENTRAL",2/3,IF(U413="ENVIADO A LA CE/UM",1/3,0)))+
IF(OR(V413="CONCLUIDO",V413="NO APLICA"),1,IF(V413="EN REVISIÓN CENTRAL",2/3,IF(V413="ENVIADO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IF(OR(W413="CONCLUIDO",W413="NO APLICA"),1,IF(W413="EN PROCESO",0.5,0))+
IF(OR(X413="CONCLUIDO",X413="NO APLICA"),1,IF(X413="EN PROCESO",0.5,0))+
IF(Y413="PROGRAMADAS",1/2,IF(Y413="CONCLUIDAS",1,0))+
IF(OR(Z413="SI",Z413="NO APLICA"),1,0)+
IF(OR(AA413="SI",AA413="NO APLICA"),1,0)
)/9</f>
        <v>0.31481481481481477</v>
      </c>
      <c r="AF413" s="91">
        <v>5</v>
      </c>
      <c r="AG413" s="105" t="s">
        <v>1843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>
        <f t="shared" si="12"/>
        <v>0</v>
      </c>
      <c r="AC414">
        <f t="shared" si="13"/>
        <v>0</v>
      </c>
      <c r="AD414" s="67"/>
      <c r="AE414" s="87">
        <f>(
IF(S414="ENVIADO A LA CE/UM",1/3,IF(S414="ENTREGADO/REVISIÓN",2/3,IF(S414="ENVIADO A TICS",1,0)))+
IF(T414="EN PROCESO",1/2,IF(T414="CONCLUIDO",1,0))+
IF(OR(U414="CONCLUIDO",U414="NO APLICA"),1,IF(U414="EN REVISIÓN CENTRAL",2/3,IF(U414="ENVIADO A LA CE/UM",1/3,0)))+
IF(OR(V414="CONCLUIDO",V414="NO APLICA"),1,IF(V414="EN REVISIÓN CENTRAL",2/3,IF(V414="ENVIADO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IF(OR(W414="CONCLUIDO",W414="NO APLICA"),1,IF(W414="EN PROCESO",0.5,0))+
IF(OR(X414="CONCLUIDO",X414="NO APLICA"),1,IF(X414="EN PROCESO",0.5,0))+
IF(Y414="PROGRAMADAS",1/2,IF(Y414="CONCLUIDAS",1,0))+
IF(OR(Z414="SI",Z414="NO APLICA"),1,0)+
IF(OR(AA414="SI",AA414="NO APLICA"),1,0)
)/9</f>
        <v>0.31481481481481477</v>
      </c>
      <c r="AF414" s="91">
        <v>5</v>
      </c>
      <c r="AG414" s="105" t="s">
        <v>1843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>
        <f t="shared" si="12"/>
        <v>0</v>
      </c>
      <c r="AC415">
        <f t="shared" si="13"/>
        <v>0</v>
      </c>
      <c r="AD415" s="67"/>
      <c r="AE415" s="87">
        <f>(
IF(S415="ENVIADO A LA CE/UM",1/3,IF(S415="ENTREGADO/REVISIÓN",2/3,IF(S415="ENVIADO A TICS",1,0)))+
IF(T415="EN PROCESO",1/2,IF(T415="CONCLUIDO",1,0))+
IF(OR(U415="CONCLUIDO",U415="NO APLICA"),1,IF(U415="EN REVISIÓN CENTRAL",2/3,IF(U415="ENVIADO A LA CE/UM",1/3,0)))+
IF(OR(V415="CONCLUIDO",V415="NO APLICA"),1,IF(V415="EN REVISIÓN CENTRAL",2/3,IF(V415="ENVIADO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IF(OR(W415="CONCLUIDO",W415="NO APLICA"),1,IF(W415="EN PROCESO",0.5,0))+
IF(OR(X415="CONCLUIDO",X415="NO APLICA"),1,IF(X415="EN PROCESO",0.5,0))+
IF(Y415="PROGRAMADAS",1/2,IF(Y415="CONCLUIDAS",1,0))+
IF(OR(Z415="SI",Z415="NO APLICA"),1,0)+
IF(OR(AA415="SI",AA415="NO APLICA"),1,0)
)/9</f>
        <v>0.31481481481481477</v>
      </c>
      <c r="AF415" s="91">
        <v>5</v>
      </c>
      <c r="AG415" s="105" t="s">
        <v>1843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>
        <f t="shared" si="12"/>
        <v>0</v>
      </c>
      <c r="AC416">
        <f t="shared" si="13"/>
        <v>0</v>
      </c>
      <c r="AD416" s="67"/>
      <c r="AE416" s="87">
        <f>(
IF(S416="ENVIADO A LA CE/UM",1/3,IF(S416="ENTREGADO/REVISIÓN",2/3,IF(S416="ENVIADO A TICS",1,0)))+
IF(T416="EN PROCESO",1/2,IF(T416="CONCLUIDO",1,0))+
IF(OR(U416="CONCLUIDO",U416="NO APLICA"),1,IF(U416="EN REVISIÓN CENTRAL",2/3,IF(U416="ENVIADO A LA CE/UM",1/3,0)))+
IF(OR(V416="CONCLUIDO",V416="NO APLICA"),1,IF(V416="EN REVISIÓN CENTRAL",2/3,IF(V416="ENVIADO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IF(OR(W416="CONCLUIDO",W416="NO APLICA"),1,IF(W416="EN PROCESO",0.5,0))+
IF(OR(X416="CONCLUIDO",X416="NO APLICA"),1,IF(X416="EN PROCESO",0.5,0))+
IF(Y416="PROGRAMADAS",1/2,IF(Y416="CONCLUIDAS",1,0))+
IF(OR(Z416="SI",Z416="NO APLICA"),1,0)+
IF(OR(AA416="SI",AA416="NO APLICA"),1,0)
)/9</f>
        <v>0.31481481481481477</v>
      </c>
      <c r="AF416" s="91">
        <v>5</v>
      </c>
      <c r="AG416" s="105" t="s">
        <v>1843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>
        <f t="shared" si="12"/>
        <v>0</v>
      </c>
      <c r="AC417">
        <f t="shared" si="13"/>
        <v>0</v>
      </c>
      <c r="AD417" s="67"/>
      <c r="AE417" s="87">
        <f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F417" s="91">
        <v>5</v>
      </c>
      <c r="AG417" s="105" t="s">
        <v>1843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>
        <f t="shared" si="12"/>
        <v>0</v>
      </c>
      <c r="AC418">
        <f t="shared" si="13"/>
        <v>0</v>
      </c>
      <c r="AD418" s="67"/>
      <c r="AE418" s="87">
        <f>(
IF(S418="ENVIADO A LA CE/UM",1/3,IF(S418="ENTREGADO/REVISIÓN",2/3,IF(S418="ENVIADO A TICS",1,0)))+
IF(T418="EN PROCESO",1/2,IF(T418="CONCLUIDO",1,0))+
IF(OR(U418="CONCLUIDO",U418="NO APLICA"),1,IF(U418="EN REVISIÓN CENTRAL",2/3,IF(U418="ENVIADO A LA CE/UM",1/3,0)))+
IF(OR(V418="CONCLUIDO",V418="NO APLICA"),1,IF(V418="EN REVISIÓN CENTRAL",2/3,IF(V418="ENVIADO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IF(OR(W418="CONCLUIDO",W418="NO APLICA"),1,IF(W418="EN PROCESO",0.5,0))+
IF(OR(X418="CONCLUIDO",X418="NO APLICA"),1,IF(X418="EN PROCESO",0.5,0))+
IF(Y418="PROGRAMADAS",1/2,IF(Y418="CONCLUIDAS",1,0))+
IF(OR(Z418="SI",Z418="NO APLICA"),1,0)+
IF(OR(AA418="SI",AA418="NO APLICA"),1,0)
)/9</f>
        <v>0.31481481481481477</v>
      </c>
      <c r="AF418" s="91">
        <v>5</v>
      </c>
      <c r="AG418" s="105" t="s">
        <v>1843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176</v>
      </c>
      <c r="W419" s="66"/>
      <c r="X419" s="66"/>
      <c r="Y419" s="66"/>
      <c r="Z419" s="66"/>
      <c r="AA419" s="66"/>
      <c r="AB419">
        <f t="shared" si="12"/>
        <v>0</v>
      </c>
      <c r="AC419">
        <f t="shared" si="13"/>
        <v>0</v>
      </c>
      <c r="AD419" s="67"/>
      <c r="AE419" s="87">
        <f>(
IF(S419="ENVIADO A LA CE/UM",1/3,IF(S419="ENTREGADO/REVISIÓN",2/3,IF(S419="ENVIADO A TICS",1,0)))+
IF(T419="EN PROCESO",1/2,IF(T419="CONCLUIDO",1,0))+
IF(OR(U419="CONCLUIDO",U419="NO APLICA"),1,IF(U419="EN REVISIÓN CENTRAL",2/3,IF(U419="ENVIADO A LA CE/UM",1/3,0)))+
IF(OR(V419="CONCLUIDO",V419="NO APLICA"),1,IF(V419="EN REVISIÓN CENTRAL",2/3,IF(V419="ENVIADO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IF(OR(W419="CONCLUIDO",W419="NO APLICA"),1,IF(W419="EN PROCESO",0.5,0))+
IF(OR(X419="CONCLUIDO",X419="NO APLICA"),1,IF(X419="EN PROCESO",0.5,0))+
IF(Y419="PROGRAMADAS",1/2,IF(Y419="CONCLUIDAS",1,0))+
IF(OR(Z419="SI",Z419="NO APLICA"),1,0)+
IF(OR(AA419="SI",AA419="NO APLICA"),1,0)
)/9</f>
        <v>0.27777777777777779</v>
      </c>
      <c r="AF419" s="91">
        <v>5</v>
      </c>
      <c r="AG419" s="105" t="s">
        <v>1843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>
        <f t="shared" si="12"/>
        <v>0</v>
      </c>
      <c r="AC420">
        <f t="shared" si="13"/>
        <v>0</v>
      </c>
      <c r="AD420" s="67"/>
      <c r="AE420" s="87">
        <f>(
IF(S420="ENVIADO A LA CE/UM",1/3,IF(S420="ENTREGADO/REVISIÓN",2/3,IF(S420="ENVIADO A TICS",1,0)))+
IF(T420="EN PROCESO",1/2,IF(T420="CONCLUIDO",1,0))+
IF(OR(U420="CONCLUIDO",U420="NO APLICA"),1,IF(U420="EN REVISIÓN CENTRAL",2/3,IF(U420="ENVIADO A LA CE/UM",1/3,0)))+
IF(OR(V420="CONCLUIDO",V420="NO APLICA"),1,IF(V420="EN REVISIÓN CENTRAL",2/3,IF(V420="ENVIADO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IF(OR(W420="CONCLUIDO",W420="NO APLICA"),1,IF(W420="EN PROCESO",0.5,0))+
IF(OR(X420="CONCLUIDO",X420="NO APLICA"),1,IF(X420="EN PROCESO",0.5,0))+
IF(Y420="PROGRAMADAS",1/2,IF(Y420="CONCLUIDAS",1,0))+
IF(OR(Z420="SI",Z420="NO APLICA"),1,0)+
IF(OR(AA420="SI",AA420="NO APLICA"),1,0)
)/9</f>
        <v>0.31481481481481477</v>
      </c>
      <c r="AF420" s="91">
        <v>5</v>
      </c>
      <c r="AG420" s="105" t="s">
        <v>1843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>
        <f t="shared" si="12"/>
        <v>0</v>
      </c>
      <c r="AC421">
        <f t="shared" si="13"/>
        <v>0</v>
      </c>
      <c r="AD421" s="67"/>
      <c r="AE421" s="87">
        <f>(
IF(S421="ENVIADO A LA CE/UM",1/3,IF(S421="ENTREGADO/REVISIÓN",2/3,IF(S421="ENVIADO A TICS",1,0)))+
IF(T421="EN PROCESO",1/2,IF(T421="CONCLUIDO",1,0))+
IF(OR(U421="CONCLUIDO",U421="NO APLICA"),1,IF(U421="EN REVISIÓN CENTRAL",2/3,IF(U421="ENVIADO A LA CE/UM",1/3,0)))+
IF(OR(V421="CONCLUIDO",V421="NO APLICA"),1,IF(V421="EN REVISIÓN CENTRAL",2/3,IF(V421="ENVIADO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IF(OR(W421="CONCLUIDO",W421="NO APLICA"),1,IF(W421="EN PROCESO",0.5,0))+
IF(OR(X421="CONCLUIDO",X421="NO APLICA"),1,IF(X421="EN PROCESO",0.5,0))+
IF(Y421="PROGRAMADAS",1/2,IF(Y421="CONCLUIDAS",1,0))+
IF(OR(Z421="SI",Z421="NO APLICA"),1,0)+
IF(OR(AA421="SI",AA421="NO APLICA"),1,0)
)/9</f>
        <v>0.31481481481481477</v>
      </c>
      <c r="AF421" s="91">
        <v>5</v>
      </c>
      <c r="AG421" s="105" t="s">
        <v>1843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>
        <f t="shared" si="12"/>
        <v>0</v>
      </c>
      <c r="AC422">
        <f t="shared" si="13"/>
        <v>0</v>
      </c>
      <c r="AD422" s="67"/>
      <c r="AE422" s="87">
        <f>(
IF(S422="ENVIADO A LA CE/UM",1/3,IF(S422="ENTREGADO/REVISIÓN",2/3,IF(S422="ENVIADO A TICS",1,0)))+
IF(T422="EN PROCESO",1/2,IF(T422="CONCLUIDO",1,0))+
IF(OR(U422="CONCLUIDO",U422="NO APLICA"),1,IF(U422="EN REVISIÓN CENTRAL",2/3,IF(U422="ENVIADO A LA CE/UM",1/3,0)))+
IF(OR(V422="CONCLUIDO",V422="NO APLICA"),1,IF(V422="EN REVISIÓN CENTRAL",2/3,IF(V422="ENVIADO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IF(OR(W422="CONCLUIDO",W422="NO APLICA"),1,IF(W422="EN PROCESO",0.5,0))+
IF(OR(X422="CONCLUIDO",X422="NO APLICA"),1,IF(X422="EN PROCESO",0.5,0))+
IF(Y422="PROGRAMADAS",1/2,IF(Y422="CONCLUIDAS",1,0))+
IF(OR(Z422="SI",Z422="NO APLICA"),1,0)+
IF(OR(AA422="SI",AA422="NO APLICA"),1,0)
)/9</f>
        <v>0.31481481481481477</v>
      </c>
      <c r="AF422" s="91">
        <v>5</v>
      </c>
      <c r="AG422" s="105" t="s">
        <v>1843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>
        <f t="shared" si="12"/>
        <v>0</v>
      </c>
      <c r="AC423">
        <f t="shared" si="13"/>
        <v>0</v>
      </c>
      <c r="AD423" s="67"/>
      <c r="AE423" s="87">
        <f>(
IF(S423="ENVIADO A LA CE/UM",1/3,IF(S423="ENTREGADO/REVISIÓN",2/3,IF(S423="ENVIADO A TICS",1,0)))+
IF(T423="EN PROCESO",1/2,IF(T423="CONCLUIDO",1,0))+
IF(OR(U423="CONCLUIDO",U423="NO APLICA"),1,IF(U423="EN REVISIÓN CENTRAL",2/3,IF(U423="ENVIADO A LA CE/UM",1/3,0)))+
IF(OR(V423="CONCLUIDO",V423="NO APLICA"),1,IF(V423="EN REVISIÓN CENTRAL",2/3,IF(V423="ENVIADO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IF(OR(W423="CONCLUIDO",W423="NO APLICA"),1,IF(W423="EN PROCESO",0.5,0))+
IF(OR(X423="CONCLUIDO",X423="NO APLICA"),1,IF(X423="EN PROCESO",0.5,0))+
IF(Y423="PROGRAMADAS",1/2,IF(Y423="CONCLUIDAS",1,0))+
IF(OR(Z423="SI",Z423="NO APLICA"),1,0)+
IF(OR(AA423="SI",AA423="NO APLICA"),1,0)
)/9</f>
        <v>0.31481481481481477</v>
      </c>
      <c r="AF423" s="91">
        <v>5</v>
      </c>
      <c r="AG423" s="105" t="s">
        <v>1843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>
        <f t="shared" si="12"/>
        <v>0</v>
      </c>
      <c r="AC424">
        <f t="shared" si="13"/>
        <v>0</v>
      </c>
      <c r="AD424" s="67" t="s">
        <v>1795</v>
      </c>
      <c r="AE424" s="87">
        <f>(
IF(S424="ENVIADO A LA CE/UM",1/3,IF(S424="ENTREGADO/REVISIÓN",2/3,IF(S424="ENVIADO A TICS",1,0)))+
IF(T424="EN PROCESO",1/2,IF(T424="CONCLUIDO",1,0))+
IF(OR(U424="CONCLUIDO",U424="NO APLICA"),1,IF(U424="EN REVISIÓN CENTRAL",2/3,IF(U424="ENVIADO A LA CE/UM",1/3,0)))+
IF(OR(V424="CONCLUIDO",V424="NO APLICA"),1,IF(V424="EN REVISIÓN CENTRAL",2/3,IF(V424="ENVIADO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IF(OR(W424="CONCLUIDO",W424="NO APLICA"),1,IF(W424="EN PROCESO",0.5,0))+
IF(OR(X424="CONCLUIDO",X424="NO APLICA"),1,IF(X424="EN PROCESO",0.5,0))+
IF(Y424="PROGRAMADAS",1/2,IF(Y424="CONCLUIDAS",1,0))+
IF(OR(Z424="SI",Z424="NO APLICA"),1,0)+
IF(OR(AA424="SI",AA424="NO APLICA"),1,0)
)/9</f>
        <v>0.31481481481481477</v>
      </c>
      <c r="AF424" s="91">
        <v>7</v>
      </c>
      <c r="AG424" s="64" t="s">
        <v>1844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>
        <f t="shared" si="12"/>
        <v>0</v>
      </c>
      <c r="AC425">
        <f t="shared" si="13"/>
        <v>0</v>
      </c>
      <c r="AD425" s="67" t="s">
        <v>1795</v>
      </c>
      <c r="AE425" s="87">
        <f>(
IF(S425="ENVIADO A LA CE/UM",1/3,IF(S425="ENTREGADO/REVISIÓN",2/3,IF(S425="ENVIADO A TICS",1,0)))+
IF(T425="EN PROCESO",1/2,IF(T425="CONCLUIDO",1,0))+
IF(OR(U425="CONCLUIDO",U425="NO APLICA"),1,IF(U425="EN REVISIÓN CENTRAL",2/3,IF(U425="ENVIADO A LA CE/UM",1/3,0)))+
IF(OR(V425="CONCLUIDO",V425="NO APLICA"),1,IF(V425="EN REVISIÓN CENTRAL",2/3,IF(V425="ENVIADO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IF(OR(W425="CONCLUIDO",W425="NO APLICA"),1,IF(W425="EN PROCESO",0.5,0))+
IF(OR(X425="CONCLUIDO",X425="NO APLICA"),1,IF(X425="EN PROCESO",0.5,0))+
IF(Y425="PROGRAMADAS",1/2,IF(Y425="CONCLUIDAS",1,0))+
IF(OR(Z425="SI",Z425="NO APLICA"),1,0)+
IF(OR(AA425="SI",AA425="NO APLICA"),1,0)
)/9</f>
        <v>0.31481481481481477</v>
      </c>
      <c r="AF425" s="91">
        <v>7</v>
      </c>
      <c r="AG425" s="64" t="s">
        <v>1844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>
        <f t="shared" si="12"/>
        <v>0</v>
      </c>
      <c r="AC426">
        <f t="shared" si="13"/>
        <v>0</v>
      </c>
      <c r="AD426" s="67" t="s">
        <v>1795</v>
      </c>
      <c r="AE426" s="87">
        <f>(
IF(S426="ENVIADO A LA CE/UM",1/3,IF(S426="ENTREGADO/REVISIÓN",2/3,IF(S426="ENVIADO A TICS",1,0)))+
IF(T426="EN PROCESO",1/2,IF(T426="CONCLUIDO",1,0))+
IF(OR(U426="CONCLUIDO",U426="NO APLICA"),1,IF(U426="EN REVISIÓN CENTRAL",2/3,IF(U426="ENVIADO A LA CE/UM",1/3,0)))+
IF(OR(V426="CONCLUIDO",V426="NO APLICA"),1,IF(V426="EN REVISIÓN CENTRAL",2/3,IF(V426="ENVIADO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IF(OR(W426="CONCLUIDO",W426="NO APLICA"),1,IF(W426="EN PROCESO",0.5,0))+
IF(OR(X426="CONCLUIDO",X426="NO APLICA"),1,IF(X426="EN PROCESO",0.5,0))+
IF(Y426="PROGRAMADAS",1/2,IF(Y426="CONCLUIDAS",1,0))+
IF(OR(Z426="SI",Z426="NO APLICA"),1,0)+
IF(OR(AA426="SI",AA426="NO APLICA"),1,0)
)/9</f>
        <v>0.31481481481481477</v>
      </c>
      <c r="AF426" s="91">
        <v>7</v>
      </c>
      <c r="AG426" s="64" t="s">
        <v>1844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>
        <f t="shared" si="12"/>
        <v>0</v>
      </c>
      <c r="AC427">
        <f t="shared" si="13"/>
        <v>0</v>
      </c>
      <c r="AD427" s="67" t="s">
        <v>1795</v>
      </c>
      <c r="AE427" s="87">
        <f>(
IF(S427="ENVIADO A LA CE/UM",1/3,IF(S427="ENTREGADO/REVISIÓN",2/3,IF(S427="ENVIADO A TICS",1,0)))+
IF(T427="EN PROCESO",1/2,IF(T427="CONCLUIDO",1,0))+
IF(OR(U427="CONCLUIDO",U427="NO APLICA"),1,IF(U427="EN REVISIÓN CENTRAL",2/3,IF(U427="ENVIADO A LA CE/UM",1/3,0)))+
IF(OR(V427="CONCLUIDO",V427="NO APLICA"),1,IF(V427="EN REVISIÓN CENTRAL",2/3,IF(V427="ENVIADO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IF(OR(W427="CONCLUIDO",W427="NO APLICA"),1,IF(W427="EN PROCESO",0.5,0))+
IF(OR(X427="CONCLUIDO",X427="NO APLICA"),1,IF(X427="EN PROCESO",0.5,0))+
IF(Y427="PROGRAMADAS",1/2,IF(Y427="CONCLUIDAS",1,0))+
IF(OR(Z427="SI",Z427="NO APLICA"),1,0)+
IF(OR(AA427="SI",AA427="NO APLICA"),1,0)
)/9</f>
        <v>0.31481481481481477</v>
      </c>
      <c r="AF427" s="91">
        <v>7</v>
      </c>
      <c r="AG427" s="64" t="s">
        <v>1844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>
        <f t="shared" si="12"/>
        <v>0</v>
      </c>
      <c r="AC428">
        <f t="shared" si="13"/>
        <v>0</v>
      </c>
      <c r="AD428" s="67" t="s">
        <v>1795</v>
      </c>
      <c r="AE428" s="87">
        <f>(
IF(S428="ENVIADO A LA CE/UM",1/3,IF(S428="ENTREGADO/REVISIÓN",2/3,IF(S428="ENVIADO A TICS",1,0)))+
IF(T428="EN PROCESO",1/2,IF(T428="CONCLUIDO",1,0))+
IF(OR(U428="CONCLUIDO",U428="NO APLICA"),1,IF(U428="EN REVISIÓN CENTRAL",2/3,IF(U428="ENVIADO A LA CE/UM",1/3,0)))+
IF(OR(V428="CONCLUIDO",V428="NO APLICA"),1,IF(V428="EN REVISIÓN CENTRAL",2/3,IF(V428="ENVIADO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IF(OR(W428="CONCLUIDO",W428="NO APLICA"),1,IF(W428="EN PROCESO",0.5,0))+
IF(OR(X428="CONCLUIDO",X428="NO APLICA"),1,IF(X428="EN PROCESO",0.5,0))+
IF(Y428="PROGRAMADAS",1/2,IF(Y428="CONCLUIDAS",1,0))+
IF(OR(Z428="SI",Z428="NO APLICA"),1,0)+
IF(OR(AA428="SI",AA428="NO APLICA"),1,0)
)/9</f>
        <v>0.31481481481481477</v>
      </c>
      <c r="AF428" s="91">
        <v>7</v>
      </c>
      <c r="AG428" s="64" t="s">
        <v>1844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>
        <f t="shared" si="12"/>
        <v>0</v>
      </c>
      <c r="AC429">
        <f t="shared" si="13"/>
        <v>0</v>
      </c>
      <c r="AD429" s="67" t="s">
        <v>1795</v>
      </c>
      <c r="AE429" s="87">
        <f>(
IF(S429="ENVIADO A LA CE/UM",1/3,IF(S429="ENTREGADO/REVISIÓN",2/3,IF(S429="ENVIADO A TICS",1,0)))+
IF(T429="EN PROCESO",1/2,IF(T429="CONCLUIDO",1,0))+
IF(OR(U429="CONCLUIDO",U429="NO APLICA"),1,IF(U429="EN REVISIÓN CENTRAL",2/3,IF(U429="ENVIADO A LA CE/UM",1/3,0)))+
IF(OR(V429="CONCLUIDO",V429="NO APLICA"),1,IF(V429="EN REVISIÓN CENTRAL",2/3,IF(V429="ENVIADO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IF(OR(W429="CONCLUIDO",W429="NO APLICA"),1,IF(W429="EN PROCESO",0.5,0))+
IF(OR(X429="CONCLUIDO",X429="NO APLICA"),1,IF(X429="EN PROCESO",0.5,0))+
IF(Y429="PROGRAMADAS",1/2,IF(Y429="CONCLUIDAS",1,0))+
IF(OR(Z429="SI",Z429="NO APLICA"),1,0)+
IF(OR(AA429="SI",AA429="NO APLICA"),1,0)
)/9</f>
        <v>0.31481481481481477</v>
      </c>
      <c r="AF429" s="91">
        <v>7</v>
      </c>
      <c r="AG429" s="64" t="s">
        <v>1844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>
        <f t="shared" si="12"/>
        <v>0</v>
      </c>
      <c r="AC430">
        <f t="shared" si="13"/>
        <v>0</v>
      </c>
      <c r="AD430" s="67" t="s">
        <v>1795</v>
      </c>
      <c r="AE430" s="87">
        <f>(
IF(S430="ENVIADO A LA CE/UM",1/3,IF(S430="ENTREGADO/REVISIÓN",2/3,IF(S430="ENVIADO A TICS",1,0)))+
IF(T430="EN PROCESO",1/2,IF(T430="CONCLUIDO",1,0))+
IF(OR(U430="CONCLUIDO",U430="NO APLICA"),1,IF(U430="EN REVISIÓN CENTRAL",2/3,IF(U430="ENVIADO A LA CE/UM",1/3,0)))+
IF(OR(V430="CONCLUIDO",V430="NO APLICA"),1,IF(V430="EN REVISIÓN CENTRAL",2/3,IF(V430="ENVIADO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IF(OR(W430="CONCLUIDO",W430="NO APLICA"),1,IF(W430="EN PROCESO",0.5,0))+
IF(OR(X430="CONCLUIDO",X430="NO APLICA"),1,IF(X430="EN PROCESO",0.5,0))+
IF(Y430="PROGRAMADAS",1/2,IF(Y430="CONCLUIDAS",1,0))+
IF(OR(Z430="SI",Z430="NO APLICA"),1,0)+
IF(OR(AA430="SI",AA430="NO APLICA"),1,0)
)/9</f>
        <v>0.31481481481481477</v>
      </c>
      <c r="AF430" s="91">
        <v>7</v>
      </c>
      <c r="AG430" s="64" t="s">
        <v>1844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>
        <f t="shared" si="12"/>
        <v>0</v>
      </c>
      <c r="AC431">
        <f t="shared" si="13"/>
        <v>0</v>
      </c>
      <c r="AD431" s="67" t="s">
        <v>1795</v>
      </c>
      <c r="AE431" s="87">
        <f>(
IF(S431="ENVIADO A LA CE/UM",1/3,IF(S431="ENTREGADO/REVISIÓN",2/3,IF(S431="ENVIADO A TICS",1,0)))+
IF(T431="EN PROCESO",1/2,IF(T431="CONCLUIDO",1,0))+
IF(OR(U431="CONCLUIDO",U431="NO APLICA"),1,IF(U431="EN REVISIÓN CENTRAL",2/3,IF(U431="ENVIADO A LA CE/UM",1/3,0)))+
IF(OR(V431="CONCLUIDO",V431="NO APLICA"),1,IF(V431="EN REVISIÓN CENTRAL",2/3,IF(V431="ENVIADO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IF(OR(W431="CONCLUIDO",W431="NO APLICA"),1,IF(W431="EN PROCESO",0.5,0))+
IF(OR(X431="CONCLUIDO",X431="NO APLICA"),1,IF(X431="EN PROCESO",0.5,0))+
IF(Y431="PROGRAMADAS",1/2,IF(Y431="CONCLUIDAS",1,0))+
IF(OR(Z431="SI",Z431="NO APLICA"),1,0)+
IF(OR(AA431="SI",AA431="NO APLICA"),1,0)
)/9</f>
        <v>0.31481481481481477</v>
      </c>
      <c r="AF431" s="91">
        <v>7</v>
      </c>
      <c r="AG431" s="64" t="s">
        <v>1844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>
        <f t="shared" si="12"/>
        <v>0</v>
      </c>
      <c r="AC432">
        <f t="shared" si="13"/>
        <v>0</v>
      </c>
      <c r="AD432" s="67" t="s">
        <v>1795</v>
      </c>
      <c r="AE432" s="87">
        <f>(
IF(S432="ENVIADO A LA CE/UM",1/3,IF(S432="ENTREGADO/REVISIÓN",2/3,IF(S432="ENVIADO A TICS",1,0)))+
IF(T432="EN PROCESO",1/2,IF(T432="CONCLUIDO",1,0))+
IF(OR(U432="CONCLUIDO",U432="NO APLICA"),1,IF(U432="EN REVISIÓN CENTRAL",2/3,IF(U432="ENVIADO A LA CE/UM",1/3,0)))+
IF(OR(V432="CONCLUIDO",V432="NO APLICA"),1,IF(V432="EN REVISIÓN CENTRAL",2/3,IF(V432="ENVIADO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IF(OR(W432="CONCLUIDO",W432="NO APLICA"),1,IF(W432="EN PROCESO",0.5,0))+
IF(OR(X432="CONCLUIDO",X432="NO APLICA"),1,IF(X432="EN PROCESO",0.5,0))+
IF(Y432="PROGRAMADAS",1/2,IF(Y432="CONCLUIDAS",1,0))+
IF(OR(Z432="SI",Z432="NO APLICA"),1,0)+
IF(OR(AA432="SI",AA432="NO APLICA"),1,0)
)/9</f>
        <v>0.31481481481481477</v>
      </c>
      <c r="AF432" s="91">
        <v>7</v>
      </c>
      <c r="AG432" s="64" t="s">
        <v>1844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>
        <f t="shared" si="12"/>
        <v>0</v>
      </c>
      <c r="AC433">
        <f t="shared" si="13"/>
        <v>0</v>
      </c>
      <c r="AD433" s="67" t="s">
        <v>1795</v>
      </c>
      <c r="AE433" s="87">
        <f>(
IF(S433="ENVIADO A LA CE/UM",1/3,IF(S433="ENTREGADO/REVISIÓN",2/3,IF(S433="ENVIADO A TICS",1,0)))+
IF(T433="EN PROCESO",1/2,IF(T433="CONCLUIDO",1,0))+
IF(OR(U433="CONCLUIDO",U433="NO APLICA"),1,IF(U433="EN REVISIÓN CENTRAL",2/3,IF(U433="ENVIADO A LA CE/UM",1/3,0)))+
IF(OR(V433="CONCLUIDO",V433="NO APLICA"),1,IF(V433="EN REVISIÓN CENTRAL",2/3,IF(V433="ENVIADO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IF(OR(W433="CONCLUIDO",W433="NO APLICA"),1,IF(W433="EN PROCESO",0.5,0))+
IF(OR(X433="CONCLUIDO",X433="NO APLICA"),1,IF(X433="EN PROCESO",0.5,0))+
IF(Y433="PROGRAMADAS",1/2,IF(Y433="CONCLUIDAS",1,0))+
IF(OR(Z433="SI",Z433="NO APLICA"),1,0)+
IF(OR(AA433="SI",AA433="NO APLICA"),1,0)
)/9</f>
        <v>0.31481481481481477</v>
      </c>
      <c r="AF433" s="91">
        <v>7</v>
      </c>
      <c r="AG433" s="64" t="s">
        <v>1844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>
        <f t="shared" si="12"/>
        <v>0</v>
      </c>
      <c r="AC434">
        <f t="shared" si="13"/>
        <v>0</v>
      </c>
      <c r="AD434" s="67" t="s">
        <v>1795</v>
      </c>
      <c r="AE434" s="87">
        <f>(
IF(S434="ENVIADO A LA CE/UM",1/3,IF(S434="ENTREGADO/REVISIÓN",2/3,IF(S434="ENVIADO A TICS",1,0)))+
IF(T434="EN PROCESO",1/2,IF(T434="CONCLUIDO",1,0))+
IF(OR(U434="CONCLUIDO",U434="NO APLICA"),1,IF(U434="EN REVISIÓN CENTRAL",2/3,IF(U434="ENVIADO A LA CE/UM",1/3,0)))+
IF(OR(V434="CONCLUIDO",V434="NO APLICA"),1,IF(V434="EN REVISIÓN CENTRAL",2/3,IF(V434="ENVIADO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IF(OR(W434="CONCLUIDO",W434="NO APLICA"),1,IF(W434="EN PROCESO",0.5,0))+
IF(OR(X434="CONCLUIDO",X434="NO APLICA"),1,IF(X434="EN PROCESO",0.5,0))+
IF(Y434="PROGRAMADAS",1/2,IF(Y434="CONCLUIDAS",1,0))+
IF(OR(Z434="SI",Z434="NO APLICA"),1,0)+
IF(OR(AA434="SI",AA434="NO APLICA"),1,0)
)/9</f>
        <v>0.31481481481481477</v>
      </c>
      <c r="AF434" s="91">
        <v>7</v>
      </c>
      <c r="AG434" s="64" t="s">
        <v>1844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>
        <f t="shared" si="12"/>
        <v>0</v>
      </c>
      <c r="AC435">
        <f t="shared" si="13"/>
        <v>0</v>
      </c>
      <c r="AD435" s="67" t="s">
        <v>1795</v>
      </c>
      <c r="AE435" s="87">
        <f>(
IF(S435="ENVIADO A LA CE/UM",1/3,IF(S435="ENTREGADO/REVISIÓN",2/3,IF(S435="ENVIADO A TICS",1,0)))+
IF(T435="EN PROCESO",1/2,IF(T435="CONCLUIDO",1,0))+
IF(OR(U435="CONCLUIDO",U435="NO APLICA"),1,IF(U435="EN REVISIÓN CENTRAL",2/3,IF(U435="ENVIADO A LA CE/UM",1/3,0)))+
IF(OR(V435="CONCLUIDO",V435="NO APLICA"),1,IF(V435="EN REVISIÓN CENTRAL",2/3,IF(V435="ENVIADO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IF(OR(W435="CONCLUIDO",W435="NO APLICA"),1,IF(W435="EN PROCESO",0.5,0))+
IF(OR(X435="CONCLUIDO",X435="NO APLICA"),1,IF(X435="EN PROCESO",0.5,0))+
IF(Y435="PROGRAMADAS",1/2,IF(Y435="CONCLUIDAS",1,0))+
IF(OR(Z435="SI",Z435="NO APLICA"),1,0)+
IF(OR(AA435="SI",AA435="NO APLICA"),1,0)
)/9</f>
        <v>0.31481481481481477</v>
      </c>
      <c r="AF435" s="91">
        <v>7</v>
      </c>
      <c r="AG435" s="64" t="s">
        <v>1844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>
        <f t="shared" si="12"/>
        <v>0</v>
      </c>
      <c r="AC436">
        <f t="shared" si="13"/>
        <v>0</v>
      </c>
      <c r="AD436" s="67" t="s">
        <v>1795</v>
      </c>
      <c r="AE436" s="87">
        <f>(
IF(S436="ENVIADO A LA CE/UM",1/3,IF(S436="ENTREGADO/REVISIÓN",2/3,IF(S436="ENVIADO A TICS",1,0)))+
IF(T436="EN PROCESO",1/2,IF(T436="CONCLUIDO",1,0))+
IF(OR(U436="CONCLUIDO",U436="NO APLICA"),1,IF(U436="EN REVISIÓN CENTRAL",2/3,IF(U436="ENVIADO A LA CE/UM",1/3,0)))+
IF(OR(V436="CONCLUIDO",V436="NO APLICA"),1,IF(V436="EN REVISIÓN CENTRAL",2/3,IF(V436="ENVIADO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IF(OR(W436="CONCLUIDO",W436="NO APLICA"),1,IF(W436="EN PROCESO",0.5,0))+
IF(OR(X436="CONCLUIDO",X436="NO APLICA"),1,IF(X436="EN PROCESO",0.5,0))+
IF(Y436="PROGRAMADAS",1/2,IF(Y436="CONCLUIDAS",1,0))+
IF(OR(Z436="SI",Z436="NO APLICA"),1,0)+
IF(OR(AA436="SI",AA436="NO APLICA"),1,0)
)/9</f>
        <v>0.31481481481481477</v>
      </c>
      <c r="AF436" s="91">
        <v>7</v>
      </c>
      <c r="AG436" s="64" t="s">
        <v>1844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>
        <f t="shared" si="12"/>
        <v>0</v>
      </c>
      <c r="AC437">
        <f t="shared" si="13"/>
        <v>0</v>
      </c>
      <c r="AD437" s="67" t="s">
        <v>1795</v>
      </c>
      <c r="AE437" s="87">
        <f>(
IF(S437="ENVIADO A LA CE/UM",1/3,IF(S437="ENTREGADO/REVISIÓN",2/3,IF(S437="ENVIADO A TICS",1,0)))+
IF(T437="EN PROCESO",1/2,IF(T437="CONCLUIDO",1,0))+
IF(OR(U437="CONCLUIDO",U437="NO APLICA"),1,IF(U437="EN REVISIÓN CENTRAL",2/3,IF(U437="ENVIADO A LA CE/UM",1/3,0)))+
IF(OR(V437="CONCLUIDO",V437="NO APLICA"),1,IF(V437="EN REVISIÓN CENTRAL",2/3,IF(V437="ENVIADO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IF(OR(W437="CONCLUIDO",W437="NO APLICA"),1,IF(W437="EN PROCESO",0.5,0))+
IF(OR(X437="CONCLUIDO",X437="NO APLICA"),1,IF(X437="EN PROCESO",0.5,0))+
IF(Y437="PROGRAMADAS",1/2,IF(Y437="CONCLUIDAS",1,0))+
IF(OR(Z437="SI",Z437="NO APLICA"),1,0)+
IF(OR(AA437="SI",AA437="NO APLICA"),1,0)
)/9</f>
        <v>0.31481481481481477</v>
      </c>
      <c r="AF437" s="91">
        <v>7</v>
      </c>
      <c r="AG437" s="64" t="s">
        <v>1844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>
        <f t="shared" si="12"/>
        <v>0</v>
      </c>
      <c r="AC438">
        <f t="shared" si="13"/>
        <v>0</v>
      </c>
      <c r="AD438" s="67" t="s">
        <v>1795</v>
      </c>
      <c r="AE438" s="87">
        <f>(
IF(S438="ENVIADO A LA CE/UM",1/3,IF(S438="ENTREGADO/REVISIÓN",2/3,IF(S438="ENVIADO A TICS",1,0)))+
IF(T438="EN PROCESO",1/2,IF(T438="CONCLUIDO",1,0))+
IF(OR(U438="CONCLUIDO",U438="NO APLICA"),1,IF(U438="EN REVISIÓN CENTRAL",2/3,IF(U438="ENVIADO A LA CE/UM",1/3,0)))+
IF(OR(V438="CONCLUIDO",V438="NO APLICA"),1,IF(V438="EN REVISIÓN CENTRAL",2/3,IF(V438="ENVIADO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IF(OR(W438="CONCLUIDO",W438="NO APLICA"),1,IF(W438="EN PROCESO",0.5,0))+
IF(OR(X438="CONCLUIDO",X438="NO APLICA"),1,IF(X438="EN PROCESO",0.5,0))+
IF(Y438="PROGRAMADAS",1/2,IF(Y438="CONCLUIDAS",1,0))+
IF(OR(Z438="SI",Z438="NO APLICA"),1,0)+
IF(OR(AA438="SI",AA438="NO APLICA"),1,0)
)/9</f>
        <v>0.31481481481481477</v>
      </c>
      <c r="AF438" s="91">
        <v>7</v>
      </c>
      <c r="AG438" s="64" t="s">
        <v>1844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>
        <f t="shared" si="12"/>
        <v>0</v>
      </c>
      <c r="AC439">
        <f t="shared" si="13"/>
        <v>0</v>
      </c>
      <c r="AD439" s="67" t="s">
        <v>1795</v>
      </c>
      <c r="AE439" s="87">
        <f>(
IF(S439="ENVIADO A LA CE/UM",1/3,IF(S439="ENTREGADO/REVISIÓN",2/3,IF(S439="ENVIADO A TICS",1,0)))+
IF(T439="EN PROCESO",1/2,IF(T439="CONCLUIDO",1,0))+
IF(OR(U439="CONCLUIDO",U439="NO APLICA"),1,IF(U439="EN REVISIÓN CENTRAL",2/3,IF(U439="ENVIADO A LA CE/UM",1/3,0)))+
IF(OR(V439="CONCLUIDO",V439="NO APLICA"),1,IF(V439="EN REVISIÓN CENTRAL",2/3,IF(V439="ENVIADO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IF(OR(W439="CONCLUIDO",W439="NO APLICA"),1,IF(W439="EN PROCESO",0.5,0))+
IF(OR(X439="CONCLUIDO",X439="NO APLICA"),1,IF(X439="EN PROCESO",0.5,0))+
IF(Y439="PROGRAMADAS",1/2,IF(Y439="CONCLUIDAS",1,0))+
IF(OR(Z439="SI",Z439="NO APLICA"),1,0)+
IF(OR(AA439="SI",AA439="NO APLICA"),1,0)
)/9</f>
        <v>0.31481481481481477</v>
      </c>
      <c r="AF439" s="91">
        <v>7</v>
      </c>
      <c r="AG439" s="64" t="s">
        <v>1844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>
        <f t="shared" si="12"/>
        <v>0</v>
      </c>
      <c r="AC440">
        <f t="shared" si="13"/>
        <v>0</v>
      </c>
      <c r="AD440" s="67" t="s">
        <v>1795</v>
      </c>
      <c r="AE440" s="87">
        <f>(
IF(S440="ENVIADO A LA CE/UM",1/3,IF(S440="ENTREGADO/REVISIÓN",2/3,IF(S440="ENVIADO A TICS",1,0)))+
IF(T440="EN PROCESO",1/2,IF(T440="CONCLUIDO",1,0))+
IF(OR(U440="CONCLUIDO",U440="NO APLICA"),1,IF(U440="EN REVISIÓN CENTRAL",2/3,IF(U440="ENVIADO A LA CE/UM",1/3,0)))+
IF(OR(V440="CONCLUIDO",V440="NO APLICA"),1,IF(V440="EN REVISIÓN CENTRAL",2/3,IF(V440="ENVIADO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IF(OR(W440="CONCLUIDO",W440="NO APLICA"),1,IF(W440="EN PROCESO",0.5,0))+
IF(OR(X440="CONCLUIDO",X440="NO APLICA"),1,IF(X440="EN PROCESO",0.5,0))+
IF(Y440="PROGRAMADAS",1/2,IF(Y440="CONCLUIDAS",1,0))+
IF(OR(Z440="SI",Z440="NO APLICA"),1,0)+
IF(OR(AA440="SI",AA440="NO APLICA"),1,0)
)/9</f>
        <v>0.31481481481481477</v>
      </c>
      <c r="AF440" s="91">
        <v>7</v>
      </c>
      <c r="AG440" s="64" t="s">
        <v>1844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>
        <f t="shared" si="12"/>
        <v>0</v>
      </c>
      <c r="AC441">
        <f t="shared" si="13"/>
        <v>0</v>
      </c>
      <c r="AD441" s="67" t="s">
        <v>1795</v>
      </c>
      <c r="AE441" s="87">
        <f>(
IF(S441="ENVIADO A LA CE/UM",1/3,IF(S441="ENTREGADO/REVISIÓN",2/3,IF(S441="ENVIADO A TICS",1,0)))+
IF(T441="EN PROCESO",1/2,IF(T441="CONCLUIDO",1,0))+
IF(OR(U441="CONCLUIDO",U441="NO APLICA"),1,IF(U441="EN REVISIÓN CENTRAL",2/3,IF(U441="ENVIADO A LA CE/UM",1/3,0)))+
IF(OR(V441="CONCLUIDO",V441="NO APLICA"),1,IF(V441="EN REVISIÓN CENTRAL",2/3,IF(V441="ENVIADO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IF(OR(W441="CONCLUIDO",W441="NO APLICA"),1,IF(W441="EN PROCESO",0.5,0))+
IF(OR(X441="CONCLUIDO",X441="NO APLICA"),1,IF(X441="EN PROCESO",0.5,0))+
IF(Y441="PROGRAMADAS",1/2,IF(Y441="CONCLUIDAS",1,0))+
IF(OR(Z441="SI",Z441="NO APLICA"),1,0)+
IF(OR(AA441="SI",AA441="NO APLICA"),1,0)
)/9</f>
        <v>0.31481481481481477</v>
      </c>
      <c r="AF441" s="91">
        <v>7</v>
      </c>
      <c r="AG441" s="64" t="s">
        <v>1844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>
        <f t="shared" si="12"/>
        <v>0</v>
      </c>
      <c r="AC442">
        <f t="shared" si="13"/>
        <v>0</v>
      </c>
      <c r="AD442" s="67" t="s">
        <v>1795</v>
      </c>
      <c r="AE442" s="87">
        <f>(
IF(S442="ENVIADO A LA CE/UM",1/3,IF(S442="ENTREGADO/REVISIÓN",2/3,IF(S442="ENVIADO A TICS",1,0)))+
IF(T442="EN PROCESO",1/2,IF(T442="CONCLUIDO",1,0))+
IF(OR(U442="CONCLUIDO",U442="NO APLICA"),1,IF(U442="EN REVISIÓN CENTRAL",2/3,IF(U442="ENVIADO A LA CE/UM",1/3,0)))+
IF(OR(V442="CONCLUIDO",V442="NO APLICA"),1,IF(V442="EN REVISIÓN CENTRAL",2/3,IF(V442="ENVIADO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IF(OR(W442="CONCLUIDO",W442="NO APLICA"),1,IF(W442="EN PROCESO",0.5,0))+
IF(OR(X442="CONCLUIDO",X442="NO APLICA"),1,IF(X442="EN PROCESO",0.5,0))+
IF(Y442="PROGRAMADAS",1/2,IF(Y442="CONCLUIDAS",1,0))+
IF(OR(Z442="SI",Z442="NO APLICA"),1,0)+
IF(OR(AA442="SI",AA442="NO APLICA"),1,0)
)/9</f>
        <v>0.31481481481481477</v>
      </c>
      <c r="AF442" s="91">
        <v>7</v>
      </c>
      <c r="AG442" s="64" t="s">
        <v>1844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>
        <f t="shared" si="12"/>
        <v>0</v>
      </c>
      <c r="AC443">
        <f t="shared" si="13"/>
        <v>0</v>
      </c>
      <c r="AD443" s="67" t="s">
        <v>1795</v>
      </c>
      <c r="AE443" s="87">
        <f>(
IF(S443="ENVIADO A LA CE/UM",1/3,IF(S443="ENTREGADO/REVISIÓN",2/3,IF(S443="ENVIADO A TICS",1,0)))+
IF(T443="EN PROCESO",1/2,IF(T443="CONCLUIDO",1,0))+
IF(OR(U443="CONCLUIDO",U443="NO APLICA"),1,IF(U443="EN REVISIÓN CENTRAL",2/3,IF(U443="ENVIADO A LA CE/UM",1/3,0)))+
IF(OR(V443="CONCLUIDO",V443="NO APLICA"),1,IF(V443="EN REVISIÓN CENTRAL",2/3,IF(V443="ENVIADO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IF(OR(W443="CONCLUIDO",W443="NO APLICA"),1,IF(W443="EN PROCESO",0.5,0))+
IF(OR(X443="CONCLUIDO",X443="NO APLICA"),1,IF(X443="EN PROCESO",0.5,0))+
IF(Y443="PROGRAMADAS",1/2,IF(Y443="CONCLUIDAS",1,0))+
IF(OR(Z443="SI",Z443="NO APLICA"),1,0)+
IF(OR(AA443="SI",AA443="NO APLICA"),1,0)
)/9</f>
        <v>0.31481481481481477</v>
      </c>
      <c r="AF443" s="91">
        <v>7</v>
      </c>
      <c r="AG443" s="64" t="s">
        <v>1844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>
        <f t="shared" si="12"/>
        <v>0</v>
      </c>
      <c r="AC444">
        <f t="shared" si="13"/>
        <v>0</v>
      </c>
      <c r="AD444" s="67" t="s">
        <v>1795</v>
      </c>
      <c r="AE444" s="87">
        <f>(
IF(S444="ENVIADO A LA CE/UM",1/3,IF(S444="ENTREGADO/REVISIÓN",2/3,IF(S444="ENVIADO A TICS",1,0)))+
IF(T444="EN PROCESO",1/2,IF(T444="CONCLUIDO",1,0))+
IF(OR(U444="CONCLUIDO",U444="NO APLICA"),1,IF(U444="EN REVISIÓN CENTRAL",2/3,IF(U444="ENVIADO A LA CE/UM",1/3,0)))+
IF(OR(V444="CONCLUIDO",V444="NO APLICA"),1,IF(V444="EN REVISIÓN CENTRAL",2/3,IF(V444="ENVIADO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IF(OR(W444="CONCLUIDO",W444="NO APLICA"),1,IF(W444="EN PROCESO",0.5,0))+
IF(OR(X444="CONCLUIDO",X444="NO APLICA"),1,IF(X444="EN PROCESO",0.5,0))+
IF(Y444="PROGRAMADAS",1/2,IF(Y444="CONCLUIDAS",1,0))+
IF(OR(Z444="SI",Z444="NO APLICA"),1,0)+
IF(OR(AA444="SI",AA444="NO APLICA"),1,0)
)/9</f>
        <v>0.31481481481481477</v>
      </c>
      <c r="AF444" s="91">
        <v>7</v>
      </c>
      <c r="AG444" s="64" t="s">
        <v>1844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>
        <f t="shared" si="12"/>
        <v>0</v>
      </c>
      <c r="AC445">
        <f t="shared" si="13"/>
        <v>0</v>
      </c>
      <c r="AD445" s="67" t="s">
        <v>1795</v>
      </c>
      <c r="AE445" s="87">
        <f>(
IF(S445="ENVIADO A LA CE/UM",1/3,IF(S445="ENTREGADO/REVISIÓN",2/3,IF(S445="ENVIADO A TICS",1,0)))+
IF(T445="EN PROCESO",1/2,IF(T445="CONCLUIDO",1,0))+
IF(OR(U445="CONCLUIDO",U445="NO APLICA"),1,IF(U445="EN REVISIÓN CENTRAL",2/3,IF(U445="ENVIADO A LA CE/UM",1/3,0)))+
IF(OR(V445="CONCLUIDO",V445="NO APLICA"),1,IF(V445="EN REVISIÓN CENTRAL",2/3,IF(V445="ENVIADO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IF(OR(W445="CONCLUIDO",W445="NO APLICA"),1,IF(W445="EN PROCESO",0.5,0))+
IF(OR(X445="CONCLUIDO",X445="NO APLICA"),1,IF(X445="EN PROCESO",0.5,0))+
IF(Y445="PROGRAMADAS",1/2,IF(Y445="CONCLUIDAS",1,0))+
IF(OR(Z445="SI",Z445="NO APLICA"),1,0)+
IF(OR(AA445="SI",AA445="NO APLICA"),1,0)
)/9</f>
        <v>0.31481481481481477</v>
      </c>
      <c r="AF445" s="91">
        <v>7</v>
      </c>
      <c r="AG445" s="64" t="s">
        <v>1844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>
        <f t="shared" si="12"/>
        <v>0</v>
      </c>
      <c r="AC446">
        <f t="shared" si="13"/>
        <v>0</v>
      </c>
      <c r="AD446" s="67" t="s">
        <v>1795</v>
      </c>
      <c r="AE446" s="87">
        <f>(
IF(S446="ENVIADO A LA CE/UM",1/3,IF(S446="ENTREGADO/REVISIÓN",2/3,IF(S446="ENVIADO A TICS",1,0)))+
IF(T446="EN PROCESO",1/2,IF(T446="CONCLUIDO",1,0))+
IF(OR(U446="CONCLUIDO",U446="NO APLICA"),1,IF(U446="EN REVISIÓN CENTRAL",2/3,IF(U446="ENVIADO A LA CE/UM",1/3,0)))+
IF(OR(V446="CONCLUIDO",V446="NO APLICA"),1,IF(V446="EN REVISIÓN CENTRAL",2/3,IF(V446="ENVIADO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IF(OR(W446="CONCLUIDO",W446="NO APLICA"),1,IF(W446="EN PROCESO",0.5,0))+
IF(OR(X446="CONCLUIDO",X446="NO APLICA"),1,IF(X446="EN PROCESO",0.5,0))+
IF(Y446="PROGRAMADAS",1/2,IF(Y446="CONCLUIDAS",1,0))+
IF(OR(Z446="SI",Z446="NO APLICA"),1,0)+
IF(OR(AA446="SI",AA446="NO APLICA"),1,0)
)/9</f>
        <v>0.31481481481481477</v>
      </c>
      <c r="AF446" s="91">
        <v>7</v>
      </c>
      <c r="AG446" s="64" t="s">
        <v>1844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>
        <f t="shared" si="12"/>
        <v>0</v>
      </c>
      <c r="AC447">
        <f t="shared" si="13"/>
        <v>0</v>
      </c>
      <c r="AD447" s="67" t="s">
        <v>1795</v>
      </c>
      <c r="AE447" s="87">
        <f>(
IF(S447="ENVIADO A LA CE/UM",1/3,IF(S447="ENTREGADO/REVISIÓN",2/3,IF(S447="ENVIADO A TICS",1,0)))+
IF(T447="EN PROCESO",1/2,IF(T447="CONCLUIDO",1,0))+
IF(OR(U447="CONCLUIDO",U447="NO APLICA"),1,IF(U447="EN REVISIÓN CENTRAL",2/3,IF(U447="ENVIADO A LA CE/UM",1/3,0)))+
IF(OR(V447="CONCLUIDO",V447="NO APLICA"),1,IF(V447="EN REVISIÓN CENTRAL",2/3,IF(V447="ENVIADO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IF(OR(W447="CONCLUIDO",W447="NO APLICA"),1,IF(W447="EN PROCESO",0.5,0))+
IF(OR(X447="CONCLUIDO",X447="NO APLICA"),1,IF(X447="EN PROCESO",0.5,0))+
IF(Y447="PROGRAMADAS",1/2,IF(Y447="CONCLUIDAS",1,0))+
IF(OR(Z447="SI",Z447="NO APLICA"),1,0)+
IF(OR(AA447="SI",AA447="NO APLICA"),1,0)
)/9</f>
        <v>0.31481481481481477</v>
      </c>
      <c r="AF447" s="91">
        <v>7</v>
      </c>
      <c r="AG447" s="64" t="s">
        <v>1844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>
        <f t="shared" si="12"/>
        <v>0</v>
      </c>
      <c r="AC448">
        <f t="shared" si="13"/>
        <v>0</v>
      </c>
      <c r="AD448" s="67" t="s">
        <v>1795</v>
      </c>
      <c r="AE448" s="87">
        <f>(
IF(S448="ENVIADO A LA CE/UM",1/3,IF(S448="ENTREGADO/REVISIÓN",2/3,IF(S448="ENVIADO A TICS",1,0)))+
IF(T448="EN PROCESO",1/2,IF(T448="CONCLUIDO",1,0))+
IF(OR(U448="CONCLUIDO",U448="NO APLICA"),1,IF(U448="EN REVISIÓN CENTRAL",2/3,IF(U448="ENVIADO A LA CE/UM",1/3,0)))+
IF(OR(V448="CONCLUIDO",V448="NO APLICA"),1,IF(V448="EN REVISIÓN CENTRAL",2/3,IF(V448="ENVIADO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IF(OR(W448="CONCLUIDO",W448="NO APLICA"),1,IF(W448="EN PROCESO",0.5,0))+
IF(OR(X448="CONCLUIDO",X448="NO APLICA"),1,IF(X448="EN PROCESO",0.5,0))+
IF(Y448="PROGRAMADAS",1/2,IF(Y448="CONCLUIDAS",1,0))+
IF(OR(Z448="SI",Z448="NO APLICA"),1,0)+
IF(OR(AA448="SI",AA448="NO APLICA"),1,0)
)/9</f>
        <v>0.31481481481481477</v>
      </c>
      <c r="AF448" s="91">
        <v>7</v>
      </c>
      <c r="AG448" s="64" t="s">
        <v>1844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>
        <f t="shared" si="12"/>
        <v>0</v>
      </c>
      <c r="AC449">
        <f t="shared" si="13"/>
        <v>0</v>
      </c>
      <c r="AD449" s="67" t="s">
        <v>1795</v>
      </c>
      <c r="AE449" s="87">
        <f>(
IF(S449="ENVIADO A LA CE/UM",1/3,IF(S449="ENTREGADO/REVISIÓN",2/3,IF(S449="ENVIADO A TICS",1,0)))+
IF(T449="EN PROCESO",1/2,IF(T449="CONCLUIDO",1,0))+
IF(OR(U449="CONCLUIDO",U449="NO APLICA"),1,IF(U449="EN REVISIÓN CENTRAL",2/3,IF(U449="ENVIADO A LA CE/UM",1/3,0)))+
IF(OR(V449="CONCLUIDO",V449="NO APLICA"),1,IF(V449="EN REVISIÓN CENTRAL",2/3,IF(V449="ENVIADO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IF(OR(W449="CONCLUIDO",W449="NO APLICA"),1,IF(W449="EN PROCESO",0.5,0))+
IF(OR(X449="CONCLUIDO",X449="NO APLICA"),1,IF(X449="EN PROCESO",0.5,0))+
IF(Y449="PROGRAMADAS",1/2,IF(Y449="CONCLUIDAS",1,0))+
IF(OR(Z449="SI",Z449="NO APLICA"),1,0)+
IF(OR(AA449="SI",AA449="NO APLICA"),1,0)
)/9</f>
        <v>0.31481481481481477</v>
      </c>
      <c r="AF449" s="91">
        <v>7</v>
      </c>
      <c r="AG449" s="64" t="s">
        <v>1844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>
        <f t="shared" si="12"/>
        <v>0</v>
      </c>
      <c r="AC450">
        <f t="shared" si="13"/>
        <v>0</v>
      </c>
      <c r="AD450" s="67" t="s">
        <v>1795</v>
      </c>
      <c r="AE450" s="87">
        <f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0.31481481481481477</v>
      </c>
      <c r="AF450" s="91">
        <v>7</v>
      </c>
      <c r="AG450" s="64" t="s">
        <v>1844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>
        <f t="shared" ref="AB451:AB514" si="14">IF(OR(AND(Z451="SI",AA451="NO"),AND(Z451="NO",AA451="SI")),1,0)</f>
        <v>0</v>
      </c>
      <c r="AC451">
        <f t="shared" ref="AC451:AC514" si="15">IF(AND(OR(Z451="SI",Z451="NO APLICA"),OR(AA451="SI",AA451="NO APLICA")),1,0)</f>
        <v>0</v>
      </c>
      <c r="AD451" s="67" t="s">
        <v>1795</v>
      </c>
      <c r="AE451" s="87">
        <f>(
IF(S451="ENVIADO A LA CE/UM",1/3,IF(S451="ENTREGADO/REVISIÓN",2/3,IF(S451="ENVIADO A TICS",1,0)))+
IF(T451="EN PROCESO",1/2,IF(T451="CONCLUIDO",1,0))+
IF(OR(U451="CONCLUIDO",U451="NO APLICA"),1,IF(U451="EN REVISIÓN CENTRAL",2/3,IF(U451="ENVIADO A LA CE/UM",1/3,0)))+
IF(OR(V451="CONCLUIDO",V451="NO APLICA"),1,IF(V451="EN REVISIÓN CENTRAL",2/3,IF(V451="ENVIADO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IF(OR(W451="CONCLUIDO",W451="NO APLICA"),1,IF(W451="EN PROCESO",0.5,0))+
IF(OR(X451="CONCLUIDO",X451="NO APLICA"),1,IF(X451="EN PROCESO",0.5,0))+
IF(Y451="PROGRAMADAS",1/2,IF(Y451="CONCLUIDAS",1,0))+
IF(OR(Z451="SI",Z451="NO APLICA"),1,0)+
IF(OR(AA451="SI",AA451="NO APLICA"),1,0)
)/9</f>
        <v>0.31481481481481477</v>
      </c>
      <c r="AF451" s="91">
        <v>7</v>
      </c>
      <c r="AG451" s="64" t="s">
        <v>1844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>
        <f t="shared" si="14"/>
        <v>0</v>
      </c>
      <c r="AC452">
        <f t="shared" si="15"/>
        <v>0</v>
      </c>
      <c r="AD452" s="67" t="s">
        <v>1795</v>
      </c>
      <c r="AE452" s="87">
        <f>(
IF(S452="ENVIADO A LA CE/UM",1/3,IF(S452="ENTREGADO/REVISIÓN",2/3,IF(S452="ENVIADO A TICS",1,0)))+
IF(T452="EN PROCESO",1/2,IF(T452="CONCLUIDO",1,0))+
IF(OR(U452="CONCLUIDO",U452="NO APLICA"),1,IF(U452="EN REVISIÓN CENTRAL",2/3,IF(U452="ENVIADO A LA CE/UM",1/3,0)))+
IF(OR(V452="CONCLUIDO",V452="NO APLICA"),1,IF(V452="EN REVISIÓN CENTRAL",2/3,IF(V452="ENVIADO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IF(OR(W452="CONCLUIDO",W452="NO APLICA"),1,IF(W452="EN PROCESO",0.5,0))+
IF(OR(X452="CONCLUIDO",X452="NO APLICA"),1,IF(X452="EN PROCESO",0.5,0))+
IF(Y452="PROGRAMADAS",1/2,IF(Y452="CONCLUIDAS",1,0))+
IF(OR(Z452="SI",Z452="NO APLICA"),1,0)+
IF(OR(AA452="SI",AA452="NO APLICA"),1,0)
)/9</f>
        <v>0.31481481481481477</v>
      </c>
      <c r="AF452" s="91">
        <v>7</v>
      </c>
      <c r="AG452" s="64" t="s">
        <v>1844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66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>
        <f t="shared" si="14"/>
        <v>0</v>
      </c>
      <c r="AC453">
        <f t="shared" si="15"/>
        <v>0</v>
      </c>
      <c r="AD453" s="67"/>
      <c r="AE453" s="87">
        <f>(
IF(S453="ENVIADO A LA CE/UM",1/3,IF(S453="ENTREGADO/REVISIÓN",2/3,IF(S453="ENVIADO A TICS",1,0)))+
IF(T453="EN PROCESO",1/2,IF(T453="CONCLUIDO",1,0))+
IF(OR(U453="CONCLUIDO",U453="NO APLICA"),1,IF(U453="EN REVISIÓN CENTRAL",2/3,IF(U453="ENVIADO A LA CE/UM",1/3,0)))+
IF(OR(V453="CONCLUIDO",V453="NO APLICA"),1,IF(V453="EN REVISIÓN CENTRAL",2/3,IF(V453="ENVIADO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IF(OR(W453="CONCLUIDO",W453="NO APLICA"),1,IF(W453="EN PROCESO",0.5,0))+
IF(OR(X453="CONCLUIDO",X453="NO APLICA"),1,IF(X453="EN PROCESO",0.5,0))+
IF(Y453="PROGRAMADAS",1/2,IF(Y453="CONCLUIDAS",1,0))+
IF(OR(Z453="SI",Z453="NO APLICA"),1,0)+
IF(OR(AA453="SI",AA453="NO APLICA"),1,0)
)/9</f>
        <v>0.31481481481481477</v>
      </c>
      <c r="AF453" s="91">
        <v>5</v>
      </c>
      <c r="AG453" s="105" t="s">
        <v>1845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176</v>
      </c>
      <c r="V454" s="66" t="s">
        <v>176</v>
      </c>
      <c r="W454" s="66"/>
      <c r="X454" s="66"/>
      <c r="Y454" s="66"/>
      <c r="Z454" s="66"/>
      <c r="AA454" s="66"/>
      <c r="AB454">
        <f t="shared" si="14"/>
        <v>0</v>
      </c>
      <c r="AC454">
        <f t="shared" si="15"/>
        <v>0</v>
      </c>
      <c r="AD454" s="67"/>
      <c r="AE454" s="87">
        <f>(
IF(S454="ENVIADO A LA CE/UM",1/3,IF(S454="ENTREGADO/REVISIÓN",2/3,IF(S454="ENVIADO A TICS",1,0)))+
IF(T454="EN PROCESO",1/2,IF(T454="CONCLUIDO",1,0))+
IF(OR(U454="CONCLUIDO",U454="NO APLICA"),1,IF(U454="EN REVISIÓN CENTRAL",2/3,IF(U454="ENVIADO A LA CE/UM",1/3,0)))+
IF(OR(V454="CONCLUIDO",V454="NO APLICA"),1,IF(V454="EN REVISIÓN CENTRAL",2/3,IF(V454="ENVIADO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IF(OR(W454="CONCLUIDO",W454="NO APLICA"),1,IF(W454="EN PROCESO",0.5,0))+
IF(OR(X454="CONCLUIDO",X454="NO APLICA"),1,IF(X454="EN PROCESO",0.5,0))+
IF(Y454="PROGRAMADAS",1/2,IF(Y454="CONCLUIDAS",1,0))+
IF(OR(Z454="SI",Z454="NO APLICA"),1,0)+
IF(OR(AA454="SI",AA454="NO APLICA"),1,0)
)/9</f>
        <v>0.24074074074074073</v>
      </c>
      <c r="AF454" s="91">
        <v>5</v>
      </c>
      <c r="AG454" s="105" t="s">
        <v>1845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>
        <f t="shared" si="14"/>
        <v>0</v>
      </c>
      <c r="AC455">
        <f t="shared" si="15"/>
        <v>0</v>
      </c>
      <c r="AD455" s="67"/>
      <c r="AE455" s="87">
        <f>(
IF(S455="ENVIADO A LA CE/UM",1/3,IF(S455="ENTREGADO/REVISIÓN",2/3,IF(S455="ENVIADO A TICS",1,0)))+
IF(T455="EN PROCESO",1/2,IF(T455="CONCLUIDO",1,0))+
IF(OR(U455="CONCLUIDO",U455="NO APLICA"),1,IF(U455="EN REVISIÓN CENTRAL",2/3,IF(U455="ENVIADO A LA CE/UM",1/3,0)))+
IF(OR(V455="CONCLUIDO",V455="NO APLICA"),1,IF(V455="EN REVISIÓN CENTRAL",2/3,IF(V455="ENVIADO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IF(OR(W455="CONCLUIDO",W455="NO APLICA"),1,IF(W455="EN PROCESO",0.5,0))+
IF(OR(X455="CONCLUIDO",X455="NO APLICA"),1,IF(X455="EN PROCESO",0.5,0))+
IF(Y455="PROGRAMADAS",1/2,IF(Y455="CONCLUIDAS",1,0))+
IF(OR(Z455="SI",Z455="NO APLICA"),1,0)+
IF(OR(AA455="SI",AA455="NO APLICA"),1,0)
)/9</f>
        <v>0.31481481481481477</v>
      </c>
      <c r="AF455" s="91">
        <v>5</v>
      </c>
      <c r="AG455" s="105" t="s">
        <v>1845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>
        <f t="shared" si="14"/>
        <v>0</v>
      </c>
      <c r="AC456">
        <f t="shared" si="15"/>
        <v>0</v>
      </c>
      <c r="AD456" s="67"/>
      <c r="AE456" s="87">
        <f>(
IF(S456="ENVIADO A LA CE/UM",1/3,IF(S456="ENTREGADO/REVISIÓN",2/3,IF(S456="ENVIADO A TICS",1,0)))+
IF(T456="EN PROCESO",1/2,IF(T456="CONCLUIDO",1,0))+
IF(OR(U456="CONCLUIDO",U456="NO APLICA"),1,IF(U456="EN REVISIÓN CENTRAL",2/3,IF(U456="ENVIADO A LA CE/UM",1/3,0)))+
IF(OR(V456="CONCLUIDO",V456="NO APLICA"),1,IF(V456="EN REVISIÓN CENTRAL",2/3,IF(V456="ENVIADO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IF(OR(W456="CONCLUIDO",W456="NO APLICA"),1,IF(W456="EN PROCESO",0.5,0))+
IF(OR(X456="CONCLUIDO",X456="NO APLICA"),1,IF(X456="EN PROCESO",0.5,0))+
IF(Y456="PROGRAMADAS",1/2,IF(Y456="CONCLUIDAS",1,0))+
IF(OR(Z456="SI",Z456="NO APLICA"),1,0)+
IF(OR(AA456="SI",AA456="NO APLICA"),1,0)
)/9</f>
        <v>0.31481481481481477</v>
      </c>
      <c r="AF456" s="91">
        <v>5</v>
      </c>
      <c r="AG456" s="105" t="s">
        <v>1845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>
        <f t="shared" si="14"/>
        <v>0</v>
      </c>
      <c r="AC457">
        <f t="shared" si="15"/>
        <v>0</v>
      </c>
      <c r="AD457" s="67"/>
      <c r="AE457" s="87">
        <f>(
IF(S457="ENVIADO A LA CE/UM",1/3,IF(S457="ENTREGADO/REVISIÓN",2/3,IF(S457="ENVIADO A TICS",1,0)))+
IF(T457="EN PROCESO",1/2,IF(T457="CONCLUIDO",1,0))+
IF(OR(U457="CONCLUIDO",U457="NO APLICA"),1,IF(U457="EN REVISIÓN CENTRAL",2/3,IF(U457="ENVIADO A LA CE/UM",1/3,0)))+
IF(OR(V457="CONCLUIDO",V457="NO APLICA"),1,IF(V457="EN REVISIÓN CENTRAL",2/3,IF(V457="ENVIADO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IF(OR(W457="CONCLUIDO",W457="NO APLICA"),1,IF(W457="EN PROCESO",0.5,0))+
IF(OR(X457="CONCLUIDO",X457="NO APLICA"),1,IF(X457="EN PROCESO",0.5,0))+
IF(Y457="PROGRAMADAS",1/2,IF(Y457="CONCLUIDAS",1,0))+
IF(OR(Z457="SI",Z457="NO APLICA"),1,0)+
IF(OR(AA457="SI",AA457="NO APLICA"),1,0)
)/9</f>
        <v>0.31481481481481477</v>
      </c>
      <c r="AF457" s="91">
        <v>5</v>
      </c>
      <c r="AG457" s="105" t="s">
        <v>1845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>
        <f t="shared" si="14"/>
        <v>0</v>
      </c>
      <c r="AC458">
        <f t="shared" si="15"/>
        <v>0</v>
      </c>
      <c r="AD458" s="67"/>
      <c r="AE458" s="87">
        <f>(
IF(S458="ENVIADO A LA CE/UM",1/3,IF(S458="ENTREGADO/REVISIÓN",2/3,IF(S458="ENVIADO A TICS",1,0)))+
IF(T458="EN PROCESO",1/2,IF(T458="CONCLUIDO",1,0))+
IF(OR(U458="CONCLUIDO",U458="NO APLICA"),1,IF(U458="EN REVISIÓN CENTRAL",2/3,IF(U458="ENVIADO A LA CE/UM",1/3,0)))+
IF(OR(V458="CONCLUIDO",V458="NO APLICA"),1,IF(V458="EN REVISIÓN CENTRAL",2/3,IF(V458="ENVIADO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IF(OR(W458="CONCLUIDO",W458="NO APLICA"),1,IF(W458="EN PROCESO",0.5,0))+
IF(OR(X458="CONCLUIDO",X458="NO APLICA"),1,IF(X458="EN PROCESO",0.5,0))+
IF(Y458="PROGRAMADAS",1/2,IF(Y458="CONCLUIDAS",1,0))+
IF(OR(Z458="SI",Z458="NO APLICA"),1,0)+
IF(OR(AA458="SI",AA458="NO APLICA"),1,0)
)/9</f>
        <v>0.31481481481481477</v>
      </c>
      <c r="AF458" s="91">
        <v>5</v>
      </c>
      <c r="AG458" s="105" t="s">
        <v>1845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>
        <f t="shared" si="14"/>
        <v>0</v>
      </c>
      <c r="AC459">
        <f t="shared" si="15"/>
        <v>0</v>
      </c>
      <c r="AD459" s="67"/>
      <c r="AE459" s="87">
        <f>(
IF(S459="ENVIADO A LA CE/UM",1/3,IF(S459="ENTREGADO/REVISIÓN",2/3,IF(S459="ENVIADO A TICS",1,0)))+
IF(T459="EN PROCESO",1/2,IF(T459="CONCLUIDO",1,0))+
IF(OR(U459="CONCLUIDO",U459="NO APLICA"),1,IF(U459="EN REVISIÓN CENTRAL",2/3,IF(U459="ENVIADO A LA CE/UM",1/3,0)))+
IF(OR(V459="CONCLUIDO",V459="NO APLICA"),1,IF(V459="EN REVISIÓN CENTRAL",2/3,IF(V459="ENVIADO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IF(OR(W459="CONCLUIDO",W459="NO APLICA"),1,IF(W459="EN PROCESO",0.5,0))+
IF(OR(X459="CONCLUIDO",X459="NO APLICA"),1,IF(X459="EN PROCESO",0.5,0))+
IF(Y459="PROGRAMADAS",1/2,IF(Y459="CONCLUIDAS",1,0))+
IF(OR(Z459="SI",Z459="NO APLICA"),1,0)+
IF(OR(AA459="SI",AA459="NO APLICA"),1,0)
)/9</f>
        <v>0.31481481481481477</v>
      </c>
      <c r="AF459" s="91">
        <v>5</v>
      </c>
      <c r="AG459" s="105" t="s">
        <v>1845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>
        <f t="shared" si="14"/>
        <v>0</v>
      </c>
      <c r="AC460">
        <f t="shared" si="15"/>
        <v>0</v>
      </c>
      <c r="AD460" s="67"/>
      <c r="AE460" s="87">
        <f>(
IF(S460="ENVIADO A LA CE/UM",1/3,IF(S460="ENTREGADO/REVISIÓN",2/3,IF(S460="ENVIADO A TICS",1,0)))+
IF(T460="EN PROCESO",1/2,IF(T460="CONCLUIDO",1,0))+
IF(OR(U460="CONCLUIDO",U460="NO APLICA"),1,IF(U460="EN REVISIÓN CENTRAL",2/3,IF(U460="ENVIADO A LA CE/UM",1/3,0)))+
IF(OR(V460="CONCLUIDO",V460="NO APLICA"),1,IF(V460="EN REVISIÓN CENTRAL",2/3,IF(V460="ENVIADO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IF(OR(W460="CONCLUIDO",W460="NO APLICA"),1,IF(W460="EN PROCESO",0.5,0))+
IF(OR(X460="CONCLUIDO",X460="NO APLICA"),1,IF(X460="EN PROCESO",0.5,0))+
IF(Y460="PROGRAMADAS",1/2,IF(Y460="CONCLUIDAS",1,0))+
IF(OR(Z460="SI",Z460="NO APLICA"),1,0)+
IF(OR(AA460="SI",AA460="NO APLICA"),1,0)
)/9</f>
        <v>0.31481481481481477</v>
      </c>
      <c r="AF460" s="91">
        <v>5</v>
      </c>
      <c r="AG460" s="105" t="s">
        <v>1845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176</v>
      </c>
      <c r="V461" s="66" t="s">
        <v>176</v>
      </c>
      <c r="W461" s="66"/>
      <c r="X461" s="66"/>
      <c r="Y461" s="66"/>
      <c r="Z461" s="66"/>
      <c r="AA461" s="66"/>
      <c r="AB461">
        <f t="shared" si="14"/>
        <v>0</v>
      </c>
      <c r="AC461">
        <f t="shared" si="15"/>
        <v>0</v>
      </c>
      <c r="AD461" s="67"/>
      <c r="AE461" s="87">
        <f>(
IF(S461="ENVIADO A LA CE/UM",1/3,IF(S461="ENTREGADO/REVISIÓN",2/3,IF(S461="ENVIADO A TICS",1,0)))+
IF(T461="EN PROCESO",1/2,IF(T461="CONCLUIDO",1,0))+
IF(OR(U461="CONCLUIDO",U461="NO APLICA"),1,IF(U461="EN REVISIÓN CENTRAL",2/3,IF(U461="ENVIADO A LA CE/UM",1/3,0)))+
IF(OR(V461="CONCLUIDO",V461="NO APLICA"),1,IF(V461="EN REVISIÓN CENTRAL",2/3,IF(V461="ENVIADO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IF(OR(W461="CONCLUIDO",W461="NO APLICA"),1,IF(W461="EN PROCESO",0.5,0))+
IF(OR(X461="CONCLUIDO",X461="NO APLICA"),1,IF(X461="EN PROCESO",0.5,0))+
IF(Y461="PROGRAMADAS",1/2,IF(Y461="CONCLUIDAS",1,0))+
IF(OR(Z461="SI",Z461="NO APLICA"),1,0)+
IF(OR(AA461="SI",AA461="NO APLICA"),1,0)
)/9</f>
        <v>0.24074074074074073</v>
      </c>
      <c r="AF461" s="91">
        <v>5</v>
      </c>
      <c r="AG461" s="105" t="s">
        <v>1845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>
        <f t="shared" si="14"/>
        <v>0</v>
      </c>
      <c r="AC462">
        <f t="shared" si="15"/>
        <v>0</v>
      </c>
      <c r="AD462" s="67"/>
      <c r="AE462" s="87">
        <f>(
IF(S462="ENVIADO A LA CE/UM",1/3,IF(S462="ENTREGADO/REVISIÓN",2/3,IF(S462="ENVIADO A TICS",1,0)))+
IF(T462="EN PROCESO",1/2,IF(T462="CONCLUIDO",1,0))+
IF(OR(U462="CONCLUIDO",U462="NO APLICA"),1,IF(U462="EN REVISIÓN CENTRAL",2/3,IF(U462="ENVIADO A LA CE/UM",1/3,0)))+
IF(OR(V462="CONCLUIDO",V462="NO APLICA"),1,IF(V462="EN REVISIÓN CENTRAL",2/3,IF(V462="ENVIADO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IF(OR(W462="CONCLUIDO",W462="NO APLICA"),1,IF(W462="EN PROCESO",0.5,0))+
IF(OR(X462="CONCLUIDO",X462="NO APLICA"),1,IF(X462="EN PROCESO",0.5,0))+
IF(Y462="PROGRAMADAS",1/2,IF(Y462="CONCLUIDAS",1,0))+
IF(OR(Z462="SI",Z462="NO APLICA"),1,0)+
IF(OR(AA462="SI",AA462="NO APLICA"),1,0)
)/9</f>
        <v>0.31481481481481477</v>
      </c>
      <c r="AF462" s="91">
        <v>5</v>
      </c>
      <c r="AG462" s="105" t="s">
        <v>1845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>
        <f t="shared" si="14"/>
        <v>0</v>
      </c>
      <c r="AC463">
        <f t="shared" si="15"/>
        <v>0</v>
      </c>
      <c r="AD463" s="67"/>
      <c r="AE463" s="87">
        <f>(
IF(S463="ENVIADO A LA CE/UM",1/3,IF(S463="ENTREGADO/REVISIÓN",2/3,IF(S463="ENVIADO A TICS",1,0)))+
IF(T463="EN PROCESO",1/2,IF(T463="CONCLUIDO",1,0))+
IF(OR(U463="CONCLUIDO",U463="NO APLICA"),1,IF(U463="EN REVISIÓN CENTRAL",2/3,IF(U463="ENVIADO A LA CE/UM",1/3,0)))+
IF(OR(V463="CONCLUIDO",V463="NO APLICA"),1,IF(V463="EN REVISIÓN CENTRAL",2/3,IF(V463="ENVIADO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IF(OR(W463="CONCLUIDO",W463="NO APLICA"),1,IF(W463="EN PROCESO",0.5,0))+
IF(OR(X463="CONCLUIDO",X463="NO APLICA"),1,IF(X463="EN PROCESO",0.5,0))+
IF(Y463="PROGRAMADAS",1/2,IF(Y463="CONCLUIDAS",1,0))+
IF(OR(Z463="SI",Z463="NO APLICA"),1,0)+
IF(OR(AA463="SI",AA463="NO APLICA"),1,0)
)/9</f>
        <v>0.31481481481481477</v>
      </c>
      <c r="AF463" s="91">
        <v>5</v>
      </c>
      <c r="AG463" s="105" t="s">
        <v>1845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>
        <f t="shared" si="14"/>
        <v>0</v>
      </c>
      <c r="AC464">
        <f t="shared" si="15"/>
        <v>0</v>
      </c>
      <c r="AD464" s="67"/>
      <c r="AE464" s="87">
        <f>(
IF(S464="ENVIADO A LA CE/UM",1/3,IF(S464="ENTREGADO/REVISIÓN",2/3,IF(S464="ENVIADO A TICS",1,0)))+
IF(T464="EN PROCESO",1/2,IF(T464="CONCLUIDO",1,0))+
IF(OR(U464="CONCLUIDO",U464="NO APLICA"),1,IF(U464="EN REVISIÓN CENTRAL",2/3,IF(U464="ENVIADO A LA CE/UM",1/3,0)))+
IF(OR(V464="CONCLUIDO",V464="NO APLICA"),1,IF(V464="EN REVISIÓN CENTRAL",2/3,IF(V464="ENVIADO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IF(OR(W464="CONCLUIDO",W464="NO APLICA"),1,IF(W464="EN PROCESO",0.5,0))+
IF(OR(X464="CONCLUIDO",X464="NO APLICA"),1,IF(X464="EN PROCESO",0.5,0))+
IF(Y464="PROGRAMADAS",1/2,IF(Y464="CONCLUIDAS",1,0))+
IF(OR(Z464="SI",Z464="NO APLICA"),1,0)+
IF(OR(AA464="SI",AA464="NO APLICA"),1,0)
)/9</f>
        <v>0.31481481481481477</v>
      </c>
      <c r="AF464" s="91">
        <v>5</v>
      </c>
      <c r="AG464" s="105" t="s">
        <v>1845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>
        <f t="shared" si="14"/>
        <v>0</v>
      </c>
      <c r="AC465">
        <f t="shared" si="15"/>
        <v>0</v>
      </c>
      <c r="AD465" s="67"/>
      <c r="AE465" s="87">
        <f>(
IF(S465="ENVIADO A LA CE/UM",1/3,IF(S465="ENTREGADO/REVISIÓN",2/3,IF(S465="ENVIADO A TICS",1,0)))+
IF(T465="EN PROCESO",1/2,IF(T465="CONCLUIDO",1,0))+
IF(OR(U465="CONCLUIDO",U465="NO APLICA"),1,IF(U465="EN REVISIÓN CENTRAL",2/3,IF(U465="ENVIADO A LA CE/UM",1/3,0)))+
IF(OR(V465="CONCLUIDO",V465="NO APLICA"),1,IF(V465="EN REVISIÓN CENTRAL",2/3,IF(V465="ENVIADO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IF(OR(W465="CONCLUIDO",W465="NO APLICA"),1,IF(W465="EN PROCESO",0.5,0))+
IF(OR(X465="CONCLUIDO",X465="NO APLICA"),1,IF(X465="EN PROCESO",0.5,0))+
IF(Y465="PROGRAMADAS",1/2,IF(Y465="CONCLUIDAS",1,0))+
IF(OR(Z465="SI",Z465="NO APLICA"),1,0)+
IF(OR(AA465="SI",AA465="NO APLICA"),1,0)
)/9</f>
        <v>0.31481481481481477</v>
      </c>
      <c r="AF465" s="91">
        <v>5</v>
      </c>
      <c r="AG465" s="105" t="s">
        <v>1845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176</v>
      </c>
      <c r="V466" s="66" t="s">
        <v>176</v>
      </c>
      <c r="W466" s="66"/>
      <c r="X466" s="66"/>
      <c r="Y466" s="66"/>
      <c r="Z466" s="66"/>
      <c r="AA466" s="66"/>
      <c r="AB466">
        <f t="shared" si="14"/>
        <v>0</v>
      </c>
      <c r="AC466">
        <f t="shared" si="15"/>
        <v>0</v>
      </c>
      <c r="AD466" s="67"/>
      <c r="AE466" s="87">
        <f>(
IF(S466="ENVIADO A LA CE/UM",1/3,IF(S466="ENTREGADO/REVISIÓN",2/3,IF(S466="ENVIADO A TICS",1,0)))+
IF(T466="EN PROCESO",1/2,IF(T466="CONCLUIDO",1,0))+
IF(OR(U466="CONCLUIDO",U466="NO APLICA"),1,IF(U466="EN REVISIÓN CENTRAL",2/3,IF(U466="ENVIADO A LA CE/UM",1/3,0)))+
IF(OR(V466="CONCLUIDO",V466="NO APLICA"),1,IF(V466="EN REVISIÓN CENTRAL",2/3,IF(V466="ENVIADO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IF(OR(W466="CONCLUIDO",W466="NO APLICA"),1,IF(W466="EN PROCESO",0.5,0))+
IF(OR(X466="CONCLUIDO",X466="NO APLICA"),1,IF(X466="EN PROCESO",0.5,0))+
IF(Y466="PROGRAMADAS",1/2,IF(Y466="CONCLUIDAS",1,0))+
IF(OR(Z466="SI",Z466="NO APLICA"),1,0)+
IF(OR(AA466="SI",AA466="NO APLICA"),1,0)
)/9</f>
        <v>0.24074074074074073</v>
      </c>
      <c r="AF466" s="91">
        <v>5</v>
      </c>
      <c r="AG466" s="105" t="s">
        <v>1845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>
        <f t="shared" si="14"/>
        <v>0</v>
      </c>
      <c r="AC467">
        <f t="shared" si="15"/>
        <v>0</v>
      </c>
      <c r="AD467" s="67"/>
      <c r="AE467" s="87">
        <f>(
IF(S467="ENVIADO A LA CE/UM",1/3,IF(S467="ENTREGADO/REVISIÓN",2/3,IF(S467="ENVIADO A TICS",1,0)))+
IF(T467="EN PROCESO",1/2,IF(T467="CONCLUIDO",1,0))+
IF(OR(U467="CONCLUIDO",U467="NO APLICA"),1,IF(U467="EN REVISIÓN CENTRAL",2/3,IF(U467="ENVIADO A LA CE/UM",1/3,0)))+
IF(OR(V467="CONCLUIDO",V467="NO APLICA"),1,IF(V467="EN REVISIÓN CENTRAL",2/3,IF(V467="ENVIADO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IF(OR(W467="CONCLUIDO",W467="NO APLICA"),1,IF(W467="EN PROCESO",0.5,0))+
IF(OR(X467="CONCLUIDO",X467="NO APLICA"),1,IF(X467="EN PROCESO",0.5,0))+
IF(Y467="PROGRAMADAS",1/2,IF(Y467="CONCLUIDAS",1,0))+
IF(OR(Z467="SI",Z467="NO APLICA"),1,0)+
IF(OR(AA467="SI",AA467="NO APLICA"),1,0)
)/9</f>
        <v>0.31481481481481477</v>
      </c>
      <c r="AF467" s="91">
        <v>5</v>
      </c>
      <c r="AG467" s="105" t="s">
        <v>1845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35</v>
      </c>
      <c r="X468" s="66" t="s">
        <v>35</v>
      </c>
      <c r="Y468" s="66"/>
      <c r="Z468" s="66"/>
      <c r="AA468" s="66"/>
      <c r="AB468">
        <f t="shared" si="14"/>
        <v>0</v>
      </c>
      <c r="AC468">
        <f t="shared" si="15"/>
        <v>0</v>
      </c>
      <c r="AD468" s="67"/>
      <c r="AE468" s="87">
        <f>(
IF(S468="ENVIADO A LA CE/UM",1/3,IF(S468="ENTREGADO/REVISIÓN",2/3,IF(S468="ENVIADO A TICS",1,0)))+
IF(T468="EN PROCESO",1/2,IF(T468="CONCLUIDO",1,0))+
IF(OR(U468="CONCLUIDO",U468="NO APLICA"),1,IF(U468="EN REVISIÓN CENTRAL",2/3,IF(U468="ENVIADO A LA CE/UM",1/3,0)))+
IF(OR(V468="CONCLUIDO",V468="NO APLICA"),1,IF(V468="EN REVISIÓN CENTRAL",2/3,IF(V468="ENVIADO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IF(OR(W468="CONCLUIDO",W468="NO APLICA"),1,IF(W468="EN PROCESO",0.5,0))+
IF(OR(X468="CONCLUIDO",X468="NO APLICA"),1,IF(X468="EN PROCESO",0.5,0))+
IF(Y468="PROGRAMADAS",1/2,IF(Y468="CONCLUIDAS",1,0))+
IF(OR(Z468="SI",Z468="NO APLICA"),1,0)+
IF(OR(AA468="SI",AA468="NO APLICA"),1,0)
)/9</f>
        <v>0.55555555555555558</v>
      </c>
      <c r="AF468" s="91">
        <v>6</v>
      </c>
      <c r="AG468" s="105" t="s">
        <v>1785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/>
      <c r="Z469" s="66"/>
      <c r="AA469" s="66"/>
      <c r="AB469">
        <f t="shared" si="14"/>
        <v>0</v>
      </c>
      <c r="AC469">
        <f t="shared" si="15"/>
        <v>0</v>
      </c>
      <c r="AD469" s="67"/>
      <c r="AE469" s="87">
        <f>(
IF(S469="ENVIADO A LA CE/UM",1/3,IF(S469="ENTREGADO/REVISIÓN",2/3,IF(S469="ENVIADO A TICS",1,0)))+
IF(T469="EN PROCESO",1/2,IF(T469="CONCLUIDO",1,0))+
IF(OR(U469="CONCLUIDO",U469="NO APLICA"),1,IF(U469="EN REVISIÓN CENTRAL",2/3,IF(U469="ENVIADO A LA CE/UM",1/3,0)))+
IF(OR(V469="CONCLUIDO",V469="NO APLICA"),1,IF(V469="EN REVISIÓN CENTRAL",2/3,IF(V469="ENVIADO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IF(OR(W469="CONCLUIDO",W469="NO APLICA"),1,IF(W469="EN PROCESO",0.5,0))+
IF(OR(X469="CONCLUIDO",X469="NO APLICA"),1,IF(X469="EN PROCESO",0.5,0))+
IF(Y469="PROGRAMADAS",1/2,IF(Y469="CONCLUIDAS",1,0))+
IF(OR(Z469="SI",Z469="NO APLICA"),1,0)+
IF(OR(AA469="SI",AA469="NO APLICA"),1,0)
)/9</f>
        <v>0.55555555555555558</v>
      </c>
      <c r="AF469" s="91">
        <v>6</v>
      </c>
      <c r="AG469" s="105" t="s">
        <v>1785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/>
      <c r="X470" s="66"/>
      <c r="Y470" s="66"/>
      <c r="Z470" s="66"/>
      <c r="AA470" s="66"/>
      <c r="AB470">
        <f t="shared" si="14"/>
        <v>0</v>
      </c>
      <c r="AC470">
        <f t="shared" si="15"/>
        <v>0</v>
      </c>
      <c r="AD470" s="67"/>
      <c r="AE470" s="87">
        <f>(
IF(S470="ENVIADO A LA CE/UM",1/3,IF(S470="ENTREGADO/REVISIÓN",2/3,IF(S470="ENVIADO A TICS",1,0)))+
IF(T470="EN PROCESO",1/2,IF(T470="CONCLUIDO",1,0))+
IF(OR(U470="CONCLUIDO",U470="NO APLICA"),1,IF(U470="EN REVISIÓN CENTRAL",2/3,IF(U470="ENVIADO A LA CE/UM",1/3,0)))+
IF(OR(V470="CONCLUIDO",V470="NO APLICA"),1,IF(V470="EN REVISIÓN CENTRAL",2/3,IF(V470="ENVIADO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IF(OR(W470="CONCLUIDO",W470="NO APLICA"),1,IF(W470="EN PROCESO",0.5,0))+
IF(OR(X470="CONCLUIDO",X470="NO APLICA"),1,IF(X470="EN PROCESO",0.5,0))+
IF(Y470="PROGRAMADAS",1/2,IF(Y470="CONCLUIDAS",1,0))+
IF(OR(Z470="SI",Z470="NO APLICA"),1,0)+
IF(OR(AA470="SI",AA470="NO APLICA"),1,0)
)/9</f>
        <v>0.33333333333333331</v>
      </c>
      <c r="AF470" s="91">
        <v>6</v>
      </c>
      <c r="AG470" s="105" t="s">
        <v>1785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>
        <f t="shared" si="14"/>
        <v>0</v>
      </c>
      <c r="AC471">
        <f t="shared" si="15"/>
        <v>0</v>
      </c>
      <c r="AD471" s="67"/>
      <c r="AE471" s="87">
        <f>(
IF(S471="ENVIADO A LA CE/UM",1/3,IF(S471="ENTREGADO/REVISIÓN",2/3,IF(S471="ENVIADO A TICS",1,0)))+
IF(T471="EN PROCESO",1/2,IF(T471="CONCLUIDO",1,0))+
IF(OR(U471="CONCLUIDO",U471="NO APLICA"),1,IF(U471="EN REVISIÓN CENTRAL",2/3,IF(U471="ENVIADO A LA CE/UM",1/3,0)))+
IF(OR(V471="CONCLUIDO",V471="NO APLICA"),1,IF(V471="EN REVISIÓN CENTRAL",2/3,IF(V471="ENVIADO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IF(OR(W471="CONCLUIDO",W471="NO APLICA"),1,IF(W471="EN PROCESO",0.5,0))+
IF(OR(X471="CONCLUIDO",X471="NO APLICA"),1,IF(X471="EN PROCESO",0.5,0))+
IF(Y471="PROGRAMADAS",1/2,IF(Y471="CONCLUIDAS",1,0))+
IF(OR(Z471="SI",Z471="NO APLICA"),1,0)+
IF(OR(AA471="SI",AA471="NO APLICA"),1,0)
)/9</f>
        <v>0.18518518518518517</v>
      </c>
      <c r="AF471" s="91">
        <v>6</v>
      </c>
      <c r="AG471" s="105" t="s">
        <v>1785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>
        <f t="shared" si="14"/>
        <v>0</v>
      </c>
      <c r="AC472">
        <f t="shared" si="15"/>
        <v>0</v>
      </c>
      <c r="AD472" s="67"/>
      <c r="AE472" s="87">
        <f>(
IF(S472="ENVIADO A LA CE/UM",1/3,IF(S472="ENTREGADO/REVISIÓN",2/3,IF(S472="ENVIADO A TICS",1,0)))+
IF(T472="EN PROCESO",1/2,IF(T472="CONCLUIDO",1,0))+
IF(OR(U472="CONCLUIDO",U472="NO APLICA"),1,IF(U472="EN REVISIÓN CENTRAL",2/3,IF(U472="ENVIADO A LA CE/UM",1/3,0)))+
IF(OR(V472="CONCLUIDO",V472="NO APLICA"),1,IF(V472="EN REVISIÓN CENTRAL",2/3,IF(V472="ENVIADO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IF(OR(W472="CONCLUIDO",W472="NO APLICA"),1,IF(W472="EN PROCESO",0.5,0))+
IF(OR(X472="CONCLUIDO",X472="NO APLICA"),1,IF(X472="EN PROCESO",0.5,0))+
IF(Y472="PROGRAMADAS",1/2,IF(Y472="CONCLUIDAS",1,0))+
IF(OR(Z472="SI",Z472="NO APLICA"),1,0)+
IF(OR(AA472="SI",AA472="NO APLICA"),1,0)
)/9</f>
        <v>0.55555555555555558</v>
      </c>
      <c r="AF472" s="91">
        <v>6</v>
      </c>
      <c r="AG472" s="105" t="s">
        <v>1785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>
        <f t="shared" si="14"/>
        <v>0</v>
      </c>
      <c r="AC473">
        <f t="shared" si="15"/>
        <v>0</v>
      </c>
      <c r="AD473" s="67"/>
      <c r="AE473" s="87">
        <f>(
IF(S473="ENVIADO A LA CE/UM",1/3,IF(S473="ENTREGADO/REVISIÓN",2/3,IF(S473="ENVIADO A TICS",1,0)))+
IF(T473="EN PROCESO",1/2,IF(T473="CONCLUIDO",1,0))+
IF(OR(U473="CONCLUIDO",U473="NO APLICA"),1,IF(U473="EN REVISIÓN CENTRAL",2/3,IF(U473="ENVIADO A LA CE/UM",1/3,0)))+
IF(OR(V473="CONCLUIDO",V473="NO APLICA"),1,IF(V473="EN REVISIÓN CENTRAL",2/3,IF(V473="ENVIADO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IF(OR(W473="CONCLUIDO",W473="NO APLICA"),1,IF(W473="EN PROCESO",0.5,0))+
IF(OR(X473="CONCLUIDO",X473="NO APLICA"),1,IF(X473="EN PROCESO",0.5,0))+
IF(Y473="PROGRAMADAS",1/2,IF(Y473="CONCLUIDAS",1,0))+
IF(OR(Z473="SI",Z473="NO APLICA"),1,0)+
IF(OR(AA473="SI",AA473="NO APLICA"),1,0)
)/9</f>
        <v>0.18518518518518517</v>
      </c>
      <c r="AF473" s="91">
        <v>6</v>
      </c>
      <c r="AG473" s="105" t="s">
        <v>1785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>
        <f t="shared" si="14"/>
        <v>0</v>
      </c>
      <c r="AC474">
        <f t="shared" si="15"/>
        <v>0</v>
      </c>
      <c r="AD474" s="67"/>
      <c r="AE474" s="87">
        <f>(
IF(S474="ENVIADO A LA CE/UM",1/3,IF(S474="ENTREGADO/REVISIÓN",2/3,IF(S474="ENVIADO A TICS",1,0)))+
IF(T474="EN PROCESO",1/2,IF(T474="CONCLUIDO",1,0))+
IF(OR(U474="CONCLUIDO",U474="NO APLICA"),1,IF(U474="EN REVISIÓN CENTRAL",2/3,IF(U474="ENVIADO A LA CE/UM",1/3,0)))+
IF(OR(V474="CONCLUIDO",V474="NO APLICA"),1,IF(V474="EN REVISIÓN CENTRAL",2/3,IF(V474="ENVIADO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IF(OR(W474="CONCLUIDO",W474="NO APLICA"),1,IF(W474="EN PROCESO",0.5,0))+
IF(OR(X474="CONCLUIDO",X474="NO APLICA"),1,IF(X474="EN PROCESO",0.5,0))+
IF(Y474="PROGRAMADAS",1/2,IF(Y474="CONCLUIDAS",1,0))+
IF(OR(Z474="SI",Z474="NO APLICA"),1,0)+
IF(OR(AA474="SI",AA474="NO APLICA"),1,0)
)/9</f>
        <v>0.33333333333333331</v>
      </c>
      <c r="AF474" s="91">
        <v>6</v>
      </c>
      <c r="AG474" s="105" t="s">
        <v>1785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176</v>
      </c>
      <c r="V475" s="66" t="s">
        <v>176</v>
      </c>
      <c r="W475" s="66"/>
      <c r="X475" s="66"/>
      <c r="Y475" s="66"/>
      <c r="Z475" s="66"/>
      <c r="AA475" s="66"/>
      <c r="AB475">
        <f t="shared" si="14"/>
        <v>0</v>
      </c>
      <c r="AC475">
        <f t="shared" si="15"/>
        <v>0</v>
      </c>
      <c r="AD475" s="67"/>
      <c r="AE475" s="87">
        <f>(
IF(S475="ENVIADO A LA CE/UM",1/3,IF(S475="ENTREGADO/REVISIÓN",2/3,IF(S475="ENVIADO A TICS",1,0)))+
IF(T475="EN PROCESO",1/2,IF(T475="CONCLUIDO",1,0))+
IF(OR(U475="CONCLUIDO",U475="NO APLICA"),1,IF(U475="EN REVISIÓN CENTRAL",2/3,IF(U475="ENVIADO A LA CE/UM",1/3,0)))+
IF(OR(V475="CONCLUIDO",V475="NO APLICA"),1,IF(V475="EN REVISIÓN CENTRAL",2/3,IF(V475="ENVIADO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IF(OR(W475="CONCLUIDO",W475="NO APLICA"),1,IF(W475="EN PROCESO",0.5,0))+
IF(OR(X475="CONCLUIDO",X475="NO APLICA"),1,IF(X475="EN PROCESO",0.5,0))+
IF(Y475="PROGRAMADAS",1/2,IF(Y475="CONCLUIDAS",1,0))+
IF(OR(Z475="SI",Z475="NO APLICA"),1,0)+
IF(OR(AA475="SI",AA475="NO APLICA"),1,0)
)/9</f>
        <v>0.18518518518518517</v>
      </c>
      <c r="AF475" s="91">
        <v>6</v>
      </c>
      <c r="AG475" s="105" t="s">
        <v>1785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/>
      <c r="X476" s="66"/>
      <c r="Y476" s="66"/>
      <c r="Z476" s="66"/>
      <c r="AA476" s="66"/>
      <c r="AB476">
        <f t="shared" si="14"/>
        <v>0</v>
      </c>
      <c r="AC476">
        <f t="shared" si="15"/>
        <v>0</v>
      </c>
      <c r="AD476" s="67"/>
      <c r="AE476" s="87">
        <f>(
IF(S476="ENVIADO A LA CE/UM",1/3,IF(S476="ENTREGADO/REVISIÓN",2/3,IF(S476="ENVIADO A TICS",1,0)))+
IF(T476="EN PROCESO",1/2,IF(T476="CONCLUIDO",1,0))+
IF(OR(U476="CONCLUIDO",U476="NO APLICA"),1,IF(U476="EN REVISIÓN CENTRAL",2/3,IF(U476="ENVIADO A LA CE/UM",1/3,0)))+
IF(OR(V476="CONCLUIDO",V476="NO APLICA"),1,IF(V476="EN REVISIÓN CENTRAL",2/3,IF(V476="ENVIADO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IF(OR(W476="CONCLUIDO",W476="NO APLICA"),1,IF(W476="EN PROCESO",0.5,0))+
IF(OR(X476="CONCLUIDO",X476="NO APLICA"),1,IF(X476="EN PROCESO",0.5,0))+
IF(Y476="PROGRAMADAS",1/2,IF(Y476="CONCLUIDAS",1,0))+
IF(OR(Z476="SI",Z476="NO APLICA"),1,0)+
IF(OR(AA476="SI",AA476="NO APLICA"),1,0)
)/9</f>
        <v>0.33333333333333331</v>
      </c>
      <c r="AF476" s="91">
        <v>6</v>
      </c>
      <c r="AG476" s="105" t="s">
        <v>1785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>
        <f t="shared" si="14"/>
        <v>0</v>
      </c>
      <c r="AC477">
        <f t="shared" si="15"/>
        <v>0</v>
      </c>
      <c r="AD477" s="67"/>
      <c r="AE477" s="87">
        <f>(
IF(S477="ENVIADO A LA CE/UM",1/3,IF(S477="ENTREGADO/REVISIÓN",2/3,IF(S477="ENVIADO A TICS",1,0)))+
IF(T477="EN PROCESO",1/2,IF(T477="CONCLUIDO",1,0))+
IF(OR(U477="CONCLUIDO",U477="NO APLICA"),1,IF(U477="EN REVISIÓN CENTRAL",2/3,IF(U477="ENVIADO A LA CE/UM",1/3,0)))+
IF(OR(V477="CONCLUIDO",V477="NO APLICA"),1,IF(V477="EN REVISIÓN CENTRAL",2/3,IF(V477="ENVIADO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IF(OR(W477="CONCLUIDO",W477="NO APLICA"),1,IF(W477="EN PROCESO",0.5,0))+
IF(OR(X477="CONCLUIDO",X477="NO APLICA"),1,IF(X477="EN PROCESO",0.5,0))+
IF(Y477="PROGRAMADAS",1/2,IF(Y477="CONCLUIDAS",1,0))+
IF(OR(Z477="SI",Z477="NO APLICA"),1,0)+
IF(OR(AA477="SI",AA477="NO APLICA"),1,0)
)/9</f>
        <v>0.33333333333333331</v>
      </c>
      <c r="AF477" s="91">
        <v>6</v>
      </c>
      <c r="AG477" s="105" t="s">
        <v>1785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>
        <f t="shared" si="14"/>
        <v>0</v>
      </c>
      <c r="AC478">
        <f t="shared" si="15"/>
        <v>0</v>
      </c>
      <c r="AD478" s="67"/>
      <c r="AE478" s="87">
        <f>(
IF(S478="ENVIADO A LA CE/UM",1/3,IF(S478="ENTREGADO/REVISIÓN",2/3,IF(S478="ENVIADO A TICS",1,0)))+
IF(T478="EN PROCESO",1/2,IF(T478="CONCLUIDO",1,0))+
IF(OR(U478="CONCLUIDO",U478="NO APLICA"),1,IF(U478="EN REVISIÓN CENTRAL",2/3,IF(U478="ENVIADO A LA CE/UM",1/3,0)))+
IF(OR(V478="CONCLUIDO",V478="NO APLICA"),1,IF(V478="EN REVISIÓN CENTRAL",2/3,IF(V478="ENVIADO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IF(OR(W478="CONCLUIDO",W478="NO APLICA"),1,IF(W478="EN PROCESO",0.5,0))+
IF(OR(X478="CONCLUIDO",X478="NO APLICA"),1,IF(X478="EN PROCESO",0.5,0))+
IF(Y478="PROGRAMADAS",1/2,IF(Y478="CONCLUIDAS",1,0))+
IF(OR(Z478="SI",Z478="NO APLICA"),1,0)+
IF(OR(AA478="SI",AA478="NO APLICA"),1,0)
)/9</f>
        <v>0.55555555555555558</v>
      </c>
      <c r="AF478" s="91">
        <v>6</v>
      </c>
      <c r="AG478" s="105" t="s">
        <v>1785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>
        <f t="shared" si="14"/>
        <v>0</v>
      </c>
      <c r="AC479">
        <f t="shared" si="15"/>
        <v>0</v>
      </c>
      <c r="AD479" s="67"/>
      <c r="AE479" s="87">
        <f>(
IF(S479="ENVIADO A LA CE/UM",1/3,IF(S479="ENTREGADO/REVISIÓN",2/3,IF(S479="ENVIADO A TICS",1,0)))+
IF(T479="EN PROCESO",1/2,IF(T479="CONCLUIDO",1,0))+
IF(OR(U479="CONCLUIDO",U479="NO APLICA"),1,IF(U479="EN REVISIÓN CENTRAL",2/3,IF(U479="ENVIADO A LA CE/UM",1/3,0)))+
IF(OR(V479="CONCLUIDO",V479="NO APLICA"),1,IF(V479="EN REVISIÓN CENTRAL",2/3,IF(V479="ENVIADO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IF(OR(W479="CONCLUIDO",W479="NO APLICA"),1,IF(W479="EN PROCESO",0.5,0))+
IF(OR(X479="CONCLUIDO",X479="NO APLICA"),1,IF(X479="EN PROCESO",0.5,0))+
IF(Y479="PROGRAMADAS",1/2,IF(Y479="CONCLUIDAS",1,0))+
IF(OR(Z479="SI",Z479="NO APLICA"),1,0)+
IF(OR(AA479="SI",AA479="NO APLICA"),1,0)
)/9</f>
        <v>0.55555555555555558</v>
      </c>
      <c r="AF479" s="91">
        <v>6</v>
      </c>
      <c r="AG479" s="105" t="s">
        <v>1785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/>
      <c r="X480" s="66"/>
      <c r="Y480" s="66"/>
      <c r="Z480" s="66"/>
      <c r="AA480" s="66"/>
      <c r="AB480">
        <f t="shared" si="14"/>
        <v>0</v>
      </c>
      <c r="AC480">
        <f t="shared" si="15"/>
        <v>0</v>
      </c>
      <c r="AD480" s="67"/>
      <c r="AE480" s="87">
        <f>(
IF(S480="ENVIADO A LA CE/UM",1/3,IF(S480="ENTREGADO/REVISIÓN",2/3,IF(S480="ENVIADO A TICS",1,0)))+
IF(T480="EN PROCESO",1/2,IF(T480="CONCLUIDO",1,0))+
IF(OR(U480="CONCLUIDO",U480="NO APLICA"),1,IF(U480="EN REVISIÓN CENTRAL",2/3,IF(U480="ENVIADO A LA CE/UM",1/3,0)))+
IF(OR(V480="CONCLUIDO",V480="NO APLICA"),1,IF(V480="EN REVISIÓN CENTRAL",2/3,IF(V480="ENVIADO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IF(OR(W480="CONCLUIDO",W480="NO APLICA"),1,IF(W480="EN PROCESO",0.5,0))+
IF(OR(X480="CONCLUIDO",X480="NO APLICA"),1,IF(X480="EN PROCESO",0.5,0))+
IF(Y480="PROGRAMADAS",1/2,IF(Y480="CONCLUIDAS",1,0))+
IF(OR(Z480="SI",Z480="NO APLICA"),1,0)+
IF(OR(AA480="SI",AA480="NO APLICA"),1,0)
)/9</f>
        <v>0.33333333333333331</v>
      </c>
      <c r="AF480" s="91">
        <v>6</v>
      </c>
      <c r="AG480" s="105" t="s">
        <v>1785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>
        <f t="shared" si="14"/>
        <v>0</v>
      </c>
      <c r="AC481">
        <f t="shared" si="15"/>
        <v>0</v>
      </c>
      <c r="AD481" s="67"/>
      <c r="AE481" s="87">
        <f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F481" s="91">
        <v>6</v>
      </c>
      <c r="AG481" s="105" t="s">
        <v>1785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>
        <f t="shared" si="14"/>
        <v>0</v>
      </c>
      <c r="AC482">
        <f t="shared" si="15"/>
        <v>0</v>
      </c>
      <c r="AD482" s="67"/>
      <c r="AE482" s="87">
        <f>(
IF(S482="ENVIADO A LA CE/UM",1/3,IF(S482="ENTREGADO/REVISIÓN",2/3,IF(S482="ENVIADO A TICS",1,0)))+
IF(T482="EN PROCESO",1/2,IF(T482="CONCLUIDO",1,0))+
IF(OR(U482="CONCLUIDO",U482="NO APLICA"),1,IF(U482="EN REVISIÓN CENTRAL",2/3,IF(U482="ENVIADO A LA CE/UM",1/3,0)))+
IF(OR(V482="CONCLUIDO",V482="NO APLICA"),1,IF(V482="EN REVISIÓN CENTRAL",2/3,IF(V482="ENVIADO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IF(OR(W482="CONCLUIDO",W482="NO APLICA"),1,IF(W482="EN PROCESO",0.5,0))+
IF(OR(X482="CONCLUIDO",X482="NO APLICA"),1,IF(X482="EN PROCESO",0.5,0))+
IF(Y482="PROGRAMADAS",1/2,IF(Y482="CONCLUIDAS",1,0))+
IF(OR(Z482="SI",Z482="NO APLICA"),1,0)+
IF(OR(AA482="SI",AA482="NO APLICA"),1,0)
)/9</f>
        <v>0.18518518518518517</v>
      </c>
      <c r="AF482" s="91">
        <v>6</v>
      </c>
      <c r="AG482" s="105" t="s">
        <v>1785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>
        <f t="shared" si="14"/>
        <v>0</v>
      </c>
      <c r="AC483">
        <f t="shared" si="15"/>
        <v>0</v>
      </c>
      <c r="AD483" s="67"/>
      <c r="AE483" s="87">
        <f>(
IF(S483="ENVIADO A LA CE/UM",1/3,IF(S483="ENTREGADO/REVISIÓN",2/3,IF(S483="ENVIADO A TICS",1,0)))+
IF(T483="EN PROCESO",1/2,IF(T483="CONCLUIDO",1,0))+
IF(OR(U483="CONCLUIDO",U483="NO APLICA"),1,IF(U483="EN REVISIÓN CENTRAL",2/3,IF(U483="ENVIADO A LA CE/UM",1/3,0)))+
IF(OR(V483="CONCLUIDO",V483="NO APLICA"),1,IF(V483="EN REVISIÓN CENTRAL",2/3,IF(V483="ENVIADO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IF(OR(W483="CONCLUIDO",W483="NO APLICA"),1,IF(W483="EN PROCESO",0.5,0))+
IF(OR(X483="CONCLUIDO",X483="NO APLICA"),1,IF(X483="EN PROCESO",0.5,0))+
IF(Y483="PROGRAMADAS",1/2,IF(Y483="CONCLUIDAS",1,0))+
IF(OR(Z483="SI",Z483="NO APLICA"),1,0)+
IF(OR(AA483="SI",AA483="NO APLICA"),1,0)
)/9</f>
        <v>0.18518518518518517</v>
      </c>
      <c r="AF483" s="91">
        <v>6</v>
      </c>
      <c r="AG483" s="105" t="s">
        <v>1785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>
        <f t="shared" si="14"/>
        <v>0</v>
      </c>
      <c r="AC484">
        <f t="shared" si="15"/>
        <v>0</v>
      </c>
      <c r="AD484" s="67"/>
      <c r="AE484" s="87">
        <f>(
IF(S484="ENVIADO A LA CE/UM",1/3,IF(S484="ENTREGADO/REVISIÓN",2/3,IF(S484="ENVIADO A TICS",1,0)))+
IF(T484="EN PROCESO",1/2,IF(T484="CONCLUIDO",1,0))+
IF(OR(U484="CONCLUIDO",U484="NO APLICA"),1,IF(U484="EN REVISIÓN CENTRAL",2/3,IF(U484="ENVIADO A LA CE/UM",1/3,0)))+
IF(OR(V484="CONCLUIDO",V484="NO APLICA"),1,IF(V484="EN REVISIÓN CENTRAL",2/3,IF(V484="ENVIADO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IF(OR(W484="CONCLUIDO",W484="NO APLICA"),1,IF(W484="EN PROCESO",0.5,0))+
IF(OR(X484="CONCLUIDO",X484="NO APLICA"),1,IF(X484="EN PROCESO",0.5,0))+
IF(Y484="PROGRAMADAS",1/2,IF(Y484="CONCLUIDAS",1,0))+
IF(OR(Z484="SI",Z484="NO APLICA"),1,0)+
IF(OR(AA484="SI",AA484="NO APLICA"),1,0)
)/9</f>
        <v>0.25925925925925924</v>
      </c>
      <c r="AF484" s="91">
        <v>6</v>
      </c>
      <c r="AG484" s="105" t="s">
        <v>1785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>
        <f t="shared" si="14"/>
        <v>0</v>
      </c>
      <c r="AC485">
        <f t="shared" si="15"/>
        <v>0</v>
      </c>
      <c r="AD485" s="67"/>
      <c r="AE485" s="87">
        <f>(
IF(S485="ENVIADO A LA CE/UM",1/3,IF(S485="ENTREGADO/REVISIÓN",2/3,IF(S485="ENVIADO A TICS",1,0)))+
IF(T485="EN PROCESO",1/2,IF(T485="CONCLUIDO",1,0))+
IF(OR(U485="CONCLUIDO",U485="NO APLICA"),1,IF(U485="EN REVISIÓN CENTRAL",2/3,IF(U485="ENVIADO A LA CE/UM",1/3,0)))+
IF(OR(V485="CONCLUIDO",V485="NO APLICA"),1,IF(V485="EN REVISIÓN CENTRAL",2/3,IF(V485="ENVIADO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IF(OR(W485="CONCLUIDO",W485="NO APLICA"),1,IF(W485="EN PROCESO",0.5,0))+
IF(OR(X485="CONCLUIDO",X485="NO APLICA"),1,IF(X485="EN PROCESO",0.5,0))+
IF(Y485="PROGRAMADAS",1/2,IF(Y485="CONCLUIDAS",1,0))+
IF(OR(Z485="SI",Z485="NO APLICA"),1,0)+
IF(OR(AA485="SI",AA485="NO APLICA"),1,0)
)/9</f>
        <v>0.18518518518518517</v>
      </c>
      <c r="AF485" s="91">
        <v>6</v>
      </c>
      <c r="AG485" s="105" t="s">
        <v>1785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/>
      <c r="X486" s="66"/>
      <c r="Y486" s="66"/>
      <c r="Z486" s="66"/>
      <c r="AA486" s="66"/>
      <c r="AB486">
        <f t="shared" si="14"/>
        <v>0</v>
      </c>
      <c r="AC486">
        <f t="shared" si="15"/>
        <v>0</v>
      </c>
      <c r="AD486" s="67"/>
      <c r="AE486" s="87">
        <f>(
IF(S486="ENVIADO A LA CE/UM",1/3,IF(S486="ENTREGADO/REVISIÓN",2/3,IF(S486="ENVIADO A TICS",1,0)))+
IF(T486="EN PROCESO",1/2,IF(T486="CONCLUIDO",1,0))+
IF(OR(U486="CONCLUIDO",U486="NO APLICA"),1,IF(U486="EN REVISIÓN CENTRAL",2/3,IF(U486="ENVIADO A LA CE/UM",1/3,0)))+
IF(OR(V486="CONCLUIDO",V486="NO APLICA"),1,IF(V486="EN REVISIÓN CENTRAL",2/3,IF(V486="ENVIADO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IF(OR(W486="CONCLUIDO",W486="NO APLICA"),1,IF(W486="EN PROCESO",0.5,0))+
IF(OR(X486="CONCLUIDO",X486="NO APLICA"),1,IF(X486="EN PROCESO",0.5,0))+
IF(Y486="PROGRAMADAS",1/2,IF(Y486="CONCLUIDAS",1,0))+
IF(OR(Z486="SI",Z486="NO APLICA"),1,0)+
IF(OR(AA486="SI",AA486="NO APLICA"),1,0)
)/9</f>
        <v>0.33333333333333331</v>
      </c>
      <c r="AF486" s="91">
        <v>6</v>
      </c>
      <c r="AG486" s="105" t="s">
        <v>1785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>
        <f t="shared" si="14"/>
        <v>0</v>
      </c>
      <c r="AC487">
        <f t="shared" si="15"/>
        <v>0</v>
      </c>
      <c r="AD487" s="67"/>
      <c r="AE487" s="87">
        <f>(
IF(S487="ENVIADO A LA CE/UM",1/3,IF(S487="ENTREGADO/REVISIÓN",2/3,IF(S487="ENVIADO A TICS",1,0)))+
IF(T487="EN PROCESO",1/2,IF(T487="CONCLUIDO",1,0))+
IF(OR(U487="CONCLUIDO",U487="NO APLICA"),1,IF(U487="EN REVISIÓN CENTRAL",2/3,IF(U487="ENVIADO A LA CE/UM",1/3,0)))+
IF(OR(V487="CONCLUIDO",V487="NO APLICA"),1,IF(V487="EN REVISIÓN CENTRAL",2/3,IF(V487="ENVIADO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IF(OR(W487="CONCLUIDO",W487="NO APLICA"),1,IF(W487="EN PROCESO",0.5,0))+
IF(OR(X487="CONCLUIDO",X487="NO APLICA"),1,IF(X487="EN PROCESO",0.5,0))+
IF(Y487="PROGRAMADAS",1/2,IF(Y487="CONCLUIDAS",1,0))+
IF(OR(Z487="SI",Z487="NO APLICA"),1,0)+
IF(OR(AA487="SI",AA487="NO APLICA"),1,0)
)/9</f>
        <v>0.33333333333333331</v>
      </c>
      <c r="AF487" s="91">
        <v>6</v>
      </c>
      <c r="AG487" s="105" t="s">
        <v>1785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>
        <f t="shared" si="14"/>
        <v>0</v>
      </c>
      <c r="AC488">
        <f t="shared" si="15"/>
        <v>0</v>
      </c>
      <c r="AD488" s="67"/>
      <c r="AE488" s="87">
        <f>(
IF(S488="ENVIADO A LA CE/UM",1/3,IF(S488="ENTREGADO/REVISIÓN",2/3,IF(S488="ENVIADO A TICS",1,0)))+
IF(T488="EN PROCESO",1/2,IF(T488="CONCLUIDO",1,0))+
IF(OR(U488="CONCLUIDO",U488="NO APLICA"),1,IF(U488="EN REVISIÓN CENTRAL",2/3,IF(U488="ENVIADO A LA CE/UM",1/3,0)))+
IF(OR(V488="CONCLUIDO",V488="NO APLICA"),1,IF(V488="EN REVISIÓN CENTRAL",2/3,IF(V488="ENVIADO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IF(OR(W488="CONCLUIDO",W488="NO APLICA"),1,IF(W488="EN PROCESO",0.5,0))+
IF(OR(X488="CONCLUIDO",X488="NO APLICA"),1,IF(X488="EN PROCESO",0.5,0))+
IF(Y488="PROGRAMADAS",1/2,IF(Y488="CONCLUIDAS",1,0))+
IF(OR(Z488="SI",Z488="NO APLICA"),1,0)+
IF(OR(AA488="SI",AA488="NO APLICA"),1,0)
)/9</f>
        <v>0.25925925925925924</v>
      </c>
      <c r="AF488" s="91">
        <v>6</v>
      </c>
      <c r="AG488" s="105" t="s">
        <v>1785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/>
      <c r="X489" s="66"/>
      <c r="Y489" s="66"/>
      <c r="Z489" s="66"/>
      <c r="AA489" s="66"/>
      <c r="AB489">
        <f t="shared" si="14"/>
        <v>0</v>
      </c>
      <c r="AC489">
        <f t="shared" si="15"/>
        <v>0</v>
      </c>
      <c r="AD489" s="67"/>
      <c r="AE489" s="87">
        <f>(
IF(S489="ENVIADO A LA CE/UM",1/3,IF(S489="ENTREGADO/REVISIÓN",2/3,IF(S489="ENVIADO A TICS",1,0)))+
IF(T489="EN PROCESO",1/2,IF(T489="CONCLUIDO",1,0))+
IF(OR(U489="CONCLUIDO",U489="NO APLICA"),1,IF(U489="EN REVISIÓN CENTRAL",2/3,IF(U489="ENVIADO A LA CE/UM",1/3,0)))+
IF(OR(V489="CONCLUIDO",V489="NO APLICA"),1,IF(V489="EN REVISIÓN CENTRAL",2/3,IF(V489="ENVIADO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IF(OR(W489="CONCLUIDO",W489="NO APLICA"),1,IF(W489="EN PROCESO",0.5,0))+
IF(OR(X489="CONCLUIDO",X489="NO APLICA"),1,IF(X489="EN PROCESO",0.5,0))+
IF(Y489="PROGRAMADAS",1/2,IF(Y489="CONCLUIDAS",1,0))+
IF(OR(Z489="SI",Z489="NO APLICA"),1,0)+
IF(OR(AA489="SI",AA489="NO APLICA"),1,0)
)/9</f>
        <v>0.33333333333333331</v>
      </c>
      <c r="AF489" s="91">
        <v>6</v>
      </c>
      <c r="AG489" s="105" t="s">
        <v>1785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>
        <f t="shared" si="14"/>
        <v>0</v>
      </c>
      <c r="AC490">
        <f t="shared" si="15"/>
        <v>0</v>
      </c>
      <c r="AD490" s="67"/>
      <c r="AE490" s="87">
        <f>(
IF(S490="ENVIADO A LA CE/UM",1/3,IF(S490="ENTREGADO/REVISIÓN",2/3,IF(S490="ENVIADO A TICS",1,0)))+
IF(T490="EN PROCESO",1/2,IF(T490="CONCLUIDO",1,0))+
IF(OR(U490="CONCLUIDO",U490="NO APLICA"),1,IF(U490="EN REVISIÓN CENTRAL",2/3,IF(U490="ENVIADO A LA CE/UM",1/3,0)))+
IF(OR(V490="CONCLUIDO",V490="NO APLICA"),1,IF(V490="EN REVISIÓN CENTRAL",2/3,IF(V490="ENVIADO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IF(OR(W490="CONCLUIDO",W490="NO APLICA"),1,IF(W490="EN PROCESO",0.5,0))+
IF(OR(X490="CONCLUIDO",X490="NO APLICA"),1,IF(X490="EN PROCESO",0.5,0))+
IF(Y490="PROGRAMADAS",1/2,IF(Y490="CONCLUIDAS",1,0))+
IF(OR(Z490="SI",Z490="NO APLICA"),1,0)+
IF(OR(AA490="SI",AA490="NO APLICA"),1,0)
)/9</f>
        <v>0.55555555555555558</v>
      </c>
      <c r="AF490" s="91">
        <v>6</v>
      </c>
      <c r="AG490" s="105" t="s">
        <v>1785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>
        <f t="shared" si="14"/>
        <v>0</v>
      </c>
      <c r="AC491">
        <f t="shared" si="15"/>
        <v>0</v>
      </c>
      <c r="AD491" s="67"/>
      <c r="AE491" s="87">
        <f>(
IF(S491="ENVIADO A LA CE/UM",1/3,IF(S491="ENTREGADO/REVISIÓN",2/3,IF(S491="ENVIADO A TICS",1,0)))+
IF(T491="EN PROCESO",1/2,IF(T491="CONCLUIDO",1,0))+
IF(OR(U491="CONCLUIDO",U491="NO APLICA"),1,IF(U491="EN REVISIÓN CENTRAL",2/3,IF(U491="ENVIADO A LA CE/UM",1/3,0)))+
IF(OR(V491="CONCLUIDO",V491="NO APLICA"),1,IF(V491="EN REVISIÓN CENTRAL",2/3,IF(V491="ENVIADO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IF(OR(W491="CONCLUIDO",W491="NO APLICA"),1,IF(W491="EN PROCESO",0.5,0))+
IF(OR(X491="CONCLUIDO",X491="NO APLICA"),1,IF(X491="EN PROCESO",0.5,0))+
IF(Y491="PROGRAMADAS",1/2,IF(Y491="CONCLUIDAS",1,0))+
IF(OR(Z491="SI",Z491="NO APLICA"),1,0)+
IF(OR(AA491="SI",AA491="NO APLICA"),1,0)
)/9</f>
        <v>0.77777777777777779</v>
      </c>
      <c r="AF491" s="91">
        <v>5</v>
      </c>
      <c r="AG491" s="105" t="s">
        <v>1846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>
        <f t="shared" si="14"/>
        <v>0</v>
      </c>
      <c r="AC492">
        <f t="shared" si="15"/>
        <v>0</v>
      </c>
      <c r="AD492" s="67"/>
      <c r="AE492" s="87">
        <f>(
IF(S492="ENVIADO A LA CE/UM",1/3,IF(S492="ENTREGADO/REVISIÓN",2/3,IF(S492="ENVIADO A TICS",1,0)))+
IF(T492="EN PROCESO",1/2,IF(T492="CONCLUIDO",1,0))+
IF(OR(U492="CONCLUIDO",U492="NO APLICA"),1,IF(U492="EN REVISIÓN CENTRAL",2/3,IF(U492="ENVIADO A LA CE/UM",1/3,0)))+
IF(OR(V492="CONCLUIDO",V492="NO APLICA"),1,IF(V492="EN REVISIÓN CENTRAL",2/3,IF(V492="ENVIADO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IF(OR(W492="CONCLUIDO",W492="NO APLICA"),1,IF(W492="EN PROCESO",0.5,0))+
IF(OR(X492="CONCLUIDO",X492="NO APLICA"),1,IF(X492="EN PROCESO",0.5,0))+
IF(Y492="PROGRAMADAS",1/2,IF(Y492="CONCLUIDAS",1,0))+
IF(OR(Z492="SI",Z492="NO APLICA"),1,0)+
IF(OR(AA492="SI",AA492="NO APLICA"),1,0)
)/9</f>
        <v>0.77777777777777779</v>
      </c>
      <c r="AF492" s="91">
        <v>5</v>
      </c>
      <c r="AG492" s="105" t="s">
        <v>1846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>
        <f t="shared" si="14"/>
        <v>0</v>
      </c>
      <c r="AC493">
        <f t="shared" si="15"/>
        <v>0</v>
      </c>
      <c r="AD493" s="67"/>
      <c r="AE493" s="87">
        <f>(
IF(S493="ENVIADO A LA CE/UM",1/3,IF(S493="ENTREGADO/REVISIÓN",2/3,IF(S493="ENVIADO A TICS",1,0)))+
IF(T493="EN PROCESO",1/2,IF(T493="CONCLUIDO",1,0))+
IF(OR(U493="CONCLUIDO",U493="NO APLICA"),1,IF(U493="EN REVISIÓN CENTRAL",2/3,IF(U493="ENVIADO A LA CE/UM",1/3,0)))+
IF(OR(V493="CONCLUIDO",V493="NO APLICA"),1,IF(V493="EN REVISIÓN CENTRAL",2/3,IF(V493="ENVIADO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IF(OR(W493="CONCLUIDO",W493="NO APLICA"),1,IF(W493="EN PROCESO",0.5,0))+
IF(OR(X493="CONCLUIDO",X493="NO APLICA"),1,IF(X493="EN PROCESO",0.5,0))+
IF(Y493="PROGRAMADAS",1/2,IF(Y493="CONCLUIDAS",1,0))+
IF(OR(Z493="SI",Z493="NO APLICA"),1,0)+
IF(OR(AA493="SI",AA493="NO APLICA"),1,0)
)/9</f>
        <v>0.77777777777777779</v>
      </c>
      <c r="AF493" s="91">
        <v>5</v>
      </c>
      <c r="AG493" s="105" t="s">
        <v>1846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>
        <f t="shared" si="14"/>
        <v>0</v>
      </c>
      <c r="AC494">
        <f t="shared" si="15"/>
        <v>0</v>
      </c>
      <c r="AD494" s="67"/>
      <c r="AE494" s="87">
        <f>(
IF(S494="ENVIADO A LA CE/UM",1/3,IF(S494="ENTREGADO/REVISIÓN",2/3,IF(S494="ENVIADO A TICS",1,0)))+
IF(T494="EN PROCESO",1/2,IF(T494="CONCLUIDO",1,0))+
IF(OR(U494="CONCLUIDO",U494="NO APLICA"),1,IF(U494="EN REVISIÓN CENTRAL",2/3,IF(U494="ENVIADO A LA CE/UM",1/3,0)))+
IF(OR(V494="CONCLUIDO",V494="NO APLICA"),1,IF(V494="EN REVISIÓN CENTRAL",2/3,IF(V494="ENVIADO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IF(OR(W494="CONCLUIDO",W494="NO APLICA"),1,IF(W494="EN PROCESO",0.5,0))+
IF(OR(X494="CONCLUIDO",X494="NO APLICA"),1,IF(X494="EN PROCESO",0.5,0))+
IF(Y494="PROGRAMADAS",1/2,IF(Y494="CONCLUIDAS",1,0))+
IF(OR(Z494="SI",Z494="NO APLICA"),1,0)+
IF(OR(AA494="SI",AA494="NO APLICA"),1,0)
)/9</f>
        <v>0.77777777777777779</v>
      </c>
      <c r="AF494" s="91">
        <v>5</v>
      </c>
      <c r="AG494" s="105" t="s">
        <v>1846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>
        <f t="shared" si="14"/>
        <v>0</v>
      </c>
      <c r="AC495">
        <f t="shared" si="15"/>
        <v>0</v>
      </c>
      <c r="AD495" s="67"/>
      <c r="AE495" s="87">
        <f>(
IF(S495="ENVIADO A LA CE/UM",1/3,IF(S495="ENTREGADO/REVISIÓN",2/3,IF(S495="ENVIADO A TICS",1,0)))+
IF(T495="EN PROCESO",1/2,IF(T495="CONCLUIDO",1,0))+
IF(OR(U495="CONCLUIDO",U495="NO APLICA"),1,IF(U495="EN REVISIÓN CENTRAL",2/3,IF(U495="ENVIADO A LA CE/UM",1/3,0)))+
IF(OR(V495="CONCLUIDO",V495="NO APLICA"),1,IF(V495="EN REVISIÓN CENTRAL",2/3,IF(V495="ENVIADO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IF(OR(W495="CONCLUIDO",W495="NO APLICA"),1,IF(W495="EN PROCESO",0.5,0))+
IF(OR(X495="CONCLUIDO",X495="NO APLICA"),1,IF(X495="EN PROCESO",0.5,0))+
IF(Y495="PROGRAMADAS",1/2,IF(Y495="CONCLUIDAS",1,0))+
IF(OR(Z495="SI",Z495="NO APLICA"),1,0)+
IF(OR(AA495="SI",AA495="NO APLICA"),1,0)
)/9</f>
        <v>0.77777777777777779</v>
      </c>
      <c r="AF495" s="91">
        <v>5</v>
      </c>
      <c r="AG495" s="105" t="s">
        <v>1846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>
        <f t="shared" si="14"/>
        <v>0</v>
      </c>
      <c r="AC496">
        <f t="shared" si="15"/>
        <v>0</v>
      </c>
      <c r="AD496" s="67" t="s">
        <v>1867</v>
      </c>
      <c r="AE496" s="87">
        <f>(
IF(S496="ENVIADO A LA CE/UM",1/3,IF(S496="ENTREGADO/REVISIÓN",2/3,IF(S496="ENVIADO A TICS",1,0)))+
IF(T496="EN PROCESO",1/2,IF(T496="CONCLUIDO",1,0))+
IF(OR(U496="CONCLUIDO",U496="NO APLICA"),1,IF(U496="EN REVISIÓN CENTRAL",2/3,IF(U496="ENVIADO A LA CE/UM",1/3,0)))+
IF(OR(V496="CONCLUIDO",V496="NO APLICA"),1,IF(V496="EN REVISIÓN CENTRAL",2/3,IF(V496="ENVIADO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IF(OR(W496="CONCLUIDO",W496="NO APLICA"),1,IF(W496="EN PROCESO",0.5,0))+
IF(OR(X496="CONCLUIDO",X496="NO APLICA"),1,IF(X496="EN PROCESO",0.5,0))+
IF(Y496="PROGRAMADAS",1/2,IF(Y496="CONCLUIDAS",1,0))+
IF(OR(Z496="SI",Z496="NO APLICA"),1,0)+
IF(OR(AA496="SI",AA496="NO APLICA"),1,0)
)/9</f>
        <v>0.77777777777777779</v>
      </c>
      <c r="AF496" s="91">
        <v>5</v>
      </c>
      <c r="AG496" s="105" t="s">
        <v>1846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>
        <f t="shared" si="14"/>
        <v>0</v>
      </c>
      <c r="AC497">
        <f t="shared" si="15"/>
        <v>0</v>
      </c>
      <c r="AD497" s="67"/>
      <c r="AE497" s="87">
        <f>(
IF(S497="ENVIADO A LA CE/UM",1/3,IF(S497="ENTREGADO/REVISIÓN",2/3,IF(S497="ENVIADO A TICS",1,0)))+
IF(T497="EN PROCESO",1/2,IF(T497="CONCLUIDO",1,0))+
IF(OR(U497="CONCLUIDO",U497="NO APLICA"),1,IF(U497="EN REVISIÓN CENTRAL",2/3,IF(U497="ENVIADO A LA CE/UM",1/3,0)))+
IF(OR(V497="CONCLUIDO",V497="NO APLICA"),1,IF(V497="EN REVISIÓN CENTRAL",2/3,IF(V497="ENVIADO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IF(OR(W497="CONCLUIDO",W497="NO APLICA"),1,IF(W497="EN PROCESO",0.5,0))+
IF(OR(X497="CONCLUIDO",X497="NO APLICA"),1,IF(X497="EN PROCESO",0.5,0))+
IF(Y497="PROGRAMADAS",1/2,IF(Y497="CONCLUIDAS",1,0))+
IF(OR(Z497="SI",Z497="NO APLICA"),1,0)+
IF(OR(AA497="SI",AA497="NO APLICA"),1,0)
)/9</f>
        <v>0.66666666666666663</v>
      </c>
      <c r="AF497" s="91">
        <v>5</v>
      </c>
      <c r="AG497" s="105" t="s">
        <v>1846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175</v>
      </c>
      <c r="X498" s="66" t="s">
        <v>175</v>
      </c>
      <c r="Y498" s="66" t="s">
        <v>36</v>
      </c>
      <c r="Z498" s="66"/>
      <c r="AA498" s="66"/>
      <c r="AB498">
        <f t="shared" si="14"/>
        <v>0</v>
      </c>
      <c r="AC498">
        <f t="shared" si="15"/>
        <v>0</v>
      </c>
      <c r="AD498" s="67"/>
      <c r="AE498" s="87">
        <f>(
IF(S498="ENVIADO A LA CE/UM",1/3,IF(S498="ENTREGADO/REVISIÓN",2/3,IF(S498="ENVIADO A TICS",1,0)))+
IF(T498="EN PROCESO",1/2,IF(T498="CONCLUIDO",1,0))+
IF(OR(U498="CONCLUIDO",U498="NO APLICA"),1,IF(U498="EN REVISIÓN CENTRAL",2/3,IF(U498="ENVIADO A LA CE/UM",1/3,0)))+
IF(OR(V498="CONCLUIDO",V498="NO APLICA"),1,IF(V498="EN REVISIÓN CENTRAL",2/3,IF(V498="ENVIADO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IF(OR(W498="CONCLUIDO",W498="NO APLICA"),1,IF(W498="EN PROCESO",0.5,0))+
IF(OR(X498="CONCLUIDO",X498="NO APLICA"),1,IF(X498="EN PROCESO",0.5,0))+
IF(Y498="PROGRAMADAS",1/2,IF(Y498="CONCLUIDAS",1,0))+
IF(OR(Z498="SI",Z498="NO APLICA"),1,0)+
IF(OR(AA498="SI",AA498="NO APLICA"),1,0)
)/9</f>
        <v>0.66666666666666663</v>
      </c>
      <c r="AF498" s="91">
        <v>5</v>
      </c>
      <c r="AG498" s="105" t="s">
        <v>1846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175</v>
      </c>
      <c r="X499" s="66" t="s">
        <v>175</v>
      </c>
      <c r="Y499" s="66" t="s">
        <v>36</v>
      </c>
      <c r="Z499" s="66"/>
      <c r="AA499" s="66"/>
      <c r="AB499">
        <f t="shared" si="14"/>
        <v>0</v>
      </c>
      <c r="AC499">
        <f t="shared" si="15"/>
        <v>0</v>
      </c>
      <c r="AD499" s="67"/>
      <c r="AE499" s="87">
        <f>(
IF(S499="ENVIADO A LA CE/UM",1/3,IF(S499="ENTREGADO/REVISIÓN",2/3,IF(S499="ENVIADO A TICS",1,0)))+
IF(T499="EN PROCESO",1/2,IF(T499="CONCLUIDO",1,0))+
IF(OR(U499="CONCLUIDO",U499="NO APLICA"),1,IF(U499="EN REVISIÓN CENTRAL",2/3,IF(U499="ENVIADO A LA CE/UM",1/3,0)))+
IF(OR(V499="CONCLUIDO",V499="NO APLICA"),1,IF(V499="EN REVISIÓN CENTRAL",2/3,IF(V499="ENVIADO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IF(OR(W499="CONCLUIDO",W499="NO APLICA"),1,IF(W499="EN PROCESO",0.5,0))+
IF(OR(X499="CONCLUIDO",X499="NO APLICA"),1,IF(X499="EN PROCESO",0.5,0))+
IF(Y499="PROGRAMADAS",1/2,IF(Y499="CONCLUIDAS",1,0))+
IF(OR(Z499="SI",Z499="NO APLICA"),1,0)+
IF(OR(AA499="SI",AA499="NO APLICA"),1,0)
)/9</f>
        <v>0.66666666666666663</v>
      </c>
      <c r="AF499" s="91">
        <v>5</v>
      </c>
      <c r="AG499" s="105" t="s">
        <v>1846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175</v>
      </c>
      <c r="X500" s="66" t="s">
        <v>175</v>
      </c>
      <c r="Y500" s="66" t="s">
        <v>36</v>
      </c>
      <c r="Z500" s="66"/>
      <c r="AA500" s="66"/>
      <c r="AB500">
        <f t="shared" si="14"/>
        <v>0</v>
      </c>
      <c r="AC500">
        <f t="shared" si="15"/>
        <v>0</v>
      </c>
      <c r="AD500" s="67"/>
      <c r="AE500" s="87">
        <f>(
IF(S500="ENVIADO A LA CE/UM",1/3,IF(S500="ENTREGADO/REVISIÓN",2/3,IF(S500="ENVIADO A TICS",1,0)))+
IF(T500="EN PROCESO",1/2,IF(T500="CONCLUIDO",1,0))+
IF(OR(U500="CONCLUIDO",U500="NO APLICA"),1,IF(U500="EN REVISIÓN CENTRAL",2/3,IF(U500="ENVIADO A LA CE/UM",1/3,0)))+
IF(OR(V500="CONCLUIDO",V500="NO APLICA"),1,IF(V500="EN REVISIÓN CENTRAL",2/3,IF(V500="ENVIADO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IF(OR(W500="CONCLUIDO",W500="NO APLICA"),1,IF(W500="EN PROCESO",0.5,0))+
IF(OR(X500="CONCLUIDO",X500="NO APLICA"),1,IF(X500="EN PROCESO",0.5,0))+
IF(Y500="PROGRAMADAS",1/2,IF(Y500="CONCLUIDAS",1,0))+
IF(OR(Z500="SI",Z500="NO APLICA"),1,0)+
IF(OR(AA500="SI",AA500="NO APLICA"),1,0)
)/9</f>
        <v>0.66666666666666663</v>
      </c>
      <c r="AF500" s="91">
        <v>5</v>
      </c>
      <c r="AG500" s="105" t="s">
        <v>1846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>
        <f t="shared" si="14"/>
        <v>0</v>
      </c>
      <c r="AC501">
        <f t="shared" si="15"/>
        <v>0</v>
      </c>
      <c r="AD501" s="67"/>
      <c r="AE501" s="87">
        <f>(
IF(S501="ENVIADO A LA CE/UM",1/3,IF(S501="ENTREGADO/REVISIÓN",2/3,IF(S501="ENVIADO A TICS",1,0)))+
IF(T501="EN PROCESO",1/2,IF(T501="CONCLUIDO",1,0))+
IF(OR(U501="CONCLUIDO",U501="NO APLICA"),1,IF(U501="EN REVISIÓN CENTRAL",2/3,IF(U501="ENVIADO A LA CE/UM",1/3,0)))+
IF(OR(V501="CONCLUIDO",V501="NO APLICA"),1,IF(V501="EN REVISIÓN CENTRAL",2/3,IF(V501="ENVIADO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IF(OR(W501="CONCLUIDO",W501="NO APLICA"),1,IF(W501="EN PROCESO",0.5,0))+
IF(OR(X501="CONCLUIDO",X501="NO APLICA"),1,IF(X501="EN PROCESO",0.5,0))+
IF(Y501="PROGRAMADAS",1/2,IF(Y501="CONCLUIDAS",1,0))+
IF(OR(Z501="SI",Z501="NO APLICA"),1,0)+
IF(OR(AA501="SI",AA501="NO APLICA"),1,0)
)/9</f>
        <v>0.66666666666666663</v>
      </c>
      <c r="AF501" s="91">
        <v>5</v>
      </c>
      <c r="AG501" s="105" t="s">
        <v>1846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175</v>
      </c>
      <c r="Y502" s="66" t="s">
        <v>36</v>
      </c>
      <c r="Z502" s="66"/>
      <c r="AA502" s="66"/>
      <c r="AB502">
        <f t="shared" si="14"/>
        <v>0</v>
      </c>
      <c r="AC502">
        <f t="shared" si="15"/>
        <v>0</v>
      </c>
      <c r="AD502" s="67"/>
      <c r="AE502" s="87">
        <f>(
IF(S502="ENVIADO A LA CE/UM",1/3,IF(S502="ENTREGADO/REVISIÓN",2/3,IF(S502="ENVIADO A TICS",1,0)))+
IF(T502="EN PROCESO",1/2,IF(T502="CONCLUIDO",1,0))+
IF(OR(U502="CONCLUIDO",U502="NO APLICA"),1,IF(U502="EN REVISIÓN CENTRAL",2/3,IF(U502="ENVIADO A LA CE/UM",1/3,0)))+
IF(OR(V502="CONCLUIDO",V502="NO APLICA"),1,IF(V502="EN REVISIÓN CENTRAL",2/3,IF(V502="ENVIADO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IF(OR(W502="CONCLUIDO",W502="NO APLICA"),1,IF(W502="EN PROCESO",0.5,0))+
IF(OR(X502="CONCLUIDO",X502="NO APLICA"),1,IF(X502="EN PROCESO",0.5,0))+
IF(Y502="PROGRAMADAS",1/2,IF(Y502="CONCLUIDAS",1,0))+
IF(OR(Z502="SI",Z502="NO APLICA"),1,0)+
IF(OR(AA502="SI",AA502="NO APLICA"),1,0)
)/9</f>
        <v>0.66666666666666663</v>
      </c>
      <c r="AF502" s="91">
        <v>5</v>
      </c>
      <c r="AG502" s="105" t="s">
        <v>1846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>
        <f t="shared" si="14"/>
        <v>0</v>
      </c>
      <c r="AC503">
        <f t="shared" si="15"/>
        <v>0</v>
      </c>
      <c r="AD503" s="67"/>
      <c r="AE503" s="87">
        <f>(
IF(S503="ENVIADO A LA CE/UM",1/3,IF(S503="ENTREGADO/REVISIÓN",2/3,IF(S503="ENVIADO A TICS",1,0)))+
IF(T503="EN PROCESO",1/2,IF(T503="CONCLUIDO",1,0))+
IF(OR(U503="CONCLUIDO",U503="NO APLICA"),1,IF(U503="EN REVISIÓN CENTRAL",2/3,IF(U503="ENVIADO A LA CE/UM",1/3,0)))+
IF(OR(V503="CONCLUIDO",V503="NO APLICA"),1,IF(V503="EN REVISIÓN CENTRAL",2/3,IF(V503="ENVIADO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IF(OR(W503="CONCLUIDO",W503="NO APLICA"),1,IF(W503="EN PROCESO",0.5,0))+
IF(OR(X503="CONCLUIDO",X503="NO APLICA"),1,IF(X503="EN PROCESO",0.5,0))+
IF(Y503="PROGRAMADAS",1/2,IF(Y503="CONCLUIDAS",1,0))+
IF(OR(Z503="SI",Z503="NO APLICA"),1,0)+
IF(OR(AA503="SI",AA503="NO APLICA"),1,0)
)/9</f>
        <v>0.66666666666666663</v>
      </c>
      <c r="AF503" s="91">
        <v>5</v>
      </c>
      <c r="AG503" s="105" t="s">
        <v>1846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175</v>
      </c>
      <c r="X504" s="66" t="s">
        <v>175</v>
      </c>
      <c r="Y504" s="66" t="s">
        <v>36</v>
      </c>
      <c r="Z504" s="66"/>
      <c r="AA504" s="66"/>
      <c r="AB504">
        <f t="shared" si="14"/>
        <v>0</v>
      </c>
      <c r="AC504">
        <f t="shared" si="15"/>
        <v>0</v>
      </c>
      <c r="AD504" s="67"/>
      <c r="AE504" s="87">
        <f>(
IF(S504="ENVIADO A LA CE/UM",1/3,IF(S504="ENTREGADO/REVISIÓN",2/3,IF(S504="ENVIADO A TICS",1,0)))+
IF(T504="EN PROCESO",1/2,IF(T504="CONCLUIDO",1,0))+
IF(OR(U504="CONCLUIDO",U504="NO APLICA"),1,IF(U504="EN REVISIÓN CENTRAL",2/3,IF(U504="ENVIADO A LA CE/UM",1/3,0)))+
IF(OR(V504="CONCLUIDO",V504="NO APLICA"),1,IF(V504="EN REVISIÓN CENTRAL",2/3,IF(V504="ENVIADO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IF(OR(W504="CONCLUIDO",W504="NO APLICA"),1,IF(W504="EN PROCESO",0.5,0))+
IF(OR(X504="CONCLUIDO",X504="NO APLICA"),1,IF(X504="EN PROCESO",0.5,0))+
IF(Y504="PROGRAMADAS",1/2,IF(Y504="CONCLUIDAS",1,0))+
IF(OR(Z504="SI",Z504="NO APLICA"),1,0)+
IF(OR(AA504="SI",AA504="NO APLICA"),1,0)
)/9</f>
        <v>0.66666666666666663</v>
      </c>
      <c r="AF504" s="91">
        <v>5</v>
      </c>
      <c r="AG504" s="105" t="s">
        <v>1846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175</v>
      </c>
      <c r="X505" s="66" t="s">
        <v>175</v>
      </c>
      <c r="Y505" s="66" t="s">
        <v>36</v>
      </c>
      <c r="Z505" s="66"/>
      <c r="AA505" s="66"/>
      <c r="AB505">
        <f t="shared" si="14"/>
        <v>0</v>
      </c>
      <c r="AC505">
        <f t="shared" si="15"/>
        <v>0</v>
      </c>
      <c r="AD505" s="67"/>
      <c r="AE505" s="87">
        <f>(
IF(S505="ENVIADO A LA CE/UM",1/3,IF(S505="ENTREGADO/REVISIÓN",2/3,IF(S505="ENVIADO A TICS",1,0)))+
IF(T505="EN PROCESO",1/2,IF(T505="CONCLUIDO",1,0))+
IF(OR(U505="CONCLUIDO",U505="NO APLICA"),1,IF(U505="EN REVISIÓN CENTRAL",2/3,IF(U505="ENVIADO A LA CE/UM",1/3,0)))+
IF(OR(V505="CONCLUIDO",V505="NO APLICA"),1,IF(V505="EN REVISIÓN CENTRAL",2/3,IF(V505="ENVIADO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IF(OR(W505="CONCLUIDO",W505="NO APLICA"),1,IF(W505="EN PROCESO",0.5,0))+
IF(OR(X505="CONCLUIDO",X505="NO APLICA"),1,IF(X505="EN PROCESO",0.5,0))+
IF(Y505="PROGRAMADAS",1/2,IF(Y505="CONCLUIDAS",1,0))+
IF(OR(Z505="SI",Z505="NO APLICA"),1,0)+
IF(OR(AA505="SI",AA505="NO APLICA"),1,0)
)/9</f>
        <v>0.66666666666666663</v>
      </c>
      <c r="AF505" s="91">
        <v>5</v>
      </c>
      <c r="AG505" s="105" t="s">
        <v>1846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>
        <f t="shared" si="14"/>
        <v>0</v>
      </c>
      <c r="AC506">
        <f t="shared" si="15"/>
        <v>0</v>
      </c>
      <c r="AD506" s="67"/>
      <c r="AE506" s="87">
        <f>(
IF(S506="ENVIADO A LA CE/UM",1/3,IF(S506="ENTREGADO/REVISIÓN",2/3,IF(S506="ENVIADO A TICS",1,0)))+
IF(T506="EN PROCESO",1/2,IF(T506="CONCLUIDO",1,0))+
IF(OR(U506="CONCLUIDO",U506="NO APLICA"),1,IF(U506="EN REVISIÓN CENTRAL",2/3,IF(U506="ENVIADO A LA CE/UM",1/3,0)))+
IF(OR(V506="CONCLUIDO",V506="NO APLICA"),1,IF(V506="EN REVISIÓN CENTRAL",2/3,IF(V506="ENVIADO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IF(OR(W506="CONCLUIDO",W506="NO APLICA"),1,IF(W506="EN PROCESO",0.5,0))+
IF(OR(X506="CONCLUIDO",X506="NO APLICA"),1,IF(X506="EN PROCESO",0.5,0))+
IF(Y506="PROGRAMADAS",1/2,IF(Y506="CONCLUIDAS",1,0))+
IF(OR(Z506="SI",Z506="NO APLICA"),1,0)+
IF(OR(AA506="SI",AA506="NO APLICA"),1,0)
)/9</f>
        <v>0.66666666666666663</v>
      </c>
      <c r="AF506" s="91">
        <v>5</v>
      </c>
      <c r="AG506" s="105" t="s">
        <v>1846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175</v>
      </c>
      <c r="Y507" s="66" t="s">
        <v>36</v>
      </c>
      <c r="Z507" s="66"/>
      <c r="AA507" s="66"/>
      <c r="AB507">
        <f t="shared" si="14"/>
        <v>0</v>
      </c>
      <c r="AC507">
        <f t="shared" si="15"/>
        <v>0</v>
      </c>
      <c r="AD507" s="67"/>
      <c r="AE507" s="87">
        <f>(
IF(S507="ENVIADO A LA CE/UM",1/3,IF(S507="ENTREGADO/REVISIÓN",2/3,IF(S507="ENVIADO A TICS",1,0)))+
IF(T507="EN PROCESO",1/2,IF(T507="CONCLUIDO",1,0))+
IF(OR(U507="CONCLUIDO",U507="NO APLICA"),1,IF(U507="EN REVISIÓN CENTRAL",2/3,IF(U507="ENVIADO A LA CE/UM",1/3,0)))+
IF(OR(V507="CONCLUIDO",V507="NO APLICA"),1,IF(V507="EN REVISIÓN CENTRAL",2/3,IF(V507="ENVIADO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IF(OR(W507="CONCLUIDO",W507="NO APLICA"),1,IF(W507="EN PROCESO",0.5,0))+
IF(OR(X507="CONCLUIDO",X507="NO APLICA"),1,IF(X507="EN PROCESO",0.5,0))+
IF(Y507="PROGRAMADAS",1/2,IF(Y507="CONCLUIDAS",1,0))+
IF(OR(Z507="SI",Z507="NO APLICA"),1,0)+
IF(OR(AA507="SI",AA507="NO APLICA"),1,0)
)/9</f>
        <v>0.66666666666666663</v>
      </c>
      <c r="AF507" s="91">
        <v>5</v>
      </c>
      <c r="AG507" s="105" t="s">
        <v>1846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>
        <f t="shared" si="14"/>
        <v>0</v>
      </c>
      <c r="AC508">
        <f t="shared" si="15"/>
        <v>0</v>
      </c>
      <c r="AD508" s="67"/>
      <c r="AE508" s="87">
        <f>(
IF(S508="ENVIADO A LA CE/UM",1/3,IF(S508="ENTREGADO/REVISIÓN",2/3,IF(S508="ENVIADO A TICS",1,0)))+
IF(T508="EN PROCESO",1/2,IF(T508="CONCLUIDO",1,0))+
IF(OR(U508="CONCLUIDO",U508="NO APLICA"),1,IF(U508="EN REVISIÓN CENTRAL",2/3,IF(U508="ENVIADO A LA CE/UM",1/3,0)))+
IF(OR(V508="CONCLUIDO",V508="NO APLICA"),1,IF(V508="EN REVISIÓN CENTRAL",2/3,IF(V508="ENVIADO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IF(OR(W508="CONCLUIDO",W508="NO APLICA"),1,IF(W508="EN PROCESO",0.5,0))+
IF(OR(X508="CONCLUIDO",X508="NO APLICA"),1,IF(X508="EN PROCESO",0.5,0))+
IF(Y508="PROGRAMADAS",1/2,IF(Y508="CONCLUIDAS",1,0))+
IF(OR(Z508="SI",Z508="NO APLICA"),1,0)+
IF(OR(AA508="SI",AA508="NO APLICA"),1,0)
)/9</f>
        <v>0.66666666666666663</v>
      </c>
      <c r="AF508" s="91">
        <v>5</v>
      </c>
      <c r="AG508" s="105" t="s">
        <v>1846</v>
      </c>
    </row>
    <row r="509" spans="1:33" x14ac:dyDescent="0.3">
      <c r="A509" s="84" t="s">
        <v>727</v>
      </c>
      <c r="B509" s="93" t="s">
        <v>25</v>
      </c>
      <c r="C509" s="93" t="s">
        <v>724</v>
      </c>
      <c r="D509" s="33" t="s">
        <v>1775</v>
      </c>
      <c r="E509" s="34" t="s">
        <v>728</v>
      </c>
      <c r="F509" s="34" t="s">
        <v>729</v>
      </c>
      <c r="G509" s="34" t="s">
        <v>29</v>
      </c>
      <c r="H509" s="37">
        <v>1</v>
      </c>
      <c r="I509" s="34" t="s">
        <v>30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13</v>
      </c>
      <c r="O509" s="48">
        <v>2</v>
      </c>
      <c r="P509" s="49">
        <v>17</v>
      </c>
      <c r="Q509" s="50">
        <v>18.179819899999998</v>
      </c>
      <c r="R509" s="50">
        <v>-93.058869799999997</v>
      </c>
      <c r="S509" s="66" t="s">
        <v>34</v>
      </c>
      <c r="T509" s="66"/>
      <c r="U509" s="66" t="s">
        <v>35</v>
      </c>
      <c r="V509" s="66" t="s">
        <v>35</v>
      </c>
      <c r="W509" s="66"/>
      <c r="X509" s="66"/>
      <c r="Y509" s="66"/>
      <c r="Z509" s="66"/>
      <c r="AA509" s="66"/>
      <c r="AB509">
        <f t="shared" si="14"/>
        <v>0</v>
      </c>
      <c r="AC509">
        <f t="shared" si="15"/>
        <v>0</v>
      </c>
      <c r="AD509" s="70" t="s">
        <v>1795</v>
      </c>
      <c r="AE509" s="87">
        <f>(
IF(S509="ENVIADO A LA CE/UM",1/3,IF(S509="ENTREGADO/REVISIÓN",2/3,IF(S509="ENVIADO A TICS",1,0)))+
IF(T509="EN PROCESO",1/2,IF(T509="CONCLUIDO",1,0))+
IF(OR(U509="CONCLUIDO",U509="NO APLICA"),1,IF(U509="EN REVISIÓN CENTRAL",2/3,IF(U509="ENVIADO A LA CE/UM",1/3,0)))+
IF(OR(V509="CONCLUIDO",V509="NO APLICA"),1,IF(V509="EN REVISIÓN CENTRAL",2/3,IF(V509="ENVIADO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IF(OR(W509="CONCLUIDO",W509="NO APLICA"),1,IF(W509="EN PROCESO",0.5,0))+
IF(OR(X509="CONCLUIDO",X509="NO APLICA"),1,IF(X509="EN PROCESO",0.5,0))+
IF(Y509="PROGRAMADAS",1/2,IF(Y509="CONCLUIDAS",1,0))+
IF(OR(Z509="SI",Z509="NO APLICA"),1,0)+
IF(OR(AA509="SI",AA509="NO APLICA"),1,0)
)/9</f>
        <v>0.33333333333333331</v>
      </c>
      <c r="AF509" s="91">
        <v>8</v>
      </c>
      <c r="AG509" s="105" t="s">
        <v>1847</v>
      </c>
    </row>
    <row r="510" spans="1:33" x14ac:dyDescent="0.3">
      <c r="A510" s="84" t="s">
        <v>1384</v>
      </c>
      <c r="B510" s="93" t="s">
        <v>25</v>
      </c>
      <c r="C510" s="93" t="s">
        <v>724</v>
      </c>
      <c r="D510" s="33" t="s">
        <v>1775</v>
      </c>
      <c r="E510" s="34" t="s">
        <v>1385</v>
      </c>
      <c r="F510" s="34" t="s">
        <v>1386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2</v>
      </c>
      <c r="P510" s="49">
        <v>42</v>
      </c>
      <c r="Q510" s="50">
        <v>17.7594599</v>
      </c>
      <c r="R510" s="50">
        <v>-92.592980600000004</v>
      </c>
      <c r="S510" s="66" t="s">
        <v>34</v>
      </c>
      <c r="T510" s="66"/>
      <c r="U510" s="66" t="s">
        <v>35</v>
      </c>
      <c r="V510" s="66" t="s">
        <v>35</v>
      </c>
      <c r="W510" s="66"/>
      <c r="X510" s="66"/>
      <c r="Y510" s="66"/>
      <c r="Z510" s="66"/>
      <c r="AA510" s="66"/>
      <c r="AB510">
        <f t="shared" si="14"/>
        <v>0</v>
      </c>
      <c r="AC510">
        <f t="shared" si="15"/>
        <v>0</v>
      </c>
      <c r="AD510" s="70" t="s">
        <v>1795</v>
      </c>
      <c r="AE510" s="87">
        <f>(
IF(S510="ENVIADO A LA CE/UM",1/3,IF(S510="ENTREGADO/REVISIÓN",2/3,IF(S510="ENVIADO A TICS",1,0)))+
IF(T510="EN PROCESO",1/2,IF(T510="CONCLUIDO",1,0))+
IF(OR(U510="CONCLUIDO",U510="NO APLICA"),1,IF(U510="EN REVISIÓN CENTRAL",2/3,IF(U510="ENVIADO A LA CE/UM",1/3,0)))+
IF(OR(V510="CONCLUIDO",V510="NO APLICA"),1,IF(V510="EN REVISIÓN CENTRAL",2/3,IF(V510="ENVIADO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IF(OR(W510="CONCLUIDO",W510="NO APLICA"),1,IF(W510="EN PROCESO",0.5,0))+
IF(OR(X510="CONCLUIDO",X510="NO APLICA"),1,IF(X510="EN PROCESO",0.5,0))+
IF(Y510="PROGRAMADAS",1/2,IF(Y510="CONCLUIDAS",1,0))+
IF(OR(Z510="SI",Z510="NO APLICA"),1,0)+
IF(OR(AA510="SI",AA510="NO APLICA"),1,0)
)/9</f>
        <v>0.33333333333333331</v>
      </c>
      <c r="AF510" s="91">
        <v>8</v>
      </c>
      <c r="AG510" s="105" t="s">
        <v>1847</v>
      </c>
    </row>
    <row r="511" spans="1:33" x14ac:dyDescent="0.3">
      <c r="A511" s="84" t="s">
        <v>1368</v>
      </c>
      <c r="B511" s="93" t="s">
        <v>25</v>
      </c>
      <c r="C511" s="93" t="s">
        <v>724</v>
      </c>
      <c r="D511" s="33" t="s">
        <v>1775</v>
      </c>
      <c r="E511" s="34" t="s">
        <v>1369</v>
      </c>
      <c r="F511" s="34" t="s">
        <v>1370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9</v>
      </c>
      <c r="O511" s="48">
        <v>3</v>
      </c>
      <c r="P511" s="49">
        <v>51</v>
      </c>
      <c r="Q511" s="50">
        <v>17.990542399999999</v>
      </c>
      <c r="R511" s="50">
        <v>-93.382786300000006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>
        <f t="shared" si="14"/>
        <v>0</v>
      </c>
      <c r="AC511">
        <f t="shared" si="15"/>
        <v>0</v>
      </c>
      <c r="AD511" s="70" t="s">
        <v>1795</v>
      </c>
      <c r="AE511" s="87">
        <f>(
IF(S511="ENVIADO A LA CE/UM",1/3,IF(S511="ENTREGADO/REVISIÓN",2/3,IF(S511="ENVIADO A TICS",1,0)))+
IF(T511="EN PROCESO",1/2,IF(T511="CONCLUIDO",1,0))+
IF(OR(U511="CONCLUIDO",U511="NO APLICA"),1,IF(U511="EN REVISIÓN CENTRAL",2/3,IF(U511="ENVIADO A LA CE/UM",1/3,0)))+
IF(OR(V511="CONCLUIDO",V511="NO APLICA"),1,IF(V511="EN REVISIÓN CENTRAL",2/3,IF(V511="ENVIADO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IF(OR(W511="CONCLUIDO",W511="NO APLICA"),1,IF(W511="EN PROCESO",0.5,0))+
IF(OR(X511="CONCLUIDO",X511="NO APLICA"),1,IF(X511="EN PROCESO",0.5,0))+
IF(Y511="PROGRAMADAS",1/2,IF(Y511="CONCLUIDAS",1,0))+
IF(OR(Z511="SI",Z511="NO APLICA"),1,0)+
IF(OR(AA511="SI",AA511="NO APLICA"),1,0)
)/9</f>
        <v>0.25925925925925924</v>
      </c>
      <c r="AF511" s="91">
        <v>8</v>
      </c>
      <c r="AG511" s="105" t="s">
        <v>1847</v>
      </c>
    </row>
    <row r="512" spans="1:33" x14ac:dyDescent="0.3">
      <c r="A512" s="84" t="s">
        <v>1674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1675</v>
      </c>
      <c r="G512" s="34" t="s">
        <v>941</v>
      </c>
      <c r="H512" s="37">
        <v>2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45</v>
      </c>
      <c r="O512" s="48">
        <v>6</v>
      </c>
      <c r="P512" s="49">
        <v>152</v>
      </c>
      <c r="Q512" s="50">
        <v>17.977150999999999</v>
      </c>
      <c r="R512" s="50">
        <v>-92.952872999999997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>
        <f t="shared" si="14"/>
        <v>0</v>
      </c>
      <c r="AC512">
        <f t="shared" si="15"/>
        <v>0</v>
      </c>
      <c r="AD512" s="70" t="s">
        <v>1795</v>
      </c>
      <c r="AE512" s="87">
        <f>(
IF(S512="ENVIADO A LA CE/UM",1/3,IF(S512="ENTREGADO/REVISIÓN",2/3,IF(S512="ENVIADO A TICS",1,0)))+
IF(T512="EN PROCESO",1/2,IF(T512="CONCLUIDO",1,0))+
IF(OR(U512="CONCLUIDO",U512="NO APLICA"),1,IF(U512="EN REVISIÓN CENTRAL",2/3,IF(U512="ENVIADO A LA CE/UM",1/3,0)))+
IF(OR(V512="CONCLUIDO",V512="NO APLICA"),1,IF(V512="EN REVISIÓN CENTRAL",2/3,IF(V512="ENVIADO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IF(OR(W512="CONCLUIDO",W512="NO APLICA"),1,IF(W512="EN PROCESO",0.5,0))+
IF(OR(X512="CONCLUIDO",X512="NO APLICA"),1,IF(X512="EN PROCESO",0.5,0))+
IF(Y512="PROGRAMADAS",1/2,IF(Y512="CONCLUIDAS",1,0))+
IF(OR(Z512="SI",Z512="NO APLICA"),1,0)+
IF(OR(AA512="SI",AA512="NO APLICA"),1,0)
)/9</f>
        <v>0.25925925925925924</v>
      </c>
      <c r="AF512" s="91">
        <v>8</v>
      </c>
      <c r="AG512" s="105" t="s">
        <v>1847</v>
      </c>
    </row>
    <row r="513" spans="1:34" x14ac:dyDescent="0.3">
      <c r="A513" s="84" t="s">
        <v>1371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1373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25</v>
      </c>
      <c r="O513" s="48">
        <v>11</v>
      </c>
      <c r="P513" s="49">
        <v>201</v>
      </c>
      <c r="Q513" s="50">
        <v>18.012402099999999</v>
      </c>
      <c r="R513" s="50">
        <v>-92.924240699999999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>
        <f t="shared" si="14"/>
        <v>0</v>
      </c>
      <c r="AC513">
        <f t="shared" si="15"/>
        <v>0</v>
      </c>
      <c r="AD513" s="70" t="s">
        <v>1795</v>
      </c>
      <c r="AE513" s="87">
        <f>(
IF(S513="ENVIADO A LA CE/UM",1/3,IF(S513="ENTREGADO/REVISIÓN",2/3,IF(S513="ENVIADO A TICS",1,0)))+
IF(T513="EN PROCESO",1/2,IF(T513="CONCLUIDO",1,0))+
IF(OR(U513="CONCLUIDO",U513="NO APLICA"),1,IF(U513="EN REVISIÓN CENTRAL",2/3,IF(U513="ENVIADO A LA CE/UM",1/3,0)))+
IF(OR(V513="CONCLUIDO",V513="NO APLICA"),1,IF(V513="EN REVISIÓN CENTRAL",2/3,IF(V513="ENVIADO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IF(OR(W513="CONCLUIDO",W513="NO APLICA"),1,IF(W513="EN PROCESO",0.5,0))+
IF(OR(X513="CONCLUIDO",X513="NO APLICA"),1,IF(X513="EN PROCESO",0.5,0))+
IF(Y513="PROGRAMADAS",1/2,IF(Y513="CONCLUIDAS",1,0))+
IF(OR(Z513="SI",Z513="NO APLICA"),1,0)+
IF(OR(AA513="SI",AA513="NO APLICA"),1,0)
)/9</f>
        <v>0.25925925925925924</v>
      </c>
      <c r="AF513" s="91">
        <v>8</v>
      </c>
      <c r="AG513" s="105" t="s">
        <v>1847</v>
      </c>
    </row>
    <row r="514" spans="1:34" x14ac:dyDescent="0.3">
      <c r="A514" s="84" t="s">
        <v>1374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1375</v>
      </c>
      <c r="G514" s="34" t="s">
        <v>111</v>
      </c>
      <c r="H514" s="37">
        <v>1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67</v>
      </c>
      <c r="O514" s="48">
        <v>8</v>
      </c>
      <c r="P514" s="49">
        <v>346</v>
      </c>
      <c r="Q514" s="50">
        <v>17.9788909</v>
      </c>
      <c r="R514" s="50">
        <v>-92.986235699999995</v>
      </c>
      <c r="S514" s="66" t="s">
        <v>34</v>
      </c>
      <c r="T514" s="66"/>
      <c r="U514" s="66" t="s">
        <v>213</v>
      </c>
      <c r="V514" s="66" t="s">
        <v>213</v>
      </c>
      <c r="W514" s="66"/>
      <c r="X514" s="66"/>
      <c r="Y514" s="66"/>
      <c r="Z514" s="66"/>
      <c r="AA514" s="66"/>
      <c r="AB514">
        <f t="shared" si="14"/>
        <v>0</v>
      </c>
      <c r="AC514">
        <f t="shared" si="15"/>
        <v>0</v>
      </c>
      <c r="AD514" s="70" t="s">
        <v>1795</v>
      </c>
      <c r="AE514" s="87">
        <f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0.25925925925925924</v>
      </c>
      <c r="AF514" s="91">
        <v>8</v>
      </c>
      <c r="AG514" s="105" t="s">
        <v>1847</v>
      </c>
    </row>
    <row r="515" spans="1:34" x14ac:dyDescent="0.3">
      <c r="A515" s="84" t="s">
        <v>1640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1641</v>
      </c>
      <c r="G515" s="34" t="s">
        <v>164</v>
      </c>
      <c r="H515" s="37">
        <v>2</v>
      </c>
      <c r="I515" s="34" t="s">
        <v>155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33</v>
      </c>
      <c r="O515" s="48">
        <v>8</v>
      </c>
      <c r="P515" s="49">
        <v>118</v>
      </c>
      <c r="Q515" s="50">
        <v>17.976465999999999</v>
      </c>
      <c r="R515" s="50">
        <v>-92.953389999999999</v>
      </c>
      <c r="S515" s="66" t="s">
        <v>34</v>
      </c>
      <c r="T515" s="66"/>
      <c r="U515" s="66" t="s">
        <v>35</v>
      </c>
      <c r="V515" s="66" t="s">
        <v>35</v>
      </c>
      <c r="W515" s="66"/>
      <c r="X515" s="66"/>
      <c r="Y515" s="66"/>
      <c r="Z515" s="66"/>
      <c r="AA515" s="66"/>
      <c r="AB515">
        <f t="shared" ref="AB515:AB578" si="16">IF(OR(AND(Z515="SI",AA515="NO"),AND(Z515="NO",AA515="SI")),1,0)</f>
        <v>0</v>
      </c>
      <c r="AC515">
        <f t="shared" ref="AC515:AC578" si="17">IF(AND(OR(Z515="SI",Z515="NO APLICA"),OR(AA515="SI",AA515="NO APLICA")),1,0)</f>
        <v>0</v>
      </c>
      <c r="AD515" s="70" t="s">
        <v>1795</v>
      </c>
      <c r="AE515" s="87">
        <f>(
IF(S515="ENVIADO A LA CE/UM",1/3,IF(S515="ENTREGADO/REVISIÓN",2/3,IF(S515="ENVIADO A TICS",1,0)))+
IF(T515="EN PROCESO",1/2,IF(T515="CONCLUIDO",1,0))+
IF(OR(U515="CONCLUIDO",U515="NO APLICA"),1,IF(U515="EN REVISIÓN CENTRAL",2/3,IF(U515="ENVIADO A LA CE/UM",1/3,0)))+
IF(OR(V515="CONCLUIDO",V515="NO APLICA"),1,IF(V515="EN REVISIÓN CENTRAL",2/3,IF(V515="ENVIADO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IF(OR(W515="CONCLUIDO",W515="NO APLICA"),1,IF(W515="EN PROCESO",0.5,0))+
IF(OR(X515="CONCLUIDO",X515="NO APLICA"),1,IF(X515="EN PROCESO",0.5,0))+
IF(Y515="PROGRAMADAS",1/2,IF(Y515="CONCLUIDAS",1,0))+
IF(OR(Z515="SI",Z515="NO APLICA"),1,0)+
IF(OR(AA515="SI",AA515="NO APLICA"),1,0)
)/9</f>
        <v>0.33333333333333331</v>
      </c>
      <c r="AF515" s="91">
        <v>8</v>
      </c>
      <c r="AG515" s="105" t="s">
        <v>1847</v>
      </c>
    </row>
    <row r="516" spans="1:34" x14ac:dyDescent="0.3">
      <c r="A516" s="84" t="s">
        <v>1382</v>
      </c>
      <c r="B516" s="93" t="s">
        <v>25</v>
      </c>
      <c r="C516" s="93" t="s">
        <v>724</v>
      </c>
      <c r="D516" s="33" t="s">
        <v>1775</v>
      </c>
      <c r="E516" s="34" t="s">
        <v>737</v>
      </c>
      <c r="F516" s="34" t="s">
        <v>1383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19</v>
      </c>
      <c r="O516" s="48">
        <v>2</v>
      </c>
      <c r="P516" s="49">
        <v>43</v>
      </c>
      <c r="Q516" s="50">
        <v>17.826924000000002</v>
      </c>
      <c r="R516" s="50">
        <v>-93.395583000000002</v>
      </c>
      <c r="S516" s="66" t="s">
        <v>34</v>
      </c>
      <c r="T516" s="66"/>
      <c r="U516" s="66" t="s">
        <v>213</v>
      </c>
      <c r="V516" s="66" t="s">
        <v>213</v>
      </c>
      <c r="W516" s="66"/>
      <c r="X516" s="66"/>
      <c r="Y516" s="66"/>
      <c r="Z516" s="66"/>
      <c r="AA516" s="66"/>
      <c r="AB516">
        <f t="shared" si="16"/>
        <v>0</v>
      </c>
      <c r="AC516">
        <f t="shared" si="17"/>
        <v>0</v>
      </c>
      <c r="AD516" s="70" t="s">
        <v>1795</v>
      </c>
      <c r="AE516" s="87">
        <f>(
IF(S516="ENVIADO A LA CE/UM",1/3,IF(S516="ENTREGADO/REVISIÓN",2/3,IF(S516="ENVIADO A TICS",1,0)))+
IF(T516="EN PROCESO",1/2,IF(T516="CONCLUIDO",1,0))+
IF(OR(U516="CONCLUIDO",U516="NO APLICA"),1,IF(U516="EN REVISIÓN CENTRAL",2/3,IF(U516="ENVIADO A LA CE/UM",1/3,0)))+
IF(OR(V516="CONCLUIDO",V516="NO APLICA"),1,IF(V516="EN REVISIÓN CENTRAL",2/3,IF(V516="ENVIADO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IF(OR(W516="CONCLUIDO",W516="NO APLICA"),1,IF(W516="EN PROCESO",0.5,0))+
IF(OR(X516="CONCLUIDO",X516="NO APLICA"),1,IF(X516="EN PROCESO",0.5,0))+
IF(Y516="PROGRAMADAS",1/2,IF(Y516="CONCLUIDAS",1,0))+
IF(OR(Z516="SI",Z516="NO APLICA"),1,0)+
IF(OR(AA516="SI",AA516="NO APLICA"),1,0)
)/9</f>
        <v>0.25925925925925924</v>
      </c>
      <c r="AF516" s="91">
        <v>8</v>
      </c>
      <c r="AG516" s="105" t="s">
        <v>1847</v>
      </c>
    </row>
    <row r="517" spans="1:34" x14ac:dyDescent="0.3">
      <c r="A517" s="84" t="s">
        <v>723</v>
      </c>
      <c r="B517" s="93" t="s">
        <v>25</v>
      </c>
      <c r="C517" s="93" t="s">
        <v>724</v>
      </c>
      <c r="D517" s="33" t="s">
        <v>1775</v>
      </c>
      <c r="E517" s="34" t="s">
        <v>725</v>
      </c>
      <c r="F517" s="34" t="s">
        <v>726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10</v>
      </c>
      <c r="O517" s="48">
        <v>2</v>
      </c>
      <c r="P517" s="49">
        <v>20</v>
      </c>
      <c r="Q517" s="50">
        <v>17.723228800000001</v>
      </c>
      <c r="R517" s="50">
        <v>-92.813005099999998</v>
      </c>
      <c r="S517" s="66" t="s">
        <v>34</v>
      </c>
      <c r="T517" s="66"/>
      <c r="U517" s="66" t="s">
        <v>213</v>
      </c>
      <c r="V517" s="66" t="s">
        <v>213</v>
      </c>
      <c r="W517" s="66"/>
      <c r="X517" s="66"/>
      <c r="Y517" s="76"/>
      <c r="Z517" s="66"/>
      <c r="AA517" s="66"/>
      <c r="AB517">
        <f t="shared" si="16"/>
        <v>0</v>
      </c>
      <c r="AC517">
        <f t="shared" si="17"/>
        <v>0</v>
      </c>
      <c r="AD517" s="70" t="s">
        <v>1795</v>
      </c>
      <c r="AE517" s="87">
        <f>(
IF(S517="ENVIADO A LA CE/UM",1/3,IF(S517="ENTREGADO/REVISIÓN",2/3,IF(S517="ENVIADO A TICS",1,0)))+
IF(T517="EN PROCESO",1/2,IF(T517="CONCLUIDO",1,0))+
IF(OR(U517="CONCLUIDO",U517="NO APLICA"),1,IF(U517="EN REVISIÓN CENTRAL",2/3,IF(U517="ENVIADO A LA CE/UM",1/3,0)))+
IF(OR(V517="CONCLUIDO",V517="NO APLICA"),1,IF(V517="EN REVISIÓN CENTRAL",2/3,IF(V517="ENVIADO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IF(OR(W517="CONCLUIDO",W517="NO APLICA"),1,IF(W517="EN PROCESO",0.5,0))+
IF(OR(X517="CONCLUIDO",X517="NO APLICA"),1,IF(X517="EN PROCESO",0.5,0))+
IF(Y517="PROGRAMADAS",1/2,IF(Y517="CONCLUIDAS",1,0))+
IF(OR(Z517="SI",Z517="NO APLICA"),1,0)+
IF(OR(AA517="SI",AA517="NO APLICA"),1,0)
)/9</f>
        <v>0.25925925925925924</v>
      </c>
      <c r="AF517" s="91">
        <v>8</v>
      </c>
      <c r="AG517" s="105" t="s">
        <v>1847</v>
      </c>
    </row>
    <row r="518" spans="1:34" x14ac:dyDescent="0.3">
      <c r="A518" s="84" t="s">
        <v>1389</v>
      </c>
      <c r="B518" s="93" t="s">
        <v>25</v>
      </c>
      <c r="C518" s="93" t="s">
        <v>724</v>
      </c>
      <c r="D518" s="33" t="s">
        <v>1775</v>
      </c>
      <c r="E518" s="34" t="s">
        <v>1390</v>
      </c>
      <c r="F518" s="34" t="s">
        <v>1391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84</v>
      </c>
      <c r="N518" s="47">
        <v>15</v>
      </c>
      <c r="O518" s="48">
        <v>2</v>
      </c>
      <c r="P518" s="49">
        <v>45</v>
      </c>
      <c r="Q518" s="50">
        <v>18.388200000000001</v>
      </c>
      <c r="R518" s="50">
        <v>-93.212299999999999</v>
      </c>
      <c r="S518" s="66" t="s">
        <v>34</v>
      </c>
      <c r="T518" s="66"/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>
        <f t="shared" si="16"/>
        <v>0</v>
      </c>
      <c r="AC518">
        <f t="shared" si="17"/>
        <v>0</v>
      </c>
      <c r="AD518" s="70" t="s">
        <v>1795</v>
      </c>
      <c r="AE518" s="87">
        <f>(
IF(S518="ENVIADO A LA CE/UM",1/3,IF(S518="ENTREGADO/REVISIÓN",2/3,IF(S518="ENVIADO A TICS",1,0)))+
IF(T518="EN PROCESO",1/2,IF(T518="CONCLUIDO",1,0))+
IF(OR(U518="CONCLUIDO",U518="NO APLICA"),1,IF(U518="EN REVISIÓN CENTRAL",2/3,IF(U518="ENVIADO A LA CE/UM",1/3,0)))+
IF(OR(V518="CONCLUIDO",V518="NO APLICA"),1,IF(V518="EN REVISIÓN CENTRAL",2/3,IF(V518="ENVIADO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IF(OR(W518="CONCLUIDO",W518="NO APLICA"),1,IF(W518="EN PROCESO",0.5,0))+
IF(OR(X518="CONCLUIDO",X518="NO APLICA"),1,IF(X518="EN PROCESO",0.5,0))+
IF(Y518="PROGRAMADAS",1/2,IF(Y518="CONCLUIDAS",1,0))+
IF(OR(Z518="SI",Z518="NO APLICA"),1,0)+
IF(OR(AA518="SI",AA518="NO APLICA"),1,0)
)/9</f>
        <v>0.25925925925925924</v>
      </c>
      <c r="AF518" s="91">
        <v>8</v>
      </c>
      <c r="AG518" s="105" t="s">
        <v>1847</v>
      </c>
    </row>
    <row r="519" spans="1:34" x14ac:dyDescent="0.3">
      <c r="A519" s="84" t="s">
        <v>733</v>
      </c>
      <c r="B519" s="93" t="s">
        <v>25</v>
      </c>
      <c r="C519" s="93" t="s">
        <v>724</v>
      </c>
      <c r="D519" s="33" t="s">
        <v>1775</v>
      </c>
      <c r="E519" s="34" t="s">
        <v>734</v>
      </c>
      <c r="F519" s="34" t="s">
        <v>735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26</v>
      </c>
      <c r="Q519" s="50">
        <v>17.593216300000002</v>
      </c>
      <c r="R519" s="50">
        <v>-92.830547600000003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>
        <f t="shared" si="16"/>
        <v>0</v>
      </c>
      <c r="AC519">
        <f t="shared" si="17"/>
        <v>0</v>
      </c>
      <c r="AD519" s="70" t="s">
        <v>1795</v>
      </c>
      <c r="AE519" s="87">
        <f>(
IF(S519="ENVIADO A LA CE/UM",1/3,IF(S519="ENTREGADO/REVISIÓN",2/3,IF(S519="ENVIADO A TICS",1,0)))+
IF(T519="EN PROCESO",1/2,IF(T519="CONCLUIDO",1,0))+
IF(OR(U519="CONCLUIDO",U519="NO APLICA"),1,IF(U519="EN REVISIÓN CENTRAL",2/3,IF(U519="ENVIADO A LA CE/UM",1/3,0)))+
IF(OR(V519="CONCLUIDO",V519="NO APLICA"),1,IF(V519="EN REVISIÓN CENTRAL",2/3,IF(V519="ENVIADO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IF(OR(W519="CONCLUIDO",W519="NO APLICA"),1,IF(W519="EN PROCESO",0.5,0))+
IF(OR(X519="CONCLUIDO",X519="NO APLICA"),1,IF(X519="EN PROCESO",0.5,0))+
IF(Y519="PROGRAMADAS",1/2,IF(Y519="CONCLUIDAS",1,0))+
IF(OR(Z519="SI",Z519="NO APLICA"),1,0)+
IF(OR(AA519="SI",AA519="NO APLICA"),1,0)
)/9</f>
        <v>0.25925925925925924</v>
      </c>
      <c r="AF519" s="91">
        <v>8</v>
      </c>
      <c r="AG519" s="105" t="s">
        <v>1847</v>
      </c>
    </row>
    <row r="520" spans="1:34" x14ac:dyDescent="0.3">
      <c r="A520" s="84" t="s">
        <v>1392</v>
      </c>
      <c r="B520" s="93" t="s">
        <v>25</v>
      </c>
      <c r="C520" s="93" t="s">
        <v>724</v>
      </c>
      <c r="D520" s="33" t="s">
        <v>1775</v>
      </c>
      <c r="E520" s="34" t="s">
        <v>1393</v>
      </c>
      <c r="F520" s="34" t="s">
        <v>1394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7</v>
      </c>
      <c r="O520" s="48">
        <v>2</v>
      </c>
      <c r="P520" s="49">
        <v>35</v>
      </c>
      <c r="Q520" s="50">
        <v>17.559166699999999</v>
      </c>
      <c r="R520" s="50">
        <v>-92.950222199999999</v>
      </c>
      <c r="S520" s="66" t="s">
        <v>34</v>
      </c>
      <c r="T520" s="66"/>
      <c r="U520" s="66" t="s">
        <v>213</v>
      </c>
      <c r="V520" s="66" t="s">
        <v>213</v>
      </c>
      <c r="W520" s="66"/>
      <c r="X520" s="66"/>
      <c r="Y520" s="76"/>
      <c r="Z520" s="66"/>
      <c r="AA520" s="66"/>
      <c r="AB520">
        <f t="shared" si="16"/>
        <v>0</v>
      </c>
      <c r="AC520">
        <f t="shared" si="17"/>
        <v>0</v>
      </c>
      <c r="AD520" s="70" t="s">
        <v>1795</v>
      </c>
      <c r="AE520" s="87">
        <f>(
IF(S520="ENVIADO A LA CE/UM",1/3,IF(S520="ENTREGADO/REVISIÓN",2/3,IF(S520="ENVIADO A TICS",1,0)))+
IF(T520="EN PROCESO",1/2,IF(T520="CONCLUIDO",1,0))+
IF(OR(U520="CONCLUIDO",U520="NO APLICA"),1,IF(U520="EN REVISIÓN CENTRAL",2/3,IF(U520="ENVIADO A LA CE/UM",1/3,0)))+
IF(OR(V520="CONCLUIDO",V520="NO APLICA"),1,IF(V520="EN REVISIÓN CENTRAL",2/3,IF(V520="ENVIADO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IF(OR(W520="CONCLUIDO",W520="NO APLICA"),1,IF(W520="EN PROCESO",0.5,0))+
IF(OR(X520="CONCLUIDO",X520="NO APLICA"),1,IF(X520="EN PROCESO",0.5,0))+
IF(Y520="PROGRAMADAS",1/2,IF(Y520="CONCLUIDAS",1,0))+
IF(OR(Z520="SI",Z520="NO APLICA"),1,0)+
IF(OR(AA520="SI",AA520="NO APLICA"),1,0)
)/9</f>
        <v>0.25925925925925924</v>
      </c>
      <c r="AF520" s="91">
        <v>8</v>
      </c>
      <c r="AG520" s="105" t="s">
        <v>1847</v>
      </c>
    </row>
    <row r="521" spans="1:34" x14ac:dyDescent="0.3">
      <c r="A521" s="84" t="s">
        <v>1395</v>
      </c>
      <c r="B521" s="93" t="s">
        <v>25</v>
      </c>
      <c r="C521" s="93" t="s">
        <v>724</v>
      </c>
      <c r="D521" s="34" t="s">
        <v>1775</v>
      </c>
      <c r="E521" s="34" t="s">
        <v>1396</v>
      </c>
      <c r="F521" s="34" t="s">
        <v>1397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13</v>
      </c>
      <c r="O521" s="48">
        <v>2</v>
      </c>
      <c r="P521" s="49">
        <v>47</v>
      </c>
      <c r="Q521" s="50">
        <v>17.469200000000001</v>
      </c>
      <c r="R521" s="50">
        <v>-91.4114</v>
      </c>
      <c r="S521" s="66" t="s">
        <v>34</v>
      </c>
      <c r="T521" s="66"/>
      <c r="U521" s="66" t="s">
        <v>35</v>
      </c>
      <c r="V521" s="66" t="s">
        <v>35</v>
      </c>
      <c r="W521" s="66"/>
      <c r="X521" s="66"/>
      <c r="Y521" s="66"/>
      <c r="Z521" s="66"/>
      <c r="AA521" s="66"/>
      <c r="AB521">
        <f t="shared" si="16"/>
        <v>0</v>
      </c>
      <c r="AC521">
        <f t="shared" si="17"/>
        <v>0</v>
      </c>
      <c r="AD521" s="70" t="s">
        <v>1795</v>
      </c>
      <c r="AE521" s="87">
        <f>(
IF(S521="ENVIADO A LA CE/UM",1/3,IF(S521="ENTREGADO/REVISIÓN",2/3,IF(S521="ENVIADO A TICS",1,0)))+
IF(T521="EN PROCESO",1/2,IF(T521="CONCLUIDO",1,0))+
IF(OR(U521="CONCLUIDO",U521="NO APLICA"),1,IF(U521="EN REVISIÓN CENTRAL",2/3,IF(U521="ENVIADO A LA CE/UM",1/3,0)))+
IF(OR(V521="CONCLUIDO",V521="NO APLICA"),1,IF(V521="EN REVISIÓN CENTRAL",2/3,IF(V521="ENVIADO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IF(OR(W521="CONCLUIDO",W521="NO APLICA"),1,IF(W521="EN PROCESO",0.5,0))+
IF(OR(X521="CONCLUIDO",X521="NO APLICA"),1,IF(X521="EN PROCESO",0.5,0))+
IF(Y521="PROGRAMADAS",1/2,IF(Y521="CONCLUIDAS",1,0))+
IF(OR(Z521="SI",Z521="NO APLICA"),1,0)+
IF(OR(AA521="SI",AA521="NO APLICA"),1,0)
)/9</f>
        <v>0.33333333333333331</v>
      </c>
      <c r="AF521" s="91">
        <v>8</v>
      </c>
      <c r="AG521" s="105" t="s">
        <v>1847</v>
      </c>
    </row>
    <row r="522" spans="1:34" x14ac:dyDescent="0.3">
      <c r="A522" s="84" t="s">
        <v>736</v>
      </c>
      <c r="B522" s="93" t="s">
        <v>25</v>
      </c>
      <c r="C522" s="93" t="s">
        <v>724</v>
      </c>
      <c r="D522" s="33" t="s">
        <v>1775</v>
      </c>
      <c r="E522" s="34" t="s">
        <v>737</v>
      </c>
      <c r="F522" s="34" t="s">
        <v>738</v>
      </c>
      <c r="G522" s="34" t="s">
        <v>29</v>
      </c>
      <c r="H522" s="37">
        <v>1</v>
      </c>
      <c r="I522" s="34" t="s">
        <v>30</v>
      </c>
      <c r="J522" s="34" t="s">
        <v>31</v>
      </c>
      <c r="K522" s="34" t="s">
        <v>32</v>
      </c>
      <c r="L522" s="34" t="s">
        <v>1755</v>
      </c>
      <c r="M522" s="34" t="s">
        <v>33</v>
      </c>
      <c r="N522" s="47">
        <v>11</v>
      </c>
      <c r="O522" s="48">
        <v>2</v>
      </c>
      <c r="P522" s="49">
        <v>28</v>
      </c>
      <c r="Q522" s="50">
        <v>18.088884</v>
      </c>
      <c r="R522" s="50">
        <v>-94.040238000000002</v>
      </c>
      <c r="S522" s="66" t="s">
        <v>34</v>
      </c>
      <c r="T522" s="66"/>
      <c r="U522" s="66" t="s">
        <v>213</v>
      </c>
      <c r="V522" s="66" t="s">
        <v>213</v>
      </c>
      <c r="W522" s="66"/>
      <c r="X522" s="66"/>
      <c r="Y522" s="66"/>
      <c r="Z522" s="66"/>
      <c r="AA522" s="66"/>
      <c r="AB522">
        <f t="shared" si="16"/>
        <v>0</v>
      </c>
      <c r="AC522">
        <f t="shared" si="17"/>
        <v>0</v>
      </c>
      <c r="AD522" s="70" t="s">
        <v>1795</v>
      </c>
      <c r="AE522" s="87">
        <f>(
IF(S522="ENVIADO A LA CE/UM",1/3,IF(S522="ENTREGADO/REVISIÓN",2/3,IF(S522="ENVIADO A TICS",1,0)))+
IF(T522="EN PROCESO",1/2,IF(T522="CONCLUIDO",1,0))+
IF(OR(U522="CONCLUIDO",U522="NO APLICA"),1,IF(U522="EN REVISIÓN CENTRAL",2/3,IF(U522="ENVIADO A LA CE/UM",1/3,0)))+
IF(OR(V522="CONCLUIDO",V522="NO APLICA"),1,IF(V522="EN REVISIÓN CENTRAL",2/3,IF(V522="ENVIADO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IF(OR(W522="CONCLUIDO",W522="NO APLICA"),1,IF(W522="EN PROCESO",0.5,0))+
IF(OR(X522="CONCLUIDO",X522="NO APLICA"),1,IF(X522="EN PROCESO",0.5,0))+
IF(Y522="PROGRAMADAS",1/2,IF(Y522="CONCLUIDAS",1,0))+
IF(OR(Z522="SI",Z522="NO APLICA"),1,0)+
IF(OR(AA522="SI",AA522="NO APLICA"),1,0)
)/9</f>
        <v>0.25925925925925924</v>
      </c>
      <c r="AF522" s="91">
        <v>8</v>
      </c>
      <c r="AG522" s="105" t="s">
        <v>1847</v>
      </c>
    </row>
    <row r="523" spans="1:34" x14ac:dyDescent="0.3">
      <c r="A523" s="84" t="s">
        <v>1398</v>
      </c>
      <c r="B523" s="93" t="s">
        <v>25</v>
      </c>
      <c r="C523" s="93" t="s">
        <v>724</v>
      </c>
      <c r="D523" s="33" t="s">
        <v>1775</v>
      </c>
      <c r="E523" s="34" t="s">
        <v>1399</v>
      </c>
      <c r="F523" s="34" t="s">
        <v>1400</v>
      </c>
      <c r="G523" s="34" t="s">
        <v>111</v>
      </c>
      <c r="H523" s="37">
        <v>1</v>
      </c>
      <c r="I523" s="34" t="s">
        <v>112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18</v>
      </c>
      <c r="O523" s="48">
        <v>4</v>
      </c>
      <c r="P523" s="49">
        <v>99</v>
      </c>
      <c r="Q523" s="50">
        <v>18.266231900000001</v>
      </c>
      <c r="R523" s="50">
        <v>-93.231950100000006</v>
      </c>
      <c r="S523" s="66" t="s">
        <v>34</v>
      </c>
      <c r="T523" s="66"/>
      <c r="U523" s="66" t="s">
        <v>213</v>
      </c>
      <c r="V523" s="66" t="s">
        <v>213</v>
      </c>
      <c r="W523" s="66"/>
      <c r="X523" s="66"/>
      <c r="Y523" s="66"/>
      <c r="Z523" s="66"/>
      <c r="AA523" s="66"/>
      <c r="AB523">
        <f t="shared" si="16"/>
        <v>0</v>
      </c>
      <c r="AC523">
        <f t="shared" si="17"/>
        <v>0</v>
      </c>
      <c r="AD523" s="70" t="s">
        <v>1795</v>
      </c>
      <c r="AE523" s="87">
        <f>(
IF(S523="ENVIADO A LA CE/UM",1/3,IF(S523="ENTREGADO/REVISIÓN",2/3,IF(S523="ENVIADO A TICS",1,0)))+
IF(T523="EN PROCESO",1/2,IF(T523="CONCLUIDO",1,0))+
IF(OR(U523="CONCLUIDO",U523="NO APLICA"),1,IF(U523="EN REVISIÓN CENTRAL",2/3,IF(U523="ENVIADO A LA CE/UM",1/3,0)))+
IF(OR(V523="CONCLUIDO",V523="NO APLICA"),1,IF(V523="EN REVISIÓN CENTRAL",2/3,IF(V523="ENVIADO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IF(OR(W523="CONCLUIDO",W523="NO APLICA"),1,IF(W523="EN PROCESO",0.5,0))+
IF(OR(X523="CONCLUIDO",X523="NO APLICA"),1,IF(X523="EN PROCESO",0.5,0))+
IF(Y523="PROGRAMADAS",1/2,IF(Y523="CONCLUIDAS",1,0))+
IF(OR(Z523="SI",Z523="NO APLICA"),1,0)+
IF(OR(AA523="SI",AA523="NO APLICA"),1,0)
)/9</f>
        <v>0.25925925925925924</v>
      </c>
      <c r="AF523" s="91">
        <v>8</v>
      </c>
      <c r="AG523" s="105" t="s">
        <v>1847</v>
      </c>
    </row>
    <row r="524" spans="1:34" x14ac:dyDescent="0.3">
      <c r="A524" s="84" t="s">
        <v>1365</v>
      </c>
      <c r="B524" s="93" t="s">
        <v>25</v>
      </c>
      <c r="C524" s="93" t="s">
        <v>724</v>
      </c>
      <c r="D524" s="33" t="s">
        <v>1775</v>
      </c>
      <c r="E524" s="34" t="s">
        <v>1366</v>
      </c>
      <c r="F524" s="34" t="s">
        <v>1367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16</v>
      </c>
      <c r="O524" s="48">
        <v>2</v>
      </c>
      <c r="P524" s="49">
        <v>40</v>
      </c>
      <c r="Q524" s="50">
        <v>17.811900000000001</v>
      </c>
      <c r="R524" s="50">
        <v>-91.533500000000004</v>
      </c>
      <c r="S524" s="66" t="s">
        <v>34</v>
      </c>
      <c r="T524" s="66"/>
      <c r="U524" s="66" t="s">
        <v>176</v>
      </c>
      <c r="V524" s="66" t="s">
        <v>176</v>
      </c>
      <c r="W524" s="66"/>
      <c r="X524" s="66"/>
      <c r="Y524" s="66"/>
      <c r="Z524" s="66"/>
      <c r="AA524" s="66"/>
      <c r="AB524">
        <f t="shared" si="16"/>
        <v>0</v>
      </c>
      <c r="AC524">
        <f t="shared" si="17"/>
        <v>0</v>
      </c>
      <c r="AD524" s="70" t="s">
        <v>1795</v>
      </c>
      <c r="AE524" s="87">
        <f>(
IF(S524="ENVIADO A LA CE/UM",1/3,IF(S524="ENTREGADO/REVISIÓN",2/3,IF(S524="ENVIADO A TICS",1,0)))+
IF(T524="EN PROCESO",1/2,IF(T524="CONCLUIDO",1,0))+
IF(OR(U524="CONCLUIDO",U524="NO APLICA"),1,IF(U524="EN REVISIÓN CENTRAL",2/3,IF(U524="ENVIADO A LA CE/UM",1/3,0)))+
IF(OR(V524="CONCLUIDO",V524="NO APLICA"),1,IF(V524="EN REVISIÓN CENTRAL",2/3,IF(V524="ENVIADO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IF(OR(W524="CONCLUIDO",W524="NO APLICA"),1,IF(W524="EN PROCESO",0.5,0))+
IF(OR(X524="CONCLUIDO",X524="NO APLICA"),1,IF(X524="EN PROCESO",0.5,0))+
IF(Y524="PROGRAMADAS",1/2,IF(Y524="CONCLUIDAS",1,0))+
IF(OR(Z524="SI",Z524="NO APLICA"),1,0)+
IF(OR(AA524="SI",AA524="NO APLICA"),1,0)
)/9</f>
        <v>0.18518518518518517</v>
      </c>
      <c r="AF524" s="91">
        <v>8</v>
      </c>
      <c r="AG524" s="105" t="s">
        <v>1847</v>
      </c>
    </row>
    <row r="525" spans="1:34" x14ac:dyDescent="0.3">
      <c r="A525" s="84" t="s">
        <v>1705</v>
      </c>
      <c r="B525" s="93" t="s">
        <v>25</v>
      </c>
      <c r="C525" s="93" t="s">
        <v>724</v>
      </c>
      <c r="D525" s="33" t="s">
        <v>1775</v>
      </c>
      <c r="E525" s="34" t="s">
        <v>1372</v>
      </c>
      <c r="F525" s="34" t="s">
        <v>1706</v>
      </c>
      <c r="G525" s="34" t="s">
        <v>169</v>
      </c>
      <c r="H525" s="37">
        <v>2</v>
      </c>
      <c r="I525" s="34" t="s">
        <v>170</v>
      </c>
      <c r="J525" s="34" t="s">
        <v>31</v>
      </c>
      <c r="K525" s="34" t="s">
        <v>32</v>
      </c>
      <c r="L525" s="34" t="s">
        <v>1756</v>
      </c>
      <c r="M525" s="34" t="s">
        <v>33</v>
      </c>
      <c r="N525" s="47">
        <v>13</v>
      </c>
      <c r="O525" s="48">
        <v>0</v>
      </c>
      <c r="P525" s="49">
        <v>83</v>
      </c>
      <c r="Q525" s="50">
        <v>18.014170700000001</v>
      </c>
      <c r="R525" s="50">
        <v>-92.920878999999999</v>
      </c>
      <c r="S525" s="66" t="s">
        <v>34</v>
      </c>
      <c r="T525" s="66"/>
      <c r="U525" s="66" t="s">
        <v>176</v>
      </c>
      <c r="V525" s="66" t="s">
        <v>176</v>
      </c>
      <c r="W525" s="66"/>
      <c r="X525" s="66"/>
      <c r="Y525" s="66"/>
      <c r="Z525" s="66"/>
      <c r="AA525" s="66"/>
      <c r="AB525">
        <f t="shared" si="16"/>
        <v>0</v>
      </c>
      <c r="AC525">
        <f t="shared" si="17"/>
        <v>0</v>
      </c>
      <c r="AD525" s="70" t="s">
        <v>1795</v>
      </c>
      <c r="AE525" s="87">
        <f>(
IF(S525="ENVIADO A LA CE/UM",1/3,IF(S525="ENTREGADO/REVISIÓN",2/3,IF(S525="ENVIADO A TICS",1,0)))+
IF(T525="EN PROCESO",1/2,IF(T525="CONCLUIDO",1,0))+
IF(OR(U525="CONCLUIDO",U525="NO APLICA"),1,IF(U525="EN REVISIÓN CENTRAL",2/3,IF(U525="ENVIADO A LA CE/UM",1/3,0)))+
IF(OR(V525="CONCLUIDO",V525="NO APLICA"),1,IF(V525="EN REVISIÓN CENTRAL",2/3,IF(V525="ENVIADO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IF(OR(W525="CONCLUIDO",W525="NO APLICA"),1,IF(W525="EN PROCESO",0.5,0))+
IF(OR(X525="CONCLUIDO",X525="NO APLICA"),1,IF(X525="EN PROCESO",0.5,0))+
IF(Y525="PROGRAMADAS",1/2,IF(Y525="CONCLUIDAS",1,0))+
IF(OR(Z525="SI",Z525="NO APLICA"),1,0)+
IF(OR(AA525="SI",AA525="NO APLICA"),1,0)
)/9</f>
        <v>0.18518518518518517</v>
      </c>
      <c r="AF525" s="91">
        <v>8</v>
      </c>
      <c r="AG525" s="105" t="s">
        <v>1847</v>
      </c>
      <c r="AH525">
        <f>IF(OR(Z2="SI",AA2="SI"),1,0)</f>
        <v>1</v>
      </c>
    </row>
    <row r="526" spans="1:34" x14ac:dyDescent="0.3">
      <c r="A526" s="84" t="s">
        <v>1376</v>
      </c>
      <c r="B526" s="93" t="s">
        <v>25</v>
      </c>
      <c r="C526" s="93" t="s">
        <v>724</v>
      </c>
      <c r="D526" s="33" t="s">
        <v>1775</v>
      </c>
      <c r="E526" s="34" t="s">
        <v>1377</v>
      </c>
      <c r="F526" s="34" t="s">
        <v>1378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11</v>
      </c>
      <c r="O526" s="48">
        <v>3</v>
      </c>
      <c r="P526" s="49">
        <v>57</v>
      </c>
      <c r="Q526" s="50">
        <v>18.068595299999998</v>
      </c>
      <c r="R526" s="50">
        <v>-93.172695599999997</v>
      </c>
      <c r="S526" s="66" t="s">
        <v>34</v>
      </c>
      <c r="T526" s="66"/>
      <c r="U526" s="66" t="s">
        <v>176</v>
      </c>
      <c r="V526" s="66" t="s">
        <v>176</v>
      </c>
      <c r="W526" s="66"/>
      <c r="X526" s="66"/>
      <c r="Y526" s="66"/>
      <c r="Z526" s="66"/>
      <c r="AA526" s="66"/>
      <c r="AB526">
        <f t="shared" si="16"/>
        <v>0</v>
      </c>
      <c r="AC526">
        <f t="shared" si="17"/>
        <v>0</v>
      </c>
      <c r="AD526" s="70" t="s">
        <v>1795</v>
      </c>
      <c r="AE526" s="87">
        <f>(
IF(S526="ENVIADO A LA CE/UM",1/3,IF(S526="ENTREGADO/REVISIÓN",2/3,IF(S526="ENVIADO A TICS",1,0)))+
IF(T526="EN PROCESO",1/2,IF(T526="CONCLUIDO",1,0))+
IF(OR(U526="CONCLUIDO",U526="NO APLICA"),1,IF(U526="EN REVISIÓN CENTRAL",2/3,IF(U526="ENVIADO A LA CE/UM",1/3,0)))+
IF(OR(V526="CONCLUIDO",V526="NO APLICA"),1,IF(V526="EN REVISIÓN CENTRAL",2/3,IF(V526="ENVIADO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IF(OR(W526="CONCLUIDO",W526="NO APLICA"),1,IF(W526="EN PROCESO",0.5,0))+
IF(OR(X526="CONCLUIDO",X526="NO APLICA"),1,IF(X526="EN PROCESO",0.5,0))+
IF(Y526="PROGRAMADAS",1/2,IF(Y526="CONCLUIDAS",1,0))+
IF(OR(Z526="SI",Z526="NO APLICA"),1,0)+
IF(OR(AA526="SI",AA526="NO APLICA"),1,0)
)/9</f>
        <v>0.18518518518518517</v>
      </c>
      <c r="AF526" s="91">
        <v>8</v>
      </c>
      <c r="AG526" s="105" t="s">
        <v>1847</v>
      </c>
      <c r="AH526">
        <f t="shared" ref="AH526:AH589" si="18">IF(OR(Z3="SI",AA3="SI"),1,0)</f>
        <v>0</v>
      </c>
    </row>
    <row r="527" spans="1:34" x14ac:dyDescent="0.3">
      <c r="A527" s="84" t="s">
        <v>1379</v>
      </c>
      <c r="B527" s="93" t="s">
        <v>25</v>
      </c>
      <c r="C527" s="93" t="s">
        <v>724</v>
      </c>
      <c r="D527" s="33" t="s">
        <v>1775</v>
      </c>
      <c r="E527" s="34" t="s">
        <v>1380</v>
      </c>
      <c r="F527" s="34" t="s">
        <v>1381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15</v>
      </c>
      <c r="O527" s="48">
        <v>2</v>
      </c>
      <c r="P527" s="49">
        <v>43</v>
      </c>
      <c r="Q527" s="50">
        <v>17.741220999999999</v>
      </c>
      <c r="R527" s="50">
        <v>-91.782673000000003</v>
      </c>
      <c r="S527" s="66" t="s">
        <v>34</v>
      </c>
      <c r="T527" s="66"/>
      <c r="U527" s="66" t="s">
        <v>176</v>
      </c>
      <c r="V527" s="66" t="s">
        <v>176</v>
      </c>
      <c r="W527" s="66"/>
      <c r="X527" s="66"/>
      <c r="Y527" s="66"/>
      <c r="Z527" s="66"/>
      <c r="AA527" s="66"/>
      <c r="AB527">
        <f t="shared" si="16"/>
        <v>0</v>
      </c>
      <c r="AC527">
        <f t="shared" si="17"/>
        <v>0</v>
      </c>
      <c r="AD527" s="70" t="s">
        <v>1795</v>
      </c>
      <c r="AE527" s="87">
        <f>(
IF(S527="ENVIADO A LA CE/UM",1/3,IF(S527="ENTREGADO/REVISIÓN",2/3,IF(S527="ENVIADO A TICS",1,0)))+
IF(T527="EN PROCESO",1/2,IF(T527="CONCLUIDO",1,0))+
IF(OR(U527="CONCLUIDO",U527="NO APLICA"),1,IF(U527="EN REVISIÓN CENTRAL",2/3,IF(U527="ENVIADO A LA CE/UM",1/3,0)))+
IF(OR(V527="CONCLUIDO",V527="NO APLICA"),1,IF(V527="EN REVISIÓN CENTRAL",2/3,IF(V527="ENVIADO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IF(OR(W527="CONCLUIDO",W527="NO APLICA"),1,IF(W527="EN PROCESO",0.5,0))+
IF(OR(X527="CONCLUIDO",X527="NO APLICA"),1,IF(X527="EN PROCESO",0.5,0))+
IF(Y527="PROGRAMADAS",1/2,IF(Y527="CONCLUIDAS",1,0))+
IF(OR(Z527="SI",Z527="NO APLICA"),1,0)+
IF(OR(AA527="SI",AA527="NO APLICA"),1,0)
)/9</f>
        <v>0.18518518518518517</v>
      </c>
      <c r="AF527" s="91">
        <v>8</v>
      </c>
      <c r="AG527" s="105" t="s">
        <v>1847</v>
      </c>
      <c r="AH527">
        <f t="shared" si="18"/>
        <v>0</v>
      </c>
    </row>
    <row r="528" spans="1:34" x14ac:dyDescent="0.3">
      <c r="A528" s="84" t="s">
        <v>1387</v>
      </c>
      <c r="B528" s="93" t="s">
        <v>25</v>
      </c>
      <c r="C528" s="93" t="s">
        <v>724</v>
      </c>
      <c r="D528" s="33" t="s">
        <v>1775</v>
      </c>
      <c r="E528" s="34" t="s">
        <v>1385</v>
      </c>
      <c r="F528" s="34" t="s">
        <v>1388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84</v>
      </c>
      <c r="N528" s="47">
        <v>12</v>
      </c>
      <c r="O528" s="48">
        <v>2</v>
      </c>
      <c r="P528" s="49">
        <v>53</v>
      </c>
      <c r="Q528" s="50">
        <v>17.8447</v>
      </c>
      <c r="R528" s="50">
        <v>-92.529300000000006</v>
      </c>
      <c r="S528" s="66" t="s">
        <v>34</v>
      </c>
      <c r="T528" s="66"/>
      <c r="U528" s="66" t="s">
        <v>176</v>
      </c>
      <c r="V528" s="66" t="s">
        <v>176</v>
      </c>
      <c r="W528" s="66"/>
      <c r="X528" s="66"/>
      <c r="Y528" s="66"/>
      <c r="Z528" s="66"/>
      <c r="AA528" s="66"/>
      <c r="AB528">
        <f t="shared" si="16"/>
        <v>0</v>
      </c>
      <c r="AC528">
        <f t="shared" si="17"/>
        <v>0</v>
      </c>
      <c r="AD528" s="70" t="s">
        <v>1795</v>
      </c>
      <c r="AE528" s="87">
        <f>(
IF(S528="ENVIADO A LA CE/UM",1/3,IF(S528="ENTREGADO/REVISIÓN",2/3,IF(S528="ENVIADO A TICS",1,0)))+
IF(T528="EN PROCESO",1/2,IF(T528="CONCLUIDO",1,0))+
IF(OR(U528="CONCLUIDO",U528="NO APLICA"),1,IF(U528="EN REVISIÓN CENTRAL",2/3,IF(U528="ENVIADO A LA CE/UM",1/3,0)))+
IF(OR(V528="CONCLUIDO",V528="NO APLICA"),1,IF(V528="EN REVISIÓN CENTRAL",2/3,IF(V528="ENVIADO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IF(OR(W528="CONCLUIDO",W528="NO APLICA"),1,IF(W528="EN PROCESO",0.5,0))+
IF(OR(X528="CONCLUIDO",X528="NO APLICA"),1,IF(X528="EN PROCESO",0.5,0))+
IF(Y528="PROGRAMADAS",1/2,IF(Y528="CONCLUIDAS",1,0))+
IF(OR(Z528="SI",Z528="NO APLICA"),1,0)+
IF(OR(AA528="SI",AA528="NO APLICA"),1,0)
)/9</f>
        <v>0.18518518518518517</v>
      </c>
      <c r="AF528" s="91">
        <v>8</v>
      </c>
      <c r="AG528" s="105" t="s">
        <v>1847</v>
      </c>
      <c r="AH528">
        <f t="shared" si="18"/>
        <v>1</v>
      </c>
    </row>
    <row r="529" spans="1:34" x14ac:dyDescent="0.3">
      <c r="A529" s="84" t="s">
        <v>730</v>
      </c>
      <c r="B529" s="93" t="s">
        <v>25</v>
      </c>
      <c r="C529" s="93" t="s">
        <v>724</v>
      </c>
      <c r="D529" s="33" t="s">
        <v>1775</v>
      </c>
      <c r="E529" s="34" t="s">
        <v>731</v>
      </c>
      <c r="F529" s="34" t="s">
        <v>732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10</v>
      </c>
      <c r="O529" s="48">
        <v>2</v>
      </c>
      <c r="P529" s="49">
        <v>22</v>
      </c>
      <c r="Q529" s="50">
        <v>18.166251299999999</v>
      </c>
      <c r="R529" s="50">
        <v>-93.016657199999997</v>
      </c>
      <c r="S529" s="66" t="s">
        <v>34</v>
      </c>
      <c r="T529" s="66"/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>
        <f t="shared" si="16"/>
        <v>0</v>
      </c>
      <c r="AC529">
        <f t="shared" si="17"/>
        <v>0</v>
      </c>
      <c r="AD529" s="70" t="s">
        <v>1795</v>
      </c>
      <c r="AE529" s="87">
        <f>(
IF(S529="ENVIADO A LA CE/UM",1/3,IF(S529="ENTREGADO/REVISIÓN",2/3,IF(S529="ENVIADO A TICS",1,0)))+
IF(T529="EN PROCESO",1/2,IF(T529="CONCLUIDO",1,0))+
IF(OR(U529="CONCLUIDO",U529="NO APLICA"),1,IF(U529="EN REVISIÓN CENTRAL",2/3,IF(U529="ENVIADO A LA CE/UM",1/3,0)))+
IF(OR(V529="CONCLUIDO",V529="NO APLICA"),1,IF(V529="EN REVISIÓN CENTRAL",2/3,IF(V529="ENVIADO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IF(OR(W529="CONCLUIDO",W529="NO APLICA"),1,IF(W529="EN PROCESO",0.5,0))+
IF(OR(X529="CONCLUIDO",X529="NO APLICA"),1,IF(X529="EN PROCESO",0.5,0))+
IF(Y529="PROGRAMADAS",1/2,IF(Y529="CONCLUIDAS",1,0))+
IF(OR(Z529="SI",Z529="NO APLICA"),1,0)+
IF(OR(AA529="SI",AA529="NO APLICA"),1,0)
)/9</f>
        <v>0.18518518518518517</v>
      </c>
      <c r="AF529" s="91">
        <v>8</v>
      </c>
      <c r="AG529" s="105" t="s">
        <v>1847</v>
      </c>
      <c r="AH529">
        <f t="shared" si="18"/>
        <v>0</v>
      </c>
    </row>
    <row r="530" spans="1:34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>
        <f t="shared" si="16"/>
        <v>0</v>
      </c>
      <c r="AC530">
        <f t="shared" si="17"/>
        <v>0</v>
      </c>
      <c r="AD530" s="70" t="s">
        <v>1795</v>
      </c>
      <c r="AE530" s="87">
        <f>(
IF(S530="ENVIADO A LA CE/UM",1/3,IF(S530="ENTREGADO/REVISIÓN",2/3,IF(S530="ENVIADO A TICS",1,0)))+
IF(T530="EN PROCESO",1/2,IF(T530="CONCLUIDO",1,0))+
IF(OR(U530="CONCLUIDO",U530="NO APLICA"),1,IF(U530="EN REVISIÓN CENTRAL",2/3,IF(U530="ENVIADO A LA CE/UM",1/3,0)))+
IF(OR(V530="CONCLUIDO",V530="NO APLICA"),1,IF(V530="EN REVISIÓN CENTRAL",2/3,IF(V530="ENVIADO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IF(OR(W530="CONCLUIDO",W530="NO APLICA"),1,IF(W530="EN PROCESO",0.5,0))+
IF(OR(X530="CONCLUIDO",X530="NO APLICA"),1,IF(X530="EN PROCESO",0.5,0))+
IF(Y530="PROGRAMADAS",1/2,IF(Y530="CONCLUIDAS",1,0))+
IF(OR(Z530="SI",Z530="NO APLICA"),1,0)+
IF(OR(AA530="SI",AA530="NO APLICA"),1,0)
)/9</f>
        <v>0.18518518518518517</v>
      </c>
      <c r="AF530" s="91">
        <v>8</v>
      </c>
      <c r="AG530" s="105" t="s">
        <v>1847</v>
      </c>
      <c r="AH530">
        <f t="shared" si="18"/>
        <v>0</v>
      </c>
    </row>
    <row r="531" spans="1:34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>
        <f t="shared" si="16"/>
        <v>0</v>
      </c>
      <c r="AC531">
        <f t="shared" si="17"/>
        <v>0</v>
      </c>
      <c r="AD531" s="70" t="s">
        <v>1795</v>
      </c>
      <c r="AE531" s="87">
        <f>(
IF(S531="ENVIADO A LA CE/UM",1/3,IF(S531="ENTREGADO/REVISIÓN",2/3,IF(S531="ENVIADO A TICS",1,0)))+
IF(T531="EN PROCESO",1/2,IF(T531="CONCLUIDO",1,0))+
IF(OR(U531="CONCLUIDO",U531="NO APLICA"),1,IF(U531="EN REVISIÓN CENTRAL",2/3,IF(U531="ENVIADO A LA CE/UM",1/3,0)))+
IF(OR(V531="CONCLUIDO",V531="NO APLICA"),1,IF(V531="EN REVISIÓN CENTRAL",2/3,IF(V531="ENVIADO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IF(OR(W531="CONCLUIDO",W531="NO APLICA"),1,IF(W531="EN PROCESO",0.5,0))+
IF(OR(X531="CONCLUIDO",X531="NO APLICA"),1,IF(X531="EN PROCESO",0.5,0))+
IF(Y531="PROGRAMADAS",1/2,IF(Y531="CONCLUIDAS",1,0))+
IF(OR(Z531="SI",Z531="NO APLICA"),1,0)+
IF(OR(AA531="SI",AA531="NO APLICA"),1,0)
)/9</f>
        <v>0.18518518518518517</v>
      </c>
      <c r="AF531" s="91">
        <v>8</v>
      </c>
      <c r="AG531" s="105" t="s">
        <v>1847</v>
      </c>
      <c r="AH531">
        <f t="shared" si="18"/>
        <v>0</v>
      </c>
    </row>
    <row r="532" spans="1:34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>
        <f t="shared" si="16"/>
        <v>0</v>
      </c>
      <c r="AC532">
        <f t="shared" si="17"/>
        <v>0</v>
      </c>
      <c r="AD532" s="67"/>
      <c r="AE532" s="87">
        <f>(
IF(S532="ENVIADO A LA CE/UM",1/3,IF(S532="ENTREGADO/REVISIÓN",2/3,IF(S532="ENVIADO A TICS",1,0)))+
IF(T532="EN PROCESO",1/2,IF(T532="CONCLUIDO",1,0))+
IF(OR(U532="CONCLUIDO",U532="NO APLICA"),1,IF(U532="EN REVISIÓN CENTRAL",2/3,IF(U532="ENVIADO A LA CE/UM",1/3,0)))+
IF(OR(V532="CONCLUIDO",V532="NO APLICA"),1,IF(V532="EN REVISIÓN CENTRAL",2/3,IF(V532="ENVIADO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IF(OR(W532="CONCLUIDO",W532="NO APLICA"),1,IF(W532="EN PROCESO",0.5,0))+
IF(OR(X532="CONCLUIDO",X532="NO APLICA"),1,IF(X532="EN PROCESO",0.5,0))+
IF(Y532="PROGRAMADAS",1/2,IF(Y532="CONCLUIDAS",1,0))+
IF(OR(Z532="SI",Z532="NO APLICA"),1,0)+
IF(OR(AA532="SI",AA532="NO APLICA"),1,0)
)/9</f>
        <v>0.48148148148148157</v>
      </c>
      <c r="AF532" s="91">
        <v>10</v>
      </c>
      <c r="AG532" s="105" t="s">
        <v>1782</v>
      </c>
      <c r="AH532">
        <f t="shared" si="18"/>
        <v>0</v>
      </c>
    </row>
    <row r="533" spans="1:34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>
        <f t="shared" si="16"/>
        <v>0</v>
      </c>
      <c r="AC533">
        <f t="shared" si="17"/>
        <v>0</v>
      </c>
      <c r="AD533" s="67"/>
      <c r="AE533" s="87">
        <f>(
IF(S533="ENVIADO A LA CE/UM",1/3,IF(S533="ENTREGADO/REVISIÓN",2/3,IF(S533="ENVIADO A TICS",1,0)))+
IF(T533="EN PROCESO",1/2,IF(T533="CONCLUIDO",1,0))+
IF(OR(U533="CONCLUIDO",U533="NO APLICA"),1,IF(U533="EN REVISIÓN CENTRAL",2/3,IF(U533="ENVIADO A LA CE/UM",1/3,0)))+
IF(OR(V533="CONCLUIDO",V533="NO APLICA"),1,IF(V533="EN REVISIÓN CENTRAL",2/3,IF(V533="ENVIADO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IF(OR(W533="CONCLUIDO",W533="NO APLICA"),1,IF(W533="EN PROCESO",0.5,0))+
IF(OR(X533="CONCLUIDO",X533="NO APLICA"),1,IF(X533="EN PROCESO",0.5,0))+
IF(Y533="PROGRAMADAS",1/2,IF(Y533="CONCLUIDAS",1,0))+
IF(OR(Z533="SI",Z533="NO APLICA"),1,0)+
IF(OR(AA533="SI",AA533="NO APLICA"),1,0)
)/9</f>
        <v>0.18518518518518517</v>
      </c>
      <c r="AF533" s="91">
        <v>10</v>
      </c>
      <c r="AG533" s="105" t="s">
        <v>1782</v>
      </c>
      <c r="AH533">
        <f t="shared" si="18"/>
        <v>0</v>
      </c>
    </row>
    <row r="534" spans="1:34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>
        <f t="shared" si="16"/>
        <v>0</v>
      </c>
      <c r="AC534">
        <f t="shared" si="17"/>
        <v>0</v>
      </c>
      <c r="AD534" s="67"/>
      <c r="AE534" s="87">
        <f>(
IF(S534="ENVIADO A LA CE/UM",1/3,IF(S534="ENTREGADO/REVISIÓN",2/3,IF(S534="ENVIADO A TICS",1,0)))+
IF(T534="EN PROCESO",1/2,IF(T534="CONCLUIDO",1,0))+
IF(OR(U534="CONCLUIDO",U534="NO APLICA"),1,IF(U534="EN REVISIÓN CENTRAL",2/3,IF(U534="ENVIADO A LA CE/UM",1/3,0)))+
IF(OR(V534="CONCLUIDO",V534="NO APLICA"),1,IF(V534="EN REVISIÓN CENTRAL",2/3,IF(V534="ENVIADO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IF(OR(W534="CONCLUIDO",W534="NO APLICA"),1,IF(W534="EN PROCESO",0.5,0))+
IF(OR(X534="CONCLUIDO",X534="NO APLICA"),1,IF(X534="EN PROCESO",0.5,0))+
IF(Y534="PROGRAMADAS",1/2,IF(Y534="CONCLUIDAS",1,0))+
IF(OR(Z534="SI",Z534="NO APLICA"),1,0)+
IF(OR(AA534="SI",AA534="NO APLICA"),1,0)
)/9</f>
        <v>0.18518518518518517</v>
      </c>
      <c r="AF534" s="91">
        <v>10</v>
      </c>
      <c r="AG534" s="105" t="s">
        <v>1782</v>
      </c>
      <c r="AH534">
        <f t="shared" si="18"/>
        <v>0</v>
      </c>
    </row>
    <row r="535" spans="1:34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>
        <f t="shared" si="16"/>
        <v>0</v>
      </c>
      <c r="AC535">
        <f t="shared" si="17"/>
        <v>0</v>
      </c>
      <c r="AD535" s="67"/>
      <c r="AE535" s="87">
        <f>(
IF(S535="ENVIADO A LA CE/UM",1/3,IF(S535="ENTREGADO/REVISIÓN",2/3,IF(S535="ENVIADO A TICS",1,0)))+
IF(T535="EN PROCESO",1/2,IF(T535="CONCLUIDO",1,0))+
IF(OR(U535="CONCLUIDO",U535="NO APLICA"),1,IF(U535="EN REVISIÓN CENTRAL",2/3,IF(U535="ENVIADO A LA CE/UM",1/3,0)))+
IF(OR(V535="CONCLUIDO",V535="NO APLICA"),1,IF(V535="EN REVISIÓN CENTRAL",2/3,IF(V535="ENVIADO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IF(OR(W535="CONCLUIDO",W535="NO APLICA"),1,IF(W535="EN PROCESO",0.5,0))+
IF(OR(X535="CONCLUIDO",X535="NO APLICA"),1,IF(X535="EN PROCESO",0.5,0))+
IF(Y535="PROGRAMADAS",1/2,IF(Y535="CONCLUIDAS",1,0))+
IF(OR(Z535="SI",Z535="NO APLICA"),1,0)+
IF(OR(AA535="SI",AA535="NO APLICA"),1,0)
)/9</f>
        <v>0.18518518518518517</v>
      </c>
      <c r="AF535" s="91">
        <v>10</v>
      </c>
      <c r="AG535" s="105" t="s">
        <v>1782</v>
      </c>
      <c r="AH535">
        <f t="shared" si="18"/>
        <v>0</v>
      </c>
    </row>
    <row r="536" spans="1:34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>
        <f t="shared" si="16"/>
        <v>0</v>
      </c>
      <c r="AC536">
        <f t="shared" si="17"/>
        <v>0</v>
      </c>
      <c r="AD536" s="67"/>
      <c r="AE536" s="87">
        <f>(
IF(S536="ENVIADO A LA CE/UM",1/3,IF(S536="ENTREGADO/REVISIÓN",2/3,IF(S536="ENVIADO A TICS",1,0)))+
IF(T536="EN PROCESO",1/2,IF(T536="CONCLUIDO",1,0))+
IF(OR(U536="CONCLUIDO",U536="NO APLICA"),1,IF(U536="EN REVISIÓN CENTRAL",2/3,IF(U536="ENVIADO A LA CE/UM",1/3,0)))+
IF(OR(V536="CONCLUIDO",V536="NO APLICA"),1,IF(V536="EN REVISIÓN CENTRAL",2/3,IF(V536="ENVIADO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IF(OR(W536="CONCLUIDO",W536="NO APLICA"),1,IF(W536="EN PROCESO",0.5,0))+
IF(OR(X536="CONCLUIDO",X536="NO APLICA"),1,IF(X536="EN PROCESO",0.5,0))+
IF(Y536="PROGRAMADAS",1/2,IF(Y536="CONCLUIDAS",1,0))+
IF(OR(Z536="SI",Z536="NO APLICA"),1,0)+
IF(OR(AA536="SI",AA536="NO APLICA"),1,0)
)/9</f>
        <v>0.18518518518518517</v>
      </c>
      <c r="AF536" s="91">
        <v>10</v>
      </c>
      <c r="AG536" s="105" t="s">
        <v>1782</v>
      </c>
      <c r="AH536">
        <f t="shared" si="18"/>
        <v>0</v>
      </c>
    </row>
    <row r="537" spans="1:34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>
        <f t="shared" si="16"/>
        <v>0</v>
      </c>
      <c r="AC537">
        <f t="shared" si="17"/>
        <v>0</v>
      </c>
      <c r="AD537" s="67"/>
      <c r="AE537" s="87">
        <f>(
IF(S537="ENVIADO A LA CE/UM",1/3,IF(S537="ENTREGADO/REVISIÓN",2/3,IF(S537="ENVIADO A TICS",1,0)))+
IF(T537="EN PROCESO",1/2,IF(T537="CONCLUIDO",1,0))+
IF(OR(U537="CONCLUIDO",U537="NO APLICA"),1,IF(U537="EN REVISIÓN CENTRAL",2/3,IF(U537="ENVIADO A LA CE/UM",1/3,0)))+
IF(OR(V537="CONCLUIDO",V537="NO APLICA"),1,IF(V537="EN REVISIÓN CENTRAL",2/3,IF(V537="ENVIADO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IF(OR(W537="CONCLUIDO",W537="NO APLICA"),1,IF(W537="EN PROCESO",0.5,0))+
IF(OR(X537="CONCLUIDO",X537="NO APLICA"),1,IF(X537="EN PROCESO",0.5,0))+
IF(Y537="PROGRAMADAS",1/2,IF(Y537="CONCLUIDAS",1,0))+
IF(OR(Z537="SI",Z537="NO APLICA"),1,0)+
IF(OR(AA537="SI",AA537="NO APLICA"),1,0)
)/9</f>
        <v>0.18518518518518517</v>
      </c>
      <c r="AF537" s="91">
        <v>10</v>
      </c>
      <c r="AG537" s="105" t="s">
        <v>1782</v>
      </c>
      <c r="AH537">
        <f t="shared" si="18"/>
        <v>0</v>
      </c>
    </row>
    <row r="538" spans="1:34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>
        <f t="shared" si="16"/>
        <v>0</v>
      </c>
      <c r="AC538">
        <f t="shared" si="17"/>
        <v>0</v>
      </c>
      <c r="AD538" s="67"/>
      <c r="AE538" s="87">
        <f>(
IF(S538="ENVIADO A LA CE/UM",1/3,IF(S538="ENTREGADO/REVISIÓN",2/3,IF(S538="ENVIADO A TICS",1,0)))+
IF(T538="EN PROCESO",1/2,IF(T538="CONCLUIDO",1,0))+
IF(OR(U538="CONCLUIDO",U538="NO APLICA"),1,IF(U538="EN REVISIÓN CENTRAL",2/3,IF(U538="ENVIADO A LA CE/UM",1/3,0)))+
IF(OR(V538="CONCLUIDO",V538="NO APLICA"),1,IF(V538="EN REVISIÓN CENTRAL",2/3,IF(V538="ENVIADO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IF(OR(W538="CONCLUIDO",W538="NO APLICA"),1,IF(W538="EN PROCESO",0.5,0))+
IF(OR(X538="CONCLUIDO",X538="NO APLICA"),1,IF(X538="EN PROCESO",0.5,0))+
IF(Y538="PROGRAMADAS",1/2,IF(Y538="CONCLUIDAS",1,0))+
IF(OR(Z538="SI",Z538="NO APLICA"),1,0)+
IF(OR(AA538="SI",AA538="NO APLICA"),1,0)
)/9</f>
        <v>0.18518518518518517</v>
      </c>
      <c r="AF538" s="91">
        <v>10</v>
      </c>
      <c r="AG538" s="105" t="s">
        <v>1782</v>
      </c>
      <c r="AH538">
        <f t="shared" si="18"/>
        <v>0</v>
      </c>
    </row>
    <row r="539" spans="1:34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>
        <f t="shared" si="16"/>
        <v>0</v>
      </c>
      <c r="AC539">
        <f t="shared" si="17"/>
        <v>0</v>
      </c>
      <c r="AD539" s="67"/>
      <c r="AE539" s="87">
        <f>(
IF(S539="ENVIADO A LA CE/UM",1/3,IF(S539="ENTREGADO/REVISIÓN",2/3,IF(S539="ENVIADO A TICS",1,0)))+
IF(T539="EN PROCESO",1/2,IF(T539="CONCLUIDO",1,0))+
IF(OR(U539="CONCLUIDO",U539="NO APLICA"),1,IF(U539="EN REVISIÓN CENTRAL",2/3,IF(U539="ENVIADO A LA CE/UM",1/3,0)))+
IF(OR(V539="CONCLUIDO",V539="NO APLICA"),1,IF(V539="EN REVISIÓN CENTRAL",2/3,IF(V539="ENVIADO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IF(OR(W539="CONCLUIDO",W539="NO APLICA"),1,IF(W539="EN PROCESO",0.5,0))+
IF(OR(X539="CONCLUIDO",X539="NO APLICA"),1,IF(X539="EN PROCESO",0.5,0))+
IF(Y539="PROGRAMADAS",1/2,IF(Y539="CONCLUIDAS",1,0))+
IF(OR(Z539="SI",Z539="NO APLICA"),1,0)+
IF(OR(AA539="SI",AA539="NO APLICA"),1,0)
)/9</f>
        <v>0.18518518518518517</v>
      </c>
      <c r="AF539" s="91">
        <v>10</v>
      </c>
      <c r="AG539" s="105" t="s">
        <v>1782</v>
      </c>
      <c r="AH539">
        <f t="shared" si="18"/>
        <v>0</v>
      </c>
    </row>
    <row r="540" spans="1:34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>
        <f t="shared" si="16"/>
        <v>0</v>
      </c>
      <c r="AC540">
        <f t="shared" si="17"/>
        <v>0</v>
      </c>
      <c r="AD540" s="67"/>
      <c r="AE540" s="87">
        <f>(
IF(S540="ENVIADO A LA CE/UM",1/3,IF(S540="ENTREGADO/REVISIÓN",2/3,IF(S540="ENVIADO A TICS",1,0)))+
IF(T540="EN PROCESO",1/2,IF(T540="CONCLUIDO",1,0))+
IF(OR(U540="CONCLUIDO",U540="NO APLICA"),1,IF(U540="EN REVISIÓN CENTRAL",2/3,IF(U540="ENVIADO A LA CE/UM",1/3,0)))+
IF(OR(V540="CONCLUIDO",V540="NO APLICA"),1,IF(V540="EN REVISIÓN CENTRAL",2/3,IF(V540="ENVIADO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IF(OR(W540="CONCLUIDO",W540="NO APLICA"),1,IF(W540="EN PROCESO",0.5,0))+
IF(OR(X540="CONCLUIDO",X540="NO APLICA"),1,IF(X540="EN PROCESO",0.5,0))+
IF(Y540="PROGRAMADAS",1/2,IF(Y540="CONCLUIDAS",1,0))+
IF(OR(Z540="SI",Z540="NO APLICA"),1,0)+
IF(OR(AA540="SI",AA540="NO APLICA"),1,0)
)/9</f>
        <v>0.18518518518518517</v>
      </c>
      <c r="AF540" s="91">
        <v>10</v>
      </c>
      <c r="AG540" s="105" t="s">
        <v>1782</v>
      </c>
      <c r="AH540">
        <f t="shared" si="18"/>
        <v>0</v>
      </c>
    </row>
    <row r="541" spans="1:34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>
        <f t="shared" si="16"/>
        <v>0</v>
      </c>
      <c r="AC541">
        <f t="shared" si="17"/>
        <v>0</v>
      </c>
      <c r="AD541" s="67"/>
      <c r="AE541" s="87">
        <f>(
IF(S541="ENVIADO A LA CE/UM",1/3,IF(S541="ENTREGADO/REVISIÓN",2/3,IF(S541="ENVIADO A TICS",1,0)))+
IF(T541="EN PROCESO",1/2,IF(T541="CONCLUIDO",1,0))+
IF(OR(U541="CONCLUIDO",U541="NO APLICA"),1,IF(U541="EN REVISIÓN CENTRAL",2/3,IF(U541="ENVIADO A LA CE/UM",1/3,0)))+
IF(OR(V541="CONCLUIDO",V541="NO APLICA"),1,IF(V541="EN REVISIÓN CENTRAL",2/3,IF(V541="ENVIADO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IF(OR(W541="CONCLUIDO",W541="NO APLICA"),1,IF(W541="EN PROCESO",0.5,0))+
IF(OR(X541="CONCLUIDO",X541="NO APLICA"),1,IF(X541="EN PROCESO",0.5,0))+
IF(Y541="PROGRAMADAS",1/2,IF(Y541="CONCLUIDAS",1,0))+
IF(OR(Z541="SI",Z541="NO APLICA"),1,0)+
IF(OR(AA541="SI",AA541="NO APLICA"),1,0)
)/9</f>
        <v>0.18518518518518517</v>
      </c>
      <c r="AF541" s="91">
        <v>10</v>
      </c>
      <c r="AG541" s="105" t="s">
        <v>1782</v>
      </c>
      <c r="AH541">
        <f t="shared" si="18"/>
        <v>0</v>
      </c>
    </row>
    <row r="542" spans="1:34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>
        <f t="shared" si="16"/>
        <v>0</v>
      </c>
      <c r="AC542">
        <f t="shared" si="17"/>
        <v>0</v>
      </c>
      <c r="AD542" s="67"/>
      <c r="AE542" s="87">
        <f>(
IF(S542="ENVIADO A LA CE/UM",1/3,IF(S542="ENTREGADO/REVISIÓN",2/3,IF(S542="ENVIADO A TICS",1,0)))+
IF(T542="EN PROCESO",1/2,IF(T542="CONCLUIDO",1,0))+
IF(OR(U542="CONCLUIDO",U542="NO APLICA"),1,IF(U542="EN REVISIÓN CENTRAL",2/3,IF(U542="ENVIADO A LA CE/UM",1/3,0)))+
IF(OR(V542="CONCLUIDO",V542="NO APLICA"),1,IF(V542="EN REVISIÓN CENTRAL",2/3,IF(V542="ENVIADO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IF(OR(W542="CONCLUIDO",W542="NO APLICA"),1,IF(W542="EN PROCESO",0.5,0))+
IF(OR(X542="CONCLUIDO",X542="NO APLICA"),1,IF(X542="EN PROCESO",0.5,0))+
IF(Y542="PROGRAMADAS",1/2,IF(Y542="CONCLUIDAS",1,0))+
IF(OR(Z542="SI",Z542="NO APLICA"),1,0)+
IF(OR(AA542="SI",AA542="NO APLICA"),1,0)
)/9</f>
        <v>0.18518518518518517</v>
      </c>
      <c r="AF542" s="91">
        <v>10</v>
      </c>
      <c r="AG542" s="105" t="s">
        <v>1782</v>
      </c>
      <c r="AH542">
        <f t="shared" si="18"/>
        <v>0</v>
      </c>
    </row>
    <row r="543" spans="1:34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>
        <f t="shared" si="16"/>
        <v>0</v>
      </c>
      <c r="AC543">
        <f t="shared" si="17"/>
        <v>0</v>
      </c>
      <c r="AD543" s="67"/>
      <c r="AE543" s="87">
        <f>(
IF(S543="ENVIADO A LA CE/UM",1/3,IF(S543="ENTREGADO/REVISIÓN",2/3,IF(S543="ENVIADO A TICS",1,0)))+
IF(T543="EN PROCESO",1/2,IF(T543="CONCLUIDO",1,0))+
IF(OR(U543="CONCLUIDO",U543="NO APLICA"),1,IF(U543="EN REVISIÓN CENTRAL",2/3,IF(U543="ENVIADO A LA CE/UM",1/3,0)))+
IF(OR(V543="CONCLUIDO",V543="NO APLICA"),1,IF(V543="EN REVISIÓN CENTRAL",2/3,IF(V543="ENVIADO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IF(OR(W543="CONCLUIDO",W543="NO APLICA"),1,IF(W543="EN PROCESO",0.5,0))+
IF(OR(X543="CONCLUIDO",X543="NO APLICA"),1,IF(X543="EN PROCESO",0.5,0))+
IF(Y543="PROGRAMADAS",1/2,IF(Y543="CONCLUIDAS",1,0))+
IF(OR(Z543="SI",Z543="NO APLICA"),1,0)+
IF(OR(AA543="SI",AA543="NO APLICA"),1,0)
)/9</f>
        <v>0.18518518518518517</v>
      </c>
      <c r="AF543" s="91">
        <v>10</v>
      </c>
      <c r="AG543" s="105" t="s">
        <v>1782</v>
      </c>
      <c r="AH543">
        <f t="shared" si="18"/>
        <v>0</v>
      </c>
    </row>
    <row r="544" spans="1:34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>
        <f t="shared" si="16"/>
        <v>0</v>
      </c>
      <c r="AC544">
        <f t="shared" si="17"/>
        <v>0</v>
      </c>
      <c r="AD544" s="67"/>
      <c r="AE544" s="87">
        <f>(
IF(S544="ENVIADO A LA CE/UM",1/3,IF(S544="ENTREGADO/REVISIÓN",2/3,IF(S544="ENVIADO A TICS",1,0)))+
IF(T544="EN PROCESO",1/2,IF(T544="CONCLUIDO",1,0))+
IF(OR(U544="CONCLUIDO",U544="NO APLICA"),1,IF(U544="EN REVISIÓN CENTRAL",2/3,IF(U544="ENVIADO A LA CE/UM",1/3,0)))+
IF(OR(V544="CONCLUIDO",V544="NO APLICA"),1,IF(V544="EN REVISIÓN CENTRAL",2/3,IF(V544="ENVIADO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IF(OR(W544="CONCLUIDO",W544="NO APLICA"),1,IF(W544="EN PROCESO",0.5,0))+
IF(OR(X544="CONCLUIDO",X544="NO APLICA"),1,IF(X544="EN PROCESO",0.5,0))+
IF(Y544="PROGRAMADAS",1/2,IF(Y544="CONCLUIDAS",1,0))+
IF(OR(Z544="SI",Z544="NO APLICA"),1,0)+
IF(OR(AA544="SI",AA544="NO APLICA"),1,0)
)/9</f>
        <v>0.18518518518518517</v>
      </c>
      <c r="AF544" s="91">
        <v>10</v>
      </c>
      <c r="AG544" s="105" t="s">
        <v>1782</v>
      </c>
      <c r="AH544">
        <f t="shared" si="18"/>
        <v>0</v>
      </c>
    </row>
    <row r="545" spans="1:34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>
        <f t="shared" si="16"/>
        <v>0</v>
      </c>
      <c r="AC545">
        <f t="shared" si="17"/>
        <v>0</v>
      </c>
      <c r="AD545" s="67"/>
      <c r="AE545" s="87">
        <f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F545" s="91">
        <v>10</v>
      </c>
      <c r="AG545" s="105" t="s">
        <v>1782</v>
      </c>
      <c r="AH545">
        <f t="shared" si="18"/>
        <v>0</v>
      </c>
    </row>
    <row r="546" spans="1:34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>
        <f t="shared" si="16"/>
        <v>0</v>
      </c>
      <c r="AC546">
        <f t="shared" si="17"/>
        <v>0</v>
      </c>
      <c r="AD546" s="67"/>
      <c r="AE546" s="87">
        <f>(
IF(S546="ENVIADO A LA CE/UM",1/3,IF(S546="ENTREGADO/REVISIÓN",2/3,IF(S546="ENVIADO A TICS",1,0)))+
IF(T546="EN PROCESO",1/2,IF(T546="CONCLUIDO",1,0))+
IF(OR(U546="CONCLUIDO",U546="NO APLICA"),1,IF(U546="EN REVISIÓN CENTRAL",2/3,IF(U546="ENVIADO A LA CE/UM",1/3,0)))+
IF(OR(V546="CONCLUIDO",V546="NO APLICA"),1,IF(V546="EN REVISIÓN CENTRAL",2/3,IF(V546="ENVIADO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IF(OR(W546="CONCLUIDO",W546="NO APLICA"),1,IF(W546="EN PROCESO",0.5,0))+
IF(OR(X546="CONCLUIDO",X546="NO APLICA"),1,IF(X546="EN PROCESO",0.5,0))+
IF(Y546="PROGRAMADAS",1/2,IF(Y546="CONCLUIDAS",1,0))+
IF(OR(Z546="SI",Z546="NO APLICA"),1,0)+
IF(OR(AA546="SI",AA546="NO APLICA"),1,0)
)/9</f>
        <v>0.18518518518518517</v>
      </c>
      <c r="AF546" s="91">
        <v>10</v>
      </c>
      <c r="AG546" s="105" t="s">
        <v>1782</v>
      </c>
      <c r="AH546">
        <f t="shared" si="18"/>
        <v>0</v>
      </c>
    </row>
    <row r="547" spans="1:34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>
        <f t="shared" si="16"/>
        <v>0</v>
      </c>
      <c r="AC547">
        <f t="shared" si="17"/>
        <v>0</v>
      </c>
      <c r="AD547" s="67"/>
      <c r="AE547" s="87">
        <f>(
IF(S547="ENVIADO A LA CE/UM",1/3,IF(S547="ENTREGADO/REVISIÓN",2/3,IF(S547="ENVIADO A TICS",1,0)))+
IF(T547="EN PROCESO",1/2,IF(T547="CONCLUIDO",1,0))+
IF(OR(U547="CONCLUIDO",U547="NO APLICA"),1,IF(U547="EN REVISIÓN CENTRAL",2/3,IF(U547="ENVIADO A LA CE/UM",1/3,0)))+
IF(OR(V547="CONCLUIDO",V547="NO APLICA"),1,IF(V547="EN REVISIÓN CENTRAL",2/3,IF(V547="ENVIADO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IF(OR(W547="CONCLUIDO",W547="NO APLICA"),1,IF(W547="EN PROCESO",0.5,0))+
IF(OR(X547="CONCLUIDO",X547="NO APLICA"),1,IF(X547="EN PROCESO",0.5,0))+
IF(Y547="PROGRAMADAS",1/2,IF(Y547="CONCLUIDAS",1,0))+
IF(OR(Z547="SI",Z547="NO APLICA"),1,0)+
IF(OR(AA547="SI",AA547="NO APLICA"),1,0)
)/9</f>
        <v>0.18518518518518517</v>
      </c>
      <c r="AF547" s="91">
        <v>10</v>
      </c>
      <c r="AG547" s="105" t="s">
        <v>1782</v>
      </c>
      <c r="AH547">
        <f t="shared" si="18"/>
        <v>0</v>
      </c>
    </row>
    <row r="548" spans="1:34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>
        <f t="shared" si="16"/>
        <v>0</v>
      </c>
      <c r="AC548">
        <f t="shared" si="17"/>
        <v>0</v>
      </c>
      <c r="AD548" s="67"/>
      <c r="AE548" s="87">
        <f>(
IF(S548="ENVIADO A LA CE/UM",1/3,IF(S548="ENTREGADO/REVISIÓN",2/3,IF(S548="ENVIADO A TICS",1,0)))+
IF(T548="EN PROCESO",1/2,IF(T548="CONCLUIDO",1,0))+
IF(OR(U548="CONCLUIDO",U548="NO APLICA"),1,IF(U548="EN REVISIÓN CENTRAL",2/3,IF(U548="ENVIADO A LA CE/UM",1/3,0)))+
IF(OR(V548="CONCLUIDO",V548="NO APLICA"),1,IF(V548="EN REVISIÓN CENTRAL",2/3,IF(V548="ENVIADO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IF(OR(W548="CONCLUIDO",W548="NO APLICA"),1,IF(W548="EN PROCESO",0.5,0))+
IF(OR(X548="CONCLUIDO",X548="NO APLICA"),1,IF(X548="EN PROCESO",0.5,0))+
IF(Y548="PROGRAMADAS",1/2,IF(Y548="CONCLUIDAS",1,0))+
IF(OR(Z548="SI",Z548="NO APLICA"),1,0)+
IF(OR(AA548="SI",AA548="NO APLICA"),1,0)
)/9</f>
        <v>0.18518518518518517</v>
      </c>
      <c r="AF548" s="91">
        <v>10</v>
      </c>
      <c r="AG548" s="105" t="s">
        <v>1782</v>
      </c>
      <c r="AH548">
        <f t="shared" si="18"/>
        <v>1</v>
      </c>
    </row>
    <row r="549" spans="1:34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>
        <f t="shared" si="16"/>
        <v>0</v>
      </c>
      <c r="AC549">
        <f t="shared" si="17"/>
        <v>0</v>
      </c>
      <c r="AD549" s="67"/>
      <c r="AE549" s="87">
        <f>(
IF(S549="ENVIADO A LA CE/UM",1/3,IF(S549="ENTREGADO/REVISIÓN",2/3,IF(S549="ENVIADO A TICS",1,0)))+
IF(T549="EN PROCESO",1/2,IF(T549="CONCLUIDO",1,0))+
IF(OR(U549="CONCLUIDO",U549="NO APLICA"),1,IF(U549="EN REVISIÓN CENTRAL",2/3,IF(U549="ENVIADO A LA CE/UM",1/3,0)))+
IF(OR(V549="CONCLUIDO",V549="NO APLICA"),1,IF(V549="EN REVISIÓN CENTRAL",2/3,IF(V549="ENVIADO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IF(OR(W549="CONCLUIDO",W549="NO APLICA"),1,IF(W549="EN PROCESO",0.5,0))+
IF(OR(X549="CONCLUIDO",X549="NO APLICA"),1,IF(X549="EN PROCESO",0.5,0))+
IF(Y549="PROGRAMADAS",1/2,IF(Y549="CONCLUIDAS",1,0))+
IF(OR(Z549="SI",Z549="NO APLICA"),1,0)+
IF(OR(AA549="SI",AA549="NO APLICA"),1,0)
)/9</f>
        <v>0.18518518518518517</v>
      </c>
      <c r="AF549" s="91">
        <v>10</v>
      </c>
      <c r="AG549" s="105" t="s">
        <v>1782</v>
      </c>
      <c r="AH549">
        <f t="shared" si="18"/>
        <v>1</v>
      </c>
    </row>
    <row r="550" spans="1:34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>
        <f t="shared" si="16"/>
        <v>0</v>
      </c>
      <c r="AC550">
        <f t="shared" si="17"/>
        <v>0</v>
      </c>
      <c r="AD550" s="67"/>
      <c r="AE550" s="87">
        <f>(
IF(S550="ENVIADO A LA CE/UM",1/3,IF(S550="ENTREGADO/REVISIÓN",2/3,IF(S550="ENVIADO A TICS",1,0)))+
IF(T550="EN PROCESO",1/2,IF(T550="CONCLUIDO",1,0))+
IF(OR(U550="CONCLUIDO",U550="NO APLICA"),1,IF(U550="EN REVISIÓN CENTRAL",2/3,IF(U550="ENVIADO A LA CE/UM",1/3,0)))+
IF(OR(V550="CONCLUIDO",V550="NO APLICA"),1,IF(V550="EN REVISIÓN CENTRAL",2/3,IF(V550="ENVIADO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IF(OR(W550="CONCLUIDO",W550="NO APLICA"),1,IF(W550="EN PROCESO",0.5,0))+
IF(OR(X550="CONCLUIDO",X550="NO APLICA"),1,IF(X550="EN PROCESO",0.5,0))+
IF(Y550="PROGRAMADAS",1/2,IF(Y550="CONCLUIDAS",1,0))+
IF(OR(Z550="SI",Z550="NO APLICA"),1,0)+
IF(OR(AA550="SI",AA550="NO APLICA"),1,0)
)/9</f>
        <v>0.18518518518518517</v>
      </c>
      <c r="AF550" s="91">
        <v>10</v>
      </c>
      <c r="AG550" s="105" t="s">
        <v>1782</v>
      </c>
      <c r="AH550">
        <f t="shared" si="18"/>
        <v>1</v>
      </c>
    </row>
    <row r="551" spans="1:34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>
        <f t="shared" si="16"/>
        <v>0</v>
      </c>
      <c r="AC551">
        <f t="shared" si="17"/>
        <v>0</v>
      </c>
      <c r="AD551" s="67"/>
      <c r="AE551" s="87">
        <f>(
IF(S551="ENVIADO A LA CE/UM",1/3,IF(S551="ENTREGADO/REVISIÓN",2/3,IF(S551="ENVIADO A TICS",1,0)))+
IF(T551="EN PROCESO",1/2,IF(T551="CONCLUIDO",1,0))+
IF(OR(U551="CONCLUIDO",U551="NO APLICA"),1,IF(U551="EN REVISIÓN CENTRAL",2/3,IF(U551="ENVIADO A LA CE/UM",1/3,0)))+
IF(OR(V551="CONCLUIDO",V551="NO APLICA"),1,IF(V551="EN REVISIÓN CENTRAL",2/3,IF(V551="ENVIADO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IF(OR(W551="CONCLUIDO",W551="NO APLICA"),1,IF(W551="EN PROCESO",0.5,0))+
IF(OR(X551="CONCLUIDO",X551="NO APLICA"),1,IF(X551="EN PROCESO",0.5,0))+
IF(Y551="PROGRAMADAS",1/2,IF(Y551="CONCLUIDAS",1,0))+
IF(OR(Z551="SI",Z551="NO APLICA"),1,0)+
IF(OR(AA551="SI",AA551="NO APLICA"),1,0)
)/9</f>
        <v>0.18518518518518517</v>
      </c>
      <c r="AF551" s="91">
        <v>10</v>
      </c>
      <c r="AG551" s="105" t="s">
        <v>1782</v>
      </c>
      <c r="AH551">
        <f t="shared" si="18"/>
        <v>1</v>
      </c>
    </row>
    <row r="552" spans="1:34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>
        <f t="shared" si="16"/>
        <v>0</v>
      </c>
      <c r="AC552">
        <f t="shared" si="17"/>
        <v>0</v>
      </c>
      <c r="AD552" s="67" t="s">
        <v>1818</v>
      </c>
      <c r="AE552" s="87">
        <f>(
IF(S552="ENVIADO A LA CE/UM",1/3,IF(S552="ENTREGADO/REVISIÓN",2/3,IF(S552="ENVIADO A TICS",1,0)))+
IF(T552="EN PROCESO",1/2,IF(T552="CONCLUIDO",1,0))+
IF(OR(U552="CONCLUIDO",U552="NO APLICA"),1,IF(U552="EN REVISIÓN CENTRAL",2/3,IF(U552="ENVIADO A LA CE/UM",1/3,0)))+
IF(OR(V552="CONCLUIDO",V552="NO APLICA"),1,IF(V552="EN REVISIÓN CENTRAL",2/3,IF(V552="ENVIADO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IF(OR(W552="CONCLUIDO",W552="NO APLICA"),1,IF(W552="EN PROCESO",0.5,0))+
IF(OR(X552="CONCLUIDO",X552="NO APLICA"),1,IF(X552="EN PROCESO",0.5,0))+
IF(Y552="PROGRAMADAS",1/2,IF(Y552="CONCLUIDAS",1,0))+
IF(OR(Z552="SI",Z552="NO APLICA"),1,0)+
IF(OR(AA552="SI",AA552="NO APLICA"),1,0)
)/9</f>
        <v>0.83333333333333337</v>
      </c>
      <c r="AF552" s="91">
        <v>3</v>
      </c>
      <c r="AG552" s="105" t="s">
        <v>1848</v>
      </c>
      <c r="AH552">
        <f t="shared" si="18"/>
        <v>0</v>
      </c>
    </row>
    <row r="553" spans="1:34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>
        <f t="shared" si="16"/>
        <v>0</v>
      </c>
      <c r="AC553">
        <f t="shared" si="17"/>
        <v>0</v>
      </c>
      <c r="AD553" s="67"/>
      <c r="AE553" s="87">
        <f>(
IF(S553="ENVIADO A LA CE/UM",1/3,IF(S553="ENTREGADO/REVISIÓN",2/3,IF(S553="ENVIADO A TICS",1,0)))+
IF(T553="EN PROCESO",1/2,IF(T553="CONCLUIDO",1,0))+
IF(OR(U553="CONCLUIDO",U553="NO APLICA"),1,IF(U553="EN REVISIÓN CENTRAL",2/3,IF(U553="ENVIADO A LA CE/UM",1/3,0)))+
IF(OR(V553="CONCLUIDO",V553="NO APLICA"),1,IF(V553="EN REVISIÓN CENTRAL",2/3,IF(V553="ENVIADO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IF(OR(W553="CONCLUIDO",W553="NO APLICA"),1,IF(W553="EN PROCESO",0.5,0))+
IF(OR(X553="CONCLUIDO",X553="NO APLICA"),1,IF(X553="EN PROCESO",0.5,0))+
IF(Y553="PROGRAMADAS",1/2,IF(Y553="CONCLUIDAS",1,0))+
IF(OR(Z553="SI",Z553="NO APLICA"),1,0)+
IF(OR(AA553="SI",AA553="NO APLICA"),1,0)
)/9</f>
        <v>0.72222222222222221</v>
      </c>
      <c r="AF553" s="91">
        <v>3</v>
      </c>
      <c r="AG553" s="105" t="s">
        <v>1848</v>
      </c>
      <c r="AH553">
        <f t="shared" si="18"/>
        <v>0</v>
      </c>
    </row>
    <row r="554" spans="1:34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>
        <f t="shared" si="16"/>
        <v>0</v>
      </c>
      <c r="AC554">
        <f t="shared" si="17"/>
        <v>0</v>
      </c>
      <c r="AD554" s="67"/>
      <c r="AE554" s="87">
        <f>(
IF(S554="ENVIADO A LA CE/UM",1/3,IF(S554="ENTREGADO/REVISIÓN",2/3,IF(S554="ENVIADO A TICS",1,0)))+
IF(T554="EN PROCESO",1/2,IF(T554="CONCLUIDO",1,0))+
IF(OR(U554="CONCLUIDO",U554="NO APLICA"),1,IF(U554="EN REVISIÓN CENTRAL",2/3,IF(U554="ENVIADO A LA CE/UM",1/3,0)))+
IF(OR(V554="CONCLUIDO",V554="NO APLICA"),1,IF(V554="EN REVISIÓN CENTRAL",2/3,IF(V554="ENVIADO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IF(OR(W554="CONCLUIDO",W554="NO APLICA"),1,IF(W554="EN PROCESO",0.5,0))+
IF(OR(X554="CONCLUIDO",X554="NO APLICA"),1,IF(X554="EN PROCESO",0.5,0))+
IF(Y554="PROGRAMADAS",1/2,IF(Y554="CONCLUIDAS",1,0))+
IF(OR(Z554="SI",Z554="NO APLICA"),1,0)+
IF(OR(AA554="SI",AA554="NO APLICA"),1,0)
)/9</f>
        <v>0.72222222222222221</v>
      </c>
      <c r="AF554" s="91">
        <v>3</v>
      </c>
      <c r="AG554" s="105" t="s">
        <v>1848</v>
      </c>
      <c r="AH554">
        <f t="shared" si="18"/>
        <v>0</v>
      </c>
    </row>
    <row r="555" spans="1:34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>
        <f t="shared" si="16"/>
        <v>0</v>
      </c>
      <c r="AC555">
        <f t="shared" si="17"/>
        <v>0</v>
      </c>
      <c r="AD555" s="70"/>
      <c r="AE555" s="87">
        <f>(
IF(S555="ENVIADO A LA CE/UM",1/3,IF(S555="ENTREGADO/REVISIÓN",2/3,IF(S555="ENVIADO A TICS",1,0)))+
IF(T555="EN PROCESO",1/2,IF(T555="CONCLUIDO",1,0))+
IF(OR(U555="CONCLUIDO",U555="NO APLICA"),1,IF(U555="EN REVISIÓN CENTRAL",2/3,IF(U555="ENVIADO A LA CE/UM",1/3,0)))+
IF(OR(V555="CONCLUIDO",V555="NO APLICA"),1,IF(V555="EN REVISIÓN CENTRAL",2/3,IF(V555="ENVIADO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IF(OR(W555="CONCLUIDO",W555="NO APLICA"),1,IF(W555="EN PROCESO",0.5,0))+
IF(OR(X555="CONCLUIDO",X555="NO APLICA"),1,IF(X555="EN PROCESO",0.5,0))+
IF(Y555="PROGRAMADAS",1/2,IF(Y555="CONCLUIDAS",1,0))+
IF(OR(Z555="SI",Z555="NO APLICA"),1,0)+
IF(OR(AA555="SI",AA555="NO APLICA"),1,0)
)/9</f>
        <v>0.72222222222222221</v>
      </c>
      <c r="AF555" s="91">
        <v>3</v>
      </c>
      <c r="AG555" s="105" t="s">
        <v>1848</v>
      </c>
      <c r="AH555">
        <f t="shared" si="18"/>
        <v>0</v>
      </c>
    </row>
    <row r="556" spans="1:34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>
        <f t="shared" si="16"/>
        <v>0</v>
      </c>
      <c r="AC556">
        <f t="shared" si="17"/>
        <v>0</v>
      </c>
      <c r="AD556" s="67"/>
      <c r="AE556" s="87">
        <f>(
IF(S556="ENVIADO A LA CE/UM",1/3,IF(S556="ENTREGADO/REVISIÓN",2/3,IF(S556="ENVIADO A TICS",1,0)))+
IF(T556="EN PROCESO",1/2,IF(T556="CONCLUIDO",1,0))+
IF(OR(U556="CONCLUIDO",U556="NO APLICA"),1,IF(U556="EN REVISIÓN CENTRAL",2/3,IF(U556="ENVIADO A LA CE/UM",1/3,0)))+
IF(OR(V556="CONCLUIDO",V556="NO APLICA"),1,IF(V556="EN REVISIÓN CENTRAL",2/3,IF(V556="ENVIADO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IF(OR(W556="CONCLUIDO",W556="NO APLICA"),1,IF(W556="EN PROCESO",0.5,0))+
IF(OR(X556="CONCLUIDO",X556="NO APLICA"),1,IF(X556="EN PROCESO",0.5,0))+
IF(Y556="PROGRAMADAS",1/2,IF(Y556="CONCLUIDAS",1,0))+
IF(OR(Z556="SI",Z556="NO APLICA"),1,0)+
IF(OR(AA556="SI",AA556="NO APLICA"),1,0)
)/9</f>
        <v>0.72222222222222221</v>
      </c>
      <c r="AF556" s="91">
        <v>3</v>
      </c>
      <c r="AG556" s="105" t="s">
        <v>1848</v>
      </c>
      <c r="AH556">
        <f t="shared" si="18"/>
        <v>0</v>
      </c>
    </row>
    <row r="557" spans="1:34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>
        <f t="shared" si="16"/>
        <v>0</v>
      </c>
      <c r="AC557">
        <f t="shared" si="17"/>
        <v>0</v>
      </c>
      <c r="AD557" s="67"/>
      <c r="AE557" s="87">
        <f>(
IF(S557="ENVIADO A LA CE/UM",1/3,IF(S557="ENTREGADO/REVISIÓN",2/3,IF(S557="ENVIADO A TICS",1,0)))+
IF(T557="EN PROCESO",1/2,IF(T557="CONCLUIDO",1,0))+
IF(OR(U557="CONCLUIDO",U557="NO APLICA"),1,IF(U557="EN REVISIÓN CENTRAL",2/3,IF(U557="ENVIADO A LA CE/UM",1/3,0)))+
IF(OR(V557="CONCLUIDO",V557="NO APLICA"),1,IF(V557="EN REVISIÓN CENTRAL",2/3,IF(V557="ENVIADO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IF(OR(W557="CONCLUIDO",W557="NO APLICA"),1,IF(W557="EN PROCESO",0.5,0))+
IF(OR(X557="CONCLUIDO",X557="NO APLICA"),1,IF(X557="EN PROCESO",0.5,0))+
IF(Y557="PROGRAMADAS",1/2,IF(Y557="CONCLUIDAS",1,0))+
IF(OR(Z557="SI",Z557="NO APLICA"),1,0)+
IF(OR(AA557="SI",AA557="NO APLICA"),1,0)
)/9</f>
        <v>0.72222222222222221</v>
      </c>
      <c r="AF557" s="91">
        <v>3</v>
      </c>
      <c r="AG557" s="105" t="s">
        <v>1848</v>
      </c>
      <c r="AH557">
        <f t="shared" si="18"/>
        <v>0</v>
      </c>
    </row>
    <row r="558" spans="1:34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>
        <f t="shared" si="16"/>
        <v>0</v>
      </c>
      <c r="AC558">
        <f t="shared" si="17"/>
        <v>0</v>
      </c>
      <c r="AD558" s="67"/>
      <c r="AE558" s="87">
        <f>(
IF(S558="ENVIADO A LA CE/UM",1/3,IF(S558="ENTREGADO/REVISIÓN",2/3,IF(S558="ENVIADO A TICS",1,0)))+
IF(T558="EN PROCESO",1/2,IF(T558="CONCLUIDO",1,0))+
IF(OR(U558="CONCLUIDO",U558="NO APLICA"),1,IF(U558="EN REVISIÓN CENTRAL",2/3,IF(U558="ENVIADO A LA CE/UM",1/3,0)))+
IF(OR(V558="CONCLUIDO",V558="NO APLICA"),1,IF(V558="EN REVISIÓN CENTRAL",2/3,IF(V558="ENVIADO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IF(OR(W558="CONCLUIDO",W558="NO APLICA"),1,IF(W558="EN PROCESO",0.5,0))+
IF(OR(X558="CONCLUIDO",X558="NO APLICA"),1,IF(X558="EN PROCESO",0.5,0))+
IF(Y558="PROGRAMADAS",1/2,IF(Y558="CONCLUIDAS",1,0))+
IF(OR(Z558="SI",Z558="NO APLICA"),1,0)+
IF(OR(AA558="SI",AA558="NO APLICA"),1,0)
)/9</f>
        <v>0.72222222222222221</v>
      </c>
      <c r="AF558" s="91">
        <v>3</v>
      </c>
      <c r="AG558" s="105" t="s">
        <v>1848</v>
      </c>
      <c r="AH558">
        <f t="shared" si="18"/>
        <v>0</v>
      </c>
    </row>
    <row r="559" spans="1:34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>
        <f t="shared" si="16"/>
        <v>0</v>
      </c>
      <c r="AC559">
        <f t="shared" si="17"/>
        <v>0</v>
      </c>
      <c r="AD559" s="70"/>
      <c r="AE559" s="87">
        <f>(
IF(S559="ENVIADO A LA CE/UM",1/3,IF(S559="ENTREGADO/REVISIÓN",2/3,IF(S559="ENVIADO A TICS",1,0)))+
IF(T559="EN PROCESO",1/2,IF(T559="CONCLUIDO",1,0))+
IF(OR(U559="CONCLUIDO",U559="NO APLICA"),1,IF(U559="EN REVISIÓN CENTRAL",2/3,IF(U559="ENVIADO A LA CE/UM",1/3,0)))+
IF(OR(V559="CONCLUIDO",V559="NO APLICA"),1,IF(V559="EN REVISIÓN CENTRAL",2/3,IF(V559="ENVIADO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IF(OR(W559="CONCLUIDO",W559="NO APLICA"),1,IF(W559="EN PROCESO",0.5,0))+
IF(OR(X559="CONCLUIDO",X559="NO APLICA"),1,IF(X559="EN PROCESO",0.5,0))+
IF(Y559="PROGRAMADAS",1/2,IF(Y559="CONCLUIDAS",1,0))+
IF(OR(Z559="SI",Z559="NO APLICA"),1,0)+
IF(OR(AA559="SI",AA559="NO APLICA"),1,0)
)/9</f>
        <v>0.72222222222222221</v>
      </c>
      <c r="AF559" s="91">
        <v>3</v>
      </c>
      <c r="AG559" s="105" t="s">
        <v>1848</v>
      </c>
      <c r="AH559">
        <f t="shared" si="18"/>
        <v>0</v>
      </c>
    </row>
    <row r="560" spans="1:34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>
        <f t="shared" si="16"/>
        <v>0</v>
      </c>
      <c r="AC560">
        <f t="shared" si="17"/>
        <v>0</v>
      </c>
      <c r="AD560" s="67"/>
      <c r="AE560" s="87">
        <f>(
IF(S560="ENVIADO A LA CE/UM",1/3,IF(S560="ENTREGADO/REVISIÓN",2/3,IF(S560="ENVIADO A TICS",1,0)))+
IF(T560="EN PROCESO",1/2,IF(T560="CONCLUIDO",1,0))+
IF(OR(U560="CONCLUIDO",U560="NO APLICA"),1,IF(U560="EN REVISIÓN CENTRAL",2/3,IF(U560="ENVIADO A LA CE/UM",1/3,0)))+
IF(OR(V560="CONCLUIDO",V560="NO APLICA"),1,IF(V560="EN REVISIÓN CENTRAL",2/3,IF(V560="ENVIADO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IF(OR(W560="CONCLUIDO",W560="NO APLICA"),1,IF(W560="EN PROCESO",0.5,0))+
IF(OR(X560="CONCLUIDO",X560="NO APLICA"),1,IF(X560="EN PROCESO",0.5,0))+
IF(Y560="PROGRAMADAS",1/2,IF(Y560="CONCLUIDAS",1,0))+
IF(OR(Z560="SI",Z560="NO APLICA"),1,0)+
IF(OR(AA560="SI",AA560="NO APLICA"),1,0)
)/9</f>
        <v>0.72222222222222221</v>
      </c>
      <c r="AF560" s="91">
        <v>3</v>
      </c>
      <c r="AG560" s="105" t="s">
        <v>1848</v>
      </c>
      <c r="AH560">
        <f t="shared" si="18"/>
        <v>0</v>
      </c>
    </row>
    <row r="561" spans="1:34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>
        <f t="shared" si="16"/>
        <v>0</v>
      </c>
      <c r="AC561">
        <f t="shared" si="17"/>
        <v>0</v>
      </c>
      <c r="AD561" s="67"/>
      <c r="AE561" s="87">
        <f>(
IF(S561="ENVIADO A LA CE/UM",1/3,IF(S561="ENTREGADO/REVISIÓN",2/3,IF(S561="ENVIADO A TICS",1,0)))+
IF(T561="EN PROCESO",1/2,IF(T561="CONCLUIDO",1,0))+
IF(OR(U561="CONCLUIDO",U561="NO APLICA"),1,IF(U561="EN REVISIÓN CENTRAL",2/3,IF(U561="ENVIADO A LA CE/UM",1/3,0)))+
IF(OR(V561="CONCLUIDO",V561="NO APLICA"),1,IF(V561="EN REVISIÓN CENTRAL",2/3,IF(V561="ENVIADO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IF(OR(W561="CONCLUIDO",W561="NO APLICA"),1,IF(W561="EN PROCESO",0.5,0))+
IF(OR(X561="CONCLUIDO",X561="NO APLICA"),1,IF(X561="EN PROCESO",0.5,0))+
IF(Y561="PROGRAMADAS",1/2,IF(Y561="CONCLUIDAS",1,0))+
IF(OR(Z561="SI",Z561="NO APLICA"),1,0)+
IF(OR(AA561="SI",AA561="NO APLICA"),1,0)
)/9</f>
        <v>0.72222222222222221</v>
      </c>
      <c r="AF561" s="91">
        <v>3</v>
      </c>
      <c r="AG561" s="105" t="s">
        <v>1848</v>
      </c>
      <c r="AH561">
        <f t="shared" si="18"/>
        <v>0</v>
      </c>
    </row>
    <row r="562" spans="1:34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>
        <f t="shared" si="16"/>
        <v>0</v>
      </c>
      <c r="AC562">
        <f t="shared" si="17"/>
        <v>0</v>
      </c>
      <c r="AD562" s="67"/>
      <c r="AE562" s="87">
        <f>(
IF(S562="ENVIADO A LA CE/UM",1/3,IF(S562="ENTREGADO/REVISIÓN",2/3,IF(S562="ENVIADO A TICS",1,0)))+
IF(T562="EN PROCESO",1/2,IF(T562="CONCLUIDO",1,0))+
IF(OR(U562="CONCLUIDO",U562="NO APLICA"),1,IF(U562="EN REVISIÓN CENTRAL",2/3,IF(U562="ENVIADO A LA CE/UM",1/3,0)))+
IF(OR(V562="CONCLUIDO",V562="NO APLICA"),1,IF(V562="EN REVISIÓN CENTRAL",2/3,IF(V562="ENVIADO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IF(OR(W562="CONCLUIDO",W562="NO APLICA"),1,IF(W562="EN PROCESO",0.5,0))+
IF(OR(X562="CONCLUIDO",X562="NO APLICA"),1,IF(X562="EN PROCESO",0.5,0))+
IF(Y562="PROGRAMADAS",1/2,IF(Y562="CONCLUIDAS",1,0))+
IF(OR(Z562="SI",Z562="NO APLICA"),1,0)+
IF(OR(AA562="SI",AA562="NO APLICA"),1,0)
)/9</f>
        <v>0.72222222222222221</v>
      </c>
      <c r="AF562" s="91">
        <v>3</v>
      </c>
      <c r="AG562" s="105" t="s">
        <v>1848</v>
      </c>
      <c r="AH562">
        <f t="shared" si="18"/>
        <v>0</v>
      </c>
    </row>
    <row r="563" spans="1:34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>
        <f t="shared" si="16"/>
        <v>0</v>
      </c>
      <c r="AC563">
        <f t="shared" si="17"/>
        <v>0</v>
      </c>
      <c r="AD563" s="67"/>
      <c r="AE563" s="87">
        <f>(
IF(S563="ENVIADO A LA CE/UM",1/3,IF(S563="ENTREGADO/REVISIÓN",2/3,IF(S563="ENVIADO A TICS",1,0)))+
IF(T563="EN PROCESO",1/2,IF(T563="CONCLUIDO",1,0))+
IF(OR(U563="CONCLUIDO",U563="NO APLICA"),1,IF(U563="EN REVISIÓN CENTRAL",2/3,IF(U563="ENVIADO A LA CE/UM",1/3,0)))+
IF(OR(V563="CONCLUIDO",V563="NO APLICA"),1,IF(V563="EN REVISIÓN CENTRAL",2/3,IF(V563="ENVIADO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IF(OR(W563="CONCLUIDO",W563="NO APLICA"),1,IF(W563="EN PROCESO",0.5,0))+
IF(OR(X563="CONCLUIDO",X563="NO APLICA"),1,IF(X563="EN PROCESO",0.5,0))+
IF(Y563="PROGRAMADAS",1/2,IF(Y563="CONCLUIDAS",1,0))+
IF(OR(Z563="SI",Z563="NO APLICA"),1,0)+
IF(OR(AA563="SI",AA563="NO APLICA"),1,0)
)/9</f>
        <v>0.72222222222222221</v>
      </c>
      <c r="AF563" s="91">
        <v>3</v>
      </c>
      <c r="AG563" s="105" t="s">
        <v>1848</v>
      </c>
      <c r="AH563">
        <f t="shared" si="18"/>
        <v>0</v>
      </c>
    </row>
    <row r="564" spans="1:34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>
        <f t="shared" si="16"/>
        <v>0</v>
      </c>
      <c r="AC564">
        <f t="shared" si="17"/>
        <v>0</v>
      </c>
      <c r="AD564" s="67"/>
      <c r="AE564" s="87">
        <f>(
IF(S564="ENVIADO A LA CE/UM",1/3,IF(S564="ENTREGADO/REVISIÓN",2/3,IF(S564="ENVIADO A TICS",1,0)))+
IF(T564="EN PROCESO",1/2,IF(T564="CONCLUIDO",1,0))+
IF(OR(U564="CONCLUIDO",U564="NO APLICA"),1,IF(U564="EN REVISIÓN CENTRAL",2/3,IF(U564="ENVIADO A LA CE/UM",1/3,0)))+
IF(OR(V564="CONCLUIDO",V564="NO APLICA"),1,IF(V564="EN REVISIÓN CENTRAL",2/3,IF(V564="ENVIADO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IF(OR(W564="CONCLUIDO",W564="NO APLICA"),1,IF(W564="EN PROCESO",0.5,0))+
IF(OR(X564="CONCLUIDO",X564="NO APLICA"),1,IF(X564="EN PROCESO",0.5,0))+
IF(Y564="PROGRAMADAS",1/2,IF(Y564="CONCLUIDAS",1,0))+
IF(OR(Z564="SI",Z564="NO APLICA"),1,0)+
IF(OR(AA564="SI",AA564="NO APLICA"),1,0)
)/9</f>
        <v>0.72222222222222221</v>
      </c>
      <c r="AF564" s="91">
        <v>3</v>
      </c>
      <c r="AG564" s="105" t="s">
        <v>1848</v>
      </c>
      <c r="AH564">
        <f t="shared" si="18"/>
        <v>0</v>
      </c>
    </row>
    <row r="565" spans="1:34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>
        <f t="shared" si="16"/>
        <v>0</v>
      </c>
      <c r="AC565">
        <f t="shared" si="17"/>
        <v>0</v>
      </c>
      <c r="AD565" s="67"/>
      <c r="AE565" s="87">
        <f>(
IF(S565="ENVIADO A LA CE/UM",1/3,IF(S565="ENTREGADO/REVISIÓN",2/3,IF(S565="ENVIADO A TICS",1,0)))+
IF(T565="EN PROCESO",1/2,IF(T565="CONCLUIDO",1,0))+
IF(OR(U565="CONCLUIDO",U565="NO APLICA"),1,IF(U565="EN REVISIÓN CENTRAL",2/3,IF(U565="ENVIADO A LA CE/UM",1/3,0)))+
IF(OR(V565="CONCLUIDO",V565="NO APLICA"),1,IF(V565="EN REVISIÓN CENTRAL",2/3,IF(V565="ENVIADO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IF(OR(W565="CONCLUIDO",W565="NO APLICA"),1,IF(W565="EN PROCESO",0.5,0))+
IF(OR(X565="CONCLUIDO",X565="NO APLICA"),1,IF(X565="EN PROCESO",0.5,0))+
IF(Y565="PROGRAMADAS",1/2,IF(Y565="CONCLUIDAS",1,0))+
IF(OR(Z565="SI",Z565="NO APLICA"),1,0)+
IF(OR(AA565="SI",AA565="NO APLICA"),1,0)
)/9</f>
        <v>0.24074074074074073</v>
      </c>
      <c r="AF565" s="91">
        <v>2</v>
      </c>
      <c r="AG565" s="64" t="s">
        <v>1850</v>
      </c>
      <c r="AH565">
        <f t="shared" si="18"/>
        <v>0</v>
      </c>
    </row>
    <row r="566" spans="1:34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176</v>
      </c>
      <c r="V566" s="66" t="s">
        <v>176</v>
      </c>
      <c r="W566" s="66"/>
      <c r="X566" s="66"/>
      <c r="Y566" s="66"/>
      <c r="Z566" s="66"/>
      <c r="AA566" s="66"/>
      <c r="AB566">
        <f t="shared" si="16"/>
        <v>0</v>
      </c>
      <c r="AC566">
        <f t="shared" si="17"/>
        <v>0</v>
      </c>
      <c r="AD566" s="67"/>
      <c r="AE566" s="87">
        <f>(
IF(S566="ENVIADO A LA CE/UM",1/3,IF(S566="ENTREGADO/REVISIÓN",2/3,IF(S566="ENVIADO A TICS",1,0)))+
IF(T566="EN PROCESO",1/2,IF(T566="CONCLUIDO",1,0))+
IF(OR(U566="CONCLUIDO",U566="NO APLICA"),1,IF(U566="EN REVISIÓN CENTRAL",2/3,IF(U566="ENVIADO A LA CE/UM",1/3,0)))+
IF(OR(V566="CONCLUIDO",V566="NO APLICA"),1,IF(V566="EN REVISIÓN CENTRAL",2/3,IF(V566="ENVIADO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IF(OR(W566="CONCLUIDO",W566="NO APLICA"),1,IF(W566="EN PROCESO",0.5,0))+
IF(OR(X566="CONCLUIDO",X566="NO APLICA"),1,IF(X566="EN PROCESO",0.5,0))+
IF(Y566="PROGRAMADAS",1/2,IF(Y566="CONCLUIDAS",1,0))+
IF(OR(Z566="SI",Z566="NO APLICA"),1,0)+
IF(OR(AA566="SI",AA566="NO APLICA"),1,0)
)/9</f>
        <v>0.24074074074074073</v>
      </c>
      <c r="AF566" s="91">
        <v>2</v>
      </c>
      <c r="AG566" s="64" t="s">
        <v>1850</v>
      </c>
      <c r="AH566">
        <f t="shared" si="18"/>
        <v>0</v>
      </c>
    </row>
    <row r="567" spans="1:34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176</v>
      </c>
      <c r="V567" s="66" t="s">
        <v>176</v>
      </c>
      <c r="W567" s="66"/>
      <c r="X567" s="66"/>
      <c r="Y567" s="66"/>
      <c r="Z567" s="66"/>
      <c r="AA567" s="66"/>
      <c r="AB567">
        <f t="shared" si="16"/>
        <v>0</v>
      </c>
      <c r="AC567">
        <f t="shared" si="17"/>
        <v>0</v>
      </c>
      <c r="AD567" s="67"/>
      <c r="AE567" s="87">
        <f>(
IF(S567="ENVIADO A LA CE/UM",1/3,IF(S567="ENTREGADO/REVISIÓN",2/3,IF(S567="ENVIADO A TICS",1,0)))+
IF(T567="EN PROCESO",1/2,IF(T567="CONCLUIDO",1,0))+
IF(OR(U567="CONCLUIDO",U567="NO APLICA"),1,IF(U567="EN REVISIÓN CENTRAL",2/3,IF(U567="ENVIADO A LA CE/UM",1/3,0)))+
IF(OR(V567="CONCLUIDO",V567="NO APLICA"),1,IF(V567="EN REVISIÓN CENTRAL",2/3,IF(V567="ENVIADO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IF(OR(W567="CONCLUIDO",W567="NO APLICA"),1,IF(W567="EN PROCESO",0.5,0))+
IF(OR(X567="CONCLUIDO",X567="NO APLICA"),1,IF(X567="EN PROCESO",0.5,0))+
IF(Y567="PROGRAMADAS",1/2,IF(Y567="CONCLUIDAS",1,0))+
IF(OR(Z567="SI",Z567="NO APLICA"),1,0)+
IF(OR(AA567="SI",AA567="NO APLICA"),1,0)
)/9</f>
        <v>0.24074074074074073</v>
      </c>
      <c r="AF567" s="91">
        <v>2</v>
      </c>
      <c r="AG567" s="64" t="s">
        <v>1850</v>
      </c>
      <c r="AH567">
        <f t="shared" si="18"/>
        <v>1</v>
      </c>
    </row>
    <row r="568" spans="1:34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>
        <f t="shared" si="16"/>
        <v>0</v>
      </c>
      <c r="AC568">
        <f t="shared" si="17"/>
        <v>0</v>
      </c>
      <c r="AD568" s="67"/>
      <c r="AE568" s="87">
        <f>(
IF(S568="ENVIADO A LA CE/UM",1/3,IF(S568="ENTREGADO/REVISIÓN",2/3,IF(S568="ENVIADO A TICS",1,0)))+
IF(T568="EN PROCESO",1/2,IF(T568="CONCLUIDO",1,0))+
IF(OR(U568="CONCLUIDO",U568="NO APLICA"),1,IF(U568="EN REVISIÓN CENTRAL",2/3,IF(U568="ENVIADO A LA CE/UM",1/3,0)))+
IF(OR(V568="CONCLUIDO",V568="NO APLICA"),1,IF(V568="EN REVISIÓN CENTRAL",2/3,IF(V568="ENVIADO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IF(OR(W568="CONCLUIDO",W568="NO APLICA"),1,IF(W568="EN PROCESO",0.5,0))+
IF(OR(X568="CONCLUIDO",X568="NO APLICA"),1,IF(X568="EN PROCESO",0.5,0))+
IF(Y568="PROGRAMADAS",1/2,IF(Y568="CONCLUIDAS",1,0))+
IF(OR(Z568="SI",Z568="NO APLICA"),1,0)+
IF(OR(AA568="SI",AA568="NO APLICA"),1,0)
)/9</f>
        <v>0.31481481481481477</v>
      </c>
      <c r="AF568" s="91">
        <v>2</v>
      </c>
      <c r="AG568" s="64" t="s">
        <v>1850</v>
      </c>
      <c r="AH568">
        <f t="shared" si="18"/>
        <v>0</v>
      </c>
    </row>
    <row r="569" spans="1:34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>
        <f t="shared" si="16"/>
        <v>0</v>
      </c>
      <c r="AC569">
        <f t="shared" si="17"/>
        <v>0</v>
      </c>
      <c r="AD569" s="67"/>
      <c r="AE569" s="87">
        <f>(
IF(S569="ENVIADO A LA CE/UM",1/3,IF(S569="ENTREGADO/REVISIÓN",2/3,IF(S569="ENVIADO A TICS",1,0)))+
IF(T569="EN PROCESO",1/2,IF(T569="CONCLUIDO",1,0))+
IF(OR(U569="CONCLUIDO",U569="NO APLICA"),1,IF(U569="EN REVISIÓN CENTRAL",2/3,IF(U569="ENVIADO A LA CE/UM",1/3,0)))+
IF(OR(V569="CONCLUIDO",V569="NO APLICA"),1,IF(V569="EN REVISIÓN CENTRAL",2/3,IF(V569="ENVIADO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IF(OR(W569="CONCLUIDO",W569="NO APLICA"),1,IF(W569="EN PROCESO",0.5,0))+
IF(OR(X569="CONCLUIDO",X569="NO APLICA"),1,IF(X569="EN PROCESO",0.5,0))+
IF(Y569="PROGRAMADAS",1/2,IF(Y569="CONCLUIDAS",1,0))+
IF(OR(Z569="SI",Z569="NO APLICA"),1,0)+
IF(OR(AA569="SI",AA569="NO APLICA"),1,0)
)/9</f>
        <v>0.24074074074074073</v>
      </c>
      <c r="AF569" s="91">
        <v>2</v>
      </c>
      <c r="AG569" s="64" t="s">
        <v>1850</v>
      </c>
      <c r="AH569">
        <f t="shared" si="18"/>
        <v>0</v>
      </c>
    </row>
    <row r="570" spans="1:34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/>
      <c r="Z570" s="66"/>
      <c r="AA570" s="66"/>
      <c r="AB570">
        <f t="shared" si="16"/>
        <v>0</v>
      </c>
      <c r="AC570">
        <f t="shared" si="17"/>
        <v>0</v>
      </c>
      <c r="AD570" s="67"/>
      <c r="AE570" s="87">
        <f>(
IF(S570="ENVIADO A LA CE/UM",1/3,IF(S570="ENTREGADO/REVISIÓN",2/3,IF(S570="ENVIADO A TICS",1,0)))+
IF(T570="EN PROCESO",1/2,IF(T570="CONCLUIDO",1,0))+
IF(OR(U570="CONCLUIDO",U570="NO APLICA"),1,IF(U570="EN REVISIÓN CENTRAL",2/3,IF(U570="ENVIADO A LA CE/UM",1/3,0)))+
IF(OR(V570="CONCLUIDO",V570="NO APLICA"),1,IF(V570="EN REVISIÓN CENTRAL",2/3,IF(V570="ENVIADO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IF(OR(W570="CONCLUIDO",W570="NO APLICA"),1,IF(W570="EN PROCESO",0.5,0))+
IF(OR(X570="CONCLUIDO",X570="NO APLICA"),1,IF(X570="EN PROCESO",0.5,0))+
IF(Y570="PROGRAMADAS",1/2,IF(Y570="CONCLUIDAS",1,0))+
IF(OR(Z570="SI",Z570="NO APLICA"),1,0)+
IF(OR(AA570="SI",AA570="NO APLICA"),1,0)
)/9</f>
        <v>0.61111111111111116</v>
      </c>
      <c r="AF570" s="91">
        <v>3</v>
      </c>
      <c r="AG570" s="103" t="s">
        <v>1851</v>
      </c>
      <c r="AH570">
        <f t="shared" si="18"/>
        <v>0</v>
      </c>
    </row>
    <row r="571" spans="1:34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>
        <f t="shared" si="16"/>
        <v>0</v>
      </c>
      <c r="AC571">
        <f t="shared" si="17"/>
        <v>0</v>
      </c>
      <c r="AD571" s="67"/>
      <c r="AE571" s="87">
        <f>(
IF(S571="ENVIADO A LA CE/UM",1/3,IF(S571="ENTREGADO/REVISIÓN",2/3,IF(S571="ENVIADO A TICS",1,0)))+
IF(T571="EN PROCESO",1/2,IF(T571="CONCLUIDO",1,0))+
IF(OR(U571="CONCLUIDO",U571="NO APLICA"),1,IF(U571="EN REVISIÓN CENTRAL",2/3,IF(U571="ENVIADO A LA CE/UM",1/3,0)))+
IF(OR(V571="CONCLUIDO",V571="NO APLICA"),1,IF(V571="EN REVISIÓN CENTRAL",2/3,IF(V571="ENVIADO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IF(OR(W571="CONCLUIDO",W571="NO APLICA"),1,IF(W571="EN PROCESO",0.5,0))+
IF(OR(X571="CONCLUIDO",X571="NO APLICA"),1,IF(X571="EN PROCESO",0.5,0))+
IF(Y571="PROGRAMADAS",1/2,IF(Y571="CONCLUIDAS",1,0))+
IF(OR(Z571="SI",Z571="NO APLICA"),1,0)+
IF(OR(AA571="SI",AA571="NO APLICA"),1,0)
)/9</f>
        <v>0.31481481481481477</v>
      </c>
      <c r="AF571" s="91">
        <v>2</v>
      </c>
      <c r="AG571" s="64" t="s">
        <v>1850</v>
      </c>
      <c r="AH571">
        <f t="shared" si="18"/>
        <v>0</v>
      </c>
    </row>
    <row r="572" spans="1:34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>
        <f t="shared" si="16"/>
        <v>0</v>
      </c>
      <c r="AC572">
        <f t="shared" si="17"/>
        <v>0</v>
      </c>
      <c r="AD572" s="67"/>
      <c r="AE572" s="87">
        <f>(
IF(S572="ENVIADO A LA CE/UM",1/3,IF(S572="ENTREGADO/REVISIÓN",2/3,IF(S572="ENVIADO A TICS",1,0)))+
IF(T572="EN PROCESO",1/2,IF(T572="CONCLUIDO",1,0))+
IF(OR(U572="CONCLUIDO",U572="NO APLICA"),1,IF(U572="EN REVISIÓN CENTRAL",2/3,IF(U572="ENVIADO A LA CE/UM",1/3,0)))+
IF(OR(V572="CONCLUIDO",V572="NO APLICA"),1,IF(V572="EN REVISIÓN CENTRAL",2/3,IF(V572="ENVIADO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IF(OR(W572="CONCLUIDO",W572="NO APLICA"),1,IF(W572="EN PROCESO",0.5,0))+
IF(OR(X572="CONCLUIDO",X572="NO APLICA"),1,IF(X572="EN PROCESO",0.5,0))+
IF(Y572="PROGRAMADAS",1/2,IF(Y572="CONCLUIDAS",1,0))+
IF(OR(Z572="SI",Z572="NO APLICA"),1,0)+
IF(OR(AA572="SI",AA572="NO APLICA"),1,0)
)/9</f>
        <v>0.31481481481481477</v>
      </c>
      <c r="AF572" s="91">
        <v>2</v>
      </c>
      <c r="AG572" s="64" t="s">
        <v>1850</v>
      </c>
      <c r="AH572">
        <f t="shared" si="18"/>
        <v>0</v>
      </c>
    </row>
    <row r="573" spans="1:34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>
        <f t="shared" si="16"/>
        <v>0</v>
      </c>
      <c r="AC573">
        <f t="shared" si="17"/>
        <v>0</v>
      </c>
      <c r="AD573" s="67"/>
      <c r="AE573" s="87">
        <f>(
IF(S573="ENVIADO A LA CE/UM",1/3,IF(S573="ENTREGADO/REVISIÓN",2/3,IF(S573="ENVIADO A TICS",1,0)))+
IF(T573="EN PROCESO",1/2,IF(T573="CONCLUIDO",1,0))+
IF(OR(U573="CONCLUIDO",U573="NO APLICA"),1,IF(U573="EN REVISIÓN CENTRAL",2/3,IF(U573="ENVIADO A LA CE/UM",1/3,0)))+
IF(OR(V573="CONCLUIDO",V573="NO APLICA"),1,IF(V573="EN REVISIÓN CENTRAL",2/3,IF(V573="ENVIADO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IF(OR(W573="CONCLUIDO",W573="NO APLICA"),1,IF(W573="EN PROCESO",0.5,0))+
IF(OR(X573="CONCLUIDO",X573="NO APLICA"),1,IF(X573="EN PROCESO",0.5,0))+
IF(Y573="PROGRAMADAS",1/2,IF(Y573="CONCLUIDAS",1,0))+
IF(OR(Z573="SI",Z573="NO APLICA"),1,0)+
IF(OR(AA573="SI",AA573="NO APLICA"),1,0)
)/9</f>
        <v>0.31481481481481477</v>
      </c>
      <c r="AF573" s="91">
        <v>2</v>
      </c>
      <c r="AG573" s="64" t="s">
        <v>1850</v>
      </c>
      <c r="AH573">
        <f t="shared" si="18"/>
        <v>0</v>
      </c>
    </row>
    <row r="574" spans="1:34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/>
      <c r="AA574" s="66"/>
      <c r="AB574">
        <f t="shared" si="16"/>
        <v>0</v>
      </c>
      <c r="AC574">
        <f t="shared" si="17"/>
        <v>0</v>
      </c>
      <c r="AD574" s="67"/>
      <c r="AE574" s="87">
        <f>(
IF(S574="ENVIADO A LA CE/UM",1/3,IF(S574="ENTREGADO/REVISIÓN",2/3,IF(S574="ENVIADO A TICS",1,0)))+
IF(T574="EN PROCESO",1/2,IF(T574="CONCLUIDO",1,0))+
IF(OR(U574="CONCLUIDO",U574="NO APLICA"),1,IF(U574="EN REVISIÓN CENTRAL",2/3,IF(U574="ENVIADO A LA CE/UM",1/3,0)))+
IF(OR(V574="CONCLUIDO",V574="NO APLICA"),1,IF(V574="EN REVISIÓN CENTRAL",2/3,IF(V574="ENVIADO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IF(OR(W574="CONCLUIDO",W574="NO APLICA"),1,IF(W574="EN PROCESO",0.5,0))+
IF(OR(X574="CONCLUIDO",X574="NO APLICA"),1,IF(X574="EN PROCESO",0.5,0))+
IF(Y574="PROGRAMADAS",1/2,IF(Y574="CONCLUIDAS",1,0))+
IF(OR(Z574="SI",Z574="NO APLICA"),1,0)+
IF(OR(AA574="SI",AA574="NO APLICA"),1,0)
)/9</f>
        <v>0.24074074074074073</v>
      </c>
      <c r="AF574" s="91">
        <v>3</v>
      </c>
      <c r="AG574" s="103" t="s">
        <v>1851</v>
      </c>
      <c r="AH574">
        <f t="shared" si="18"/>
        <v>0</v>
      </c>
    </row>
    <row r="575" spans="1:34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/>
      <c r="Z575" s="66"/>
      <c r="AA575" s="66"/>
      <c r="AB575">
        <f t="shared" si="16"/>
        <v>0</v>
      </c>
      <c r="AC575">
        <f t="shared" si="17"/>
        <v>0</v>
      </c>
      <c r="AD575" s="67"/>
      <c r="AE575" s="87">
        <f>(
IF(S575="ENVIADO A LA CE/UM",1/3,IF(S575="ENTREGADO/REVISIÓN",2/3,IF(S575="ENVIADO A TICS",1,0)))+
IF(T575="EN PROCESO",1/2,IF(T575="CONCLUIDO",1,0))+
IF(OR(U575="CONCLUIDO",U575="NO APLICA"),1,IF(U575="EN REVISIÓN CENTRAL",2/3,IF(U575="ENVIADO A LA CE/UM",1/3,0)))+
IF(OR(V575="CONCLUIDO",V575="NO APLICA"),1,IF(V575="EN REVISIÓN CENTRAL",2/3,IF(V575="ENVIADO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IF(OR(W575="CONCLUIDO",W575="NO APLICA"),1,IF(W575="EN PROCESO",0.5,0))+
IF(OR(X575="CONCLUIDO",X575="NO APLICA"),1,IF(X575="EN PROCESO",0.5,0))+
IF(Y575="PROGRAMADAS",1/2,IF(Y575="CONCLUIDAS",1,0))+
IF(OR(Z575="SI",Z575="NO APLICA"),1,0)+
IF(OR(AA575="SI",AA575="NO APLICA"),1,0)
)/9</f>
        <v>0.24074074074074073</v>
      </c>
      <c r="AF575" s="91">
        <v>3</v>
      </c>
      <c r="AG575" s="103" t="s">
        <v>1851</v>
      </c>
      <c r="AH575">
        <f t="shared" si="18"/>
        <v>0</v>
      </c>
    </row>
    <row r="576" spans="1:34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>
        <f t="shared" si="16"/>
        <v>0</v>
      </c>
      <c r="AC576">
        <f t="shared" si="17"/>
        <v>0</v>
      </c>
      <c r="AD576" s="67"/>
      <c r="AE576" s="87">
        <f>(
IF(S576="ENVIADO A LA CE/UM",1/3,IF(S576="ENTREGADO/REVISIÓN",2/3,IF(S576="ENVIADO A TICS",1,0)))+
IF(T576="EN PROCESO",1/2,IF(T576="CONCLUIDO",1,0))+
IF(OR(U576="CONCLUIDO",U576="NO APLICA"),1,IF(U576="EN REVISIÓN CENTRAL",2/3,IF(U576="ENVIADO A LA CE/UM",1/3,0)))+
IF(OR(V576="CONCLUIDO",V576="NO APLICA"),1,IF(V576="EN REVISIÓN CENTRAL",2/3,IF(V576="ENVIADO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IF(OR(W576="CONCLUIDO",W576="NO APLICA"),1,IF(W576="EN PROCESO",0.5,0))+
IF(OR(X576="CONCLUIDO",X576="NO APLICA"),1,IF(X576="EN PROCESO",0.5,0))+
IF(Y576="PROGRAMADAS",1/2,IF(Y576="CONCLUIDAS",1,0))+
IF(OR(Z576="SI",Z576="NO APLICA"),1,0)+
IF(OR(AA576="SI",AA576="NO APLICA"),1,0)
)/9</f>
        <v>0.24074074074074073</v>
      </c>
      <c r="AF576" s="91">
        <v>2</v>
      </c>
      <c r="AG576" s="64" t="s">
        <v>1850</v>
      </c>
      <c r="AH576">
        <f t="shared" si="18"/>
        <v>0</v>
      </c>
    </row>
    <row r="577" spans="1:34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/>
      <c r="Z577" s="66"/>
      <c r="AA577" s="66"/>
      <c r="AB577">
        <f t="shared" si="16"/>
        <v>0</v>
      </c>
      <c r="AC577">
        <f t="shared" si="17"/>
        <v>0</v>
      </c>
      <c r="AD577" s="67"/>
      <c r="AE577" s="87">
        <f>(
IF(S577="ENVIADO A LA CE/UM",1/3,IF(S577="ENTREGADO/REVISIÓN",2/3,IF(S577="ENVIADO A TICS",1,0)))+
IF(T577="EN PROCESO",1/2,IF(T577="CONCLUIDO",1,0))+
IF(OR(U577="CONCLUIDO",U577="NO APLICA"),1,IF(U577="EN REVISIÓN CENTRAL",2/3,IF(U577="ENVIADO A LA CE/UM",1/3,0)))+
IF(OR(V577="CONCLUIDO",V577="NO APLICA"),1,IF(V577="EN REVISIÓN CENTRAL",2/3,IF(V577="ENVIADO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IF(OR(W577="CONCLUIDO",W577="NO APLICA"),1,IF(W577="EN PROCESO",0.5,0))+
IF(OR(X577="CONCLUIDO",X577="NO APLICA"),1,IF(X577="EN PROCESO",0.5,0))+
IF(Y577="PROGRAMADAS",1/2,IF(Y577="CONCLUIDAS",1,0))+
IF(OR(Z577="SI",Z577="NO APLICA"),1,0)+
IF(OR(AA577="SI",AA577="NO APLICA"),1,0)
)/9</f>
        <v>0.24074074074074073</v>
      </c>
      <c r="AF577" s="91">
        <v>3</v>
      </c>
      <c r="AG577" s="103" t="s">
        <v>1851</v>
      </c>
      <c r="AH577">
        <f t="shared" si="18"/>
        <v>0</v>
      </c>
    </row>
    <row r="578" spans="1:34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>
        <f t="shared" si="16"/>
        <v>0</v>
      </c>
      <c r="AC578">
        <f t="shared" si="17"/>
        <v>0</v>
      </c>
      <c r="AD578" s="67"/>
      <c r="AE578" s="87">
        <f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0.31481481481481477</v>
      </c>
      <c r="AF578" s="91">
        <v>2</v>
      </c>
      <c r="AG578" s="64" t="s">
        <v>1850</v>
      </c>
      <c r="AH578">
        <f t="shared" si="18"/>
        <v>0</v>
      </c>
    </row>
    <row r="579" spans="1:34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>
        <f t="shared" ref="AB579:AB613" si="19">IF(OR(AND(Z579="SI",AA579="NO"),AND(Z579="NO",AA579="SI")),1,0)</f>
        <v>0</v>
      </c>
      <c r="AC579">
        <f t="shared" ref="AC579:AC613" si="20">IF(AND(OR(Z579="SI",Z579="NO APLICA"),OR(AA579="SI",AA579="NO APLICA")),1,0)</f>
        <v>0</v>
      </c>
      <c r="AD579" s="67"/>
      <c r="AE579" s="87">
        <f>(
IF(S579="ENVIADO A LA CE/UM",1/3,IF(S579="ENTREGADO/REVISIÓN",2/3,IF(S579="ENVIADO A TICS",1,0)))+
IF(T579="EN PROCESO",1/2,IF(T579="CONCLUIDO",1,0))+
IF(OR(U579="CONCLUIDO",U579="NO APLICA"),1,IF(U579="EN REVISIÓN CENTRAL",2/3,IF(U579="ENVIADO A LA CE/UM",1/3,0)))+
IF(OR(V579="CONCLUIDO",V579="NO APLICA"),1,IF(V579="EN REVISIÓN CENTRAL",2/3,IF(V579="ENVIADO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IF(OR(W579="CONCLUIDO",W579="NO APLICA"),1,IF(W579="EN PROCESO",0.5,0))+
IF(OR(X579="CONCLUIDO",X579="NO APLICA"),1,IF(X579="EN PROCESO",0.5,0))+
IF(Y579="PROGRAMADAS",1/2,IF(Y579="CONCLUIDAS",1,0))+
IF(OR(Z579="SI",Z579="NO APLICA"),1,0)+
IF(OR(AA579="SI",AA579="NO APLICA"),1,0)
)/9</f>
        <v>0.24074074074074073</v>
      </c>
      <c r="AF579" s="91">
        <v>2</v>
      </c>
      <c r="AG579" s="64" t="s">
        <v>1850</v>
      </c>
      <c r="AH579">
        <f t="shared" si="18"/>
        <v>0</v>
      </c>
    </row>
    <row r="580" spans="1:34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>
        <f t="shared" si="19"/>
        <v>0</v>
      </c>
      <c r="AC580">
        <f t="shared" si="20"/>
        <v>0</v>
      </c>
      <c r="AD580" s="67"/>
      <c r="AE580" s="87">
        <f>(
IF(S580="ENVIADO A LA CE/UM",1/3,IF(S580="ENTREGADO/REVISIÓN",2/3,IF(S580="ENVIADO A TICS",1,0)))+
IF(T580="EN PROCESO",1/2,IF(T580="CONCLUIDO",1,0))+
IF(OR(U580="CONCLUIDO",U580="NO APLICA"),1,IF(U580="EN REVISIÓN CENTRAL",2/3,IF(U580="ENVIADO A LA CE/UM",1/3,0)))+
IF(OR(V580="CONCLUIDO",V580="NO APLICA"),1,IF(V580="EN REVISIÓN CENTRAL",2/3,IF(V580="ENVIADO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IF(OR(W580="CONCLUIDO",W580="NO APLICA"),1,IF(W580="EN PROCESO",0.5,0))+
IF(OR(X580="CONCLUIDO",X580="NO APLICA"),1,IF(X580="EN PROCESO",0.5,0))+
IF(Y580="PROGRAMADAS",1/2,IF(Y580="CONCLUIDAS",1,0))+
IF(OR(Z580="SI",Z580="NO APLICA"),1,0)+
IF(OR(AA580="SI",AA580="NO APLICA"),1,0)
)/9</f>
        <v>0.24074074074074073</v>
      </c>
      <c r="AF580" s="91">
        <v>2</v>
      </c>
      <c r="AG580" s="64" t="s">
        <v>1850</v>
      </c>
      <c r="AH580">
        <f t="shared" si="18"/>
        <v>0</v>
      </c>
    </row>
    <row r="581" spans="1:34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/>
      <c r="Z581" s="66"/>
      <c r="AA581" s="66"/>
      <c r="AB581">
        <f t="shared" si="19"/>
        <v>0</v>
      </c>
      <c r="AC581">
        <f t="shared" si="20"/>
        <v>0</v>
      </c>
      <c r="AD581" s="67"/>
      <c r="AE581" s="87">
        <f>(
IF(S581="ENVIADO A LA CE/UM",1/3,IF(S581="ENTREGADO/REVISIÓN",2/3,IF(S581="ENVIADO A TICS",1,0)))+
IF(T581="EN PROCESO",1/2,IF(T581="CONCLUIDO",1,0))+
IF(OR(U581="CONCLUIDO",U581="NO APLICA"),1,IF(U581="EN REVISIÓN CENTRAL",2/3,IF(U581="ENVIADO A LA CE/UM",1/3,0)))+
IF(OR(V581="CONCLUIDO",V581="NO APLICA"),1,IF(V581="EN REVISIÓN CENTRAL",2/3,IF(V581="ENVIADO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IF(OR(W581="CONCLUIDO",W581="NO APLICA"),1,IF(W581="EN PROCESO",0.5,0))+
IF(OR(X581="CONCLUIDO",X581="NO APLICA"),1,IF(X581="EN PROCESO",0.5,0))+
IF(Y581="PROGRAMADAS",1/2,IF(Y581="CONCLUIDAS",1,0))+
IF(OR(Z581="SI",Z581="NO APLICA"),1,0)+
IF(OR(AA581="SI",AA581="NO APLICA"),1,0)
)/9</f>
        <v>0.61111111111111116</v>
      </c>
      <c r="AF581" s="91">
        <v>3</v>
      </c>
      <c r="AG581" s="103" t="s">
        <v>1851</v>
      </c>
      <c r="AH581">
        <f t="shared" si="18"/>
        <v>0</v>
      </c>
    </row>
    <row r="582" spans="1:34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>
        <f t="shared" si="19"/>
        <v>0</v>
      </c>
      <c r="AC582">
        <f t="shared" si="20"/>
        <v>0</v>
      </c>
      <c r="AD582" s="67"/>
      <c r="AE582" s="87">
        <f>(
IF(S582="ENVIADO A LA CE/UM",1/3,IF(S582="ENTREGADO/REVISIÓN",2/3,IF(S582="ENVIADO A TICS",1,0)))+
IF(T582="EN PROCESO",1/2,IF(T582="CONCLUIDO",1,0))+
IF(OR(U582="CONCLUIDO",U582="NO APLICA"),1,IF(U582="EN REVISIÓN CENTRAL",2/3,IF(U582="ENVIADO A LA CE/UM",1/3,0)))+
IF(OR(V582="CONCLUIDO",V582="NO APLICA"),1,IF(V582="EN REVISIÓN CENTRAL",2/3,IF(V582="ENVIADO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IF(OR(W582="CONCLUIDO",W582="NO APLICA"),1,IF(W582="EN PROCESO",0.5,0))+
IF(OR(X582="CONCLUIDO",X582="NO APLICA"),1,IF(X582="EN PROCESO",0.5,0))+
IF(Y582="PROGRAMADAS",1/2,IF(Y582="CONCLUIDAS",1,0))+
IF(OR(Z582="SI",Z582="NO APLICA"),1,0)+
IF(OR(AA582="SI",AA582="NO APLICA"),1,0)
)/9</f>
        <v>0.31481481481481477</v>
      </c>
      <c r="AF582" s="91">
        <v>3</v>
      </c>
      <c r="AG582" s="103" t="s">
        <v>1851</v>
      </c>
      <c r="AH582">
        <f t="shared" si="18"/>
        <v>0</v>
      </c>
    </row>
    <row r="583" spans="1:34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>
        <f t="shared" si="19"/>
        <v>0</v>
      </c>
      <c r="AC583">
        <f t="shared" si="20"/>
        <v>0</v>
      </c>
      <c r="AD583" s="67"/>
      <c r="AE583" s="87">
        <f>(
IF(S583="ENVIADO A LA CE/UM",1/3,IF(S583="ENTREGADO/REVISIÓN",2/3,IF(S583="ENVIADO A TICS",1,0)))+
IF(T583="EN PROCESO",1/2,IF(T583="CONCLUIDO",1,0))+
IF(OR(U583="CONCLUIDO",U583="NO APLICA"),1,IF(U583="EN REVISIÓN CENTRAL",2/3,IF(U583="ENVIADO A LA CE/UM",1/3,0)))+
IF(OR(V583="CONCLUIDO",V583="NO APLICA"),1,IF(V583="EN REVISIÓN CENTRAL",2/3,IF(V583="ENVIADO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IF(OR(W583="CONCLUIDO",W583="NO APLICA"),1,IF(W583="EN PROCESO",0.5,0))+
IF(OR(X583="CONCLUIDO",X583="NO APLICA"),1,IF(X583="EN PROCESO",0.5,0))+
IF(Y583="PROGRAMADAS",1/2,IF(Y583="CONCLUIDAS",1,0))+
IF(OR(Z583="SI",Z583="NO APLICA"),1,0)+
IF(OR(AA583="SI",AA583="NO APLICA"),1,0)
)/9</f>
        <v>0.24074074074074073</v>
      </c>
      <c r="AF583" s="91">
        <v>2</v>
      </c>
      <c r="AG583" s="64" t="s">
        <v>1850</v>
      </c>
      <c r="AH583">
        <f t="shared" si="18"/>
        <v>0</v>
      </c>
    </row>
    <row r="584" spans="1:34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176</v>
      </c>
      <c r="V584" s="66" t="s">
        <v>176</v>
      </c>
      <c r="W584" s="66"/>
      <c r="X584" s="66"/>
      <c r="Y584" s="66"/>
      <c r="Z584" s="66"/>
      <c r="AA584" s="66"/>
      <c r="AB584">
        <f t="shared" si="19"/>
        <v>0</v>
      </c>
      <c r="AC584">
        <f t="shared" si="20"/>
        <v>0</v>
      </c>
      <c r="AD584" s="67"/>
      <c r="AE584" s="87">
        <f>(
IF(S584="ENVIADO A LA CE/UM",1/3,IF(S584="ENTREGADO/REVISIÓN",2/3,IF(S584="ENVIADO A TICS",1,0)))+
IF(T584="EN PROCESO",1/2,IF(T584="CONCLUIDO",1,0))+
IF(OR(U584="CONCLUIDO",U584="NO APLICA"),1,IF(U584="EN REVISIÓN CENTRAL",2/3,IF(U584="ENVIADO A LA CE/UM",1/3,0)))+
IF(OR(V584="CONCLUIDO",V584="NO APLICA"),1,IF(V584="EN REVISIÓN CENTRAL",2/3,IF(V584="ENVIADO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IF(OR(W584="CONCLUIDO",W584="NO APLICA"),1,IF(W584="EN PROCESO",0.5,0))+
IF(OR(X584="CONCLUIDO",X584="NO APLICA"),1,IF(X584="EN PROCESO",0.5,0))+
IF(Y584="PROGRAMADAS",1/2,IF(Y584="CONCLUIDAS",1,0))+
IF(OR(Z584="SI",Z584="NO APLICA"),1,0)+
IF(OR(AA584="SI",AA584="NO APLICA"),1,0)
)/9</f>
        <v>0.24074074074074073</v>
      </c>
      <c r="AF584" s="91">
        <v>2</v>
      </c>
      <c r="AG584" s="64" t="s">
        <v>1850</v>
      </c>
      <c r="AH584">
        <f t="shared" si="18"/>
        <v>0</v>
      </c>
    </row>
    <row r="585" spans="1:34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/>
      <c r="Z585" s="66"/>
      <c r="AA585" s="66"/>
      <c r="AB585">
        <f t="shared" si="19"/>
        <v>0</v>
      </c>
      <c r="AC585">
        <f t="shared" si="20"/>
        <v>0</v>
      </c>
      <c r="AD585" s="67"/>
      <c r="AE585" s="87">
        <f>(
IF(S585="ENVIADO A LA CE/UM",1/3,IF(S585="ENTREGADO/REVISIÓN",2/3,IF(S585="ENVIADO A TICS",1,0)))+
IF(T585="EN PROCESO",1/2,IF(T585="CONCLUIDO",1,0))+
IF(OR(U585="CONCLUIDO",U585="NO APLICA"),1,IF(U585="EN REVISIÓN CENTRAL",2/3,IF(U585="ENVIADO A LA CE/UM",1/3,0)))+
IF(OR(V585="CONCLUIDO",V585="NO APLICA"),1,IF(V585="EN REVISIÓN CENTRAL",2/3,IF(V585="ENVIADO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IF(OR(W585="CONCLUIDO",W585="NO APLICA"),1,IF(W585="EN PROCESO",0.5,0))+
IF(OR(X585="CONCLUIDO",X585="NO APLICA"),1,IF(X585="EN PROCESO",0.5,0))+
IF(Y585="PROGRAMADAS",1/2,IF(Y585="CONCLUIDAS",1,0))+
IF(OR(Z585="SI",Z585="NO APLICA"),1,0)+
IF(OR(AA585="SI",AA585="NO APLICA"),1,0)
)/9</f>
        <v>0.31481481481481477</v>
      </c>
      <c r="AF585" s="91">
        <v>3</v>
      </c>
      <c r="AG585" s="103" t="s">
        <v>1851</v>
      </c>
      <c r="AH585">
        <f t="shared" si="18"/>
        <v>0</v>
      </c>
    </row>
    <row r="586" spans="1:34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>
        <f t="shared" si="19"/>
        <v>0</v>
      </c>
      <c r="AC586">
        <f t="shared" si="20"/>
        <v>0</v>
      </c>
      <c r="AD586" s="67"/>
      <c r="AE586" s="87">
        <f>(
IF(S586="ENVIADO A LA CE/UM",1/3,IF(S586="ENTREGADO/REVISIÓN",2/3,IF(S586="ENVIADO A TICS",1,0)))+
IF(T586="EN PROCESO",1/2,IF(T586="CONCLUIDO",1,0))+
IF(OR(U586="CONCLUIDO",U586="NO APLICA"),1,IF(U586="EN REVISIÓN CENTRAL",2/3,IF(U586="ENVIADO A LA CE/UM",1/3,0)))+
IF(OR(V586="CONCLUIDO",V586="NO APLICA"),1,IF(V586="EN REVISIÓN CENTRAL",2/3,IF(V586="ENVIADO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IF(OR(W586="CONCLUIDO",W586="NO APLICA"),1,IF(W586="EN PROCESO",0.5,0))+
IF(OR(X586="CONCLUIDO",X586="NO APLICA"),1,IF(X586="EN PROCESO",0.5,0))+
IF(Y586="PROGRAMADAS",1/2,IF(Y586="CONCLUIDAS",1,0))+
IF(OR(Z586="SI",Z586="NO APLICA"),1,0)+
IF(OR(AA586="SI",AA586="NO APLICA"),1,0)
)/9</f>
        <v>0.24074074074074073</v>
      </c>
      <c r="AF586" s="91">
        <v>2</v>
      </c>
      <c r="AG586" s="64" t="s">
        <v>1850</v>
      </c>
      <c r="AH586">
        <f t="shared" si="18"/>
        <v>0</v>
      </c>
    </row>
    <row r="587" spans="1:34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>
        <f t="shared" si="19"/>
        <v>0</v>
      </c>
      <c r="AC587">
        <f t="shared" si="20"/>
        <v>0</v>
      </c>
      <c r="AD587" s="67"/>
      <c r="AE587" s="87">
        <f>(
IF(S587="ENVIADO A LA CE/UM",1/3,IF(S587="ENTREGADO/REVISIÓN",2/3,IF(S587="ENVIADO A TICS",1,0)))+
IF(T587="EN PROCESO",1/2,IF(T587="CONCLUIDO",1,0))+
IF(OR(U587="CONCLUIDO",U587="NO APLICA"),1,IF(U587="EN REVISIÓN CENTRAL",2/3,IF(U587="ENVIADO A LA CE/UM",1/3,0)))+
IF(OR(V587="CONCLUIDO",V587="NO APLICA"),1,IF(V587="EN REVISIÓN CENTRAL",2/3,IF(V587="ENVIADO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IF(OR(W587="CONCLUIDO",W587="NO APLICA"),1,IF(W587="EN PROCESO",0.5,0))+
IF(OR(X587="CONCLUIDO",X587="NO APLICA"),1,IF(X587="EN PROCESO",0.5,0))+
IF(Y587="PROGRAMADAS",1/2,IF(Y587="CONCLUIDAS",1,0))+
IF(OR(Z587="SI",Z587="NO APLICA"),1,0)+
IF(OR(AA587="SI",AA587="NO APLICA"),1,0)
)/9</f>
        <v>0.24074074074074073</v>
      </c>
      <c r="AF587" s="91">
        <v>2</v>
      </c>
      <c r="AG587" s="64" t="s">
        <v>1850</v>
      </c>
      <c r="AH587">
        <f t="shared" si="18"/>
        <v>0</v>
      </c>
    </row>
    <row r="588" spans="1:34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>
        <f t="shared" si="19"/>
        <v>0</v>
      </c>
      <c r="AC588">
        <f t="shared" si="20"/>
        <v>0</v>
      </c>
      <c r="AD588" s="67"/>
      <c r="AE588" s="87">
        <f>(
IF(S588="ENVIADO A LA CE/UM",1/3,IF(S588="ENTREGADO/REVISIÓN",2/3,IF(S588="ENVIADO A TICS",1,0)))+
IF(T588="EN PROCESO",1/2,IF(T588="CONCLUIDO",1,0))+
IF(OR(U588="CONCLUIDO",U588="NO APLICA"),1,IF(U588="EN REVISIÓN CENTRAL",2/3,IF(U588="ENVIADO A LA CE/UM",1/3,0)))+
IF(OR(V588="CONCLUIDO",V588="NO APLICA"),1,IF(V588="EN REVISIÓN CENTRAL",2/3,IF(V588="ENVIADO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IF(OR(W588="CONCLUIDO",W588="NO APLICA"),1,IF(W588="EN PROCESO",0.5,0))+
IF(OR(X588="CONCLUIDO",X588="NO APLICA"),1,IF(X588="EN PROCESO",0.5,0))+
IF(Y588="PROGRAMADAS",1/2,IF(Y588="CONCLUIDAS",1,0))+
IF(OR(Z588="SI",Z588="NO APLICA"),1,0)+
IF(OR(AA588="SI",AA588="NO APLICA"),1,0)
)/9</f>
        <v>0.31481481481481477</v>
      </c>
      <c r="AF588" s="91">
        <v>2</v>
      </c>
      <c r="AG588" s="64" t="s">
        <v>1850</v>
      </c>
      <c r="AH588">
        <f t="shared" si="18"/>
        <v>0</v>
      </c>
    </row>
    <row r="589" spans="1:34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>
        <f t="shared" si="19"/>
        <v>0</v>
      </c>
      <c r="AC589">
        <f t="shared" si="20"/>
        <v>0</v>
      </c>
      <c r="AD589" s="67"/>
      <c r="AE589" s="87">
        <f>(
IF(S589="ENVIADO A LA CE/UM",1/3,IF(S589="ENTREGADO/REVISIÓN",2/3,IF(S589="ENVIADO A TICS",1,0)))+
IF(T589="EN PROCESO",1/2,IF(T589="CONCLUIDO",1,0))+
IF(OR(U589="CONCLUIDO",U589="NO APLICA"),1,IF(U589="EN REVISIÓN CENTRAL",2/3,IF(U589="ENVIADO A LA CE/UM",1/3,0)))+
IF(OR(V589="CONCLUIDO",V589="NO APLICA"),1,IF(V589="EN REVISIÓN CENTRAL",2/3,IF(V589="ENVIADO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IF(OR(W589="CONCLUIDO",W589="NO APLICA"),1,IF(W589="EN PROCESO",0.5,0))+
IF(OR(X589="CONCLUIDO",X589="NO APLICA"),1,IF(X589="EN PROCESO",0.5,0))+
IF(Y589="PROGRAMADAS",1/2,IF(Y589="CONCLUIDAS",1,0))+
IF(OR(Z589="SI",Z589="NO APLICA"),1,0)+
IF(OR(AA589="SI",AA589="NO APLICA"),1,0)
)/9</f>
        <v>0.31481481481481477</v>
      </c>
      <c r="AF589" s="91">
        <v>2</v>
      </c>
      <c r="AG589" s="64" t="s">
        <v>1850</v>
      </c>
      <c r="AH589">
        <f t="shared" si="18"/>
        <v>0</v>
      </c>
    </row>
    <row r="590" spans="1:34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>
        <f t="shared" si="19"/>
        <v>0</v>
      </c>
      <c r="AC590">
        <f t="shared" si="20"/>
        <v>0</v>
      </c>
      <c r="AD590" s="67"/>
      <c r="AE590" s="87">
        <f>(
IF(S590="ENVIADO A LA CE/UM",1/3,IF(S590="ENTREGADO/REVISIÓN",2/3,IF(S590="ENVIADO A TICS",1,0)))+
IF(T590="EN PROCESO",1/2,IF(T590="CONCLUIDO",1,0))+
IF(OR(U590="CONCLUIDO",U590="NO APLICA"),1,IF(U590="EN REVISIÓN CENTRAL",2/3,IF(U590="ENVIADO A LA CE/UM",1/3,0)))+
IF(OR(V590="CONCLUIDO",V590="NO APLICA"),1,IF(V590="EN REVISIÓN CENTRAL",2/3,IF(V590="ENVIADO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IF(OR(W590="CONCLUIDO",W590="NO APLICA"),1,IF(W590="EN PROCESO",0.5,0))+
IF(OR(X590="CONCLUIDO",X590="NO APLICA"),1,IF(X590="EN PROCESO",0.5,0))+
IF(Y590="PROGRAMADAS",1/2,IF(Y590="CONCLUIDAS",1,0))+
IF(OR(Z590="SI",Z590="NO APLICA"),1,0)+
IF(OR(AA590="SI",AA590="NO APLICA"),1,0)
)/9</f>
        <v>0.27777777777777779</v>
      </c>
      <c r="AF590" s="91">
        <v>2</v>
      </c>
      <c r="AG590" s="64" t="s">
        <v>1850</v>
      </c>
      <c r="AH590">
        <f t="shared" ref="AH590:AH613" si="21">IF(OR(Z67="SI",AA67="SI"),1,0)</f>
        <v>0</v>
      </c>
    </row>
    <row r="591" spans="1:34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>
        <f t="shared" si="19"/>
        <v>0</v>
      </c>
      <c r="AC591">
        <f t="shared" si="20"/>
        <v>0</v>
      </c>
      <c r="AD591" s="67"/>
      <c r="AE591" s="87">
        <f>(
IF(S591="ENVIADO A LA CE/UM",1/3,IF(S591="ENTREGADO/REVISIÓN",2/3,IF(S591="ENVIADO A TICS",1,0)))+
IF(T591="EN PROCESO",1/2,IF(T591="CONCLUIDO",1,0))+
IF(OR(U591="CONCLUIDO",U591="NO APLICA"),1,IF(U591="EN REVISIÓN CENTRAL",2/3,IF(U591="ENVIADO A LA CE/UM",1/3,0)))+
IF(OR(V591="CONCLUIDO",V591="NO APLICA"),1,IF(V591="EN REVISIÓN CENTRAL",2/3,IF(V591="ENVIADO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IF(OR(W591="CONCLUIDO",W591="NO APLICA"),1,IF(W591="EN PROCESO",0.5,0))+
IF(OR(X591="CONCLUIDO",X591="NO APLICA"),1,IF(X591="EN PROCESO",0.5,0))+
IF(Y591="PROGRAMADAS",1/2,IF(Y591="CONCLUIDAS",1,0))+
IF(OR(Z591="SI",Z591="NO APLICA"),1,0)+
IF(OR(AA591="SI",AA591="NO APLICA"),1,0)
)/9</f>
        <v>0.31481481481481477</v>
      </c>
      <c r="AF591" s="91">
        <v>2</v>
      </c>
      <c r="AG591" s="64" t="s">
        <v>1850</v>
      </c>
      <c r="AH591">
        <f t="shared" si="21"/>
        <v>0</v>
      </c>
    </row>
    <row r="592" spans="1:34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>
        <f t="shared" si="19"/>
        <v>0</v>
      </c>
      <c r="AC592">
        <f t="shared" si="20"/>
        <v>0</v>
      </c>
      <c r="AD592" s="67"/>
      <c r="AE592" s="87">
        <f>(
IF(S592="ENVIADO A LA CE/UM",1/3,IF(S592="ENTREGADO/REVISIÓN",2/3,IF(S592="ENVIADO A TICS",1,0)))+
IF(T592="EN PROCESO",1/2,IF(T592="CONCLUIDO",1,0))+
IF(OR(U592="CONCLUIDO",U592="NO APLICA"),1,IF(U592="EN REVISIÓN CENTRAL",2/3,IF(U592="ENVIADO A LA CE/UM",1/3,0)))+
IF(OR(V592="CONCLUIDO",V592="NO APLICA"),1,IF(V592="EN REVISIÓN CENTRAL",2/3,IF(V592="ENVIADO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IF(OR(W592="CONCLUIDO",W592="NO APLICA"),1,IF(W592="EN PROCESO",0.5,0))+
IF(OR(X592="CONCLUIDO",X592="NO APLICA"),1,IF(X592="EN PROCESO",0.5,0))+
IF(Y592="PROGRAMADAS",1/2,IF(Y592="CONCLUIDAS",1,0))+
IF(OR(Z592="SI",Z592="NO APLICA"),1,0)+
IF(OR(AA592="SI",AA592="NO APLICA"),1,0)
)/9</f>
        <v>0.31481481481481477</v>
      </c>
      <c r="AF592" s="91">
        <v>3</v>
      </c>
      <c r="AG592" s="103" t="s">
        <v>1851</v>
      </c>
      <c r="AH592">
        <f t="shared" si="21"/>
        <v>0</v>
      </c>
    </row>
    <row r="593" spans="1:34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176</v>
      </c>
      <c r="V593" s="66" t="s">
        <v>176</v>
      </c>
      <c r="W593" s="66"/>
      <c r="X593" s="66"/>
      <c r="Y593" s="66"/>
      <c r="Z593" s="66"/>
      <c r="AA593" s="66"/>
      <c r="AB593">
        <f t="shared" si="19"/>
        <v>0</v>
      </c>
      <c r="AC593">
        <f t="shared" si="20"/>
        <v>0</v>
      </c>
      <c r="AD593" s="67"/>
      <c r="AE593" s="87">
        <f>(
IF(S593="ENVIADO A LA CE/UM",1/3,IF(S593="ENTREGADO/REVISIÓN",2/3,IF(S593="ENVIADO A TICS",1,0)))+
IF(T593="EN PROCESO",1/2,IF(T593="CONCLUIDO",1,0))+
IF(OR(U593="CONCLUIDO",U593="NO APLICA"),1,IF(U593="EN REVISIÓN CENTRAL",2/3,IF(U593="ENVIADO A LA CE/UM",1/3,0)))+
IF(OR(V593="CONCLUIDO",V593="NO APLICA"),1,IF(V593="EN REVISIÓN CENTRAL",2/3,IF(V593="ENVIADO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IF(OR(W593="CONCLUIDO",W593="NO APLICA"),1,IF(W593="EN PROCESO",0.5,0))+
IF(OR(X593="CONCLUIDO",X593="NO APLICA"),1,IF(X593="EN PROCESO",0.5,0))+
IF(Y593="PROGRAMADAS",1/2,IF(Y593="CONCLUIDAS",1,0))+
IF(OR(Z593="SI",Z593="NO APLICA"),1,0)+
IF(OR(AA593="SI",AA593="NO APLICA"),1,0)
)/9</f>
        <v>0.24074074074074073</v>
      </c>
      <c r="AF593" s="91">
        <v>2</v>
      </c>
      <c r="AG593" s="64" t="s">
        <v>1850</v>
      </c>
      <c r="AH593">
        <f t="shared" si="21"/>
        <v>0</v>
      </c>
    </row>
    <row r="594" spans="1:34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175</v>
      </c>
      <c r="X594" s="66" t="s">
        <v>35</v>
      </c>
      <c r="Y594" s="66"/>
      <c r="Z594" s="66"/>
      <c r="AA594" s="66"/>
      <c r="AB594">
        <f t="shared" si="19"/>
        <v>0</v>
      </c>
      <c r="AC594">
        <f t="shared" si="20"/>
        <v>0</v>
      </c>
      <c r="AD594" s="67"/>
      <c r="AE594" s="87">
        <f>(
IF(S594="ENVIADO A LA CE/UM",1/3,IF(S594="ENTREGADO/REVISIÓN",2/3,IF(S594="ENVIADO A TICS",1,0)))+
IF(T594="EN PROCESO",1/2,IF(T594="CONCLUIDO",1,0))+
IF(OR(U594="CONCLUIDO",U594="NO APLICA"),1,IF(U594="EN REVISIÓN CENTRAL",2/3,IF(U594="ENVIADO A LA CE/UM",1/3,0)))+
IF(OR(V594="CONCLUIDO",V594="NO APLICA"),1,IF(V594="EN REVISIÓN CENTRAL",2/3,IF(V594="ENVIADO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IF(OR(W594="CONCLUIDO",W594="NO APLICA"),1,IF(W594="EN PROCESO",0.5,0))+
IF(OR(X594="CONCLUIDO",X594="NO APLICA"),1,IF(X594="EN PROCESO",0.5,0))+
IF(Y594="PROGRAMADAS",1/2,IF(Y594="CONCLUIDAS",1,0))+
IF(OR(Z594="SI",Z594="NO APLICA"),1,0)+
IF(OR(AA594="SI",AA594="NO APLICA"),1,0)
)/9</f>
        <v>0.55555555555555558</v>
      </c>
      <c r="AF594" s="91">
        <v>3</v>
      </c>
      <c r="AG594" s="103" t="s">
        <v>1851</v>
      </c>
      <c r="AH594">
        <f t="shared" si="21"/>
        <v>0</v>
      </c>
    </row>
    <row r="595" spans="1:34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176</v>
      </c>
      <c r="V595" s="66" t="s">
        <v>176</v>
      </c>
      <c r="W595" s="66"/>
      <c r="X595" s="66"/>
      <c r="Y595" s="66"/>
      <c r="Z595" s="66"/>
      <c r="AA595" s="66"/>
      <c r="AB595">
        <f t="shared" si="19"/>
        <v>0</v>
      </c>
      <c r="AC595">
        <f t="shared" si="20"/>
        <v>0</v>
      </c>
      <c r="AD595" s="67"/>
      <c r="AE595" s="87">
        <f>(
IF(S595="ENVIADO A LA CE/UM",1/3,IF(S595="ENTREGADO/REVISIÓN",2/3,IF(S595="ENVIADO A TICS",1,0)))+
IF(T595="EN PROCESO",1/2,IF(T595="CONCLUIDO",1,0))+
IF(OR(U595="CONCLUIDO",U595="NO APLICA"),1,IF(U595="EN REVISIÓN CENTRAL",2/3,IF(U595="ENVIADO A LA CE/UM",1/3,0)))+
IF(OR(V595="CONCLUIDO",V595="NO APLICA"),1,IF(V595="EN REVISIÓN CENTRAL",2/3,IF(V595="ENVIADO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IF(OR(W595="CONCLUIDO",W595="NO APLICA"),1,IF(W595="EN PROCESO",0.5,0))+
IF(OR(X595="CONCLUIDO",X595="NO APLICA"),1,IF(X595="EN PROCESO",0.5,0))+
IF(Y595="PROGRAMADAS",1/2,IF(Y595="CONCLUIDAS",1,0))+
IF(OR(Z595="SI",Z595="NO APLICA"),1,0)+
IF(OR(AA595="SI",AA595="NO APLICA"),1,0)
)/9</f>
        <v>0.24074074074074073</v>
      </c>
      <c r="AF595" s="91">
        <v>2</v>
      </c>
      <c r="AG595" s="64" t="s">
        <v>1850</v>
      </c>
      <c r="AH595">
        <f t="shared" si="21"/>
        <v>0</v>
      </c>
    </row>
    <row r="596" spans="1:34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6"/>
      <c r="AB596">
        <f t="shared" si="19"/>
        <v>0</v>
      </c>
      <c r="AC596">
        <f t="shared" si="20"/>
        <v>0</v>
      </c>
      <c r="AD596" s="67"/>
      <c r="AE596" s="87">
        <f>(
IF(S596="ENVIADO A LA CE/UM",1/3,IF(S596="ENTREGADO/REVISIÓN",2/3,IF(S596="ENVIADO A TICS",1,0)))+
IF(T596="EN PROCESO",1/2,IF(T596="CONCLUIDO",1,0))+
IF(OR(U596="CONCLUIDO",U596="NO APLICA"),1,IF(U596="EN REVISIÓN CENTRAL",2/3,IF(U596="ENVIADO A LA CE/UM",1/3,0)))+
IF(OR(V596="CONCLUIDO",V596="NO APLICA"),1,IF(V596="EN REVISIÓN CENTRAL",2/3,IF(V596="ENVIADO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IF(OR(W596="CONCLUIDO",W596="NO APLICA"),1,IF(W596="EN PROCESO",0.5,0))+
IF(OR(X596="CONCLUIDO",X596="NO APLICA"),1,IF(X596="EN PROCESO",0.5,0))+
IF(Y596="PROGRAMADAS",1/2,IF(Y596="CONCLUIDAS",1,0))+
IF(OR(Z596="SI",Z596="NO APLICA"),1,0)+
IF(OR(AA596="SI",AA596="NO APLICA"),1,0)
)/9</f>
        <v>0.24074074074074073</v>
      </c>
      <c r="AF596" s="91">
        <v>2</v>
      </c>
      <c r="AG596" s="64" t="s">
        <v>1850</v>
      </c>
      <c r="AH596">
        <f t="shared" si="21"/>
        <v>0</v>
      </c>
    </row>
    <row r="597" spans="1:34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>
        <f t="shared" si="19"/>
        <v>0</v>
      </c>
      <c r="AC597">
        <f t="shared" si="20"/>
        <v>0</v>
      </c>
      <c r="AD597" s="67"/>
      <c r="AE597" s="87">
        <f>(
IF(S597="ENVIADO A LA CE/UM",1/3,IF(S597="ENTREGADO/REVISIÓN",2/3,IF(S597="ENVIADO A TICS",1,0)))+
IF(T597="EN PROCESO",1/2,IF(T597="CONCLUIDO",1,0))+
IF(OR(U597="CONCLUIDO",U597="NO APLICA"),1,IF(U597="EN REVISIÓN CENTRAL",2/3,IF(U597="ENVIADO A LA CE/UM",1/3,0)))+
IF(OR(V597="CONCLUIDO",V597="NO APLICA"),1,IF(V597="EN REVISIÓN CENTRAL",2/3,IF(V597="ENVIADO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IF(OR(W597="CONCLUIDO",W597="NO APLICA"),1,IF(W597="EN PROCESO",0.5,0))+
IF(OR(X597="CONCLUIDO",X597="NO APLICA"),1,IF(X597="EN PROCESO",0.5,0))+
IF(Y597="PROGRAMADAS",1/2,IF(Y597="CONCLUIDAS",1,0))+
IF(OR(Z597="SI",Z597="NO APLICA"),1,0)+
IF(OR(AA597="SI",AA597="NO APLICA"),1,0)
)/9</f>
        <v>0.31481481481481477</v>
      </c>
      <c r="AF597" s="91">
        <v>2</v>
      </c>
      <c r="AG597" s="64" t="s">
        <v>1850</v>
      </c>
      <c r="AH597">
        <f t="shared" si="21"/>
        <v>0</v>
      </c>
    </row>
    <row r="598" spans="1:34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176</v>
      </c>
      <c r="V598" s="66" t="s">
        <v>176</v>
      </c>
      <c r="W598" s="66"/>
      <c r="X598" s="66"/>
      <c r="Y598" s="66"/>
      <c r="Z598" s="66"/>
      <c r="AA598" s="66"/>
      <c r="AB598">
        <f t="shared" si="19"/>
        <v>0</v>
      </c>
      <c r="AC598">
        <f t="shared" si="20"/>
        <v>0</v>
      </c>
      <c r="AD598" s="67"/>
      <c r="AE598" s="87">
        <f>(
IF(S598="ENVIADO A LA CE/UM",1/3,IF(S598="ENTREGADO/REVISIÓN",2/3,IF(S598="ENVIADO A TICS",1,0)))+
IF(T598="EN PROCESO",1/2,IF(T598="CONCLUIDO",1,0))+
IF(OR(U598="CONCLUIDO",U598="NO APLICA"),1,IF(U598="EN REVISIÓN CENTRAL",2/3,IF(U598="ENVIADO A LA CE/UM",1/3,0)))+
IF(OR(V598="CONCLUIDO",V598="NO APLICA"),1,IF(V598="EN REVISIÓN CENTRAL",2/3,IF(V598="ENVIADO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IF(OR(W598="CONCLUIDO",W598="NO APLICA"),1,IF(W598="EN PROCESO",0.5,0))+
IF(OR(X598="CONCLUIDO",X598="NO APLICA"),1,IF(X598="EN PROCESO",0.5,0))+
IF(Y598="PROGRAMADAS",1/2,IF(Y598="CONCLUIDAS",1,0))+
IF(OR(Z598="SI",Z598="NO APLICA"),1,0)+
IF(OR(AA598="SI",AA598="NO APLICA"),1,0)
)/9</f>
        <v>0.24074074074074073</v>
      </c>
      <c r="AF598" s="91">
        <v>2</v>
      </c>
      <c r="AG598" s="64" t="s">
        <v>1850</v>
      </c>
      <c r="AH598">
        <f t="shared" si="21"/>
        <v>0</v>
      </c>
    </row>
    <row r="599" spans="1:34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>
        <f t="shared" si="19"/>
        <v>0</v>
      </c>
      <c r="AC599">
        <f t="shared" si="20"/>
        <v>0</v>
      </c>
      <c r="AD599" s="67"/>
      <c r="AE599" s="87">
        <f>(
IF(S599="ENVIADO A LA CE/UM",1/3,IF(S599="ENTREGADO/REVISIÓN",2/3,IF(S599="ENVIADO A TICS",1,0)))+
IF(T599="EN PROCESO",1/2,IF(T599="CONCLUIDO",1,0))+
IF(OR(U599="CONCLUIDO",U599="NO APLICA"),1,IF(U599="EN REVISIÓN CENTRAL",2/3,IF(U599="ENVIADO A LA CE/UM",1/3,0)))+
IF(OR(V599="CONCLUIDO",V599="NO APLICA"),1,IF(V599="EN REVISIÓN CENTRAL",2/3,IF(V599="ENVIADO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IF(OR(W599="CONCLUIDO",W599="NO APLICA"),1,IF(W599="EN PROCESO",0.5,0))+
IF(OR(X599="CONCLUIDO",X599="NO APLICA"),1,IF(X599="EN PROCESO",0.5,0))+
IF(Y599="PROGRAMADAS",1/2,IF(Y599="CONCLUIDAS",1,0))+
IF(OR(Z599="SI",Z599="NO APLICA"),1,0)+
IF(OR(AA599="SI",AA599="NO APLICA"),1,0)
)/9</f>
        <v>0.31481481481481477</v>
      </c>
      <c r="AF599" s="91">
        <v>2</v>
      </c>
      <c r="AG599" s="64" t="s">
        <v>1850</v>
      </c>
      <c r="AH599">
        <f t="shared" si="21"/>
        <v>0</v>
      </c>
    </row>
    <row r="600" spans="1:34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>
        <f t="shared" si="19"/>
        <v>0</v>
      </c>
      <c r="AC600">
        <f t="shared" si="20"/>
        <v>0</v>
      </c>
      <c r="AD600" s="67"/>
      <c r="AE600" s="87">
        <f>(
IF(S600="ENVIADO A LA CE/UM",1/3,IF(S600="ENTREGADO/REVISIÓN",2/3,IF(S600="ENVIADO A TICS",1,0)))+
IF(T600="EN PROCESO",1/2,IF(T600="CONCLUIDO",1,0))+
IF(OR(U600="CONCLUIDO",U600="NO APLICA"),1,IF(U600="EN REVISIÓN CENTRAL",2/3,IF(U600="ENVIADO A LA CE/UM",1/3,0)))+
IF(OR(V600="CONCLUIDO",V600="NO APLICA"),1,IF(V600="EN REVISIÓN CENTRAL",2/3,IF(V600="ENVIADO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IF(OR(W600="CONCLUIDO",W600="NO APLICA"),1,IF(W600="EN PROCESO",0.5,0))+
IF(OR(X600="CONCLUIDO",X600="NO APLICA"),1,IF(X600="EN PROCESO",0.5,0))+
IF(Y600="PROGRAMADAS",1/2,IF(Y600="CONCLUIDAS",1,0))+
IF(OR(Z600="SI",Z600="NO APLICA"),1,0)+
IF(OR(AA600="SI",AA600="NO APLICA"),1,0)
)/9</f>
        <v>0.24074074074074073</v>
      </c>
      <c r="AF600" s="91">
        <v>2</v>
      </c>
      <c r="AG600" s="64" t="s">
        <v>1850</v>
      </c>
      <c r="AH600">
        <f t="shared" si="21"/>
        <v>0</v>
      </c>
    </row>
    <row r="601" spans="1:34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>
        <f t="shared" si="19"/>
        <v>0</v>
      </c>
      <c r="AC601">
        <f t="shared" si="20"/>
        <v>0</v>
      </c>
      <c r="AD601" s="67"/>
      <c r="AE601" s="87">
        <f>(
IF(S601="ENVIADO A LA CE/UM",1/3,IF(S601="ENTREGADO/REVISIÓN",2/3,IF(S601="ENVIADO A TICS",1,0)))+
IF(T601="EN PROCESO",1/2,IF(T601="CONCLUIDO",1,0))+
IF(OR(U601="CONCLUIDO",U601="NO APLICA"),1,IF(U601="EN REVISIÓN CENTRAL",2/3,IF(U601="ENVIADO A LA CE/UM",1/3,0)))+
IF(OR(V601="CONCLUIDO",V601="NO APLICA"),1,IF(V601="EN REVISIÓN CENTRAL",2/3,IF(V601="ENVIADO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IF(OR(W601="CONCLUIDO",W601="NO APLICA"),1,IF(W601="EN PROCESO",0.5,0))+
IF(OR(X601="CONCLUIDO",X601="NO APLICA"),1,IF(X601="EN PROCESO",0.5,0))+
IF(Y601="PROGRAMADAS",1/2,IF(Y601="CONCLUIDAS",1,0))+
IF(OR(Z601="SI",Z601="NO APLICA"),1,0)+
IF(OR(AA601="SI",AA601="NO APLICA"),1,0)
)/9</f>
        <v>0.24074074074074073</v>
      </c>
      <c r="AF601" s="91">
        <v>2</v>
      </c>
      <c r="AG601" s="64" t="s">
        <v>1850</v>
      </c>
      <c r="AH601">
        <f t="shared" si="21"/>
        <v>0</v>
      </c>
    </row>
    <row r="602" spans="1:34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3" t="s">
        <v>1852</v>
      </c>
      <c r="F602" s="124" t="s">
        <v>1853</v>
      </c>
      <c r="G602" s="125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175</v>
      </c>
      <c r="Y602" s="66"/>
      <c r="Z602" s="66"/>
      <c r="AA602" s="66"/>
      <c r="AB602">
        <f t="shared" si="19"/>
        <v>0</v>
      </c>
      <c r="AC602">
        <f t="shared" si="20"/>
        <v>0</v>
      </c>
      <c r="AD602" s="67"/>
      <c r="AE602" s="87">
        <f>(
IF(S602="ENVIADO A LA CE/UM",1/3,IF(S602="ENTREGADO/REVISIÓN",2/3,IF(S602="ENVIADO A TICS",1,0)))+
IF(T602="EN PROCESO",1/2,IF(T602="CONCLUIDO",1,0))+
IF(OR(U602="CONCLUIDO",U602="NO APLICA"),1,IF(U602="EN REVISIÓN CENTRAL",2/3,IF(U602="ENVIADO A LA CE/UM",1/3,0)))+
IF(OR(V602="CONCLUIDO",V602="NO APLICA"),1,IF(V602="EN REVISIÓN CENTRAL",2/3,IF(V602="ENVIADO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IF(OR(W602="CONCLUIDO",W602="NO APLICA"),1,IF(W602="EN PROCESO",0.5,0))+
IF(OR(X602="CONCLUIDO",X602="NO APLICA"),1,IF(X602="EN PROCESO",0.5,0))+
IF(Y602="PROGRAMADAS",1/2,IF(Y602="CONCLUIDAS",1,0))+
IF(OR(Z602="SI",Z602="NO APLICA"),1,0)+
IF(OR(AA602="SI",AA602="NO APLICA"),1,0)
)/9</f>
        <v>0.3888888888888889</v>
      </c>
      <c r="AF602" s="91">
        <v>3</v>
      </c>
      <c r="AG602" s="103" t="s">
        <v>1851</v>
      </c>
      <c r="AH602">
        <f t="shared" si="21"/>
        <v>0</v>
      </c>
    </row>
    <row r="603" spans="1:34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>
        <f t="shared" si="19"/>
        <v>0</v>
      </c>
      <c r="AC603">
        <f t="shared" si="20"/>
        <v>0</v>
      </c>
      <c r="AD603" s="67"/>
      <c r="AE603" s="87">
        <f>(
IF(S603="ENVIADO A LA CE/UM",1/3,IF(S603="ENTREGADO/REVISIÓN",2/3,IF(S603="ENVIADO A TICS",1,0)))+
IF(T603="EN PROCESO",1/2,IF(T603="CONCLUIDO",1,0))+
IF(OR(U603="CONCLUIDO",U603="NO APLICA"),1,IF(U603="EN REVISIÓN CENTRAL",2/3,IF(U603="ENVIADO A LA CE/UM",1/3,0)))+
IF(OR(V603="CONCLUIDO",V603="NO APLICA"),1,IF(V603="EN REVISIÓN CENTRAL",2/3,IF(V603="ENVIADO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IF(OR(W603="CONCLUIDO",W603="NO APLICA"),1,IF(W603="EN PROCESO",0.5,0))+
IF(OR(X603="CONCLUIDO",X603="NO APLICA"),1,IF(X603="EN PROCESO",0.5,0))+
IF(Y603="PROGRAMADAS",1/2,IF(Y603="CONCLUIDAS",1,0))+
IF(OR(Z603="SI",Z603="NO APLICA"),1,0)+
IF(OR(AA603="SI",AA603="NO APLICA"),1,0)
)/9</f>
        <v>0.31481481481481477</v>
      </c>
      <c r="AF603" s="91">
        <v>2</v>
      </c>
      <c r="AG603" s="64" t="s">
        <v>1850</v>
      </c>
      <c r="AH603">
        <f t="shared" si="21"/>
        <v>1</v>
      </c>
    </row>
    <row r="604" spans="1:34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/>
      <c r="Z604" s="66"/>
      <c r="AA604" s="66"/>
      <c r="AB604">
        <f t="shared" si="19"/>
        <v>0</v>
      </c>
      <c r="AC604">
        <f t="shared" si="20"/>
        <v>0</v>
      </c>
      <c r="AD604" s="67"/>
      <c r="AE604" s="87">
        <f>(
IF(S604="ENVIADO A LA CE/UM",1/3,IF(S604="ENTREGADO/REVISIÓN",2/3,IF(S604="ENVIADO A TICS",1,0)))+
IF(T604="EN PROCESO",1/2,IF(T604="CONCLUIDO",1,0))+
IF(OR(U604="CONCLUIDO",U604="NO APLICA"),1,IF(U604="EN REVISIÓN CENTRAL",2/3,IF(U604="ENVIADO A LA CE/UM",1/3,0)))+
IF(OR(V604="CONCLUIDO",V604="NO APLICA"),1,IF(V604="EN REVISIÓN CENTRAL",2/3,IF(V604="ENVIADO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IF(OR(W604="CONCLUIDO",W604="NO APLICA"),1,IF(W604="EN PROCESO",0.5,0))+
IF(OR(X604="CONCLUIDO",X604="NO APLICA"),1,IF(X604="EN PROCESO",0.5,0))+
IF(Y604="PROGRAMADAS",1/2,IF(Y604="CONCLUIDAS",1,0))+
IF(OR(Z604="SI",Z604="NO APLICA"),1,0)+
IF(OR(AA604="SI",AA604="NO APLICA"),1,0)
)/9</f>
        <v>0.31481481481481477</v>
      </c>
      <c r="AF604" s="91">
        <v>3</v>
      </c>
      <c r="AG604" s="103" t="s">
        <v>1851</v>
      </c>
      <c r="AH604">
        <f t="shared" si="21"/>
        <v>1</v>
      </c>
    </row>
    <row r="605" spans="1:34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176</v>
      </c>
      <c r="V605" s="66" t="s">
        <v>176</v>
      </c>
      <c r="W605" s="66"/>
      <c r="X605" s="66"/>
      <c r="Y605" s="66"/>
      <c r="Z605" s="66"/>
      <c r="AA605" s="66"/>
      <c r="AB605">
        <f t="shared" si="19"/>
        <v>0</v>
      </c>
      <c r="AC605">
        <f t="shared" si="20"/>
        <v>0</v>
      </c>
      <c r="AD605" s="67"/>
      <c r="AE605" s="87">
        <f>(
IF(S605="ENVIADO A LA CE/UM",1/3,IF(S605="ENTREGADO/REVISIÓN",2/3,IF(S605="ENVIADO A TICS",1,0)))+
IF(T605="EN PROCESO",1/2,IF(T605="CONCLUIDO",1,0))+
IF(OR(U605="CONCLUIDO",U605="NO APLICA"),1,IF(U605="EN REVISIÓN CENTRAL",2/3,IF(U605="ENVIADO A LA CE/UM",1/3,0)))+
IF(OR(V605="CONCLUIDO",V605="NO APLICA"),1,IF(V605="EN REVISIÓN CENTRAL",2/3,IF(V605="ENVIADO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IF(OR(W605="CONCLUIDO",W605="NO APLICA"),1,IF(W605="EN PROCESO",0.5,0))+
IF(OR(X605="CONCLUIDO",X605="NO APLICA"),1,IF(X605="EN PROCESO",0.5,0))+
IF(Y605="PROGRAMADAS",1/2,IF(Y605="CONCLUIDAS",1,0))+
IF(OR(Z605="SI",Z605="NO APLICA"),1,0)+
IF(OR(AA605="SI",AA605="NO APLICA"),1,0)
)/9</f>
        <v>0.24074074074074073</v>
      </c>
      <c r="AF605" s="91">
        <v>2</v>
      </c>
      <c r="AG605" s="64" t="s">
        <v>1850</v>
      </c>
      <c r="AH605">
        <f t="shared" si="21"/>
        <v>1</v>
      </c>
    </row>
    <row r="606" spans="1:34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/>
      <c r="Z606" s="66"/>
      <c r="AA606" s="66"/>
      <c r="AB606">
        <f t="shared" si="19"/>
        <v>0</v>
      </c>
      <c r="AC606">
        <f t="shared" si="20"/>
        <v>0</v>
      </c>
      <c r="AD606" s="67"/>
      <c r="AE606" s="87">
        <f>(
IF(S606="ENVIADO A LA CE/UM",1/3,IF(S606="ENTREGADO/REVISIÓN",2/3,IF(S606="ENVIADO A TICS",1,0)))+
IF(T606="EN PROCESO",1/2,IF(T606="CONCLUIDO",1,0))+
IF(OR(U606="CONCLUIDO",U606="NO APLICA"),1,IF(U606="EN REVISIÓN CENTRAL",2/3,IF(U606="ENVIADO A LA CE/UM",1/3,0)))+
IF(OR(V606="CONCLUIDO",V606="NO APLICA"),1,IF(V606="EN REVISIÓN CENTRAL",2/3,IF(V606="ENVIADO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IF(OR(W606="CONCLUIDO",W606="NO APLICA"),1,IF(W606="EN PROCESO",0.5,0))+
IF(OR(X606="CONCLUIDO",X606="NO APLICA"),1,IF(X606="EN PROCESO",0.5,0))+
IF(Y606="PROGRAMADAS",1/2,IF(Y606="CONCLUIDAS",1,0))+
IF(OR(Z606="SI",Z606="NO APLICA"),1,0)+
IF(OR(AA606="SI",AA606="NO APLICA"),1,0)
)/9</f>
        <v>0.24074074074074073</v>
      </c>
      <c r="AF606" s="91">
        <v>3</v>
      </c>
      <c r="AG606" s="103" t="s">
        <v>1851</v>
      </c>
      <c r="AH606">
        <f t="shared" si="21"/>
        <v>1</v>
      </c>
    </row>
    <row r="607" spans="1:34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>
        <f t="shared" si="19"/>
        <v>0</v>
      </c>
      <c r="AC607">
        <f t="shared" si="20"/>
        <v>0</v>
      </c>
      <c r="AD607" s="67"/>
      <c r="AE607" s="87">
        <f>(
IF(S607="ENVIADO A LA CE/UM",1/3,IF(S607="ENTREGADO/REVISIÓN",2/3,IF(S607="ENVIADO A TICS",1,0)))+
IF(T607="EN PROCESO",1/2,IF(T607="CONCLUIDO",1,0))+
IF(OR(U607="CONCLUIDO",U607="NO APLICA"),1,IF(U607="EN REVISIÓN CENTRAL",2/3,IF(U607="ENVIADO A LA CE/UM",1/3,0)))+
IF(OR(V607="CONCLUIDO",V607="NO APLICA"),1,IF(V607="EN REVISIÓN CENTRAL",2/3,IF(V607="ENVIADO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IF(OR(W607="CONCLUIDO",W607="NO APLICA"),1,IF(W607="EN PROCESO",0.5,0))+
IF(OR(X607="CONCLUIDO",X607="NO APLICA"),1,IF(X607="EN PROCESO",0.5,0))+
IF(Y607="PROGRAMADAS",1/2,IF(Y607="CONCLUIDAS",1,0))+
IF(OR(Z607="SI",Z607="NO APLICA"),1,0)+
IF(OR(AA607="SI",AA607="NO APLICA"),1,0)
)/9</f>
        <v>0.31481481481481477</v>
      </c>
      <c r="AF607" s="91">
        <v>10</v>
      </c>
      <c r="AG607" s="105" t="s">
        <v>1855</v>
      </c>
      <c r="AH607">
        <f t="shared" si="21"/>
        <v>1</v>
      </c>
    </row>
    <row r="608" spans="1:34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>
        <f t="shared" si="19"/>
        <v>0</v>
      </c>
      <c r="AC608">
        <f t="shared" si="20"/>
        <v>0</v>
      </c>
      <c r="AD608" s="67"/>
      <c r="AE608" s="87">
        <f>(
IF(S608="ENVIADO A LA CE/UM",1/3,IF(S608="ENTREGADO/REVISIÓN",2/3,IF(S608="ENVIADO A TICS",1,0)))+
IF(T608="EN PROCESO",1/2,IF(T608="CONCLUIDO",1,0))+
IF(OR(U608="CONCLUIDO",U608="NO APLICA"),1,IF(U608="EN REVISIÓN CENTRAL",2/3,IF(U608="ENVIADO A LA CE/UM",1/3,0)))+
IF(OR(V608="CONCLUIDO",V608="NO APLICA"),1,IF(V608="EN REVISIÓN CENTRAL",2/3,IF(V608="ENVIADO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IF(OR(W608="CONCLUIDO",W608="NO APLICA"),1,IF(W608="EN PROCESO",0.5,0))+
IF(OR(X608="CONCLUIDO",X608="NO APLICA"),1,IF(X608="EN PROCESO",0.5,0))+
IF(Y608="PROGRAMADAS",1/2,IF(Y608="CONCLUIDAS",1,0))+
IF(OR(Z608="SI",Z608="NO APLICA"),1,0)+
IF(OR(AA608="SI",AA608="NO APLICA"),1,0)
)/9</f>
        <v>0.31481481481481477</v>
      </c>
      <c r="AF608" s="91">
        <v>10</v>
      </c>
      <c r="AG608" s="105" t="s">
        <v>1855</v>
      </c>
      <c r="AH608">
        <f t="shared" si="21"/>
        <v>1</v>
      </c>
    </row>
    <row r="609" spans="1:34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>
        <f t="shared" si="19"/>
        <v>0</v>
      </c>
      <c r="AC609">
        <f t="shared" si="20"/>
        <v>0</v>
      </c>
      <c r="AD609" s="67"/>
      <c r="AE609" s="87">
        <f>(
IF(S609="ENVIADO A LA CE/UM",1/3,IF(S609="ENTREGADO/REVISIÓN",2/3,IF(S609="ENVIADO A TICS",1,0)))+
IF(T609="EN PROCESO",1/2,IF(T609="CONCLUIDO",1,0))+
IF(OR(U609="CONCLUIDO",U609="NO APLICA"),1,IF(U609="EN REVISIÓN CENTRAL",2/3,IF(U609="ENVIADO A LA CE/UM",1/3,0)))+
IF(OR(V609="CONCLUIDO",V609="NO APLICA"),1,IF(V609="EN REVISIÓN CENTRAL",2/3,IF(V609="ENVIADO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IF(OR(W609="CONCLUIDO",W609="NO APLICA"),1,IF(W609="EN PROCESO",0.5,0))+
IF(OR(X609="CONCLUIDO",X609="NO APLICA"),1,IF(X609="EN PROCESO",0.5,0))+
IF(Y609="PROGRAMADAS",1/2,IF(Y609="CONCLUIDAS",1,0))+
IF(OR(Z609="SI",Z609="NO APLICA"),1,0)+
IF(OR(AA609="SI",AA609="NO APLICA"),1,0)
)/9</f>
        <v>0.31481481481481477</v>
      </c>
      <c r="AF609" s="91">
        <v>10</v>
      </c>
      <c r="AG609" s="105" t="s">
        <v>1855</v>
      </c>
      <c r="AH609">
        <f t="shared" si="21"/>
        <v>1</v>
      </c>
    </row>
    <row r="610" spans="1:34" x14ac:dyDescent="0.3">
      <c r="A610" s="118" t="s">
        <v>1746</v>
      </c>
      <c r="B610" s="119" t="s">
        <v>210</v>
      </c>
      <c r="C610" s="119" t="s">
        <v>1774</v>
      </c>
      <c r="D610" s="33" t="s">
        <v>1775</v>
      </c>
      <c r="E610" s="126" t="s">
        <v>1609</v>
      </c>
      <c r="F610" s="126" t="s">
        <v>1747</v>
      </c>
      <c r="G610" s="126" t="s">
        <v>1747</v>
      </c>
      <c r="H610" s="127">
        <v>3</v>
      </c>
      <c r="I610" s="126" t="s">
        <v>181</v>
      </c>
      <c r="J610" s="126" t="s">
        <v>182</v>
      </c>
      <c r="K610" s="126" t="s">
        <v>32</v>
      </c>
      <c r="L610" s="126" t="s">
        <v>1760</v>
      </c>
      <c r="M610" s="126" t="s">
        <v>33</v>
      </c>
      <c r="N610" s="128">
        <v>6</v>
      </c>
      <c r="O610" s="128">
        <v>1</v>
      </c>
      <c r="P610" s="128">
        <v>4</v>
      </c>
      <c r="Q610" s="126">
        <v>20.974905799999998</v>
      </c>
      <c r="R610" s="126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>
        <f t="shared" si="19"/>
        <v>0</v>
      </c>
      <c r="AC610">
        <f t="shared" si="20"/>
        <v>0</v>
      </c>
      <c r="AD610" s="67"/>
      <c r="AE610" s="87">
        <f>(
IF(S610="ENVIADO A LA CE/UM",1/3,IF(S610="ENTREGADO/REVISIÓN",2/3,IF(S610="ENVIADO A TICS",1,0)))+
IF(T610="EN PROCESO",1/2,IF(T610="CONCLUIDO",1,0))+
IF(OR(U610="CONCLUIDO",U610="NO APLICA"),1,IF(U610="EN REVISIÓN CENTRAL",2/3,IF(U610="ENVIADO A LA CE/UM",1/3,0)))+
IF(OR(V610="CONCLUIDO",V610="NO APLICA"),1,IF(V610="EN REVISIÓN CENTRAL",2/3,IF(V610="ENVIADO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IF(OR(W610="CONCLUIDO",W610="NO APLICA"),1,IF(W610="EN PROCESO",0.5,0))+
IF(OR(X610="CONCLUIDO",X610="NO APLICA"),1,IF(X610="EN PROCESO",0.5,0))+
IF(Y610="PROGRAMADAS",1/2,IF(Y610="CONCLUIDAS",1,0))+
IF(OR(Z610="SI",Z610="NO APLICA"),1,0)+
IF(OR(AA610="SI",AA610="NO APLICA"),1,0)
)/9</f>
        <v>0.31481481481481477</v>
      </c>
      <c r="AF610" s="91">
        <v>10</v>
      </c>
      <c r="AG610" s="105" t="s">
        <v>1855</v>
      </c>
      <c r="AH610">
        <f t="shared" si="21"/>
        <v>1</v>
      </c>
    </row>
    <row r="611" spans="1:34" x14ac:dyDescent="0.3">
      <c r="A611" s="120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>
        <f t="shared" si="19"/>
        <v>0</v>
      </c>
      <c r="AC611">
        <f t="shared" si="20"/>
        <v>0</v>
      </c>
      <c r="AD611" s="72"/>
      <c r="AE611" s="87">
        <f>(
IF(S611="ENVIADO A LA CE/UM",1/3,IF(S611="ENTREGADO/REVISIÓN",2/3,IF(S611="ENVIADO A TICS",1,0)))+
IF(T611="EN PROCESO",1/2,IF(T611="CONCLUIDO",1,0))+
IF(OR(U611="CONCLUIDO",U611="NO APLICA"),1,IF(U611="EN REVISIÓN CENTRAL",2/3,IF(U611="ENVIADO A LA CE/UM",1/3,0)))+
IF(OR(V611="CONCLUIDO",V611="NO APLICA"),1,IF(V611="EN REVISIÓN CENTRAL",2/3,IF(V611="ENVIADO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IF(OR(W611="CONCLUIDO",W611="NO APLICA"),1,IF(W611="EN PROCESO",0.5,0))+
IF(OR(X611="CONCLUIDO",X611="NO APLICA"),1,IF(X611="EN PROCESO",0.5,0))+
IF(Y611="PROGRAMADAS",1/2,IF(Y611="CONCLUIDAS",1,0))+
IF(OR(Z611="SI",Z611="NO APLICA"),1,0)+
IF(OR(AA611="SI",AA611="NO APLICA"),1,0)
)/9</f>
        <v>0.31481481481481477</v>
      </c>
      <c r="AF611" s="91">
        <v>10</v>
      </c>
      <c r="AG611" s="105" t="s">
        <v>1855</v>
      </c>
      <c r="AH611">
        <f t="shared" si="21"/>
        <v>1</v>
      </c>
    </row>
    <row r="612" spans="1:34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>
        <f t="shared" si="19"/>
        <v>0</v>
      </c>
      <c r="AC612">
        <f t="shared" si="20"/>
        <v>0</v>
      </c>
      <c r="AD612" s="67"/>
      <c r="AE612" s="87">
        <f>(
IF(S612="ENVIADO A LA CE/UM",1/3,IF(S612="ENTREGADO/REVISIÓN",2/3,IF(S612="ENVIADO A TICS",1,0)))+
IF(T612="EN PROCESO",1/2,IF(T612="CONCLUIDO",1,0))+
IF(OR(U612="CONCLUIDO",U612="NO APLICA"),1,IF(U612="EN REVISIÓN CENTRAL",2/3,IF(U612="ENVIADO A LA CE/UM",1/3,0)))+
IF(OR(V612="CONCLUIDO",V612="NO APLICA"),1,IF(V612="EN REVISIÓN CENTRAL",2/3,IF(V612="ENVIADO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IF(OR(W612="CONCLUIDO",W612="NO APLICA"),1,IF(W612="EN PROCESO",0.5,0))+
IF(OR(X612="CONCLUIDO",X612="NO APLICA"),1,IF(X612="EN PROCESO",0.5,0))+
IF(Y612="PROGRAMADAS",1/2,IF(Y612="CONCLUIDAS",1,0))+
IF(OR(Z612="SI",Z612="NO APLICA"),1,0)+
IF(OR(AA612="SI",AA612="NO APLICA"),1,0)
)/9</f>
        <v>0.31481481481481477</v>
      </c>
      <c r="AF612" s="91">
        <v>10</v>
      </c>
      <c r="AG612" s="105" t="s">
        <v>1855</v>
      </c>
      <c r="AH612">
        <f t="shared" si="21"/>
        <v>1</v>
      </c>
    </row>
    <row r="613" spans="1:34" x14ac:dyDescent="0.3">
      <c r="A613" s="102" t="s">
        <v>214</v>
      </c>
      <c r="B613" s="93" t="s">
        <v>210</v>
      </c>
      <c r="C613" s="93" t="s">
        <v>1774</v>
      </c>
      <c r="D613" s="114" t="s">
        <v>1775</v>
      </c>
      <c r="E613" s="34" t="s">
        <v>215</v>
      </c>
      <c r="F613" s="34" t="s">
        <v>216</v>
      </c>
      <c r="G613" s="34" t="s">
        <v>29</v>
      </c>
      <c r="H613" s="129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>
        <f t="shared" si="19"/>
        <v>0</v>
      </c>
      <c r="AC613">
        <f t="shared" si="20"/>
        <v>0</v>
      </c>
      <c r="AD613" s="74"/>
      <c r="AE613" s="87">
        <f>(
IF(S613="ENVIADO A LA CE/UM",1/3,IF(S613="ENTREGADO/REVISIÓN",2/3,IF(S613="ENVIADO A TICS",1,0)))+
IF(T613="EN PROCESO",1/2,IF(T613="CONCLUIDO",1,0))+
IF(OR(U613="CONCLUIDO",U613="NO APLICA"),1,IF(U613="EN REVISIÓN CENTRAL",2/3,IF(U613="ENVIADO A LA CE/UM",1/3,0)))+
IF(OR(V613="CONCLUIDO",V613="NO APLICA"),1,IF(V613="EN REVISIÓN CENTRAL",2/3,IF(V613="ENVIADO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IF(OR(W613="CONCLUIDO",W613="NO APLICA"),1,IF(W613="EN PROCESO",0.5,0))+
IF(OR(X613="CONCLUIDO",X613="NO APLICA"),1,IF(X613="EN PROCESO",0.5,0))+
IF(Y613="PROGRAMADAS",1/2,IF(Y613="CONCLUIDAS",1,0))+
IF(OR(Z613="SI",Z613="NO APLICA"),1,0)+
IF(OR(AA613="SI",AA613="NO APLICA"),1,0)
)/9</f>
        <v>0.31481481481481477</v>
      </c>
      <c r="AF613" s="55">
        <v>10</v>
      </c>
      <c r="AG613" s="105" t="s">
        <v>1855</v>
      </c>
      <c r="AH613">
        <f t="shared" si="21"/>
        <v>1</v>
      </c>
    </row>
    <row r="614" spans="1:34" x14ac:dyDescent="0.3">
      <c r="AB614">
        <f>SUM(AB2:AB613)</f>
        <v>14</v>
      </c>
      <c r="AC614">
        <f>SUM(AC2:AC613)</f>
        <v>87</v>
      </c>
      <c r="AE614" s="115">
        <f>SUM(AE2:AE613)</f>
        <v>280.68537037037066</v>
      </c>
      <c r="AF614" s="29">
        <f>AE614/612*100</f>
        <v>45.863622609537693</v>
      </c>
    </row>
  </sheetData>
  <conditionalFormatting sqref="S1">
    <cfRule type="containsText" dxfId="881" priority="848" operator="containsText" text="ENVIADO A TICS">
      <formula>NOT(ISERROR(SEARCH("ENVIADO A TICS",S1)))</formula>
    </cfRule>
    <cfRule type="containsText" dxfId="880" priority="849" operator="containsText" text="ENTREGADO/REVISIÓN">
      <formula>NOT(ISERROR(SEARCH("ENTREGADO/REVISIÓN",S1)))</formula>
    </cfRule>
    <cfRule type="containsText" dxfId="879" priority="850" operator="containsText" text="ENVIADO A LA CE/UM">
      <formula>NOT(ISERROR(SEARCH("ENVIADO A LA CE/UM",S1)))</formula>
    </cfRule>
  </conditionalFormatting>
  <conditionalFormatting sqref="T1">
    <cfRule type="containsText" dxfId="878" priority="847" operator="containsText" text="EN PROCESO">
      <formula>NOT(ISERROR(SEARCH("EN PROCESO",T1)))</formula>
    </cfRule>
  </conditionalFormatting>
  <conditionalFormatting sqref="W1:X1">
    <cfRule type="containsText" dxfId="857" priority="445" operator="containsText" text="EN PROCESO">
      <formula>NOT(ISERROR(SEARCH("EN PROCESO",W1)))</formula>
    </cfRule>
  </conditionalFormatting>
  <conditionalFormatting sqref="T1:X1">
    <cfRule type="containsText" dxfId="745" priority="852" operator="containsText" text="CONCLUIDO">
      <formula>NOT(ISERROR(SEARCH("CONCLUIDO",T1)))</formula>
    </cfRule>
  </conditionalFormatting>
  <conditionalFormatting sqref="U1">
    <cfRule type="containsText" dxfId="744" priority="854" operator="containsText" text="ENVIADO A LA CE/UM">
      <formula>NOT(ISERROR(SEARCH("ENVIADO A LA CE/UM",U1)))</formula>
    </cfRule>
  </conditionalFormatting>
  <conditionalFormatting sqref="U1:V1">
    <cfRule type="containsText" dxfId="741" priority="853" operator="containsText" text="EN REVISIÓN CENTRAL">
      <formula>NOT(ISERROR(SEARCH("EN REVISIÓN CENTRAL",U1)))</formula>
    </cfRule>
  </conditionalFormatting>
  <conditionalFormatting sqref="Z1:AC1">
    <cfRule type="containsText" dxfId="501" priority="841" operator="containsText" text="SI">
      <formula>NOT(ISERROR(SEARCH("SI",Z1)))</formula>
    </cfRule>
  </conditionalFormatting>
  <conditionalFormatting sqref="W1:X1">
    <cfRule type="containsText" dxfId="500" priority="446" operator="containsText" text="ENVIADO">
      <formula>NOT(ISERROR(SEARCH("ENVIADO",W1)))</formula>
    </cfRule>
  </conditionalFormatting>
  <conditionalFormatting sqref="Y1">
    <cfRule type="containsText" dxfId="454" priority="843" operator="containsText" text="CONCLUIDAS">
      <formula>NOT(ISERROR(SEARCH("CONCLUIDAS",Y1)))</formula>
    </cfRule>
    <cfRule type="containsText" dxfId="453" priority="844" operator="containsText" text="PROGRAMADAS">
      <formula>NOT(ISERROR(SEARCH("PROGRAMADAS",Y1)))</formula>
    </cfRule>
  </conditionalFormatting>
  <conditionalFormatting sqref="Z1:AC1">
    <cfRule type="containsText" dxfId="452" priority="842" operator="containsText" text="NO">
      <formula>NOT(ISERROR(SEARCH("NO",Z1)))</formula>
    </cfRule>
  </conditionalFormatting>
  <conditionalFormatting sqref="AE1">
    <cfRule type="dataBar" priority="150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F1:AG1">
    <cfRule type="containsText" dxfId="451" priority="6537" operator="containsText" text="EN PROCESO">
      <formula>NOT(ISERROR(SEARCH("EN PROCESO",AF1)))</formula>
    </cfRule>
    <cfRule type="containsText" dxfId="450" priority="6538" operator="containsText" text="ENVIADO">
      <formula>NOT(ISERROR(SEARCH("ENVIADO",AF1)))</formula>
    </cfRule>
    <cfRule type="containsText" dxfId="449" priority="6539" operator="containsText" text="CONCLUIDO">
      <formula>NOT(ISERROR(SEARCH("CONCLUIDO",AF1)))</formula>
    </cfRule>
  </conditionalFormatting>
  <conditionalFormatting sqref="S2:S613 Q610">
    <cfRule type="containsText" dxfId="448" priority="416" operator="containsText" text="ENVIADO A TICS">
      <formula>NOT(ISERROR(SEARCH("ENVIADO A TICS",Q2)))</formula>
    </cfRule>
    <cfRule type="containsText" dxfId="447" priority="417" operator="containsText" text="ENTREGADO/REVISIÓN">
      <formula>NOT(ISERROR(SEARCH("ENTREGADO/REVISIÓN",Q2)))</formula>
    </cfRule>
    <cfRule type="containsText" dxfId="446" priority="418" operator="containsText" text="ENVIADO A LA CE/UM">
      <formula>NOT(ISERROR(SEARCH("ENVIADO A LA CE/UM",Q2)))</formula>
    </cfRule>
  </conditionalFormatting>
  <conditionalFormatting sqref="T2:T609 R610">
    <cfRule type="containsText" dxfId="445" priority="415" operator="containsText" text="EN PROCESO">
      <formula>NOT(ISERROR(SEARCH("EN PROCESO",R2)))</formula>
    </cfRule>
  </conditionalFormatting>
  <conditionalFormatting sqref="T2:T63 W567:W580 T596">
    <cfRule type="containsText" dxfId="444" priority="131" operator="containsText" text="EN PROCESO">
      <formula>NOT(ISERROR(SEARCH("EN PROCESO",T2)))</formula>
    </cfRule>
  </conditionalFormatting>
  <conditionalFormatting sqref="T2:T63 W117:X613 T596 W2:X115 X116">
    <cfRule type="containsText" dxfId="443" priority="132" operator="containsText" text="ENVIADO">
      <formula>NOT(ISERROR(SEARCH("ENVIADO",T2)))</formula>
    </cfRule>
  </conditionalFormatting>
  <conditionalFormatting sqref="T2:T63 X277:X607 W567:W580 T596">
    <cfRule type="containsText" dxfId="442" priority="134" operator="containsText" text="ENVIADO">
      <formula>NOT(ISERROR(SEARCH("ENVIADO",T2)))</formula>
    </cfRule>
  </conditionalFormatting>
  <conditionalFormatting sqref="T89:T95">
    <cfRule type="containsText" dxfId="441" priority="127" operator="containsText" text="EN PROCESO">
      <formula>NOT(ISERROR(SEARCH("EN PROCESO",T89)))</formula>
    </cfRule>
    <cfRule type="containsText" dxfId="440" priority="128" operator="containsText" text="ENVIADO">
      <formula>NOT(ISERROR(SEARCH("ENVIADO",T89)))</formula>
    </cfRule>
    <cfRule type="containsText" dxfId="439" priority="129" operator="containsText" text="EN PROCESO">
      <formula>NOT(ISERROR(SEARCH("EN PROCESO",T89)))</formula>
    </cfRule>
    <cfRule type="containsText" dxfId="438" priority="130" operator="containsText" text="ENVIADO">
      <formula>NOT(ISERROR(SEARCH("ENVIADO",T89)))</formula>
    </cfRule>
  </conditionalFormatting>
  <conditionalFormatting sqref="T98">
    <cfRule type="containsText" dxfId="437" priority="123" operator="containsText" text="EN PROCESO">
      <formula>NOT(ISERROR(SEARCH("EN PROCESO",T98)))</formula>
    </cfRule>
    <cfRule type="containsText" dxfId="436" priority="124" operator="containsText" text="ENVIADO">
      <formula>NOT(ISERROR(SEARCH("ENVIADO",T98)))</formula>
    </cfRule>
    <cfRule type="containsText" dxfId="435" priority="125" operator="containsText" text="EN PROCESO">
      <formula>NOT(ISERROR(SEARCH("EN PROCESO",T98)))</formula>
    </cfRule>
    <cfRule type="containsText" dxfId="434" priority="126" operator="containsText" text="ENVIADO">
      <formula>NOT(ISERROR(SEARCH("ENVIADO",T98)))</formula>
    </cfRule>
  </conditionalFormatting>
  <conditionalFormatting sqref="T100">
    <cfRule type="containsText" dxfId="433" priority="119" operator="containsText" text="EN PROCESO">
      <formula>NOT(ISERROR(SEARCH("EN PROCESO",T100)))</formula>
    </cfRule>
    <cfRule type="containsText" dxfId="432" priority="120" operator="containsText" text="ENVIADO">
      <formula>NOT(ISERROR(SEARCH("ENVIADO",T100)))</formula>
    </cfRule>
    <cfRule type="containsText" dxfId="431" priority="121" operator="containsText" text="EN PROCESO">
      <formula>NOT(ISERROR(SEARCH("EN PROCESO",T100)))</formula>
    </cfRule>
    <cfRule type="containsText" dxfId="430" priority="122" operator="containsText" text="ENVIADO">
      <formula>NOT(ISERROR(SEARCH("ENVIADO",T100)))</formula>
    </cfRule>
  </conditionalFormatting>
  <conditionalFormatting sqref="T100:T102">
    <cfRule type="containsText" dxfId="429" priority="115" operator="containsText" text="EN PROCESO">
      <formula>NOT(ISERROR(SEARCH("EN PROCESO",T100)))</formula>
    </cfRule>
    <cfRule type="containsText" dxfId="428" priority="116" operator="containsText" text="ENVIADO">
      <formula>NOT(ISERROR(SEARCH("ENVIADO",T100)))</formula>
    </cfRule>
    <cfRule type="containsText" dxfId="427" priority="117" operator="containsText" text="EN PROCESO">
      <formula>NOT(ISERROR(SEARCH("EN PROCESO",T100)))</formula>
    </cfRule>
    <cfRule type="containsText" dxfId="426" priority="118" operator="containsText" text="ENVIADO">
      <formula>NOT(ISERROR(SEARCH("ENVIADO",T100)))</formula>
    </cfRule>
  </conditionalFormatting>
  <conditionalFormatting sqref="T104:T105 X277:X613 W385:W522">
    <cfRule type="containsText" dxfId="425" priority="114" operator="containsText" text="ENVIADO">
      <formula>NOT(ISERROR(SEARCH("ENVIADO",T104)))</formula>
    </cfRule>
  </conditionalFormatting>
  <conditionalFormatting sqref="T104:T106 T109:T112 T118:T155">
    <cfRule type="containsText" dxfId="424" priority="21" operator="containsText" text="EN PROCESO">
      <formula>NOT(ISERROR(SEARCH("EN PROCESO",T104)))</formula>
    </cfRule>
    <cfRule type="containsText" dxfId="423" priority="22" operator="containsText" text="ENVIADO">
      <formula>NOT(ISERROR(SEARCH("ENVIADO",T104)))</formula>
    </cfRule>
  </conditionalFormatting>
  <conditionalFormatting sqref="T106 W109:W115 T112 W117:W291">
    <cfRule type="containsText" dxfId="422" priority="19" operator="containsText" text="EN PROCESO">
      <formula>NOT(ISERROR(SEARCH("EN PROCESO",T106)))</formula>
    </cfRule>
    <cfRule type="containsText" dxfId="421" priority="20" operator="containsText" text="ENVIADO">
      <formula>NOT(ISERROR(SEARCH("ENVIADO",T106)))</formula>
    </cfRule>
  </conditionalFormatting>
  <conditionalFormatting sqref="T109:T111">
    <cfRule type="containsText" dxfId="420" priority="111" operator="containsText" text="EN PROCESO">
      <formula>NOT(ISERROR(SEARCH("EN PROCESO",T109)))</formula>
    </cfRule>
    <cfRule type="containsText" dxfId="419" priority="112" operator="containsText" text="ENVIADO">
      <formula>NOT(ISERROR(SEARCH("ENVIADO",T109)))</formula>
    </cfRule>
  </conditionalFormatting>
  <conditionalFormatting sqref="T115:T117">
    <cfRule type="containsText" dxfId="418" priority="1" operator="containsText" text="EN PROCESO">
      <formula>NOT(ISERROR(SEARCH("EN PROCESO",T115)))</formula>
    </cfRule>
    <cfRule type="containsText" dxfId="417" priority="2" operator="containsText" text="ENVIADO">
      <formula>NOT(ISERROR(SEARCH("ENVIADO",T115)))</formula>
    </cfRule>
  </conditionalFormatting>
  <conditionalFormatting sqref="T115:T155">
    <cfRule type="containsText" dxfId="416" priority="3" operator="containsText" text="EN PROCESO">
      <formula>NOT(ISERROR(SEARCH("EN PROCESO",T115)))</formula>
    </cfRule>
    <cfRule type="containsText" dxfId="415" priority="4" operator="containsText" text="ENVIADO">
      <formula>NOT(ISERROR(SEARCH("ENVIADO",T115)))</formula>
    </cfRule>
  </conditionalFormatting>
  <conditionalFormatting sqref="T187 T190:T191">
    <cfRule type="containsText" dxfId="414" priority="15" operator="containsText" text="EN PROCESO">
      <formula>NOT(ISERROR(SEARCH("EN PROCESO",T187)))</formula>
    </cfRule>
    <cfRule type="containsText" dxfId="413" priority="16" operator="containsText" text="ENVIADO">
      <formula>NOT(ISERROR(SEARCH("ENVIADO",T187)))</formula>
    </cfRule>
    <cfRule type="containsText" dxfId="412" priority="17" operator="containsText" text="EN PROCESO">
      <formula>NOT(ISERROR(SEARCH("EN PROCESO",T187)))</formula>
    </cfRule>
    <cfRule type="containsText" dxfId="411" priority="18" operator="containsText" text="ENVIADO">
      <formula>NOT(ISERROR(SEARCH("ENVIADO",T187)))</formula>
    </cfRule>
  </conditionalFormatting>
  <conditionalFormatting sqref="T198">
    <cfRule type="containsText" dxfId="410" priority="7" operator="containsText" text="EN PROCESO">
      <formula>NOT(ISERROR(SEARCH("EN PROCESO",T198)))</formula>
    </cfRule>
    <cfRule type="containsText" dxfId="409" priority="8" operator="containsText" text="ENVIADO">
      <formula>NOT(ISERROR(SEARCH("ENVIADO",T198)))</formula>
    </cfRule>
    <cfRule type="containsText" dxfId="408" priority="9" operator="containsText" text="EN PROCESO">
      <formula>NOT(ISERROR(SEARCH("EN PROCESO",T198)))</formula>
    </cfRule>
    <cfRule type="containsText" dxfId="407" priority="10" operator="containsText" text="ENVIADO">
      <formula>NOT(ISERROR(SEARCH("ENVIADO",T198)))</formula>
    </cfRule>
  </conditionalFormatting>
  <conditionalFormatting sqref="T201 T203">
    <cfRule type="containsText" dxfId="406" priority="11" operator="containsText" text="EN PROCESO">
      <formula>NOT(ISERROR(SEARCH("EN PROCESO",T201)))</formula>
    </cfRule>
    <cfRule type="containsText" dxfId="405" priority="12" operator="containsText" text="ENVIADO">
      <formula>NOT(ISERROR(SEARCH("ENVIADO",T201)))</formula>
    </cfRule>
    <cfRule type="containsText" dxfId="404" priority="13" operator="containsText" text="EN PROCESO">
      <formula>NOT(ISERROR(SEARCH("EN PROCESO",T201)))</formula>
    </cfRule>
    <cfRule type="containsText" dxfId="403" priority="14" operator="containsText" text="ENVIADO">
      <formula>NOT(ISERROR(SEARCH("ENVIADO",T201)))</formula>
    </cfRule>
  </conditionalFormatting>
  <conditionalFormatting sqref="T277:T283">
    <cfRule type="containsText" dxfId="402" priority="23" operator="containsText" text="EN PROCESO">
      <formula>NOT(ISERROR(SEARCH("EN PROCESO",T277)))</formula>
    </cfRule>
    <cfRule type="containsText" dxfId="401" priority="24" operator="containsText" text="ENVIADO">
      <formula>NOT(ISERROR(SEARCH("ENVIADO",T277)))</formula>
    </cfRule>
    <cfRule type="containsText" dxfId="400" priority="25" operator="containsText" text="EN PROCESO">
      <formula>NOT(ISERROR(SEARCH("EN PROCESO",T277)))</formula>
    </cfRule>
    <cfRule type="containsText" dxfId="399" priority="26" operator="containsText" text="ENVIADO">
      <formula>NOT(ISERROR(SEARCH("ENVIADO",T277)))</formula>
    </cfRule>
  </conditionalFormatting>
  <conditionalFormatting sqref="T292">
    <cfRule type="containsText" dxfId="398" priority="107" operator="containsText" text="EN PROCESO">
      <formula>NOT(ISERROR(SEARCH("EN PROCESO",T292)))</formula>
    </cfRule>
    <cfRule type="containsText" dxfId="397" priority="108" operator="containsText" text="ENVIADO">
      <formula>NOT(ISERROR(SEARCH("ENVIADO",T292)))</formula>
    </cfRule>
    <cfRule type="containsText" dxfId="396" priority="109" operator="containsText" text="EN PROCESO">
      <formula>NOT(ISERROR(SEARCH("EN PROCESO",T292)))</formula>
    </cfRule>
    <cfRule type="containsText" dxfId="395" priority="110" operator="containsText" text="ENVIADO">
      <formula>NOT(ISERROR(SEARCH("ENVIADO",T292)))</formula>
    </cfRule>
  </conditionalFormatting>
  <conditionalFormatting sqref="T294">
    <cfRule type="containsText" dxfId="394" priority="373" operator="containsText" text="EN PROCESO">
      <formula>NOT(ISERROR(SEARCH("EN PROCESO",T294)))</formula>
    </cfRule>
    <cfRule type="containsText" dxfId="393" priority="374" operator="containsText" text="ENVIADO">
      <formula>NOT(ISERROR(SEARCH("ENVIADO",T294)))</formula>
    </cfRule>
    <cfRule type="containsText" dxfId="392" priority="375" operator="containsText" text="EN PROCESO">
      <formula>NOT(ISERROR(SEARCH("EN PROCESO",T294)))</formula>
    </cfRule>
    <cfRule type="containsText" dxfId="391" priority="376" operator="containsText" text="ENVIADO">
      <formula>NOT(ISERROR(SEARCH("ENVIADO",T294)))</formula>
    </cfRule>
  </conditionalFormatting>
  <conditionalFormatting sqref="T294:T295">
    <cfRule type="containsText" dxfId="390" priority="105" operator="containsText" text="EN PROCESO">
      <formula>NOT(ISERROR(SEARCH("EN PROCESO",T294)))</formula>
    </cfRule>
    <cfRule type="containsText" dxfId="389" priority="106" operator="containsText" text="ENVIADO">
      <formula>NOT(ISERROR(SEARCH("ENVIADO",T294)))</formula>
    </cfRule>
  </conditionalFormatting>
  <conditionalFormatting sqref="T295">
    <cfRule type="containsText" dxfId="388" priority="103" operator="containsText" text="EN PROCESO">
      <formula>NOT(ISERROR(SEARCH("EN PROCESO",T295)))</formula>
    </cfRule>
    <cfRule type="containsText" dxfId="387" priority="104" operator="containsText" text="ENVIADO">
      <formula>NOT(ISERROR(SEARCH("ENVIADO",T295)))</formula>
    </cfRule>
  </conditionalFormatting>
  <conditionalFormatting sqref="T297">
    <cfRule type="containsText" dxfId="386" priority="99" operator="containsText" text="EN PROCESO">
      <formula>NOT(ISERROR(SEARCH("EN PROCESO",T297)))</formula>
    </cfRule>
    <cfRule type="containsText" dxfId="385" priority="100" operator="containsText" text="ENVIADO">
      <formula>NOT(ISERROR(SEARCH("ENVIADO",T297)))</formula>
    </cfRule>
    <cfRule type="containsText" dxfId="384" priority="101" operator="containsText" text="EN PROCESO">
      <formula>NOT(ISERROR(SEARCH("EN PROCESO",T297)))</formula>
    </cfRule>
    <cfRule type="containsText" dxfId="383" priority="102" operator="containsText" text="ENVIADO">
      <formula>NOT(ISERROR(SEARCH("ENVIADO",T297)))</formula>
    </cfRule>
  </conditionalFormatting>
  <conditionalFormatting sqref="T303">
    <cfRule type="containsText" dxfId="382" priority="95" operator="containsText" text="EN PROCESO">
      <formula>NOT(ISERROR(SEARCH("EN PROCESO",T303)))</formula>
    </cfRule>
    <cfRule type="containsText" dxfId="381" priority="96" operator="containsText" text="ENVIADO">
      <formula>NOT(ISERROR(SEARCH("ENVIADO",T303)))</formula>
    </cfRule>
    <cfRule type="containsText" dxfId="380" priority="97" operator="containsText" text="EN PROCESO">
      <formula>NOT(ISERROR(SEARCH("EN PROCESO",T303)))</formula>
    </cfRule>
    <cfRule type="containsText" dxfId="379" priority="98" operator="containsText" text="ENVIADO">
      <formula>NOT(ISERROR(SEARCH("ENVIADO",T303)))</formula>
    </cfRule>
  </conditionalFormatting>
  <conditionalFormatting sqref="T305">
    <cfRule type="containsText" dxfId="378" priority="91" operator="containsText" text="EN PROCESO">
      <formula>NOT(ISERROR(SEARCH("EN PROCESO",T305)))</formula>
    </cfRule>
    <cfRule type="containsText" dxfId="377" priority="92" operator="containsText" text="ENVIADO">
      <formula>NOT(ISERROR(SEARCH("ENVIADO",T305)))</formula>
    </cfRule>
    <cfRule type="containsText" dxfId="376" priority="93" operator="containsText" text="EN PROCESO">
      <formula>NOT(ISERROR(SEARCH("EN PROCESO",T305)))</formula>
    </cfRule>
    <cfRule type="containsText" dxfId="375" priority="94" operator="containsText" text="ENVIADO">
      <formula>NOT(ISERROR(SEARCH("ENVIADO",T305)))</formula>
    </cfRule>
  </conditionalFormatting>
  <conditionalFormatting sqref="T307">
    <cfRule type="containsText" dxfId="374" priority="87" operator="containsText" text="EN PROCESO">
      <formula>NOT(ISERROR(SEARCH("EN PROCESO",T307)))</formula>
    </cfRule>
    <cfRule type="containsText" dxfId="373" priority="88" operator="containsText" text="ENVIADO">
      <formula>NOT(ISERROR(SEARCH("ENVIADO",T307)))</formula>
    </cfRule>
    <cfRule type="containsText" dxfId="372" priority="89" operator="containsText" text="EN PROCESO">
      <formula>NOT(ISERROR(SEARCH("EN PROCESO",T307)))</formula>
    </cfRule>
    <cfRule type="containsText" dxfId="371" priority="90" operator="containsText" text="ENVIADO">
      <formula>NOT(ISERROR(SEARCH("ENVIADO",T307)))</formula>
    </cfRule>
  </conditionalFormatting>
  <conditionalFormatting sqref="T309:T314">
    <cfRule type="containsText" dxfId="370" priority="83" operator="containsText" text="EN PROCESO">
      <formula>NOT(ISERROR(SEARCH("EN PROCESO",T309)))</formula>
    </cfRule>
    <cfRule type="containsText" dxfId="369" priority="84" operator="containsText" text="ENVIADO">
      <formula>NOT(ISERROR(SEARCH("ENVIADO",T309)))</formula>
    </cfRule>
    <cfRule type="containsText" dxfId="368" priority="85" operator="containsText" text="EN PROCESO">
      <formula>NOT(ISERROR(SEARCH("EN PROCESO",T309)))</formula>
    </cfRule>
    <cfRule type="containsText" dxfId="367" priority="86" operator="containsText" text="ENVIADO">
      <formula>NOT(ISERROR(SEARCH("ENVIADO",T309)))</formula>
    </cfRule>
  </conditionalFormatting>
  <conditionalFormatting sqref="T329:T337">
    <cfRule type="containsText" dxfId="366" priority="79" operator="containsText" text="EN PROCESO">
      <formula>NOT(ISERROR(SEARCH("EN PROCESO",T329)))</formula>
    </cfRule>
    <cfRule type="containsText" dxfId="365" priority="80" operator="containsText" text="ENVIADO">
      <formula>NOT(ISERROR(SEARCH("ENVIADO",T329)))</formula>
    </cfRule>
    <cfRule type="containsText" dxfId="364" priority="81" operator="containsText" text="EN PROCESO">
      <formula>NOT(ISERROR(SEARCH("EN PROCESO",T329)))</formula>
    </cfRule>
    <cfRule type="containsText" dxfId="363" priority="82" operator="containsText" text="ENVIADO">
      <formula>NOT(ISERROR(SEARCH("ENVIADO",T329)))</formula>
    </cfRule>
  </conditionalFormatting>
  <conditionalFormatting sqref="T385">
    <cfRule type="containsText" dxfId="362" priority="75" operator="containsText" text="EN PROCESO">
      <formula>NOT(ISERROR(SEARCH("EN PROCESO",T385)))</formula>
    </cfRule>
    <cfRule type="containsText" dxfId="361" priority="76" operator="containsText" text="ENVIADO">
      <formula>NOT(ISERROR(SEARCH("ENVIADO",T385)))</formula>
    </cfRule>
    <cfRule type="containsText" dxfId="360" priority="77" operator="containsText" text="EN PROCESO">
      <formula>NOT(ISERROR(SEARCH("EN PROCESO",T385)))</formula>
    </cfRule>
    <cfRule type="containsText" dxfId="359" priority="78" operator="containsText" text="ENVIADO">
      <formula>NOT(ISERROR(SEARCH("ENVIADO",T385)))</formula>
    </cfRule>
  </conditionalFormatting>
  <conditionalFormatting sqref="T446:T455">
    <cfRule type="containsText" dxfId="358" priority="71" operator="containsText" text="EN PROCESO">
      <formula>NOT(ISERROR(SEARCH("EN PROCESO",T446)))</formula>
    </cfRule>
    <cfRule type="containsText" dxfId="357" priority="72" operator="containsText" text="ENVIADO">
      <formula>NOT(ISERROR(SEARCH("ENVIADO",T446)))</formula>
    </cfRule>
    <cfRule type="containsText" dxfId="356" priority="73" operator="containsText" text="EN PROCESO">
      <formula>NOT(ISERROR(SEARCH("EN PROCESO",T446)))</formula>
    </cfRule>
    <cfRule type="containsText" dxfId="355" priority="74" operator="containsText" text="ENVIADO">
      <formula>NOT(ISERROR(SEARCH("ENVIADO",T446)))</formula>
    </cfRule>
  </conditionalFormatting>
  <conditionalFormatting sqref="T517:T521">
    <cfRule type="containsText" dxfId="354" priority="67" operator="containsText" text="EN PROCESO">
      <formula>NOT(ISERROR(SEARCH("EN PROCESO",T517)))</formula>
    </cfRule>
    <cfRule type="containsText" dxfId="353" priority="68" operator="containsText" text="ENVIADO">
      <formula>NOT(ISERROR(SEARCH("ENVIADO",T517)))</formula>
    </cfRule>
    <cfRule type="containsText" dxfId="352" priority="69" operator="containsText" text="EN PROCESO">
      <formula>NOT(ISERROR(SEARCH("EN PROCESO",T517)))</formula>
    </cfRule>
    <cfRule type="containsText" dxfId="351" priority="70" operator="containsText" text="ENVIADO">
      <formula>NOT(ISERROR(SEARCH("ENVIADO",T517)))</formula>
    </cfRule>
  </conditionalFormatting>
  <conditionalFormatting sqref="T533">
    <cfRule type="containsText" dxfId="350" priority="63" operator="containsText" text="EN PROCESO">
      <formula>NOT(ISERROR(SEARCH("EN PROCESO",T533)))</formula>
    </cfRule>
    <cfRule type="containsText" dxfId="349" priority="64" operator="containsText" text="ENVIADO">
      <formula>NOT(ISERROR(SEARCH("ENVIADO",T533)))</formula>
    </cfRule>
    <cfRule type="containsText" dxfId="348" priority="65" operator="containsText" text="EN PROCESO">
      <formula>NOT(ISERROR(SEARCH("EN PROCESO",T533)))</formula>
    </cfRule>
    <cfRule type="containsText" dxfId="347" priority="66" operator="containsText" text="ENVIADO">
      <formula>NOT(ISERROR(SEARCH("ENVIADO",T533)))</formula>
    </cfRule>
  </conditionalFormatting>
  <conditionalFormatting sqref="T541">
    <cfRule type="containsText" dxfId="346" priority="59" operator="containsText" text="EN PROCESO">
      <formula>NOT(ISERROR(SEARCH("EN PROCESO",T541)))</formula>
    </cfRule>
    <cfRule type="containsText" dxfId="345" priority="60" operator="containsText" text="ENVIADO">
      <formula>NOT(ISERROR(SEARCH("ENVIADO",T541)))</formula>
    </cfRule>
    <cfRule type="containsText" dxfId="344" priority="61" operator="containsText" text="EN PROCESO">
      <formula>NOT(ISERROR(SEARCH("EN PROCESO",T541)))</formula>
    </cfRule>
    <cfRule type="containsText" dxfId="343" priority="62" operator="containsText" text="ENVIADO">
      <formula>NOT(ISERROR(SEARCH("ENVIADO",T541)))</formula>
    </cfRule>
  </conditionalFormatting>
  <conditionalFormatting sqref="T544:T545">
    <cfRule type="containsText" dxfId="342" priority="55" operator="containsText" text="EN PROCESO">
      <formula>NOT(ISERROR(SEARCH("EN PROCESO",T544)))</formula>
    </cfRule>
    <cfRule type="containsText" dxfId="341" priority="56" operator="containsText" text="ENVIADO">
      <formula>NOT(ISERROR(SEARCH("ENVIADO",T544)))</formula>
    </cfRule>
    <cfRule type="containsText" dxfId="340" priority="57" operator="containsText" text="EN PROCESO">
      <formula>NOT(ISERROR(SEARCH("EN PROCESO",T544)))</formula>
    </cfRule>
    <cfRule type="containsText" dxfId="339" priority="58" operator="containsText" text="ENVIADO">
      <formula>NOT(ISERROR(SEARCH("ENVIADO",T544)))</formula>
    </cfRule>
  </conditionalFormatting>
  <conditionalFormatting sqref="T547">
    <cfRule type="containsText" dxfId="338" priority="51" operator="containsText" text="EN PROCESO">
      <formula>NOT(ISERROR(SEARCH("EN PROCESO",T547)))</formula>
    </cfRule>
    <cfRule type="containsText" dxfId="337" priority="52" operator="containsText" text="ENVIADO">
      <formula>NOT(ISERROR(SEARCH("ENVIADO",T547)))</formula>
    </cfRule>
    <cfRule type="containsText" dxfId="336" priority="53" operator="containsText" text="EN PROCESO">
      <formula>NOT(ISERROR(SEARCH("EN PROCESO",T547)))</formula>
    </cfRule>
    <cfRule type="containsText" dxfId="335" priority="54" operator="containsText" text="ENVIADO">
      <formula>NOT(ISERROR(SEARCH("ENVIADO",T547)))</formula>
    </cfRule>
  </conditionalFormatting>
  <conditionalFormatting sqref="T566">
    <cfRule type="containsText" dxfId="334" priority="47" operator="containsText" text="EN PROCESO">
      <formula>NOT(ISERROR(SEARCH("EN PROCESO",T566)))</formula>
    </cfRule>
    <cfRule type="containsText" dxfId="333" priority="48" operator="containsText" text="ENVIADO">
      <formula>NOT(ISERROR(SEARCH("ENVIADO",T566)))</formula>
    </cfRule>
    <cfRule type="containsText" dxfId="332" priority="49" operator="containsText" text="EN PROCESO">
      <formula>NOT(ISERROR(SEARCH("EN PROCESO",T566)))</formula>
    </cfRule>
    <cfRule type="containsText" dxfId="331" priority="50" operator="containsText" text="ENVIADO">
      <formula>NOT(ISERROR(SEARCH("ENVIADO",T566)))</formula>
    </cfRule>
  </conditionalFormatting>
  <conditionalFormatting sqref="T581">
    <cfRule type="containsText" dxfId="330" priority="43" operator="containsText" text="EN PROCESO">
      <formula>NOT(ISERROR(SEARCH("EN PROCESO",T581)))</formula>
    </cfRule>
    <cfRule type="containsText" dxfId="329" priority="44" operator="containsText" text="ENVIADO">
      <formula>NOT(ISERROR(SEARCH("ENVIADO",T581)))</formula>
    </cfRule>
    <cfRule type="containsText" dxfId="328" priority="45" operator="containsText" text="EN PROCESO">
      <formula>NOT(ISERROR(SEARCH("EN PROCESO",T581)))</formula>
    </cfRule>
    <cfRule type="containsText" dxfId="327" priority="46" operator="containsText" text="ENVIADO">
      <formula>NOT(ISERROR(SEARCH("ENVIADO",T581)))</formula>
    </cfRule>
  </conditionalFormatting>
  <conditionalFormatting sqref="T590:T591">
    <cfRule type="containsText" dxfId="326" priority="39" operator="containsText" text="EN PROCESO">
      <formula>NOT(ISERROR(SEARCH("EN PROCESO",T590)))</formula>
    </cfRule>
    <cfRule type="containsText" dxfId="325" priority="40" operator="containsText" text="ENVIADO">
      <formula>NOT(ISERROR(SEARCH("ENVIADO",T590)))</formula>
    </cfRule>
    <cfRule type="containsText" dxfId="324" priority="41" operator="containsText" text="EN PROCESO">
      <formula>NOT(ISERROR(SEARCH("EN PROCESO",T590)))</formula>
    </cfRule>
    <cfRule type="containsText" dxfId="323" priority="42" operator="containsText" text="ENVIADO">
      <formula>NOT(ISERROR(SEARCH("ENVIADO",T590)))</formula>
    </cfRule>
  </conditionalFormatting>
  <conditionalFormatting sqref="T604">
    <cfRule type="containsText" dxfId="322" priority="35" operator="containsText" text="EN PROCESO">
      <formula>NOT(ISERROR(SEARCH("EN PROCESO",T604)))</formula>
    </cfRule>
    <cfRule type="containsText" dxfId="321" priority="36" operator="containsText" text="ENVIADO">
      <formula>NOT(ISERROR(SEARCH("ENVIADO",T604)))</formula>
    </cfRule>
    <cfRule type="containsText" dxfId="320" priority="37" operator="containsText" text="EN PROCESO">
      <formula>NOT(ISERROR(SEARCH("EN PROCESO",T604)))</formula>
    </cfRule>
    <cfRule type="containsText" dxfId="319" priority="38" operator="containsText" text="ENVIADO">
      <formula>NOT(ISERROR(SEARCH("ENVIADO",T604)))</formula>
    </cfRule>
  </conditionalFormatting>
  <conditionalFormatting sqref="T608">
    <cfRule type="containsText" dxfId="318" priority="31" operator="containsText" text="EN PROCESO">
      <formula>NOT(ISERROR(SEARCH("EN PROCESO",T608)))</formula>
    </cfRule>
    <cfRule type="containsText" dxfId="317" priority="32" operator="containsText" text="ENVIADO">
      <formula>NOT(ISERROR(SEARCH("ENVIADO",T608)))</formula>
    </cfRule>
    <cfRule type="containsText" dxfId="316" priority="33" operator="containsText" text="EN PROCESO">
      <formula>NOT(ISERROR(SEARCH("EN PROCESO",T608)))</formula>
    </cfRule>
    <cfRule type="containsText" dxfId="315" priority="34" operator="containsText" text="ENVIADO">
      <formula>NOT(ISERROR(SEARCH("ENVIADO",T608)))</formula>
    </cfRule>
  </conditionalFormatting>
  <conditionalFormatting sqref="T611:T613">
    <cfRule type="containsText" dxfId="314" priority="423" operator="containsText" text="EN PROCESO">
      <formula>NOT(ISERROR(SEARCH("EN PROCESO",T611)))</formula>
    </cfRule>
  </conditionalFormatting>
  <conditionalFormatting sqref="T610:U610">
    <cfRule type="containsText" dxfId="313" priority="29" operator="containsText" text="EN REVISIÓN CENTRAL">
      <formula>NOT(ISERROR(SEARCH("EN REVISIÓN CENTRAL",T610)))</formula>
    </cfRule>
    <cfRule type="containsText" dxfId="312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311" priority="420" operator="containsText" text="CONCLUIDO">
      <formula>NOT(ISERROR(SEARCH("CONCLUIDO",R2)))</formula>
    </cfRule>
  </conditionalFormatting>
  <conditionalFormatting sqref="U2:U609 V2:V613 U611:U613">
    <cfRule type="containsText" dxfId="310" priority="422" operator="containsText" text="ENVIADO A LA CE/UM">
      <formula>NOT(ISERROR(SEARCH("ENVIADO A LA CE/UM",U2)))</formula>
    </cfRule>
  </conditionalFormatting>
  <conditionalFormatting sqref="U610">
    <cfRule type="containsText" dxfId="309" priority="413" operator="containsText" text="EN PROCESO">
      <formula>NOT(ISERROR(SEARCH("EN PROCESO",U610)))</formula>
    </cfRule>
    <cfRule type="containsText" dxfId="308" priority="414" operator="containsText" text="ENVIADO">
      <formula>NOT(ISERROR(SEARCH("ENVIADO",U610)))</formula>
    </cfRule>
  </conditionalFormatting>
  <conditionalFormatting sqref="U2:V609 V610:V613 U611:U613">
    <cfRule type="containsText" dxfId="307" priority="421" operator="containsText" text="EN REVISIÓN CENTRAL">
      <formula>NOT(ISERROR(SEARCH("EN REVISIÓN CENTRAL",U2)))</formula>
    </cfRule>
  </conditionalFormatting>
  <conditionalFormatting sqref="W7">
    <cfRule type="containsText" dxfId="306" priority="5" operator="containsText" text="EN REVISIÓN CENTRAL">
      <formula>NOT(ISERROR(SEARCH("EN REVISIÓN CENTRAL",W7)))</formula>
    </cfRule>
    <cfRule type="containsText" dxfId="305" priority="6" operator="containsText" text="ENVIADO A LA CE/UM">
      <formula>NOT(ISERROR(SEARCH("ENVIADO A LA CE/UM",W7)))</formula>
    </cfRule>
  </conditionalFormatting>
  <conditionalFormatting sqref="W49:W98">
    <cfRule type="containsText" dxfId="304" priority="351" operator="containsText" text="EN PROCESO">
      <formula>NOT(ISERROR(SEARCH("EN PROCESO",W49)))</formula>
    </cfRule>
    <cfRule type="containsText" dxfId="303" priority="352" operator="containsText" text="ENVIADO">
      <formula>NOT(ISERROR(SEARCH("ENVIADO",W49)))</formula>
    </cfRule>
  </conditionalFormatting>
  <conditionalFormatting sqref="W64:W96">
    <cfRule type="containsText" dxfId="302" priority="399" operator="containsText" text="EN PROCESO">
      <formula>NOT(ISERROR(SEARCH("EN PROCESO",W64)))</formula>
    </cfRule>
    <cfRule type="containsText" dxfId="301" priority="400" operator="containsText" text="ENVIADO">
      <formula>NOT(ISERROR(SEARCH("ENVIADO",W64)))</formula>
    </cfRule>
  </conditionalFormatting>
  <conditionalFormatting sqref="W98:W107">
    <cfRule type="containsText" dxfId="300" priority="319" operator="containsText" text="EN PROCESO">
      <formula>NOT(ISERROR(SEARCH("EN PROCESO",W98)))</formula>
    </cfRule>
    <cfRule type="containsText" dxfId="299" priority="320" operator="containsText" text="ENVIADO">
      <formula>NOT(ISERROR(SEARCH("ENVIADO",W98)))</formula>
    </cfRule>
  </conditionalFormatting>
  <conditionalFormatting sqref="W100:W104">
    <cfRule type="containsText" dxfId="298" priority="349" operator="containsText" text="EN PROCESO">
      <formula>NOT(ISERROR(SEARCH("EN PROCESO",W100)))</formula>
    </cfRule>
    <cfRule type="containsText" dxfId="297" priority="350" operator="containsText" text="ENVIADO">
      <formula>NOT(ISERROR(SEARCH("ENVIADO",W100)))</formula>
    </cfRule>
  </conditionalFormatting>
  <conditionalFormatting sqref="W105:W108">
    <cfRule type="containsText" dxfId="296" priority="253" operator="containsText" text="EN PROCESO">
      <formula>NOT(ISERROR(SEARCH("EN PROCESO",W105)))</formula>
    </cfRule>
    <cfRule type="containsText" dxfId="295" priority="254" operator="containsText" text="ENVIADO">
      <formula>NOT(ISERROR(SEARCH("ENVIADO",W105)))</formula>
    </cfRule>
  </conditionalFormatting>
  <conditionalFormatting sqref="W108">
    <cfRule type="containsText" dxfId="294" priority="251" operator="containsText" text="EN PROCESO">
      <formula>NOT(ISERROR(SEARCH("EN PROCESO",W108)))</formula>
    </cfRule>
    <cfRule type="containsText" dxfId="293" priority="252" operator="containsText" text="ENVIADO">
      <formula>NOT(ISERROR(SEARCH("ENVIADO",W108)))</formula>
    </cfRule>
  </conditionalFormatting>
  <conditionalFormatting sqref="W117:W291">
    <cfRule type="containsText" dxfId="292" priority="317" operator="containsText" text="EN PROCESO">
      <formula>NOT(ISERROR(SEARCH("EN PROCESO",W117)))</formula>
    </cfRule>
    <cfRule type="containsText" dxfId="291" priority="318" operator="containsText" text="ENVIADO">
      <formula>NOT(ISERROR(SEARCH("ENVIADO",W117)))</formula>
    </cfRule>
  </conditionalFormatting>
  <conditionalFormatting sqref="W240:W241">
    <cfRule type="containsText" dxfId="290" priority="401" operator="containsText" text="EN PROCESO">
      <formula>NOT(ISERROR(SEARCH("EN PROCESO",W240)))</formula>
    </cfRule>
    <cfRule type="containsText" dxfId="289" priority="402" operator="containsText" text="ENVIADO">
      <formula>NOT(ISERROR(SEARCH("ENVIADO",W240)))</formula>
    </cfRule>
  </conditionalFormatting>
  <conditionalFormatting sqref="W277:W292">
    <cfRule type="containsText" dxfId="288" priority="347" operator="containsText" text="EN PROCESO">
      <formula>NOT(ISERROR(SEARCH("EN PROCESO",W277)))</formula>
    </cfRule>
    <cfRule type="containsText" dxfId="287" priority="348" operator="containsText" text="ENVIADO">
      <formula>NOT(ISERROR(SEARCH("ENVIADO",W277)))</formula>
    </cfRule>
  </conditionalFormatting>
  <conditionalFormatting sqref="W293:W294">
    <cfRule type="containsText" dxfId="286" priority="247" operator="containsText" text="EN PROCESO">
      <formula>NOT(ISERROR(SEARCH("EN PROCESO",W293)))</formula>
    </cfRule>
    <cfRule type="containsText" dxfId="285" priority="248" operator="containsText" text="ENVIADO">
      <formula>NOT(ISERROR(SEARCH("ENVIADO",W293)))</formula>
    </cfRule>
  </conditionalFormatting>
  <conditionalFormatting sqref="W293:W295">
    <cfRule type="containsText" dxfId="284" priority="249" operator="containsText" text="EN PROCESO">
      <formula>NOT(ISERROR(SEARCH("EN PROCESO",W293)))</formula>
    </cfRule>
    <cfRule type="containsText" dxfId="283" priority="250" operator="containsText" text="ENVIADO">
      <formula>NOT(ISERROR(SEARCH("ENVIADO",W293)))</formula>
    </cfRule>
  </conditionalFormatting>
  <conditionalFormatting sqref="W294">
    <cfRule type="containsText" dxfId="282" priority="377" operator="containsText" text="EN PROCESO">
      <formula>NOT(ISERROR(SEARCH("EN PROCESO",W294)))</formula>
    </cfRule>
    <cfRule type="containsText" dxfId="281" priority="378" operator="containsText" text="ENVIADO">
      <formula>NOT(ISERROR(SEARCH("ENVIADO",W294)))</formula>
    </cfRule>
  </conditionalFormatting>
  <conditionalFormatting sqref="W294:W295">
    <cfRule type="containsText" dxfId="280" priority="343" operator="containsText" text="EN PROCESO">
      <formula>NOT(ISERROR(SEARCH("EN PROCESO",W294)))</formula>
    </cfRule>
    <cfRule type="containsText" dxfId="279" priority="344" operator="containsText" text="ENVIADO">
      <formula>NOT(ISERROR(SEARCH("ENVIADO",W294)))</formula>
    </cfRule>
  </conditionalFormatting>
  <conditionalFormatting sqref="W296">
    <cfRule type="containsText" dxfId="278" priority="239" operator="containsText" text="EN PROCESO">
      <formula>NOT(ISERROR(SEARCH("EN PROCESO",W296)))</formula>
    </cfRule>
    <cfRule type="containsText" dxfId="277" priority="240" operator="containsText" text="ENVIADO">
      <formula>NOT(ISERROR(SEARCH("ENVIADO",W296)))</formula>
    </cfRule>
    <cfRule type="containsText" dxfId="276" priority="241" operator="containsText" text="EN PROCESO">
      <formula>NOT(ISERROR(SEARCH("EN PROCESO",W296)))</formula>
    </cfRule>
    <cfRule type="containsText" dxfId="275" priority="242" operator="containsText" text="ENVIADO">
      <formula>NOT(ISERROR(SEARCH("ENVIADO",W296)))</formula>
    </cfRule>
    <cfRule type="containsText" dxfId="274" priority="243" operator="containsText" text="EN PROCESO">
      <formula>NOT(ISERROR(SEARCH("EN PROCESO",W296)))</formula>
    </cfRule>
    <cfRule type="containsText" dxfId="273" priority="244" operator="containsText" text="ENVIADO">
      <formula>NOT(ISERROR(SEARCH("ENVIADO",W296)))</formula>
    </cfRule>
    <cfRule type="containsText" dxfId="272" priority="245" operator="containsText" text="EN PROCESO">
      <formula>NOT(ISERROR(SEARCH("EN PROCESO",W296)))</formula>
    </cfRule>
    <cfRule type="containsText" dxfId="271" priority="246" operator="containsText" text="ENVIADO">
      <formula>NOT(ISERROR(SEARCH("ENVIADO",W296)))</formula>
    </cfRule>
  </conditionalFormatting>
  <conditionalFormatting sqref="W297:W309">
    <cfRule type="containsText" dxfId="270" priority="315" operator="containsText" text="EN PROCESO">
      <formula>NOT(ISERROR(SEARCH("EN PROCESO",W297)))</formula>
    </cfRule>
    <cfRule type="containsText" dxfId="269" priority="316" operator="containsText" text="ENVIADO">
      <formula>NOT(ISERROR(SEARCH("ENVIADO",W297)))</formula>
    </cfRule>
    <cfRule type="containsText" dxfId="268" priority="341" operator="containsText" text="EN PROCESO">
      <formula>NOT(ISERROR(SEARCH("EN PROCESO",W297)))</formula>
    </cfRule>
    <cfRule type="containsText" dxfId="267" priority="342" operator="containsText" text="ENVIADO">
      <formula>NOT(ISERROR(SEARCH("ENVIADO",W297)))</formula>
    </cfRule>
  </conditionalFormatting>
  <conditionalFormatting sqref="W301">
    <cfRule type="containsText" dxfId="266" priority="313" operator="containsText" text="EN PROCESO">
      <formula>NOT(ISERROR(SEARCH("EN PROCESO",W301)))</formula>
    </cfRule>
    <cfRule type="containsText" dxfId="265" priority="314" operator="containsText" text="ENVIADO">
      <formula>NOT(ISERROR(SEARCH("ENVIADO",W301)))</formula>
    </cfRule>
  </conditionalFormatting>
  <conditionalFormatting sqref="W310:W311">
    <cfRule type="containsText" dxfId="264" priority="231" operator="containsText" text="EN PROCESO">
      <formula>NOT(ISERROR(SEARCH("EN PROCESO",W310)))</formula>
    </cfRule>
    <cfRule type="containsText" dxfId="263" priority="232" operator="containsText" text="ENVIADO">
      <formula>NOT(ISERROR(SEARCH("ENVIADO",W310)))</formula>
    </cfRule>
    <cfRule type="containsText" dxfId="262" priority="233" operator="containsText" text="EN PROCESO">
      <formula>NOT(ISERROR(SEARCH("EN PROCESO",W310)))</formula>
    </cfRule>
    <cfRule type="containsText" dxfId="261" priority="234" operator="containsText" text="ENVIADO">
      <formula>NOT(ISERROR(SEARCH("ENVIADO",W310)))</formula>
    </cfRule>
    <cfRule type="containsText" dxfId="260" priority="235" operator="containsText" text="EN PROCESO">
      <formula>NOT(ISERROR(SEARCH("EN PROCESO",W310)))</formula>
    </cfRule>
    <cfRule type="containsText" dxfId="259" priority="236" operator="containsText" text="ENVIADO">
      <formula>NOT(ISERROR(SEARCH("ENVIADO",W310)))</formula>
    </cfRule>
  </conditionalFormatting>
  <conditionalFormatting sqref="W310:W313">
    <cfRule type="containsText" dxfId="258" priority="237" operator="containsText" text="EN PROCESO">
      <formula>NOT(ISERROR(SEARCH("EN PROCESO",W310)))</formula>
    </cfRule>
    <cfRule type="containsText" dxfId="257" priority="238" operator="containsText" text="ENVIADO">
      <formula>NOT(ISERROR(SEARCH("ENVIADO",W310)))</formula>
    </cfRule>
  </conditionalFormatting>
  <conditionalFormatting sqref="W312:W313">
    <cfRule type="containsText" dxfId="256" priority="339" operator="containsText" text="EN PROCESO">
      <formula>NOT(ISERROR(SEARCH("EN PROCESO",W312)))</formula>
    </cfRule>
    <cfRule type="containsText" dxfId="255" priority="340" operator="containsText" text="ENVIADO">
      <formula>NOT(ISERROR(SEARCH("ENVIADO",W312)))</formula>
    </cfRule>
  </conditionalFormatting>
  <conditionalFormatting sqref="W314">
    <cfRule type="containsText" dxfId="254" priority="223" operator="containsText" text="EN PROCESO">
      <formula>NOT(ISERROR(SEARCH("EN PROCESO",W314)))</formula>
    </cfRule>
    <cfRule type="containsText" dxfId="253" priority="224" operator="containsText" text="ENVIADO">
      <formula>NOT(ISERROR(SEARCH("ENVIADO",W314)))</formula>
    </cfRule>
    <cfRule type="containsText" dxfId="252" priority="225" operator="containsText" text="EN PROCESO">
      <formula>NOT(ISERROR(SEARCH("EN PROCESO",W314)))</formula>
    </cfRule>
    <cfRule type="containsText" dxfId="251" priority="226" operator="containsText" text="ENVIADO">
      <formula>NOT(ISERROR(SEARCH("ENVIADO",W314)))</formula>
    </cfRule>
    <cfRule type="containsText" dxfId="250" priority="227" operator="containsText" text="EN PROCESO">
      <formula>NOT(ISERROR(SEARCH("EN PROCESO",W314)))</formula>
    </cfRule>
    <cfRule type="containsText" dxfId="249" priority="228" operator="containsText" text="ENVIADO">
      <formula>NOT(ISERROR(SEARCH("ENVIADO",W314)))</formula>
    </cfRule>
  </conditionalFormatting>
  <conditionalFormatting sqref="W314:W328">
    <cfRule type="containsText" dxfId="248" priority="229" operator="containsText" text="EN PROCESO">
      <formula>NOT(ISERROR(SEARCH("EN PROCESO",W314)))</formula>
    </cfRule>
    <cfRule type="containsText" dxfId="247" priority="230" operator="containsText" text="ENVIADO">
      <formula>NOT(ISERROR(SEARCH("ENVIADO",W314)))</formula>
    </cfRule>
  </conditionalFormatting>
  <conditionalFormatting sqref="W315:W337">
    <cfRule type="containsText" dxfId="246" priority="337" operator="containsText" text="EN PROCESO">
      <formula>NOT(ISERROR(SEARCH("EN PROCESO",W315)))</formula>
    </cfRule>
    <cfRule type="containsText" dxfId="245" priority="338" operator="containsText" text="ENVIADO">
      <formula>NOT(ISERROR(SEARCH("ENVIADO",W315)))</formula>
    </cfRule>
  </conditionalFormatting>
  <conditionalFormatting sqref="W315:W384">
    <cfRule type="containsText" dxfId="244" priority="311" operator="containsText" text="EN PROCESO">
      <formula>NOT(ISERROR(SEARCH("EN PROCESO",W315)))</formula>
    </cfRule>
    <cfRule type="containsText" dxfId="243" priority="312" operator="containsText" text="ENVIADO">
      <formula>NOT(ISERROR(SEARCH("ENVIADO",W315)))</formula>
    </cfRule>
  </conditionalFormatting>
  <conditionalFormatting sqref="W338:W408">
    <cfRule type="containsText" dxfId="242" priority="403" operator="containsText" text="EN PROCESO">
      <formula>NOT(ISERROR(SEARCH("EN PROCESO",W338)))</formula>
    </cfRule>
    <cfRule type="containsText" dxfId="241" priority="404" operator="containsText" text="ENVIADO">
      <formula>NOT(ISERROR(SEARCH("ENVIADO",W338)))</formula>
    </cfRule>
  </conditionalFormatting>
  <conditionalFormatting sqref="W338:W409">
    <cfRule type="containsText" dxfId="240" priority="221" operator="containsText" text="EN PROCESO">
      <formula>NOT(ISERROR(SEARCH("EN PROCESO",W338)))</formula>
    </cfRule>
    <cfRule type="containsText" dxfId="239" priority="222" operator="containsText" text="ENVIADO">
      <formula>NOT(ISERROR(SEARCH("ENVIADO",W338)))</formula>
    </cfRule>
  </conditionalFormatting>
  <conditionalFormatting sqref="W385">
    <cfRule type="containsText" dxfId="238" priority="217" operator="containsText" text="EN PROCESO">
      <formula>NOT(ISERROR(SEARCH("EN PROCESO",W385)))</formula>
    </cfRule>
    <cfRule type="containsText" dxfId="237" priority="218" operator="containsText" text="ENVIADO">
      <formula>NOT(ISERROR(SEARCH("ENVIADO",W385)))</formula>
    </cfRule>
    <cfRule type="containsText" dxfId="236" priority="219" operator="containsText" text="EN PROCESO">
      <formula>NOT(ISERROR(SEARCH("EN PROCESO",W385)))</formula>
    </cfRule>
    <cfRule type="containsText" dxfId="235" priority="220" operator="containsText" text="ENVIADO">
      <formula>NOT(ISERROR(SEARCH("ENVIADO",W385)))</formula>
    </cfRule>
  </conditionalFormatting>
  <conditionalFormatting sqref="W446:W450">
    <cfRule type="containsText" dxfId="234" priority="211" operator="containsText" text="EN PROCESO">
      <formula>NOT(ISERROR(SEARCH("EN PROCESO",W446)))</formula>
    </cfRule>
    <cfRule type="containsText" dxfId="233" priority="212" operator="containsText" text="ENVIADO">
      <formula>NOT(ISERROR(SEARCH("ENVIADO",W446)))</formula>
    </cfRule>
    <cfRule type="containsText" dxfId="232" priority="213" operator="containsText" text="EN PROCESO">
      <formula>NOT(ISERROR(SEARCH("EN PROCESO",W446)))</formula>
    </cfRule>
    <cfRule type="containsText" dxfId="231" priority="214" operator="containsText" text="ENVIADO">
      <formula>NOT(ISERROR(SEARCH("ENVIADO",W446)))</formula>
    </cfRule>
  </conditionalFormatting>
  <conditionalFormatting sqref="W446:W452">
    <cfRule type="containsText" dxfId="230" priority="215" operator="containsText" text="EN PROCESO">
      <formula>NOT(ISERROR(SEARCH("EN PROCESO",W446)))</formula>
    </cfRule>
    <cfRule type="containsText" dxfId="229" priority="216" operator="containsText" text="ENVIADO">
      <formula>NOT(ISERROR(SEARCH("ENVIADO",W446)))</formula>
    </cfRule>
  </conditionalFormatting>
  <conditionalFormatting sqref="W453:W454">
    <cfRule type="containsText" dxfId="228" priority="203" operator="containsText" text="EN PROCESO">
      <formula>NOT(ISERROR(SEARCH("EN PROCESO",W453)))</formula>
    </cfRule>
    <cfRule type="containsText" dxfId="227" priority="204" operator="containsText" text="ENVIADO">
      <formula>NOT(ISERROR(SEARCH("ENVIADO",W453)))</formula>
    </cfRule>
    <cfRule type="containsText" dxfId="226" priority="205" operator="containsText" text="EN PROCESO">
      <formula>NOT(ISERROR(SEARCH("EN PROCESO",W453)))</formula>
    </cfRule>
    <cfRule type="containsText" dxfId="225" priority="206" operator="containsText" text="ENVIADO">
      <formula>NOT(ISERROR(SEARCH("ENVIADO",W453)))</formula>
    </cfRule>
    <cfRule type="containsText" dxfId="224" priority="207" operator="containsText" text="EN PROCESO">
      <formula>NOT(ISERROR(SEARCH("EN PROCESO",W453)))</formula>
    </cfRule>
    <cfRule type="containsText" dxfId="223" priority="208" operator="containsText" text="ENVIADO">
      <formula>NOT(ISERROR(SEARCH("ENVIADO",W453)))</formula>
    </cfRule>
  </conditionalFormatting>
  <conditionalFormatting sqref="W453:W468">
    <cfRule type="containsText" dxfId="222" priority="209" operator="containsText" text="EN PROCESO">
      <formula>NOT(ISERROR(SEARCH("EN PROCESO",W453)))</formula>
    </cfRule>
    <cfRule type="containsText" dxfId="221" priority="210" operator="containsText" text="ENVIADO">
      <formula>NOT(ISERROR(SEARCH("ENVIADO",W453)))</formula>
    </cfRule>
  </conditionalFormatting>
  <conditionalFormatting sqref="W455">
    <cfRule type="containsText" dxfId="220" priority="335" operator="containsText" text="EN PROCESO">
      <formula>NOT(ISERROR(SEARCH("EN PROCESO",W455)))</formula>
    </cfRule>
    <cfRule type="containsText" dxfId="219" priority="336" operator="containsText" text="ENVIADO">
      <formula>NOT(ISERROR(SEARCH("ENVIADO",W455)))</formula>
    </cfRule>
  </conditionalFormatting>
  <conditionalFormatting sqref="W456:W483">
    <cfRule type="containsText" dxfId="218" priority="201" operator="containsText" text="EN PROCESO">
      <formula>NOT(ISERROR(SEARCH("EN PROCESO",W456)))</formula>
    </cfRule>
    <cfRule type="containsText" dxfId="217" priority="202" operator="containsText" text="ENVIADO">
      <formula>NOT(ISERROR(SEARCH("ENVIADO",W456)))</formula>
    </cfRule>
  </conditionalFormatting>
  <conditionalFormatting sqref="W469">
    <cfRule type="containsText" dxfId="216" priority="195" operator="containsText" text="EN PROCESO">
      <formula>NOT(ISERROR(SEARCH("EN PROCESO",W469)))</formula>
    </cfRule>
    <cfRule type="containsText" dxfId="215" priority="196" operator="containsText" text="ENVIADO">
      <formula>NOT(ISERROR(SEARCH("ENVIADO",W469)))</formula>
    </cfRule>
    <cfRule type="containsText" dxfId="214" priority="197" operator="containsText" text="EN PROCESO">
      <formula>NOT(ISERROR(SEARCH("EN PROCESO",W469)))</formula>
    </cfRule>
    <cfRule type="containsText" dxfId="213" priority="198" operator="containsText" text="ENVIADO">
      <formula>NOT(ISERROR(SEARCH("ENVIADO",W469)))</formula>
    </cfRule>
    <cfRule type="containsText" dxfId="212" priority="199" operator="containsText" text="EN PROCESO">
      <formula>NOT(ISERROR(SEARCH("EN PROCESO",W469)))</formula>
    </cfRule>
    <cfRule type="containsText" dxfId="211" priority="200" operator="containsText" text="ENVIADO">
      <formula>NOT(ISERROR(SEARCH("ENVIADO",W469)))</formula>
    </cfRule>
  </conditionalFormatting>
  <conditionalFormatting sqref="W470:W483">
    <cfRule type="containsText" dxfId="210" priority="309" operator="containsText" text="EN PROCESO">
      <formula>NOT(ISERROR(SEARCH("EN PROCESO",W470)))</formula>
    </cfRule>
    <cfRule type="containsText" dxfId="209" priority="310" operator="containsText" text="ENVIADO">
      <formula>NOT(ISERROR(SEARCH("ENVIADO",W470)))</formula>
    </cfRule>
  </conditionalFormatting>
  <conditionalFormatting sqref="W484">
    <cfRule type="containsText" dxfId="208" priority="187" operator="containsText" text="EN PROCESO">
      <formula>NOT(ISERROR(SEARCH("EN PROCESO",W484)))</formula>
    </cfRule>
    <cfRule type="containsText" dxfId="207" priority="188" operator="containsText" text="ENVIADO">
      <formula>NOT(ISERROR(SEARCH("ENVIADO",W484)))</formula>
    </cfRule>
    <cfRule type="containsText" dxfId="206" priority="189" operator="containsText" text="EN PROCESO">
      <formula>NOT(ISERROR(SEARCH("EN PROCESO",W484)))</formula>
    </cfRule>
    <cfRule type="containsText" dxfId="205" priority="190" operator="containsText" text="ENVIADO">
      <formula>NOT(ISERROR(SEARCH("ENVIADO",W484)))</formula>
    </cfRule>
    <cfRule type="containsText" dxfId="204" priority="191" operator="containsText" text="EN PROCESO">
      <formula>NOT(ISERROR(SEARCH("EN PROCESO",W484)))</formula>
    </cfRule>
    <cfRule type="containsText" dxfId="203" priority="192" operator="containsText" text="ENVIADO">
      <formula>NOT(ISERROR(SEARCH("ENVIADO",W484)))</formula>
    </cfRule>
  </conditionalFormatting>
  <conditionalFormatting sqref="W484:W518">
    <cfRule type="containsText" dxfId="202" priority="193" operator="containsText" text="EN PROCESO">
      <formula>NOT(ISERROR(SEARCH("EN PROCESO",W484)))</formula>
    </cfRule>
    <cfRule type="containsText" dxfId="201" priority="194" operator="containsText" text="ENVIADO">
      <formula>NOT(ISERROR(SEARCH("ENVIADO",W484)))</formula>
    </cfRule>
  </conditionalFormatting>
  <conditionalFormatting sqref="W485:W518">
    <cfRule type="containsText" dxfId="200" priority="307" operator="containsText" text="EN PROCESO">
      <formula>NOT(ISERROR(SEARCH("EN PROCESO",W485)))</formula>
    </cfRule>
    <cfRule type="containsText" dxfId="199" priority="308" operator="containsText" text="ENVIADO">
      <formula>NOT(ISERROR(SEARCH("ENVIADO",W485)))</formula>
    </cfRule>
  </conditionalFormatting>
  <conditionalFormatting sqref="W519">
    <cfRule type="containsText" dxfId="198" priority="179" operator="containsText" text="EN PROCESO">
      <formula>NOT(ISERROR(SEARCH("EN PROCESO",W519)))</formula>
    </cfRule>
    <cfRule type="containsText" dxfId="197" priority="180" operator="containsText" text="ENVIADO">
      <formula>NOT(ISERROR(SEARCH("ENVIADO",W519)))</formula>
    </cfRule>
    <cfRule type="containsText" dxfId="196" priority="181" operator="containsText" text="EN PROCESO">
      <formula>NOT(ISERROR(SEARCH("EN PROCESO",W519)))</formula>
    </cfRule>
    <cfRule type="containsText" dxfId="195" priority="182" operator="containsText" text="ENVIADO">
      <formula>NOT(ISERROR(SEARCH("ENVIADO",W519)))</formula>
    </cfRule>
    <cfRule type="containsText" dxfId="194" priority="183" operator="containsText" text="EN PROCESO">
      <formula>NOT(ISERROR(SEARCH("EN PROCESO",W519)))</formula>
    </cfRule>
    <cfRule type="containsText" dxfId="193" priority="184" operator="containsText" text="ENVIADO">
      <formula>NOT(ISERROR(SEARCH("ENVIADO",W519)))</formula>
    </cfRule>
  </conditionalFormatting>
  <conditionalFormatting sqref="W519:W520">
    <cfRule type="containsText" dxfId="192" priority="185" operator="containsText" text="EN PROCESO">
      <formula>NOT(ISERROR(SEARCH("EN PROCESO",W519)))</formula>
    </cfRule>
    <cfRule type="containsText" dxfId="191" priority="186" operator="containsText" text="ENVIADO">
      <formula>NOT(ISERROR(SEARCH("ENVIADO",W519)))</formula>
    </cfRule>
  </conditionalFormatting>
  <conditionalFormatting sqref="W520:W532">
    <cfRule type="containsText" dxfId="190" priority="305" operator="containsText" text="EN PROCESO">
      <formula>NOT(ISERROR(SEARCH("EN PROCESO",W520)))</formula>
    </cfRule>
    <cfRule type="containsText" dxfId="189" priority="306" operator="containsText" text="ENVIADO">
      <formula>NOT(ISERROR(SEARCH("ENVIADO",W520)))</formula>
    </cfRule>
  </conditionalFormatting>
  <conditionalFormatting sqref="W521:W522">
    <cfRule type="containsText" dxfId="188" priority="333" operator="containsText" text="EN PROCESO">
      <formula>NOT(ISERROR(SEARCH("EN PROCESO",W521)))</formula>
    </cfRule>
    <cfRule type="containsText" dxfId="187" priority="334" operator="containsText" text="ENVIADO">
      <formula>NOT(ISERROR(SEARCH("ENVIADO",W521)))</formula>
    </cfRule>
  </conditionalFormatting>
  <conditionalFormatting sqref="W522">
    <cfRule type="containsText" dxfId="186" priority="405" operator="containsText" text="EN PROCESO">
      <formula>NOT(ISERROR(SEARCH("EN PROCESO",W522)))</formula>
    </cfRule>
    <cfRule type="containsText" dxfId="185" priority="406" operator="containsText" text="ENVIADO">
      <formula>NOT(ISERROR(SEARCH("ENVIADO",W522)))</formula>
    </cfRule>
  </conditionalFormatting>
  <conditionalFormatting sqref="W522:W531">
    <cfRule type="containsText" dxfId="184" priority="303" operator="containsText" text="EN PROCESO">
      <formula>NOT(ISERROR(SEARCH("EN PROCESO",W522)))</formula>
    </cfRule>
    <cfRule type="containsText" dxfId="183" priority="304" operator="containsText" text="ENVIADO">
      <formula>NOT(ISERROR(SEARCH("ENVIADO",W522)))</formula>
    </cfRule>
  </conditionalFormatting>
  <conditionalFormatting sqref="W522:W546">
    <cfRule type="containsText" dxfId="182" priority="407" operator="containsText" text="EN PROCESO">
      <formula>NOT(ISERROR(SEARCH("EN PROCESO",W522)))</formula>
    </cfRule>
    <cfRule type="containsText" dxfId="181" priority="408" operator="containsText" text="ENVIADO">
      <formula>NOT(ISERROR(SEARCH("ENVIADO",W522)))</formula>
    </cfRule>
  </conditionalFormatting>
  <conditionalFormatting sqref="W532">
    <cfRule type="containsText" dxfId="180" priority="331" operator="containsText" text="EN PROCESO">
      <formula>NOT(ISERROR(SEARCH("EN PROCESO",W532)))</formula>
    </cfRule>
    <cfRule type="containsText" dxfId="179" priority="332" operator="containsText" text="ENVIADO">
      <formula>NOT(ISERROR(SEARCH("ENVIADO",W532)))</formula>
    </cfRule>
  </conditionalFormatting>
  <conditionalFormatting sqref="W533:W540">
    <cfRule type="containsText" dxfId="178" priority="301" operator="containsText" text="EN PROCESO">
      <formula>NOT(ISERROR(SEARCH("EN PROCESO",W533)))</formula>
    </cfRule>
    <cfRule type="containsText" dxfId="177" priority="302" operator="containsText" text="ENVIADO">
      <formula>NOT(ISERROR(SEARCH("ENVIADO",W533)))</formula>
    </cfRule>
  </conditionalFormatting>
  <conditionalFormatting sqref="W533:W543">
    <cfRule type="containsText" dxfId="176" priority="177" operator="containsText" text="EN PROCESO">
      <formula>NOT(ISERROR(SEARCH("EN PROCESO",W533)))</formula>
    </cfRule>
    <cfRule type="containsText" dxfId="175" priority="178" operator="containsText" text="ENVIADO">
      <formula>NOT(ISERROR(SEARCH("ENVIADO",W533)))</formula>
    </cfRule>
  </conditionalFormatting>
  <conditionalFormatting sqref="W541">
    <cfRule type="containsText" dxfId="174" priority="169" operator="containsText" text="EN PROCESO">
      <formula>NOT(ISERROR(SEARCH("EN PROCESO",W541)))</formula>
    </cfRule>
    <cfRule type="containsText" dxfId="173" priority="170" operator="containsText" text="ENVIADO">
      <formula>NOT(ISERROR(SEARCH("ENVIADO",W541)))</formula>
    </cfRule>
    <cfRule type="containsText" dxfId="172" priority="171" operator="containsText" text="EN PROCESO">
      <formula>NOT(ISERROR(SEARCH("EN PROCESO",W541)))</formula>
    </cfRule>
    <cfRule type="containsText" dxfId="171" priority="172" operator="containsText" text="ENVIADO">
      <formula>NOT(ISERROR(SEARCH("ENVIADO",W541)))</formula>
    </cfRule>
    <cfRule type="containsText" dxfId="170" priority="173" operator="containsText" text="EN PROCESO">
      <formula>NOT(ISERROR(SEARCH("EN PROCESO",W541)))</formula>
    </cfRule>
    <cfRule type="containsText" dxfId="169" priority="174" operator="containsText" text="ENVIADO">
      <formula>NOT(ISERROR(SEARCH("ENVIADO",W541)))</formula>
    </cfRule>
    <cfRule type="containsText" dxfId="168" priority="175" operator="containsText" text="EN PROCESO">
      <formula>NOT(ISERROR(SEARCH("EN PROCESO",W541)))</formula>
    </cfRule>
    <cfRule type="containsText" dxfId="167" priority="176" operator="containsText" text="ENVIADO">
      <formula>NOT(ISERROR(SEARCH("ENVIADO",W541)))</formula>
    </cfRule>
  </conditionalFormatting>
  <conditionalFormatting sqref="W542:W543">
    <cfRule type="containsText" dxfId="166" priority="299" operator="containsText" text="EN PROCESO">
      <formula>NOT(ISERROR(SEARCH("EN PROCESO",W542)))</formula>
    </cfRule>
    <cfRule type="containsText" dxfId="165" priority="300" operator="containsText" text="ENVIADO">
      <formula>NOT(ISERROR(SEARCH("ENVIADO",W542)))</formula>
    </cfRule>
  </conditionalFormatting>
  <conditionalFormatting sqref="W544">
    <cfRule type="containsText" dxfId="164" priority="159" operator="containsText" text="EN PROCESO">
      <formula>NOT(ISERROR(SEARCH("EN PROCESO",W544)))</formula>
    </cfRule>
    <cfRule type="containsText" dxfId="163" priority="160" operator="containsText" text="ENVIADO">
      <formula>NOT(ISERROR(SEARCH("ENVIADO",W544)))</formula>
    </cfRule>
    <cfRule type="containsText" dxfId="162" priority="161" operator="containsText" text="EN PROCESO">
      <formula>NOT(ISERROR(SEARCH("EN PROCESO",W544)))</formula>
    </cfRule>
    <cfRule type="containsText" dxfId="161" priority="162" operator="containsText" text="ENVIADO">
      <formula>NOT(ISERROR(SEARCH("ENVIADO",W544)))</formula>
    </cfRule>
    <cfRule type="containsText" dxfId="160" priority="163" operator="containsText" text="EN PROCESO">
      <formula>NOT(ISERROR(SEARCH("EN PROCESO",W544)))</formula>
    </cfRule>
    <cfRule type="containsText" dxfId="159" priority="164" operator="containsText" text="ENVIADO">
      <formula>NOT(ISERROR(SEARCH("ENVIADO",W544)))</formula>
    </cfRule>
    <cfRule type="containsText" dxfId="158" priority="165" operator="containsText" text="EN PROCESO">
      <formula>NOT(ISERROR(SEARCH("EN PROCESO",W544)))</formula>
    </cfRule>
    <cfRule type="containsText" dxfId="157" priority="166" operator="containsText" text="ENVIADO">
      <formula>NOT(ISERROR(SEARCH("ENVIADO",W544)))</formula>
    </cfRule>
    <cfRule type="containsText" dxfId="156" priority="167" operator="containsText" text="EN PROCESO">
      <formula>NOT(ISERROR(SEARCH("EN PROCESO",W544)))</formula>
    </cfRule>
    <cfRule type="containsText" dxfId="155" priority="168" operator="containsText" text="ENVIADO">
      <formula>NOT(ISERROR(SEARCH("ENVIADO",W544)))</formula>
    </cfRule>
  </conditionalFormatting>
  <conditionalFormatting sqref="W545">
    <cfRule type="containsText" dxfId="154" priority="329" operator="containsText" text="EN PROCESO">
      <formula>NOT(ISERROR(SEARCH("EN PROCESO",W545)))</formula>
    </cfRule>
    <cfRule type="containsText" dxfId="153" priority="330" operator="containsText" text="ENVIADO">
      <formula>NOT(ISERROR(SEARCH("ENVIADO",W545)))</formula>
    </cfRule>
  </conditionalFormatting>
  <conditionalFormatting sqref="W545:W547">
    <cfRule type="containsText" dxfId="152" priority="297" operator="containsText" text="EN PROCESO">
      <formula>NOT(ISERROR(SEARCH("EN PROCESO",W545)))</formula>
    </cfRule>
    <cfRule type="containsText" dxfId="151" priority="298" operator="containsText" text="ENVIADO">
      <formula>NOT(ISERROR(SEARCH("ENVIADO",W545)))</formula>
    </cfRule>
  </conditionalFormatting>
  <conditionalFormatting sqref="W546">
    <cfRule type="containsText" dxfId="150" priority="295" operator="containsText" text="EN PROCESO">
      <formula>NOT(ISERROR(SEARCH("EN PROCESO",W546)))</formula>
    </cfRule>
    <cfRule type="containsText" dxfId="149" priority="296" operator="containsText" text="ENVIADO">
      <formula>NOT(ISERROR(SEARCH("ENVIADO",W546)))</formula>
    </cfRule>
  </conditionalFormatting>
  <conditionalFormatting sqref="W547">
    <cfRule type="containsText" dxfId="148" priority="327" operator="containsText" text="EN PROCESO">
      <formula>NOT(ISERROR(SEARCH("EN PROCESO",W547)))</formula>
    </cfRule>
    <cfRule type="containsText" dxfId="147" priority="328" operator="containsText" text="ENVIADO">
      <formula>NOT(ISERROR(SEARCH("ENVIADO",W547)))</formula>
    </cfRule>
  </conditionalFormatting>
  <conditionalFormatting sqref="W548">
    <cfRule type="containsText" dxfId="146" priority="289" operator="containsText" text="EN PROCESO">
      <formula>NOT(ISERROR(SEARCH("EN PROCESO",W548)))</formula>
    </cfRule>
    <cfRule type="containsText" dxfId="145" priority="290" operator="containsText" text="ENVIADO">
      <formula>NOT(ISERROR(SEARCH("ENVIADO",W548)))</formula>
    </cfRule>
    <cfRule type="containsText" dxfId="144" priority="291" operator="containsText" text="EN PROCESO">
      <formula>NOT(ISERROR(SEARCH("EN PROCESO",W548)))</formula>
    </cfRule>
    <cfRule type="containsText" dxfId="143" priority="292" operator="containsText" text="ENVIADO">
      <formula>NOT(ISERROR(SEARCH("ENVIADO",W548)))</formula>
    </cfRule>
    <cfRule type="containsText" dxfId="142" priority="293" operator="containsText" text="EN PROCESO">
      <formula>NOT(ISERROR(SEARCH("EN PROCESO",W548)))</formula>
    </cfRule>
    <cfRule type="containsText" dxfId="141" priority="294" operator="containsText" text="ENVIADO">
      <formula>NOT(ISERROR(SEARCH("ENVIADO",W548)))</formula>
    </cfRule>
  </conditionalFormatting>
  <conditionalFormatting sqref="W548:W563">
    <cfRule type="containsText" dxfId="140" priority="283" operator="containsText" text="EN PROCESO">
      <formula>NOT(ISERROR(SEARCH("EN PROCESO",W548)))</formula>
    </cfRule>
    <cfRule type="containsText" dxfId="139" priority="284" operator="containsText" text="ENVIADO">
      <formula>NOT(ISERROR(SEARCH("ENVIADO",W548)))</formula>
    </cfRule>
    <cfRule type="containsText" dxfId="138" priority="285" operator="containsText" text="EN PROCESO">
      <formula>NOT(ISERROR(SEARCH("EN PROCESO",W548)))</formula>
    </cfRule>
    <cfRule type="containsText" dxfId="137" priority="286" operator="containsText" text="ENVIADO">
      <formula>NOT(ISERROR(SEARCH("ENVIADO",W548)))</formula>
    </cfRule>
  </conditionalFormatting>
  <conditionalFormatting sqref="W548:W564">
    <cfRule type="containsText" dxfId="136" priority="287" operator="containsText" text="EN PROCESO">
      <formula>NOT(ISERROR(SEARCH("EN PROCESO",W548)))</formula>
    </cfRule>
    <cfRule type="containsText" dxfId="135" priority="288" operator="containsText" text="ENVIADO">
      <formula>NOT(ISERROR(SEARCH("ENVIADO",W548)))</formula>
    </cfRule>
  </conditionalFormatting>
  <conditionalFormatting sqref="W564">
    <cfRule type="containsText" dxfId="134" priority="325" operator="containsText" text="EN PROCESO">
      <formula>NOT(ISERROR(SEARCH("EN PROCESO",W564)))</formula>
    </cfRule>
    <cfRule type="containsText" dxfId="133" priority="326" operator="containsText" text="ENVIADO">
      <formula>NOT(ISERROR(SEARCH("ENVIADO",W564)))</formula>
    </cfRule>
  </conditionalFormatting>
  <conditionalFormatting sqref="W565">
    <cfRule type="containsText" dxfId="132" priority="277" operator="containsText" text="EN PROCESO">
      <formula>NOT(ISERROR(SEARCH("EN PROCESO",W565)))</formula>
    </cfRule>
    <cfRule type="containsText" dxfId="131" priority="278" operator="containsText" text="ENVIADO">
      <formula>NOT(ISERROR(SEARCH("ENVIADO",W565)))</formula>
    </cfRule>
    <cfRule type="containsText" dxfId="130" priority="279" operator="containsText" text="EN PROCESO">
      <formula>NOT(ISERROR(SEARCH("EN PROCESO",W565)))</formula>
    </cfRule>
    <cfRule type="containsText" dxfId="129" priority="280" operator="containsText" text="ENVIADO">
      <formula>NOT(ISERROR(SEARCH("ENVIADO",W565)))</formula>
    </cfRule>
  </conditionalFormatting>
  <conditionalFormatting sqref="W565:W566">
    <cfRule type="containsText" dxfId="128" priority="281" operator="containsText" text="EN PROCESO">
      <formula>NOT(ISERROR(SEARCH("EN PROCESO",W565)))</formula>
    </cfRule>
    <cfRule type="containsText" dxfId="127" priority="282" operator="containsText" text="ENVIADO">
      <formula>NOT(ISERROR(SEARCH("ENVIADO",W565)))</formula>
    </cfRule>
  </conditionalFormatting>
  <conditionalFormatting sqref="W566">
    <cfRule type="containsText" dxfId="126" priority="323" operator="containsText" text="EN PROCESO">
      <formula>NOT(ISERROR(SEARCH("EN PROCESO",W566)))</formula>
    </cfRule>
    <cfRule type="containsText" dxfId="125" priority="324" operator="containsText" text="ENVIADO">
      <formula>NOT(ISERROR(SEARCH("ENVIADO",W566)))</formula>
    </cfRule>
    <cfRule type="containsText" dxfId="124" priority="379" operator="containsText" text="EN PROCESO">
      <formula>NOT(ISERROR(SEARCH("EN PROCESO",W566)))</formula>
    </cfRule>
    <cfRule type="containsText" dxfId="123" priority="380" operator="containsText" text="ENVIADO">
      <formula>NOT(ISERROR(SEARCH("ENVIADO",W566)))</formula>
    </cfRule>
    <cfRule type="containsText" dxfId="122" priority="381" operator="containsText" text="EN PROCESO">
      <formula>NOT(ISERROR(SEARCH("EN PROCESO",W566)))</formula>
    </cfRule>
    <cfRule type="containsText" dxfId="121" priority="382" operator="containsText" text="ENVIADO">
      <formula>NOT(ISERROR(SEARCH("ENVIADO",W566)))</formula>
    </cfRule>
  </conditionalFormatting>
  <conditionalFormatting sqref="W581:W589">
    <cfRule type="containsText" dxfId="120" priority="275" operator="containsText" text="EN PROCESO">
      <formula>NOT(ISERROR(SEARCH("EN PROCESO",W581)))</formula>
    </cfRule>
    <cfRule type="containsText" dxfId="119" priority="276" operator="containsText" text="ENVIADO">
      <formula>NOT(ISERROR(SEARCH("ENVIADO",W581)))</formula>
    </cfRule>
  </conditionalFormatting>
  <conditionalFormatting sqref="W582:W589">
    <cfRule type="containsText" dxfId="118" priority="273" operator="containsText" text="EN PROCESO">
      <formula>NOT(ISERROR(SEARCH("EN PROCESO",W582)))</formula>
    </cfRule>
    <cfRule type="containsText" dxfId="117" priority="274" operator="containsText" text="ENVIADO">
      <formula>NOT(ISERROR(SEARCH("ENVIADO",W582)))</formula>
    </cfRule>
  </conditionalFormatting>
  <conditionalFormatting sqref="W582:W590">
    <cfRule type="containsText" dxfId="116" priority="157" operator="containsText" text="EN PROCESO">
      <formula>NOT(ISERROR(SEARCH("EN PROCESO",W582)))</formula>
    </cfRule>
    <cfRule type="containsText" dxfId="115" priority="158" operator="containsText" text="ENVIADO">
      <formula>NOT(ISERROR(SEARCH("ENVIADO",W582)))</formula>
    </cfRule>
  </conditionalFormatting>
  <conditionalFormatting sqref="W590">
    <cfRule type="containsText" dxfId="114" priority="149" operator="containsText" text="EN PROCESO">
      <formula>NOT(ISERROR(SEARCH("EN PROCESO",W590)))</formula>
    </cfRule>
    <cfRule type="containsText" dxfId="113" priority="150" operator="containsText" text="ENVIADO">
      <formula>NOT(ISERROR(SEARCH("ENVIADO",W590)))</formula>
    </cfRule>
    <cfRule type="containsText" dxfId="112" priority="151" operator="containsText" text="EN PROCESO">
      <formula>NOT(ISERROR(SEARCH("EN PROCESO",W590)))</formula>
    </cfRule>
    <cfRule type="containsText" dxfId="111" priority="152" operator="containsText" text="ENVIADO">
      <formula>NOT(ISERROR(SEARCH("ENVIADO",W590)))</formula>
    </cfRule>
    <cfRule type="containsText" dxfId="110" priority="153" operator="containsText" text="EN PROCESO">
      <formula>NOT(ISERROR(SEARCH("EN PROCESO",W590)))</formula>
    </cfRule>
    <cfRule type="containsText" dxfId="109" priority="154" operator="containsText" text="ENVIADO">
      <formula>NOT(ISERROR(SEARCH("ENVIADO",W590)))</formula>
    </cfRule>
    <cfRule type="containsText" dxfId="108" priority="155" operator="containsText" text="EN PROCESO">
      <formula>NOT(ISERROR(SEARCH("EN PROCESO",W590)))</formula>
    </cfRule>
    <cfRule type="containsText" dxfId="107" priority="156" operator="containsText" text="ENVIADO">
      <formula>NOT(ISERROR(SEARCH("ENVIADO",W590)))</formula>
    </cfRule>
  </conditionalFormatting>
  <conditionalFormatting sqref="W591:W596">
    <cfRule type="containsText" dxfId="106" priority="271" operator="containsText" text="EN PROCESO">
      <formula>NOT(ISERROR(SEARCH("EN PROCESO",W591)))</formula>
    </cfRule>
    <cfRule type="containsText" dxfId="105" priority="272" operator="containsText" text="ENVIADO">
      <formula>NOT(ISERROR(SEARCH("ENVIADO",W591)))</formula>
    </cfRule>
  </conditionalFormatting>
  <conditionalFormatting sqref="W592:W595">
    <cfRule type="containsText" dxfId="104" priority="269" operator="containsText" text="EN PROCESO">
      <formula>NOT(ISERROR(SEARCH("EN PROCESO",W592)))</formula>
    </cfRule>
    <cfRule type="containsText" dxfId="103" priority="270" operator="containsText" text="ENVIADO">
      <formula>NOT(ISERROR(SEARCH("ENVIADO",W592)))</formula>
    </cfRule>
  </conditionalFormatting>
  <conditionalFormatting sqref="W597:W603">
    <cfRule type="containsText" dxfId="102" priority="265" operator="containsText" text="EN PROCESO">
      <formula>NOT(ISERROR(SEARCH("EN PROCESO",W597)))</formula>
    </cfRule>
    <cfRule type="containsText" dxfId="101" priority="266" operator="containsText" text="ENVIADO">
      <formula>NOT(ISERROR(SEARCH("ENVIADO",W597)))</formula>
    </cfRule>
    <cfRule type="containsText" dxfId="100" priority="267" operator="containsText" text="EN PROCESO">
      <formula>NOT(ISERROR(SEARCH("EN PROCESO",W597)))</formula>
    </cfRule>
    <cfRule type="containsText" dxfId="99" priority="268" operator="containsText" text="ENVIADO">
      <formula>NOT(ISERROR(SEARCH("ENVIADO",W597)))</formula>
    </cfRule>
  </conditionalFormatting>
  <conditionalFormatting sqref="W597:W606">
    <cfRule type="containsText" dxfId="98" priority="147" operator="containsText" text="EN PROCESO">
      <formula>NOT(ISERROR(SEARCH("EN PROCESO",W597)))</formula>
    </cfRule>
    <cfRule type="containsText" dxfId="97" priority="148" operator="containsText" text="ENVIADO">
      <formula>NOT(ISERROR(SEARCH("ENVIADO",W597)))</formula>
    </cfRule>
  </conditionalFormatting>
  <conditionalFormatting sqref="W604">
    <cfRule type="containsText" dxfId="96" priority="139" operator="containsText" text="EN PROCESO">
      <formula>NOT(ISERROR(SEARCH("EN PROCESO",W604)))</formula>
    </cfRule>
    <cfRule type="containsText" dxfId="95" priority="140" operator="containsText" text="ENVIADO">
      <formula>NOT(ISERROR(SEARCH("ENVIADO",W604)))</formula>
    </cfRule>
    <cfRule type="containsText" dxfId="94" priority="141" operator="containsText" text="EN PROCESO">
      <formula>NOT(ISERROR(SEARCH("EN PROCESO",W604)))</formula>
    </cfRule>
    <cfRule type="containsText" dxfId="93" priority="142" operator="containsText" text="ENVIADO">
      <formula>NOT(ISERROR(SEARCH("ENVIADO",W604)))</formula>
    </cfRule>
    <cfRule type="containsText" dxfId="92" priority="143" operator="containsText" text="EN PROCESO">
      <formula>NOT(ISERROR(SEARCH("EN PROCESO",W604)))</formula>
    </cfRule>
    <cfRule type="containsText" dxfId="91" priority="144" operator="containsText" text="ENVIADO">
      <formula>NOT(ISERROR(SEARCH("ENVIADO",W604)))</formula>
    </cfRule>
    <cfRule type="containsText" dxfId="90" priority="145" operator="containsText" text="EN PROCESO">
      <formula>NOT(ISERROR(SEARCH("EN PROCESO",W604)))</formula>
    </cfRule>
    <cfRule type="containsText" dxfId="89" priority="146" operator="containsText" text="ENVIADO">
      <formula>NOT(ISERROR(SEARCH("ENVIADO",W604)))</formula>
    </cfRule>
  </conditionalFormatting>
  <conditionalFormatting sqref="W605:W606">
    <cfRule type="containsText" dxfId="88" priority="261" operator="containsText" text="EN PROCESO">
      <formula>NOT(ISERROR(SEARCH("EN PROCESO",W605)))</formula>
    </cfRule>
    <cfRule type="containsText" dxfId="87" priority="262" operator="containsText" text="ENVIADO">
      <formula>NOT(ISERROR(SEARCH("ENVIADO",W605)))</formula>
    </cfRule>
  </conditionalFormatting>
  <conditionalFormatting sqref="W605:W607">
    <cfRule type="containsText" dxfId="86" priority="263" operator="containsText" text="EN PROCESO">
      <formula>NOT(ISERROR(SEARCH("EN PROCESO",W605)))</formula>
    </cfRule>
    <cfRule type="containsText" dxfId="85" priority="264" operator="containsText" text="ENVIADO">
      <formula>NOT(ISERROR(SEARCH("ENVIADO",W605)))</formula>
    </cfRule>
  </conditionalFormatting>
  <conditionalFormatting sqref="W607">
    <cfRule type="containsText" dxfId="84" priority="321" operator="containsText" text="EN PROCESO">
      <formula>NOT(ISERROR(SEARCH("EN PROCESO",W607)))</formula>
    </cfRule>
    <cfRule type="containsText" dxfId="83" priority="322" operator="containsText" text="ENVIADO">
      <formula>NOT(ISERROR(SEARCH("ENVIADO",W607)))</formula>
    </cfRule>
  </conditionalFormatting>
  <conditionalFormatting sqref="W608:W613">
    <cfRule type="containsText" dxfId="82" priority="255" operator="containsText" text="EN PROCESO">
      <formula>NOT(ISERROR(SEARCH("EN PROCESO",W608)))</formula>
    </cfRule>
    <cfRule type="containsText" dxfId="81" priority="256" operator="containsText" text="ENVIADO">
      <formula>NOT(ISERROR(SEARCH("ENVIADO",W608)))</formula>
    </cfRule>
    <cfRule type="containsText" dxfId="80" priority="257" operator="containsText" text="EN PROCESO">
      <formula>NOT(ISERROR(SEARCH("EN PROCESO",W608)))</formula>
    </cfRule>
    <cfRule type="containsText" dxfId="79" priority="258" operator="containsText" text="ENVIADO">
      <formula>NOT(ISERROR(SEARCH("ENVIADO",W608)))</formula>
    </cfRule>
    <cfRule type="containsText" dxfId="78" priority="259" operator="containsText" text="EN PROCESO">
      <formula>NOT(ISERROR(SEARCH("EN PROCESO",W608)))</formula>
    </cfRule>
    <cfRule type="containsText" dxfId="77" priority="260" operator="containsText" text="ENVIADO">
      <formula>NOT(ISERROR(SEARCH("ENVIADO",W608)))</formula>
    </cfRule>
  </conditionalFormatting>
  <conditionalFormatting sqref="W610 Z3:AB121 Z2:AA2 AB614 Z139:AB202 Z122:AA138 Z218:AB613 Z203:AA217">
    <cfRule type="containsText" dxfId="1" priority="409" operator="containsText" text="SI">
      <formula>NOT(ISERROR(SEARCH("SI",W2)))</formula>
    </cfRule>
  </conditionalFormatting>
  <conditionalFormatting sqref="W2:X115 T2:T63 X116 W117:X613 T596">
    <cfRule type="containsText" dxfId="76" priority="133" operator="containsText" text="EN PROCESO">
      <formula>NOT(ISERROR(SEARCH("EN PROCESO",T2)))</formula>
    </cfRule>
  </conditionalFormatting>
  <conditionalFormatting sqref="W243:X276 W517:X518">
    <cfRule type="containsText" dxfId="75" priority="367" operator="containsText" text="EN PROCESO">
      <formula>NOT(ISERROR(SEARCH("EN PROCESO",W243)))</formula>
    </cfRule>
    <cfRule type="containsText" dxfId="74" priority="368" operator="containsText" text="ENVIADO">
      <formula>NOT(ISERROR(SEARCH("ENVIADO",W243)))</formula>
    </cfRule>
  </conditionalFormatting>
  <conditionalFormatting sqref="W292:X292">
    <cfRule type="containsText" dxfId="73" priority="345" operator="containsText" text="EN PROCESO">
      <formula>NOT(ISERROR(SEARCH("EN PROCESO",W292)))</formula>
    </cfRule>
    <cfRule type="containsText" dxfId="72" priority="346" operator="containsText" text="ENVIADO">
      <formula>NOT(ISERROR(SEARCH("ENVIADO",W292)))</formula>
    </cfRule>
  </conditionalFormatting>
  <conditionalFormatting sqref="W396:X409">
    <cfRule type="containsText" dxfId="71" priority="359" operator="containsText" text="EN PROCESO">
      <formula>NOT(ISERROR(SEARCH("EN PROCESO",W396)))</formula>
    </cfRule>
    <cfRule type="containsText" dxfId="70" priority="360" operator="containsText" text="ENVIADO">
      <formula>NOT(ISERROR(SEARCH("ENVIADO",W396)))</formula>
    </cfRule>
  </conditionalFormatting>
  <conditionalFormatting sqref="W519:X519">
    <cfRule type="containsText" dxfId="69" priority="27" operator="containsText" text="EN REVISIÓN CENTRAL">
      <formula>NOT(ISERROR(SEARCH("EN REVISIÓN CENTRAL",W519)))</formula>
    </cfRule>
    <cfRule type="containsText" dxfId="68" priority="28" operator="containsText" text="ENVIADO A LA CE/UM">
      <formula>NOT(ISERROR(SEARCH("ENVIADO A LA CE/UM",W519)))</formula>
    </cfRule>
  </conditionalFormatting>
  <conditionalFormatting sqref="W520:X520 W533:X533">
    <cfRule type="containsText" dxfId="67" priority="365" operator="containsText" text="EN PROCESO">
      <formula>NOT(ISERROR(SEARCH("EN PROCESO",W520)))</formula>
    </cfRule>
    <cfRule type="containsText" dxfId="66" priority="366" operator="containsText" text="ENVIADO">
      <formula>NOT(ISERROR(SEARCH("ENVIADO",W520)))</formula>
    </cfRule>
  </conditionalFormatting>
  <conditionalFormatting sqref="W523:X523 W536:X536">
    <cfRule type="containsText" dxfId="65" priority="357" operator="containsText" text="EN PROCESO">
      <formula>NOT(ISERROR(SEARCH("EN PROCESO",W523)))</formula>
    </cfRule>
    <cfRule type="containsText" dxfId="64" priority="358" operator="containsText" text="ENVIADO">
      <formula>NOT(ISERROR(SEARCH("ENVIADO",W523)))</formula>
    </cfRule>
  </conditionalFormatting>
  <conditionalFormatting sqref="W564:X564">
    <cfRule type="containsText" dxfId="63" priority="355" operator="containsText" text="EN PROCESO">
      <formula>NOT(ISERROR(SEARCH("EN PROCESO",W564)))</formula>
    </cfRule>
    <cfRule type="containsText" dxfId="62" priority="356" operator="containsText" text="ENVIADO">
      <formula>NOT(ISERROR(SEARCH("ENVIADO",W564)))</formula>
    </cfRule>
  </conditionalFormatting>
  <conditionalFormatting sqref="W586:X586 W599:X599">
    <cfRule type="containsText" dxfId="61" priority="353" operator="containsText" text="EN PROCESO">
      <formula>NOT(ISERROR(SEARCH("EN PROCESO",W586)))</formula>
    </cfRule>
    <cfRule type="containsText" dxfId="60" priority="354" operator="containsText" text="ENVIADO">
      <formula>NOT(ISERROR(SEARCH("ENVIADO",W586)))</formula>
    </cfRule>
  </conditionalFormatting>
  <conditionalFormatting sqref="X41:X43">
    <cfRule type="containsText" dxfId="59" priority="383" operator="containsText" text="EN PROCESO">
      <formula>NOT(ISERROR(SEARCH("EN PROCESO",X41)))</formula>
    </cfRule>
    <cfRule type="containsText" dxfId="58" priority="384" operator="containsText" text="ENVIADO">
      <formula>NOT(ISERROR(SEARCH("ENVIADO",X41)))</formula>
    </cfRule>
    <cfRule type="containsText" dxfId="57" priority="385" operator="containsText" text="EN PROCESO">
      <formula>NOT(ISERROR(SEARCH("EN PROCESO",X41)))</formula>
    </cfRule>
    <cfRule type="containsText" dxfId="56" priority="386" operator="containsText" text="ENVIADO">
      <formula>NOT(ISERROR(SEARCH("ENVIADO",X41)))</formula>
    </cfRule>
    <cfRule type="containsText" dxfId="55" priority="387" operator="containsText" text="EN PROCESO">
      <formula>NOT(ISERROR(SEARCH("EN PROCESO",X41)))</formula>
    </cfRule>
    <cfRule type="containsText" dxfId="54" priority="388" operator="containsText" text="ENVIADO">
      <formula>NOT(ISERROR(SEARCH("ENVIADO",X41)))</formula>
    </cfRule>
    <cfRule type="containsText" dxfId="53" priority="389" operator="containsText" text="EN PROCESO">
      <formula>NOT(ISERROR(SEARCH("EN PROCESO",X41)))</formula>
    </cfRule>
    <cfRule type="containsText" dxfId="52" priority="390" operator="containsText" text="ENVIADO">
      <formula>NOT(ISERROR(SEARCH("ENVIADO",X41)))</formula>
    </cfRule>
  </conditionalFormatting>
  <conditionalFormatting sqref="X46 X63">
    <cfRule type="containsText" dxfId="51" priority="369" operator="containsText" text="EN PROCESO">
      <formula>NOT(ISERROR(SEARCH("EN PROCESO",X46)))</formula>
    </cfRule>
    <cfRule type="containsText" dxfId="50" priority="370" operator="containsText" text="ENVIADO">
      <formula>NOT(ISERROR(SEARCH("ENVIADO",X46)))</formula>
    </cfRule>
    <cfRule type="containsText" dxfId="49" priority="371" operator="containsText" text="EN PROCESO">
      <formula>NOT(ISERROR(SEARCH("EN PROCESO",X46)))</formula>
    </cfRule>
    <cfRule type="containsText" dxfId="48" priority="372" operator="containsText" text="ENVIADO">
      <formula>NOT(ISERROR(SEARCH("ENVIADO",X46)))</formula>
    </cfRule>
  </conditionalFormatting>
  <conditionalFormatting sqref="X146">
    <cfRule type="containsText" dxfId="47" priority="363" operator="containsText" text="EN PROCESO">
      <formula>NOT(ISERROR(SEARCH("EN PROCESO",X146)))</formula>
    </cfRule>
    <cfRule type="containsText" dxfId="46" priority="364" operator="containsText" text="ENVIADO">
      <formula>NOT(ISERROR(SEARCH("ENVIADO",X146)))</formula>
    </cfRule>
  </conditionalFormatting>
  <conditionalFormatting sqref="X146:X164">
    <cfRule type="containsText" dxfId="45" priority="361" operator="containsText" text="EN PROCESO">
      <formula>NOT(ISERROR(SEARCH("EN PROCESO",X146)))</formula>
    </cfRule>
    <cfRule type="containsText" dxfId="44" priority="362" operator="containsText" text="ENVIADO">
      <formula>NOT(ISERROR(SEARCH("ENVIADO",X146)))</formula>
    </cfRule>
  </conditionalFormatting>
  <conditionalFormatting sqref="X241:X276">
    <cfRule type="containsText" dxfId="43" priority="397" operator="containsText" text="EN PROCESO">
      <formula>NOT(ISERROR(SEARCH("EN PROCESO",X241)))</formula>
    </cfRule>
    <cfRule type="containsText" dxfId="42" priority="398" operator="containsText" text="ENVIADO">
      <formula>NOT(ISERROR(SEARCH("ENVIADO",X241)))</formula>
    </cfRule>
  </conditionalFormatting>
  <conditionalFormatting sqref="X266:X283">
    <cfRule type="containsText" dxfId="41" priority="395" operator="containsText" text="EN PROCESO">
      <formula>NOT(ISERROR(SEARCH("EN PROCESO",X266)))</formula>
    </cfRule>
    <cfRule type="containsText" dxfId="40" priority="396" operator="containsText" text="ENVIADO">
      <formula>NOT(ISERROR(SEARCH("ENVIADO",X266)))</formula>
    </cfRule>
  </conditionalFormatting>
  <conditionalFormatting sqref="X277:X283">
    <cfRule type="containsText" dxfId="39" priority="393" operator="containsText" text="EN PROCESO">
      <formula>NOT(ISERROR(SEARCH("EN PROCESO",X277)))</formula>
    </cfRule>
    <cfRule type="containsText" dxfId="38" priority="394" operator="containsText" text="ENVIADO">
      <formula>NOT(ISERROR(SEARCH("ENVIADO",X277)))</formula>
    </cfRule>
  </conditionalFormatting>
  <conditionalFormatting sqref="X292">
    <cfRule type="containsText" dxfId="37" priority="391" operator="containsText" text="EN PROCESO">
      <formula>NOT(ISERROR(SEARCH("EN PROCESO",X292)))</formula>
    </cfRule>
    <cfRule type="containsText" dxfId="36" priority="392" operator="containsText" text="ENVIADO">
      <formula>NOT(ISERROR(SEARCH("ENVIADO",X292)))</formula>
    </cfRule>
  </conditionalFormatting>
  <conditionalFormatting sqref="X292:X299">
    <cfRule type="containsText" dxfId="35" priority="135" operator="containsText" text="EN PROCESO">
      <formula>NOT(ISERROR(SEARCH("EN PROCESO",X292)))</formula>
    </cfRule>
    <cfRule type="containsText" dxfId="34" priority="136" operator="containsText" text="ENVIADO">
      <formula>NOT(ISERROR(SEARCH("ENVIADO",X292)))</formula>
    </cfRule>
  </conditionalFormatting>
  <conditionalFormatting sqref="X299:X301">
    <cfRule type="containsText" dxfId="33" priority="137" operator="containsText" text="EN PROCESO">
      <formula>NOT(ISERROR(SEARCH("EN PROCESO",X299)))</formula>
    </cfRule>
    <cfRule type="containsText" dxfId="32" priority="138" operator="containsText" text="ENVIADO">
      <formula>NOT(ISERROR(SEARCH("ENVIADO",X299)))</formula>
    </cfRule>
  </conditionalFormatting>
  <conditionalFormatting sqref="X302:X613 W385:W522 T104:T105">
    <cfRule type="containsText" dxfId="31" priority="113" operator="containsText" text="EN PROCESO">
      <formula>NOT(ISERROR(SEARCH("EN PROCESO",T104)))</formula>
    </cfRule>
  </conditionalFormatting>
  <conditionalFormatting sqref="Y2:Y613">
    <cfRule type="containsText" dxfId="30" priority="411" operator="containsText" text="CONCLUIDAS">
      <formula>NOT(ISERROR(SEARCH("CONCLUIDAS",Y2)))</formula>
    </cfRule>
    <cfRule type="containsText" dxfId="29" priority="412" operator="containsText" text="PROGRAMADAS">
      <formula>NOT(ISERROR(SEARCH("PROGRAMADAS",Y2)))</formula>
    </cfRule>
  </conditionalFormatting>
  <conditionalFormatting sqref="W610 Z3:AB121 Z2:AA2 AB614 Z139:AB202 Z122:AA138 Z218:AB613 Z203:AA217">
    <cfRule type="containsText" dxfId="0" priority="410" operator="containsText" text="NO">
      <formula>NOT(ISERROR(SEARCH("NO",W2)))</formula>
    </cfRule>
  </conditionalFormatting>
  <conditionalFormatting sqref="AE2:AE613">
    <cfRule type="dataBar" priority="4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{6D6A779A-4900-47C0-A170-1D120407367F}</x14:id>
        </ext>
      </extLst>
    </cfRule>
  </conditionalFormatting>
  <conditionalFormatting sqref="AE2:AE613">
    <cfRule type="dataBar" priority="4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{D81C0178-A0EE-419A-B819-2AC7ED201383}</x14:id>
        </ext>
      </extLst>
    </cfRule>
  </conditionalFormatting>
  <dataValidations count="11">
    <dataValidation type="list" allowBlank="1" showInputMessage="1" showErrorMessage="1" sqref="T610 V286:V287" xr:uid="{8926A14B-C0E6-4AE4-9ED1-7E990ED9D4AD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E9C59495-D3F0-4283-9C87-85E9F0B90709}">
      <formula1>"EN PROCESO,CONCLUIDO"</formula1>
    </dataValidation>
    <dataValidation type="list" allowBlank="1" showInputMessage="1" showErrorMessage="1" sqref="Q610 S2:S613" xr:uid="{B5366B11-3EA1-4AA0-93F5-D52ED65940A9}">
      <formula1>"ENVIADO A LA CE/UM,ENTREGADO/REVISIÓN,ENVIADO A TICS"</formula1>
    </dataValidation>
    <dataValidation type="list" allowBlank="1" showInputMessage="1" showErrorMessage="1" sqref="Y2:Y613" xr:uid="{D6A00DD7-32AB-4B62-B049-BB0C584D60DC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E1922FDD-FE9C-402E-BD34-D9C049F9CA41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3CE643D9-5D67-4DAB-9AFD-D3A9BAD62A99}">
      <formula1>"ENVIADO A LA CE/UM,EN REVISIÓN CENTRAL,CONCLUIDO, NO APLICA"</formula1>
    </dataValidation>
    <dataValidation type="list" allowBlank="1" showInputMessage="1" showErrorMessage="1" sqref="AA2:AA613" xr:uid="{11AD1123-94A7-491C-8537-761FC8786F1D}">
      <formula1>"SI,NO,NO APLICA"</formula1>
    </dataValidation>
    <dataValidation type="list" allowBlank="1" showInputMessage="1" showErrorMessage="1" sqref="W520:W613 W49:W115 W117:W518" xr:uid="{508A6ACB-12EE-414A-811F-D76FCBA5777A}">
      <formula1>"EN PROCESO,CONCLUIDO,NO APLICA"</formula1>
    </dataValidation>
    <dataValidation type="list" allowBlank="1" showInputMessage="1" showErrorMessage="1" sqref="W2:W6 W8:W48" xr:uid="{927DD2E1-020D-4F8E-B235-832FAD409AEE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0BF5290A-F666-465A-B6DE-448553DB15B9}">
      <formula1>"EN PROCESO,CONCLUIDO, NO APLICA"</formula1>
    </dataValidation>
    <dataValidation type="list" allowBlank="1" showInputMessage="1" showErrorMessage="1" sqref="Z2:Z613" xr:uid="{4A748F5E-81B2-4FE4-8632-6BF4EB15141C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</xm:sqref>
        </x14:conditionalFormatting>
        <x14:conditionalFormatting xmlns:xm="http://schemas.microsoft.com/office/excel/2006/main">
          <x14:cfRule type="dataBar" id="{6D6A779A-4900-47C0-A170-1D120407367F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AE2:AE613</xm:sqref>
        </x14:conditionalFormatting>
        <x14:conditionalFormatting xmlns:xm="http://schemas.microsoft.com/office/excel/2006/main">
          <x14:cfRule type="dataBar" id="{D81C0178-A0EE-419A-B819-2AC7ED20138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AE2:AE613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08">
        <v>75</v>
      </c>
      <c r="E2" s="109">
        <v>58</v>
      </c>
      <c r="F2" s="109">
        <v>0</v>
      </c>
      <c r="G2" s="109">
        <v>49</v>
      </c>
      <c r="H2" s="108">
        <v>10</v>
      </c>
    </row>
    <row r="3" spans="1:8" ht="15" x14ac:dyDescent="0.35">
      <c r="A3" s="55">
        <v>2</v>
      </c>
      <c r="B3" s="106" t="s">
        <v>954</v>
      </c>
      <c r="C3" s="110">
        <v>722</v>
      </c>
      <c r="D3" s="110">
        <v>722</v>
      </c>
      <c r="E3" s="109">
        <v>97</v>
      </c>
      <c r="F3" s="109">
        <v>0</v>
      </c>
      <c r="G3" s="110">
        <v>245</v>
      </c>
      <c r="H3" s="110">
        <v>245</v>
      </c>
    </row>
    <row r="4" spans="1:8" ht="15" x14ac:dyDescent="0.35">
      <c r="A4" s="55">
        <v>3</v>
      </c>
      <c r="B4" s="111" t="s">
        <v>1858</v>
      </c>
      <c r="C4" s="110">
        <v>0</v>
      </c>
      <c r="D4" s="110">
        <v>0</v>
      </c>
      <c r="E4" s="110">
        <v>104</v>
      </c>
      <c r="F4" s="110">
        <v>104</v>
      </c>
      <c r="G4" s="110">
        <v>106</v>
      </c>
      <c r="H4" s="110">
        <v>106</v>
      </c>
    </row>
    <row r="5" spans="1:8" ht="15" x14ac:dyDescent="0.35">
      <c r="A5" s="55">
        <v>4</v>
      </c>
      <c r="B5" s="106" t="s">
        <v>708</v>
      </c>
      <c r="C5" s="109">
        <v>0</v>
      </c>
      <c r="D5" s="109">
        <v>0</v>
      </c>
      <c r="E5" s="109">
        <v>21</v>
      </c>
      <c r="F5" s="109">
        <v>0</v>
      </c>
      <c r="G5" s="110">
        <v>60</v>
      </c>
      <c r="H5" s="110">
        <v>60</v>
      </c>
    </row>
    <row r="6" spans="1:8" ht="15" x14ac:dyDescent="0.35">
      <c r="A6" s="56">
        <v>5</v>
      </c>
      <c r="B6" s="111" t="s">
        <v>1859</v>
      </c>
      <c r="C6" s="112">
        <v>1438</v>
      </c>
      <c r="D6" s="113">
        <v>500</v>
      </c>
      <c r="E6" s="112">
        <v>216</v>
      </c>
      <c r="F6" s="112">
        <v>0</v>
      </c>
      <c r="G6" s="110">
        <v>221</v>
      </c>
      <c r="H6" s="110">
        <v>221</v>
      </c>
    </row>
    <row r="7" spans="1:8" ht="15" x14ac:dyDescent="0.35">
      <c r="A7" s="56">
        <v>6</v>
      </c>
      <c r="B7" s="111" t="s">
        <v>1860</v>
      </c>
      <c r="C7" s="112">
        <v>1249</v>
      </c>
      <c r="D7" s="113">
        <v>349</v>
      </c>
      <c r="E7" s="112">
        <v>188</v>
      </c>
      <c r="F7" s="112">
        <v>0</v>
      </c>
      <c r="G7" s="110">
        <v>170</v>
      </c>
      <c r="H7" s="110">
        <v>170</v>
      </c>
    </row>
    <row r="8" spans="1:8" ht="15" x14ac:dyDescent="0.35">
      <c r="A8" s="55">
        <v>7</v>
      </c>
      <c r="B8" s="106" t="s">
        <v>172</v>
      </c>
      <c r="C8" s="109">
        <v>510</v>
      </c>
      <c r="D8" s="108">
        <v>200</v>
      </c>
      <c r="E8" s="109">
        <v>67</v>
      </c>
      <c r="F8" s="109">
        <v>0</v>
      </c>
      <c r="G8" s="109">
        <v>0</v>
      </c>
      <c r="H8" s="109">
        <v>0</v>
      </c>
    </row>
    <row r="9" spans="1:8" ht="15" x14ac:dyDescent="0.35">
      <c r="A9" s="55">
        <v>8</v>
      </c>
      <c r="B9" s="106" t="s">
        <v>886</v>
      </c>
      <c r="C9" s="109">
        <v>347</v>
      </c>
      <c r="D9" s="108">
        <v>347</v>
      </c>
      <c r="E9" s="109">
        <v>35</v>
      </c>
      <c r="F9" s="109">
        <v>0</v>
      </c>
      <c r="G9" s="109">
        <v>0</v>
      </c>
      <c r="H9" s="109">
        <v>0</v>
      </c>
    </row>
    <row r="10" spans="1:8" ht="15" x14ac:dyDescent="0.35">
      <c r="A10" s="55">
        <v>9</v>
      </c>
      <c r="B10" s="106" t="s">
        <v>440</v>
      </c>
      <c r="C10" s="109">
        <v>175</v>
      </c>
      <c r="D10" s="108">
        <v>58</v>
      </c>
      <c r="E10" s="109">
        <v>51</v>
      </c>
      <c r="F10" s="109">
        <v>0</v>
      </c>
      <c r="G10" s="110">
        <v>18</v>
      </c>
      <c r="H10" s="110">
        <v>18</v>
      </c>
    </row>
    <row r="11" spans="1:8" ht="15" x14ac:dyDescent="0.35">
      <c r="A11" s="55">
        <v>10</v>
      </c>
      <c r="B11" s="106" t="s">
        <v>837</v>
      </c>
      <c r="C11" s="110">
        <v>486</v>
      </c>
      <c r="D11" s="110">
        <v>486</v>
      </c>
      <c r="E11" s="109">
        <v>77</v>
      </c>
      <c r="F11" s="109">
        <v>0</v>
      </c>
      <c r="G11" s="109">
        <v>0</v>
      </c>
      <c r="H11" s="109">
        <v>0</v>
      </c>
    </row>
    <row r="12" spans="1:8" ht="15" x14ac:dyDescent="0.35">
      <c r="A12" s="55">
        <v>11</v>
      </c>
      <c r="B12" s="106" t="s">
        <v>755</v>
      </c>
      <c r="C12" s="109">
        <v>332</v>
      </c>
      <c r="D12" s="109">
        <v>0</v>
      </c>
      <c r="E12" s="109">
        <v>25</v>
      </c>
      <c r="F12" s="109">
        <v>0</v>
      </c>
      <c r="G12" s="110">
        <v>20</v>
      </c>
      <c r="H12" s="110">
        <v>20</v>
      </c>
    </row>
    <row r="13" spans="1:8" ht="15" x14ac:dyDescent="0.35">
      <c r="A13" s="55">
        <v>12</v>
      </c>
      <c r="B13" s="106" t="s">
        <v>628</v>
      </c>
      <c r="C13" s="109">
        <v>468</v>
      </c>
      <c r="D13" s="109">
        <v>0</v>
      </c>
      <c r="E13" s="109">
        <v>63</v>
      </c>
      <c r="F13" s="109">
        <v>0</v>
      </c>
      <c r="G13" s="110">
        <v>113</v>
      </c>
      <c r="H13" s="110">
        <v>113</v>
      </c>
    </row>
    <row r="14" spans="1:8" ht="15" x14ac:dyDescent="0.35">
      <c r="A14" s="55">
        <v>13</v>
      </c>
      <c r="B14" s="106" t="s">
        <v>187</v>
      </c>
      <c r="C14" s="109">
        <v>138</v>
      </c>
      <c r="D14" s="109">
        <v>0</v>
      </c>
      <c r="E14" s="109">
        <v>31</v>
      </c>
      <c r="F14" s="109">
        <v>0</v>
      </c>
      <c r="G14" s="110">
        <v>100</v>
      </c>
      <c r="H14" s="110">
        <v>100</v>
      </c>
    </row>
    <row r="15" spans="1:8" ht="15" x14ac:dyDescent="0.35">
      <c r="A15" s="55">
        <v>14</v>
      </c>
      <c r="B15" s="106" t="s">
        <v>450</v>
      </c>
      <c r="C15" s="109">
        <v>507</v>
      </c>
      <c r="D15" s="109">
        <v>0</v>
      </c>
      <c r="E15" s="109">
        <v>61</v>
      </c>
      <c r="F15" s="109">
        <v>0</v>
      </c>
      <c r="G15" s="110">
        <v>36</v>
      </c>
      <c r="H15" s="110">
        <v>36</v>
      </c>
    </row>
    <row r="16" spans="1:8" ht="15" x14ac:dyDescent="0.35">
      <c r="A16" s="55">
        <v>15</v>
      </c>
      <c r="B16" s="106" t="s">
        <v>647</v>
      </c>
      <c r="C16" s="109">
        <v>742</v>
      </c>
      <c r="D16" s="109">
        <v>0</v>
      </c>
      <c r="E16" s="109">
        <v>26</v>
      </c>
      <c r="F16" s="109">
        <v>0</v>
      </c>
      <c r="G16" s="109">
        <v>197</v>
      </c>
      <c r="H16" s="109">
        <v>0</v>
      </c>
    </row>
    <row r="17" spans="1:8" ht="15" x14ac:dyDescent="0.35">
      <c r="A17" s="55">
        <v>16</v>
      </c>
      <c r="B17" s="106" t="s">
        <v>724</v>
      </c>
      <c r="C17" s="109">
        <v>185</v>
      </c>
      <c r="D17" s="109">
        <v>0</v>
      </c>
      <c r="E17" s="109">
        <v>135</v>
      </c>
      <c r="F17" s="109">
        <v>0</v>
      </c>
      <c r="G17" s="110">
        <v>244</v>
      </c>
      <c r="H17" s="110">
        <v>244</v>
      </c>
    </row>
    <row r="18" spans="1:8" ht="15" x14ac:dyDescent="0.35">
      <c r="A18" s="55">
        <v>17</v>
      </c>
      <c r="B18" s="106" t="s">
        <v>418</v>
      </c>
      <c r="C18" s="109">
        <v>1165</v>
      </c>
      <c r="D18" s="108">
        <v>30</v>
      </c>
      <c r="E18" s="109">
        <v>162</v>
      </c>
      <c r="F18" s="109">
        <v>0</v>
      </c>
      <c r="G18" s="109">
        <v>0</v>
      </c>
      <c r="H18" s="109">
        <v>0</v>
      </c>
    </row>
    <row r="19" spans="1:8" ht="15" x14ac:dyDescent="0.35">
      <c r="A19" s="55">
        <v>18</v>
      </c>
      <c r="B19" s="106" t="s">
        <v>672</v>
      </c>
      <c r="C19" s="109">
        <v>1106</v>
      </c>
      <c r="D19" s="109">
        <v>0</v>
      </c>
      <c r="E19" s="109">
        <v>154</v>
      </c>
      <c r="F19" s="109">
        <v>0</v>
      </c>
      <c r="G19" s="109">
        <v>0</v>
      </c>
      <c r="H19" s="109">
        <v>0</v>
      </c>
    </row>
    <row r="20" spans="1:8" ht="15" x14ac:dyDescent="0.35">
      <c r="A20" s="55">
        <v>19</v>
      </c>
      <c r="B20" s="106" t="s">
        <v>159</v>
      </c>
      <c r="C20" s="109">
        <v>396</v>
      </c>
      <c r="D20" s="109">
        <v>0</v>
      </c>
      <c r="E20" s="109">
        <v>125</v>
      </c>
      <c r="F20" s="109">
        <v>15</v>
      </c>
      <c r="G20" s="109">
        <v>48</v>
      </c>
      <c r="H20" s="109">
        <v>0</v>
      </c>
    </row>
    <row r="21" spans="1:8" ht="15" x14ac:dyDescent="0.35">
      <c r="A21" s="55">
        <v>20</v>
      </c>
      <c r="B21" s="106" t="s">
        <v>229</v>
      </c>
      <c r="C21" s="109">
        <v>727</v>
      </c>
      <c r="D21" s="109">
        <v>0</v>
      </c>
      <c r="E21" s="109">
        <v>223</v>
      </c>
      <c r="F21" s="109">
        <v>0</v>
      </c>
      <c r="G21" s="109">
        <v>34</v>
      </c>
      <c r="H21" s="109">
        <v>0</v>
      </c>
    </row>
    <row r="22" spans="1:8" ht="15" x14ac:dyDescent="0.35">
      <c r="A22" s="55">
        <v>21</v>
      </c>
      <c r="B22" s="106" t="s">
        <v>477</v>
      </c>
      <c r="C22" s="109">
        <v>1351</v>
      </c>
      <c r="D22" s="109">
        <v>0</v>
      </c>
      <c r="E22" s="109">
        <v>175</v>
      </c>
      <c r="F22" s="109">
        <v>0</v>
      </c>
      <c r="G22" s="109">
        <v>86</v>
      </c>
      <c r="H22" s="109">
        <v>0</v>
      </c>
    </row>
    <row r="23" spans="1:8" ht="15" x14ac:dyDescent="0.35">
      <c r="A23" s="55">
        <v>22</v>
      </c>
      <c r="B23" s="106" t="s">
        <v>535</v>
      </c>
      <c r="C23" s="109">
        <v>2446</v>
      </c>
      <c r="D23" s="109">
        <v>0</v>
      </c>
      <c r="E23" s="109">
        <v>317</v>
      </c>
      <c r="F23" s="109">
        <v>0</v>
      </c>
      <c r="G23" s="109">
        <v>521</v>
      </c>
      <c r="H23" s="109">
        <v>0</v>
      </c>
    </row>
    <row r="24" spans="1:8" ht="15" x14ac:dyDescent="0.35">
      <c r="A24" s="55">
        <v>23</v>
      </c>
      <c r="B24" s="106" t="s">
        <v>218</v>
      </c>
      <c r="C24" s="109">
        <v>2583</v>
      </c>
      <c r="D24" s="109">
        <v>0</v>
      </c>
      <c r="E24" s="109">
        <v>355</v>
      </c>
      <c r="F24" s="109">
        <v>0</v>
      </c>
      <c r="G24" s="109">
        <v>324</v>
      </c>
      <c r="H24" s="109">
        <v>0</v>
      </c>
    </row>
    <row r="25" spans="1:8" ht="15" x14ac:dyDescent="0.35">
      <c r="A25" s="56">
        <v>24</v>
      </c>
      <c r="B25" s="111" t="s">
        <v>1861</v>
      </c>
      <c r="C25" s="112">
        <v>674</v>
      </c>
      <c r="D25" s="112">
        <v>0</v>
      </c>
      <c r="E25" s="112">
        <v>82</v>
      </c>
      <c r="F25" s="112">
        <v>0</v>
      </c>
      <c r="G25" s="112">
        <v>70</v>
      </c>
      <c r="H25" s="112">
        <v>0</v>
      </c>
    </row>
    <row r="26" spans="1:8" ht="15" x14ac:dyDescent="0.35">
      <c r="A26" s="56">
        <v>25</v>
      </c>
      <c r="B26" s="111" t="s">
        <v>1862</v>
      </c>
      <c r="C26" s="112">
        <v>1873</v>
      </c>
      <c r="D26" s="112">
        <v>0</v>
      </c>
      <c r="E26" s="112">
        <v>269</v>
      </c>
      <c r="F26" s="112">
        <v>0</v>
      </c>
      <c r="G26" s="112">
        <v>441</v>
      </c>
      <c r="H26" s="112">
        <v>0</v>
      </c>
    </row>
    <row r="27" spans="1:8" ht="15" x14ac:dyDescent="0.35">
      <c r="A27" s="55">
        <v>26</v>
      </c>
      <c r="B27" s="106" t="s">
        <v>1716</v>
      </c>
      <c r="C27" s="109">
        <v>0</v>
      </c>
      <c r="D27" s="109">
        <v>0</v>
      </c>
      <c r="E27" s="109">
        <v>6</v>
      </c>
      <c r="F27" s="109">
        <v>0</v>
      </c>
      <c r="G27" s="109">
        <v>0</v>
      </c>
      <c r="H27" s="109">
        <v>0</v>
      </c>
    </row>
    <row r="28" spans="1:8" ht="15" x14ac:dyDescent="0.35">
      <c r="A28" s="55">
        <v>27</v>
      </c>
      <c r="B28" s="111" t="s">
        <v>1863</v>
      </c>
      <c r="C28" s="110">
        <v>114</v>
      </c>
      <c r="D28" s="110">
        <v>114</v>
      </c>
      <c r="E28" s="112">
        <v>0</v>
      </c>
      <c r="F28" s="112">
        <v>0</v>
      </c>
      <c r="G28" s="110">
        <v>52</v>
      </c>
      <c r="H28" s="110">
        <v>52</v>
      </c>
    </row>
    <row r="29" spans="1:8" ht="15" x14ac:dyDescent="0.35">
      <c r="B29" s="106" t="s">
        <v>26</v>
      </c>
      <c r="C29" s="110">
        <v>1000</v>
      </c>
      <c r="D29" s="110">
        <v>1000</v>
      </c>
      <c r="E29" s="109">
        <v>39</v>
      </c>
      <c r="F29" s="109">
        <v>34</v>
      </c>
      <c r="G29" s="110">
        <v>698</v>
      </c>
      <c r="H29" s="110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8" priority="27"/>
  </conditionalFormatting>
  <conditionalFormatting sqref="Q611">
    <cfRule type="containsText" dxfId="27" priority="10" operator="containsText" text="ENVIADO A TICS">
      <formula>NOT(ISERROR(SEARCH("ENVIADO A TICS",Q611)))</formula>
    </cfRule>
    <cfRule type="containsText" dxfId="26" priority="11" operator="containsText" text="ENTREGADO/REVISIÓN">
      <formula>NOT(ISERROR(SEARCH("ENTREGADO/REVISIÓN",Q611)))</formula>
    </cfRule>
    <cfRule type="containsText" dxfId="25" priority="12" operator="containsText" text="ENVIADO A LA CE/UM">
      <formula>NOT(ISERROR(SEARCH("ENVIADO A LA CE/UM",Q611)))</formula>
    </cfRule>
  </conditionalFormatting>
  <conditionalFormatting sqref="R611">
    <cfRule type="containsText" dxfId="24" priority="9" operator="containsText" text="EN PROCESO">
      <formula>NOT(ISERROR(SEARCH("EN PROCESO",R611)))</formula>
    </cfRule>
  </conditionalFormatting>
  <conditionalFormatting sqref="R611:U611 T1:W610">
    <cfRule type="containsText" dxfId="23" priority="18" operator="containsText" text="CONCLUIDO">
      <formula>NOT(ISERROR(SEARCH("CONCLUIDO",R1)))</formula>
    </cfRule>
  </conditionalFormatting>
  <conditionalFormatting sqref="S1:S610">
    <cfRule type="containsText" dxfId="22" priority="24" operator="containsText" text="ENVIADO A TICS">
      <formula>NOT(ISERROR(SEARCH("ENVIADO A TICS",S1)))</formula>
    </cfRule>
    <cfRule type="containsText" dxfId="21" priority="25" operator="containsText" text="ENTREGADO/REVISIÓN">
      <formula>NOT(ISERROR(SEARCH("ENTREGADO/REVISIÓN",S1)))</formula>
    </cfRule>
    <cfRule type="containsText" dxfId="20" priority="26" operator="containsText" text="ENVIADO A LA CE/UM">
      <formula>NOT(ISERROR(SEARCH("ENVIADO A LA CE/UM",S1)))</formula>
    </cfRule>
  </conditionalFormatting>
  <conditionalFormatting sqref="S611:T611">
    <cfRule type="containsText" dxfId="19" priority="7" operator="containsText" text="EN REVISIÓN CENTRAL">
      <formula>NOT(ISERROR(SEARCH("EN REVISIÓN CENTRAL",S611)))</formula>
    </cfRule>
    <cfRule type="containsText" dxfId="18" priority="8" operator="containsText" text="ENVIADO A LA CE/UM">
      <formula>NOT(ISERROR(SEARCH("ENVIADO A LA CE/UM",S611)))</formula>
    </cfRule>
  </conditionalFormatting>
  <conditionalFormatting sqref="T1:T610">
    <cfRule type="containsText" dxfId="17" priority="23" operator="containsText" text="EN PROCESO">
      <formula>NOT(ISERROR(SEARCH("EN PROCESO",T1)))</formula>
    </cfRule>
  </conditionalFormatting>
  <conditionalFormatting sqref="U1">
    <cfRule type="containsText" dxfId="16" priority="28" operator="containsText" text="ENVIADO A LA CE/UM">
      <formula>NOT(ISERROR(SEARCH("ENVIADO A LA CE/UM",U1)))</formula>
    </cfRule>
  </conditionalFormatting>
  <conditionalFormatting sqref="U611">
    <cfRule type="containsText" dxfId="15" priority="5" operator="containsText" text="EN PROCESO">
      <formula>NOT(ISERROR(SEARCH("EN PROCESO",U611)))</formula>
    </cfRule>
    <cfRule type="containsText" dxfId="14" priority="6" operator="containsText" text="ENVIADO">
      <formula>NOT(ISERROR(SEARCH("ENVIADO",U611)))</formula>
    </cfRule>
  </conditionalFormatting>
  <conditionalFormatting sqref="U1:V610">
    <cfRule type="containsText" dxfId="13" priority="21" operator="containsText" text="EN REVISIÓN CENTRAL">
      <formula>NOT(ISERROR(SEARCH("EN REVISIÓN CENTRAL",U1)))</formula>
    </cfRule>
  </conditionalFormatting>
  <conditionalFormatting sqref="U2:V610">
    <cfRule type="containsText" dxfId="12" priority="22" operator="containsText" text="ENVIADO A LA CE/UM">
      <formula>NOT(ISERROR(SEARCH("ENVIADO A LA CE/UM",U2)))</formula>
    </cfRule>
  </conditionalFormatting>
  <conditionalFormatting sqref="V611">
    <cfRule type="containsText" dxfId="11" priority="3" operator="containsText" text="CONCLUIDAS">
      <formula>NOT(ISERROR(SEARCH("CONCLUIDAS",V611)))</formula>
    </cfRule>
    <cfRule type="containsText" dxfId="10" priority="4" operator="containsText" text="PROGRAMADAS">
      <formula>NOT(ISERROR(SEARCH("PROGRAMADAS",V611)))</formula>
    </cfRule>
  </conditionalFormatting>
  <conditionalFormatting sqref="W1:W610">
    <cfRule type="containsText" dxfId="9" priority="19" operator="containsText" text="EN PROCESO">
      <formula>NOT(ISERROR(SEARCH("EN PROCESO",W1)))</formula>
    </cfRule>
    <cfRule type="containsText" dxfId="8" priority="20" operator="containsText" text="ENVIADO">
      <formula>NOT(ISERROR(SEARCH("ENVIADO",W1)))</formula>
    </cfRule>
  </conditionalFormatting>
  <conditionalFormatting sqref="W611:Z611">
    <cfRule type="containsText" dxfId="7" priority="1" operator="containsText" text="SI">
      <formula>NOT(ISERROR(SEARCH("SI",W611)))</formula>
    </cfRule>
    <cfRule type="containsText" dxfId="6" priority="2" operator="containsText" text="NO">
      <formula>NOT(ISERROR(SEARCH("NO",W611)))</formula>
    </cfRule>
  </conditionalFormatting>
  <conditionalFormatting sqref="X1:X610">
    <cfRule type="containsText" dxfId="5" priority="16" operator="containsText" text="CONCLUIDAS">
      <formula>NOT(ISERROR(SEARCH("CONCLUIDAS",X1)))</formula>
    </cfRule>
    <cfRule type="containsText" dxfId="4" priority="17" operator="containsText" text="PROGRAMADAS">
      <formula>NOT(ISERROR(SEARCH("PROGRAMADAS",X1)))</formula>
    </cfRule>
  </conditionalFormatting>
  <conditionalFormatting sqref="Y1:Z610">
    <cfRule type="containsText" dxfId="3" priority="14" operator="containsText" text="SI">
      <formula>NOT(ISERROR(SEARCH("SI",Y1)))</formula>
    </cfRule>
    <cfRule type="containsText" dxfId="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2026-08-21T18:22:50Z</dcterms:modified>
</cp:coreProperties>
</file>