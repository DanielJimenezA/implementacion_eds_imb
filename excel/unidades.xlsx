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504C89DE-4974-418C-A08A-8E6D5A6789B8}"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tc={FCEB3F2B-FE6D-48B4-A600-E3F288038F88}</author>
    <author>tc={0A354A29-C119-460D-BF40-BD4799EEEC89}</author>
  </authors>
  <commentList>
    <comment ref="Q53" authorId="0" shapeId="0" xr:uid="{FCEB3F2B-FE6D-48B4-A600-E3F288038F88}">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<sst xmlns="http://schemas.openxmlformats.org/spreadsheetml/2006/main" count="18064" uniqueCount="1849">
  <si>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</si>
  <si>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</si>
  <si>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</si>
  <si>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</si>
  <si>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</si>
  <si>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</si>
  <si>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</si>
  <si>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</si>
  <si>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</si>
  <si>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</si>
  <si>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</si>
  <si>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</si>
  <si>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</si>
  <si>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</si>
  <si>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</si>
  <si>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</si>
  <si>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</si>
  <si>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</si>
  <si>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</si>
  <si>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</si>
  <si>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</si>
  <si>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</si>
  <si>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</si>
  <si>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</si>
  <si>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</si>
  <si>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</si>
  <si>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</si>
  <si>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</si>
  <si>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</si>
  <si>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</si>
  <si>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</si>
  <si>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</si>
  <si>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</si>
  <si>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</si>
  <si>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</si>
  <si>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</si>
  <si>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</si>
  <si>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</si>
  <si>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</si>
  <si>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</si>
  <si>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</si>
  <si>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</si>
  <si>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</si>
  <si>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</si>
  <si>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</si>
  <si>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</si>
  <si>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</si>
  <si>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</si>
  <si>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</si>
  <si>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</si>
  <si>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</si>
  <si>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</si>
  <si>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</si>
  <si>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</si>
  <si>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</si>
  <si>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</si>
  <si>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</si>
  <si>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</si>
  <si>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</si>
  <si>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</si>
  <si>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</si>
  <si>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</si>
  <si>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</si>
  <si>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</si>
  <si>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</si>
  <si>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</si>
  <si>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</si>
  <si>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</si>
  <si>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</si>
  <si>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</si>
  <si>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</si>
  <si>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</si>
  <si>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</si>
  <si>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</si>
  <si>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</si>
  <si>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</si>
  <si>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</si>
  <si>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</si>
  <si>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</si>
  <si>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</si>
  <si>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</si>
  <si>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</si>
  <si>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</si>
  <si>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</si>
  <si>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</si>
  <si>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</si>
  <si>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</si>
  <si>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</si>
  <si>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</si>
  <si>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</si>
  <si>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</si>
  <si>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</si>
  <si>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</si>
  <si>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</si>
  <si>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</si>
  <si>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</si>
  <si>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</si>
  <si>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</si>
  <si>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</si>
  <si>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</si>
  <si>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</si>
  <si>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</si>
  <si>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</si>
  <si>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</si>
  <si>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</si>
  <si>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</si>
  <si>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</si>
  <si>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</si>
  <si>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</si>
  <si>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</si>
  <si>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</si>
  <si>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</si>
  <si>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</si>
  <si>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</si>
  <si>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</si>
  <si>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</si>
  <si>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</si>
  <si>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</si>
  <si>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</si>
  <si>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</si>
  <si>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</si>
  <si>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</si>
  <si>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</si>
  <si>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</si>
  <si>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</si>
  <si>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</si>
  <si>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</si>
  <si>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</si>
  <si>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</si>
  <si>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</si>
  <si>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</si>
  <si>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</si>
  <si>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</si>
  <si>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</si>
  <si>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</si>
  <si>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</si>
  <si>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</si>
  <si>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</si>
  <si>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</si>
  <si>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</si>
  <si>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</si>
  <si>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</si>
  <si>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</si>
  <si>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</si>
  <si>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</si>
  <si>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</si>
  <si>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</si>
  <si>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</si>
  <si>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</si>
  <si>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</si>
  <si>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</si>
  <si>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</si>
  <si>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</si>
  <si>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</si>
  <si>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</si>
  <si>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</si>
  <si>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</si>
  <si>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</si>
  <si>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</si>
  <si>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</si>
  <si>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</si>
  <si>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</si>
  <si>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</si>
  <si>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</si>
  <si>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</si>
  <si>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</si>
  <si>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</si>
  <si>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</si>
  <si>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</si>
  <si>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</si>
  <si>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</si>
  <si>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</si>
  <si>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</si>
  <si>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</si>
  <si>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</si>
  <si>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</si>
  <si>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</si>
  <si>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</si>
  <si>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</si>
  <si>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</si>
  <si>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</si>
  <si>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</si>
  <si>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</si>
  <si>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</si>
  <si>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</si>
  <si>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</si>
  <si>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</si>
  <si>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</si>
  <si>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</si>
  <si>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</si>
  <si>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</si>
  <si>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</si>
  <si>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</si>
  <si>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</si>
  <si>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</si>
  <si>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</si>
  <si>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</si>
  <si>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</si>
  <si>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</si>
  <si>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</si>
  <si>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</si>
  <si>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</si>
  <si>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</si>
  <si>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</si>
  <si>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</si>
  <si>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</si>
  <si>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</si>
  <si>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</si>
  <si>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</si>
  <si>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</si>
  <si>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</si>
  <si>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</si>
  <si>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</si>
  <si>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</si>
  <si>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</si>
  <si>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</si>
  <si>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</si>
  <si>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</si>
  <si>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</si>
  <si>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</si>
  <si>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</si>
  <si>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</si>
  <si>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</si>
  <si>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</si>
  <si>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</si>
  <si>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</si>
  <si>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</si>
  <si>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</si>
  <si>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</si>
  <si>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</si>
  <si>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</si>
  <si>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</si>
  <si>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</si>
  <si>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</si>
  <si>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</si>
  <si>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</si>
  <si>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</si>
  <si>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</si>
  <si>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</si>
  <si>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</si>
  <si>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</si>
  <si>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</si>
  <si>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</si>
  <si>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</si>
  <si>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</si>
  <si>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</si>
  <si>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</si>
  <si>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</si>
  <si>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</si>
  <si>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</si>
  <si>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</si>
  <si>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</si>
  <si>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</si>
  <si>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</si>
  <si>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</si>
  <si>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</si>
  <si>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</si>
  <si>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</si>
  <si>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</si>
  <si>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</si>
  <si>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</si>
  <si>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</si>
  <si>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</si>
  <si>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</si>
  <si>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</si>
  <si>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</si>
  <si>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</si>
  <si>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</si>
  <si>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</si>
  <si>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</si>
  <si>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</si>
  <si>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</si>
  <si>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</si>
  <si>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</si>
  <si>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</si>
  <si>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</si>
  <si>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</si>
  <si>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</si>
  <si>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</si>
  <si>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</si>
  <si>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</si>
  <si>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</si>
  <si>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</si>
  <si>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</si>
  <si>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</si>
  <si>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</si>
  <si>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</si>
  <si>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</si>
  <si>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</si>
  <si>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</si>
  <si>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</si>
  <si>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</si>
  <si>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</si>
  <si>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</si>
  <si>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</si>
  <si>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</si>
  <si>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</si>
  <si>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</si>
  <si>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</si>
  <si>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</si>
  <si>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</si>
  <si>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</si>
  <si>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</si>
  <si>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</si>
  <si>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</si>
  <si>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</si>
  <si>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</si>
  <si>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</si>
  <si>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</si>
  <si>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</si>
  <si>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</si>
  <si>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</si>
  <si>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</si>
  <si>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</si>
  <si>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</si>
  <si>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</si>
  <si>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</si>
  <si>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</si>
  <si>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</si>
  <si>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</si>
  <si>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</si>
  <si>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</si>
  <si>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</si>
  <si>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</si>
  <si>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</si>
  <si>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</si>
  <si>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</si>
  <si>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</si>
  <si>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</si>
  <si>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</si>
  <si>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</si>
  <si>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</si>
  <si>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</si>
  <si>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</si>
  <si>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</si>
  <si>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</si>
  <si>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</si>
  <si>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</si>
  <si>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</si>
  <si>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</si>
  <si>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</si>
  <si>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</si>
  <si>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</si>
  <si>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</si>
  <si>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</si>
  <si>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</si>
  <si>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</si>
  <si>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</si>
  <si>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</si>
  <si>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</si>
  <si>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</si>
  <si>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</si>
  <si>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</si>
  <si>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</si>
  <si>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</si>
  <si>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</si>
  <si>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</si>
  <si>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</si>
  <si>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</si>
  <si>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</si>
  <si>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</si>
  <si>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</si>
  <si>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</si>
  <si>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</si>
  <si>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</si>
  <si>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</si>
  <si>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</si>
  <si>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</si>
  <si>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</si>
  <si>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</si>
  <si>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</si>
  <si>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</si>
  <si>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</si>
  <si>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</si>
  <si>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</si>
  <si>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</si>
  <si>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</si>
  <si>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</si>
  <si>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</si>
  <si>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</si>
  <si>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</si>
  <si>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</si>
  <si>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</si>
  <si>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</si>
  <si>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</si>
  <si>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</si>
  <si>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</si>
  <si>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</si>
  <si>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</si>
  <si>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</si>
  <si>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</si>
  <si>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</si>
  <si>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</si>
  <si>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</si>
  <si>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</si>
  <si>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</si>
  <si>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</si>
  <si>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</si>
  <si>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</si>
  <si>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</si>
  <si>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</si>
  <si>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</si>
  <si>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</si>
  <si>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</si>
  <si>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</si>
  <si>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</si>
  <si>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</si>
  <si>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</si>
  <si>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</si>
  <si>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</si>
  <si>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</si>
  <si>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</si>
  <si>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</si>
  <si>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</si>
  <si>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</si>
  <si>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</si>
  <si>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</si>
  <si>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</si>
  <si>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</si>
  <si>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</si>
  <si>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</si>
  <si>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</si>
  <si>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</si>
  <si>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</si>
  <si>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</si>
  <si>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</si>
  <si>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</si>
  <si>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</si>
  <si>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</si>
  <si>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</si>
  <si>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</si>
  <si>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</si>
  <si>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</si>
  <si>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</si>
  <si>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</si>
  <si>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</si>
  <si>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</si>
  <si>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</si>
  <si>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</si>
  <si>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</si>
  <si>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</si>
  <si>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</si>
  <si>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</si>
  <si>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</si>
  <si>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</si>
  <si>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</si>
  <si>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</si>
  <si>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</si>
  <si>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</si>
  <si>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</si>
  <si>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</si>
  <si>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</si>
  <si>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</si>
  <si>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</si>
  <si>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</si>
  <si>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</si>
  <si>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</si>
  <si>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</si>
  <si>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</si>
  <si>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</si>
  <si>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</si>
  <si>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</si>
  <si>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</si>
  <si>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</si>
  <si>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</si>
  <si>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</si>
  <si>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</si>
  <si>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</si>
  <si>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</si>
  <si>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</si>
  <si>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</si>
  <si>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</si>
  <si>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</si>
  <si>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</si>
  <si>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</si>
  <si>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</si>
  <si>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</si>
  <si>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</si>
  <si>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</si>
  <si>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</si>
  <si>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</si>
  <si>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</si>
  <si>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</si>
  <si>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</si>
  <si>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</si>
  <si>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</si>
  <si>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</si>
  <si>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</si>
  <si>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</si>
  <si>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</si>
  <si>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</si>
  <si>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</si>
  <si>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</si>
  <si>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</si>
  <si>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</si>
  <si>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</si>
  <si>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</si>
  <si>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</si>
  <si>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</si>
  <si>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</si>
  <si>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</si>
  <si>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</si>
  <si>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</si>
  <si>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</si>
  <si>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</si>
  <si>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</si>
  <si>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</si>
  <si>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</si>
  <si>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</si>
  <si>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</si>
  <si>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</si>
  <si>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</si>
  <si>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</si>
  <si>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</si>
  <si>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</si>
  <si>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</si>
  <si>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</si>
  <si>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</si>
  <si>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</si>
  <si>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</si>
  <si>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</si>
  <si>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</si>
  <si>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</si>
  <si>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</si>
  <si>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</si>
  <si>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</si>
  <si>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</si>
  <si>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</si>
  <si>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</si>
  <si>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</si>
  <si>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</si>
  <si>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</si>
  <si>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</si>
  <si>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</si>
  <si>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</si>
  <si>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</si>
  <si>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</si>
  <si>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</si>
  <si>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</si>
  <si>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</si>
  <si>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</si>
  <si>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</si>
  <si>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</si>
  <si>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</si>
  <si>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</si>
  <si>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</si>
  <si>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</si>
  <si>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</si>
  <si>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</si>
  <si>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</si>
  <si>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</si>
  <si>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</si>
  <si>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</si>
  <si>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</si>
  <si>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</si>
  <si>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</si>
  <si>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</si>
  <si>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</si>
  <si>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</si>
  <si>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</si>
  <si>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</si>
  <si>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</si>
  <si>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</si>
  <si>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</si>
  <si>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</si>
  <si>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</si>
  <si>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</si>
  <si>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</si>
  <si>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</si>
  <si>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</si>
  <si>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</si>
  <si>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</si>
  <si>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</si>
  <si>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</si>
  <si>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</si>
  <si>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</si>
  <si>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</si>
  <si>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</si>
  <si>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</si>
  <si>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</si>
  <si>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</si>
  <si>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</si>
  <si>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</si>
  <si>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</si>
  <si>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</si>
  <si>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</si>
  <si>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</si>
  <si>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</si>
  <si>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</si>
  <si>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</si>
  <si>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</si>
  <si>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</si>
  <si>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</si>
  <si>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</si>
  <si>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</si>
  <si>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</si>
  <si>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</si>
  <si>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</si>
  <si>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</si>
  <si>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</si>
  <si>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</si>
  <si>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</si>
  <si>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</si>
  <si>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</si>
  <si>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</si>
  <si>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</si>
  <si>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</si>
  <si>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</si>
  <si>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</si>
  <si>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</si>
  <si>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</si>
  <si>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</si>
  <si>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</si>
  <si>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</si>
  <si>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</si>
  <si>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</si>
  <si>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</si>
  <si>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</si>
  <si>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</si>
  <si>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</si>
  <si>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</si>
  <si>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</si>
  <si>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</si>
  <si>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</si>
  <si>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</si>
  <si>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</si>
  <si>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</si>
  <si>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</si>
  <si>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</si>
  <si>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</si>
  <si>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</si>
  <si>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</si>
  <si>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</si>
  <si>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</si>
  <si>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</si>
  <si>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</si>
  <si>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</si>
  <si>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</si>
  <si>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</si>
  <si>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</si>
  <si>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</si>
  <si>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</si>
  <si>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</si>
  <si>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</si>
  <si>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</si>
  <si>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</si>
  <si>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</si>
  <si>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</si>
  <si>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</si>
  <si>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</si>
  <si>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</si>
  <si>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</si>
  <si>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</si>
  <si>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</si>
  <si>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</si>
  <si>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</si>
  <si>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</si>
  <si>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</si>
  <si>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</si>
  <si>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</si>
  <si>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</si>
  <si>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</si>
  <si>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</si>
  <si>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</si>
  <si>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</si>
  <si>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</si>
  <si>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</si>
  <si>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</si>
  <si>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</si>
  <si>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</si>
  <si>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</si>
  <si>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</si>
  <si>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</si>
  <si>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</si>
  <si>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</si>
  <si>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</si>
  <si>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</si>
  <si>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</si>
  <si>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</si>
  <si>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</si>
  <si>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</si>
  <si>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</si>
  <si>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</si>
  <si>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</si>
  <si>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</si>
  <si>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</si>
  <si>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</si>
  <si>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</si>
  <si>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</si>
  <si>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</si>
  <si>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</si>
  <si>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</si>
  <si>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</si>
  <si>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</si>
  <si>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</si>
  <si>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</si>
  <si>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</si>
  <si>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</si>
  <si>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</si>
  <si>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</si>
  <si>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</si>
  <si>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</si>
  <si>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</si>
  <si>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</si>
  <si>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</si>
  <si>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</si>
  <si>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</si>
  <si>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</si>
  <si>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</si>
  <si>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</si>
  <si>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</si>
  <si>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</si>
  <si>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</si>
  <si>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</si>
  <si>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</si>
  <si>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</si>
  <si>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</si>
  <si>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</si>
  <si>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</si>
  <si>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</si>
  <si>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</si>
  <si>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</si>
  <si>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</si>
  <si>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</si>
  <si>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</si>
  <si>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</si>
  <si>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</si>
  <si>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</si>
  <si>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</si>
  <si>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</si>
  <si>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</si>
  <si>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</si>
  <si>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</si>
  <si>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</si>
  <si>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</si>
  <si>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</si>
  <si>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</si>
  <si>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</si>
  <si>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</si>
  <si>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</si>
  <si>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</si>
  <si>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</si>
  <si>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</si>
  <si>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</si>
  <si>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</si>
  <si>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</si>
  <si>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</si>
  <si>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</si>
  <si>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</si>
  <si>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</si>
  <si>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</si>
  <si>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</si>
  <si>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</si>
  <si>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</si>
  <si>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</si>
  <si>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</si>
  <si>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</si>
  <si>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</si>
  <si>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</si>
  <si>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</si>
  <si>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</si>
  <si>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</si>
  <si>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</si>
  <si>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</si>
  <si>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</si>
  <si>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</si>
  <si>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</si>
  <si>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</si>
  <si>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</si>
  <si>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</si>
  <si>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</si>
  <si>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</si>
  <si>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</si>
  <si>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</si>
  <si>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</si>
  <si>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</si>
  <si>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</si>
  <si>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</si>
  <si>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</si>
  <si>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</si>
  <si>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</si>
  <si>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</si>
  <si>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</si>
  <si>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</si>
  <si>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</si>
  <si>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</si>
  <si>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</si>
  <si>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</si>
  <si>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</si>
  <si>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</si>
  <si>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</si>
  <si>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</si>
  <si>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</si>
  <si>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</si>
  <si>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</si>
  <si>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</si>
  <si>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</si>
  <si>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</si>
  <si>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</si>
  <si>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</si>
  <si>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</si>
  <si>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</si>
  <si>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</si>
  <si>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</si>
  <si>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</si>
  <si>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</si>
  <si>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</si>
  <si>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</si>
  <si>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</si>
  <si>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</si>
  <si>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</si>
  <si>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</si>
  <si>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</si>
  <si>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</si>
  <si>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</si>
  <si>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</si>
  <si>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</si>
  <si>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</si>
  <si>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</si>
  <si>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</si>
  <si>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</si>
  <si>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</si>
  <si>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</si>
  <si>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</si>
  <si>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</si>
  <si>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</si>
  <si>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</si>
  <si>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</si>
  <si>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</si>
  <si>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</si>
  <si>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</si>
  <si>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</si>
  <si>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</si>
  <si>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</si>
  <si>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</si>
  <si>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</si>
  <si>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</si>
  <si>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</si>
  <si>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</si>
  <si>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</si>
  <si>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</si>
  <si>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</si>
  <si>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</si>
  <si>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</si>
  <si>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</si>
  <si>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</si>
  <si>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</si>
  <si>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</si>
  <si>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</si>
  <si>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</si>
  <si>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</si>
  <si>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</si>
  <si>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</si>
  <si>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</si>
  <si>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</si>
  <si>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</si>
  <si>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</si>
  <si>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</si>
  <si>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</si>
  <si>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</si>
  <si>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</si>
  <si>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</si>
  <si>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</si>
  <si>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</si>
  <si>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</si>
  <si>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</si>
  <si>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</si>
  <si>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</si>
  <si>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</si>
  <si>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</si>
  <si>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</si>
  <si>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</si>
  <si>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</si>
  <si>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</si>
  <si>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</si>
  <si>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</si>
  <si>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</si>
  <si>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</si>
  <si>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</si>
  <si>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</si>
  <si>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</si>
  <si>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</si>
  <si>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</si>
  <si>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</si>
  <si>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</si>
  <si>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</si>
  <si>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</si>
  <si>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</si>
  <si>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</si>
  <si>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</si>
  <si>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</si>
  <si>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</si>
  <si>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</si>
  <si>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</si>
  <si>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</si>
  <si>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</si>
  <si>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</si>
  <si>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</si>
  <si>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</si>
  <si>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</si>
  <si>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</si>
  <si>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</si>
  <si>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</si>
  <si>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</si>
  <si>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</si>
  <si>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</si>
  <si>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</si>
  <si>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</si>
  <si>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</si>
  <si>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</si>
  <si>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</si>
  <si>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</si>
  <si>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</si>
  <si>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</si>
  <si>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</si>
  <si>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</si>
  <si>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</si>
  <si>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</si>
  <si>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</si>
  <si>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</si>
  <si>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</si>
  <si>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</si>
  <si>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</si>
  <si>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</si>
  <si>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</si>
  <si>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</si>
  <si>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</si>
  <si>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</si>
  <si>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</si>
  <si>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</si>
  <si>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</si>
  <si>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</si>
  <si>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</si>
  <si>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</si>
  <si>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</si>
  <si>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</si>
  <si>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</si>
  <si>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</si>
  <si>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</si>
  <si>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</si>
  <si>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</si>
  <si>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</si>
  <si>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</si>
  <si>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</si>
  <si>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</si>
  <si>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</si>
  <si>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</si>
  <si>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</si>
  <si>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</si>
  <si>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</si>
  <si>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</si>
  <si>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</si>
  <si>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</si>
  <si>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</si>
  <si>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</si>
  <si>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</si>
  <si>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</si>
  <si>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</si>
  <si>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</si>
  <si>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</si>
  <si>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</si>
  <si>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</si>
  <si>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</si>
  <si>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</si>
  <si>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</si>
  <si>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</si>
  <si>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</si>
  <si>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</si>
  <si>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</si>
  <si>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</si>
  <si>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</si>
  <si>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</si>
  <si>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</si>
  <si>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</si>
  <si>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</si>
  <si>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</si>
  <si>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</si>
  <si>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</si>
  <si>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</si>
  <si>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</si>
  <si>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</si>
  <si>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</si>
  <si>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</si>
  <si>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</si>
  <si>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</si>
  <si>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</si>
  <si>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</si>
  <si>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</si>
  <si>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</si>
  <si>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</si>
  <si>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</si>
  <si>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</si>
  <si>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</si>
  <si>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</si>
  <si>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</si>
  <si>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</si>
  <si>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</si>
  <si>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</si>
  <si>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</si>
  <si>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</si>
  <si>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</si>
  <si>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</si>
  <si>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</si>
  <si>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</si>
  <si>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</si>
  <si>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</si>
  <si>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</si>
  <si>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</si>
  <si>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</si>
  <si>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</si>
  <si>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</si>
  <si>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</si>
  <si>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</si>
  <si>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</si>
  <si>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</si>
  <si>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</si>
  <si>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</si>
  <si>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</si>
  <si>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</si>
  <si>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</si>
  <si>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</si>
  <si>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</si>
  <si>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</si>
  <si>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</si>
  <si>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</si>
  <si>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</si>
  <si>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</si>
  <si>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</si>
  <si>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</si>
  <si>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</si>
  <si>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</si>
  <si>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</si>
  <si>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</si>
  <si>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</si>
  <si>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</si>
  <si>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</si>
  <si>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</si>
  <si>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</si>
  <si>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</si>
  <si>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</si>
  <si>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</si>
  <si>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</si>
  <si>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</si>
  <si>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</si>
  <si>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</si>
  <si>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</si>
  <si>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</si>
  <si>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</si>
  <si>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</si>
  <si>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</si>
  <si>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</si>
  <si>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</si>
  <si>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</si>
  <si>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</si>
  <si>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</si>
  <si>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</si>
  <si>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</si>
  <si>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</si>
  <si>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</si>
  <si>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</si>
  <si>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</si>
  <si>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</si>
  <si>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</si>
  <si>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</si>
  <si>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</si>
  <si>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</si>
  <si>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</si>
  <si>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</si>
  <si>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</si>
  <si>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</si>
  <si>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</si>
  <si>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</si>
  <si>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</si>
  <si>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</si>
  <si>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</si>
  <si>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</si>
  <si>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</si>
  <si>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</si>
  <si>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</si>
  <si>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</si>
  <si>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</si>
  <si>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</si>
  <si>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</si>
  <si>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</si>
  <si>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</si>
  <si>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</si>
  <si>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</si>
  <si>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</si>
  <si>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</si>
  <si>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</si>
  <si>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</si>
  <si>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</si>
  <si>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</si>
  <si>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</si>
  <si>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</si>
  <si>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</si>
  <si>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</si>
  <si>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</si>
  <si>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</si>
  <si>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</si>
  <si>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</si>
  <si>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</si>
  <si>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</si>
  <si>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</si>
  <si>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</si>
  <si>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</si>
  <si>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</si>
  <si>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</si>
  <si>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</si>
  <si>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</si>
  <si>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</si>
  <si>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</si>
  <si>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</si>
  <si>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</si>
  <si>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</si>
  <si>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</si>
  <si>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</si>
  <si>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</si>
  <si>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</si>
  <si>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</si>
  <si>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</si>
  <si>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</si>
  <si>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</si>
  <si>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</si>
  <si>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</si>
  <si>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</si>
  <si>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</si>
  <si>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</si>
  <si>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</si>
  <si>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</si>
  <si>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</si>
  <si>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</si>
  <si>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</si>
  <si>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</si>
  <si>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</si>
  <si>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</si>
  <si>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</si>
  <si>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</si>
  <si>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</si>
  <si>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</si>
  <si>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</si>
  <si>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</si>
  <si>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</si>
  <si>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</si>
  <si>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</si>
  <si>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</si>
  <si>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</si>
  <si>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</si>
  <si>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</si>
  <si>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</si>
  <si>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</si>
  <si>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</si>
  <si>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</si>
  <si>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</si>
  <si>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</si>
  <si>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</si>
  <si>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</si>
  <si>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</si>
  <si>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</si>
  <si>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</si>
  <si>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</si>
  <si>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</si>
  <si>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</si>
  <si>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</si>
  <si>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</si>
  <si>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</si>
  <si>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</si>
  <si>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</si>
  <si>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</si>
  <si>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</si>
  <si>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</si>
  <si>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</si>
  <si>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</si>
  <si>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</si>
  <si>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</si>
  <si>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</si>
  <si>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</si>
  <si>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</si>
  <si>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</si>
  <si>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</si>
  <si>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</si>
  <si>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</si>
  <si>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</si>
  <si>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</si>
  <si>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</si>
  <si>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</si>
  <si>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</si>
  <si>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</si>
  <si>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</si>
  <si>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</si>
  <si>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</si>
  <si>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</si>
  <si>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</si>
  <si>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</si>
  <si>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</si>
  <si>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</si>
  <si>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</si>
  <si>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</si>
  <si>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</si>
  <si>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</si>
  <si>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</si>
  <si>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</si>
  <si>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</si>
  <si>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</si>
  <si>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</si>
  <si>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</si>
  <si>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</si>
  <si>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</si>
  <si>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</si>
  <si>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</si>
  <si>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</si>
  <si>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</si>
  <si>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</si>
  <si>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</si>
  <si>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</si>
  <si>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</si>
  <si>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</si>
  <si>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</si>
  <si>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</si>
  <si>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</si>
  <si>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</si>
  <si>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</si>
  <si>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</si>
  <si>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</si>
  <si>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</si>
  <si>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</si>
  <si>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</si>
  <si>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</si>
  <si>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</si>
  <si>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</si>
  <si>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</si>
  <si>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</si>
  <si>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</si>
  <si>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</si>
  <si>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</si>
  <si>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</si>
  <si>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</si>
  <si>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</si>
  <si>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</si>
  <si>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</si>
  <si>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</si>
  <si>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</si>
  <si>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</si>
  <si>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</si>
  <si>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</si>
  <si>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</si>
  <si>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</si>
  <si>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</si>
  <si>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</si>
  <si>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</si>
  <si>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</si>
  <si>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</si>
  <si>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</si>
  <si>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</si>
  <si>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</si>
  <si>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</si>
  <si>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</si>
  <si>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</si>
  <si>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</si>
  <si>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</si>
  <si>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</si>
  <si>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</si>
  <si>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</si>
  <si>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</si>
  <si>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</si>
  <si>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</si>
  <si>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</si>
  <si>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</si>
  <si>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</si>
  <si>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</si>
  <si>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</si>
  <si>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</si>
  <si>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</si>
  <si>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</si>
  <si>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</si>
  <si>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</si>
  <si>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</si>
  <si>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</si>
  <si>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</si>
  <si>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</si>
  <si>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</si>
  <si>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</si>
  <si>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</si>
  <si>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</si>
  <si>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</si>
  <si>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</si>
  <si>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</si>
  <si>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</si>
  <si>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</si>
  <si>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</si>
  <si>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</si>
  <si>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</si>
  <si>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</si>
  <si>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</si>
  <si>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</si>
  <si>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</si>
  <si>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</si>
  <si>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</si>
  <si>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</si>
  <si>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</si>
  <si>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</si>
  <si>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</si>
  <si>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</si>
  <si>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</si>
  <si>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</si>
  <si>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</si>
  <si>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</si>
  <si>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</si>
  <si>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</si>
  <si>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</si>
  <si>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</si>
  <si>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</si>
  <si>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</si>
  <si>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</si>
  <si>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</si>
  <si>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</si>
  <si>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</si>
  <si>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</si>
  <si>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</si>
  <si>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</si>
  <si>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</si>
  <si>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</si>
  <si>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</si>
  <si>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</si>
  <si>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</si>
  <si>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</si>
  <si>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</si>
  <si>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</si>
  <si>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</si>
  <si>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</si>
  <si>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</si>
  <si>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</si>
  <si>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</si>
  <si>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</si>
  <si>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</si>
  <si>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</si>
  <si>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</si>
  <si>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</si>
  <si>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</si>
  <si>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</si>
  <si>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</si>
  <si>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</si>
  <si>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</si>
  <si>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</si>
  <si>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</si>
  <si>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</si>
  <si>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</si>
  <si>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</si>
  <si>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</si>
  <si>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</si>
  <si>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</si>
  <si>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</si>
  <si>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</si>
  <si>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</si>
  <si>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</si>
  <si>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</si>
  <si>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</si>
  <si>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</si>
  <si>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</si>
  <si>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</si>
  <si>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</si>
  <si>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</si>
  <si>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</si>
  <si>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</si>
  <si>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</si>
  <si>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</si>
  <si>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</si>
  <si>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</si>
  <si>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</si>
  <si>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</si>
  <si>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</si>
  <si>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</si>
  <si>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</si>
  <si>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</si>
  <si>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</si>
  <si>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</si>
  <si>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</si>
  <si>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</si>
  <si>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</si>
  <si>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</si>
  <si>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</si>
  <si>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</si>
  <si>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</si>
  <si>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</si>
  <si>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</si>
  <si>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</si>
  <si>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</si>
  <si>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</si>
  <si>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</si>
  <si>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</si>
  <si>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</si>
  <si>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</si>
  <si>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</si>
  <si>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</si>
  <si>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</si>
  <si>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</si>
  <si>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</si>
  <si>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</si>
  <si>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</si>
  <si>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</si>
  <si>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</si>
  <si>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</si>
  <si>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</si>
  <si>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</si>
  <si>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</si>
  <si>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</si>
  <si>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</si>
  <si>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</si>
  <si>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</si>
  <si>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</si>
  <si>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</si>
  <si>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</si>
  <si>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</si>
  <si>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</si>
  <si>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</si>
  <si>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</si>
  <si>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</si>
  <si>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</si>
  <si>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</si>
  <si>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</si>
  <si>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</si>
  <si>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</si>
  <si>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</si>
  <si>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</si>
  <si>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</si>
  <si>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</si>
  <si>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</si>
  <si>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</si>
  <si>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</si>
  <si>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</si>
  <si>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</si>
  <si>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</si>
  <si>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</si>
  <si>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</si>
  <si>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</si>
  <si>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</si>
  <si>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</si>
  <si>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</si>
  <si>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</si>
  <si>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</si>
  <si>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</si>
  <si>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</si>
  <si>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</si>
  <si>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</si>
  <si>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</si>
  <si>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</si>
  <si>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</si>
  <si>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</si>
  <si>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</si>
  <si>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</si>
  <si>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</si>
  <si>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</si>
  <si>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</si>
  <si>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</si>
  <si>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</si>
  <si>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</si>
  <si>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</si>
  <si>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</si>
  <si>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</si>
  <si>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</si>
  <si>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</si>
  <si>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</si>
  <si>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</si>
  <si>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</si>
  <si>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</si>
  <si>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</si>
  <si>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</si>
  <si>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</si>
  <si>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</si>
  <si>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</si>
  <si>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</si>
  <si>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</si>
  <si>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</si>
  <si>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</si>
  <si>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</si>
  <si>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</si>
  <si>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</si>
  <si>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</si>
  <si>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</si>
  <si>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</si>
  <si>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</si>
  <si>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</si>
  <si>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</si>
  <si>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</si>
  <si>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</si>
  <si>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</si>
  <si>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</si>
  <si>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</si>
  <si>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</si>
  <si>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</si>
  <si>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</si>
  <si>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</si>
  <si>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</si>
  <si>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</si>
  <si>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</si>
  <si>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</si>
  <si>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</si>
  <si>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</si>
  <si>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</si>
  <si>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</si>
  <si>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</si>
  <si>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</si>
  <si>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</si>
  <si>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</si>
  <si>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</si>
  <si>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</si>
  <si>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</si>
  <si>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</si>
  <si>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</si>
  <si>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</si>
  <si>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</si>
  <si>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</si>
  <si>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</si>
  <si>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</si>
  <si>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</si>
  <si>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</si>
  <si>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</si>
  <si>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</si>
  <si>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</si>
  <si>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</si>
  <si>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</si>
  <si>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</si>
  <si>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</si>
  <si>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</si>
  <si>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</si>
  <si>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</si>
  <si>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</si>
  <si>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</si>
  <si>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</si>
  <si>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</si>
  <si>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</si>
  <si>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</si>
  <si>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</si>
  <si>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</si>
  <si>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</si>
  <si>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</si>
  <si>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</si>
  <si>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</si>
  <si>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</si>
  <si>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</si>
  <si>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</si>
  <si>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</si>
  <si>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</si>
  <si>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</si>
  <si>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</si>
  <si>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</si>
  <si>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</si>
  <si>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</si>
  <si>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</si>
  <si>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</si>
  <si>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</si>
  <si>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</si>
  <si>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</si>
  <si>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</si>
  <si>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</si>
  <si>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</si>
  <si>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</si>
  <si>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</si>
  <si>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</si>
  <si>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</si>
  <si>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</si>
  <si>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</si>
  <si>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</si>
  <si>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</si>
  <si>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</si>
  <si>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</si>
  <si>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</si>
  <si>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</si>
  <si>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</si>
  <si>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</si>
  <si>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</si>
  <si>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</si>
  <si>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</si>
  <si>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</si>
  <si>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</si>
  <si>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</si>
  <si>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</si>
  <si>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</si>
  <si>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</si>
  <si>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</si>
  <si>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</si>
  <si>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</si>
  <si>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</si>
  <si>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</si>
  <si>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</si>
  <si>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</si>
  <si>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</si>
  <si>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</si>
  <si>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</si>
  <si>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</si>
  <si>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</si>
  <si>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</si>
  <si>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</si>
  <si>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</si>
  <si>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</si>
  <si>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</si>
  <si>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</si>
  <si>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</si>
  <si>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</si>
  <si>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</si>
  <si>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</si>
  <si>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</si>
  <si>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</si>
  <si>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</si>
  <si>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</si>
  <si>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</si>
  <si>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</si>
  <si>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</si>
  <si>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</si>
  <si>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</si>
  <si>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</si>
  <si>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</si>
  <si>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</si>
  <si>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</si>
  <si>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</si>
  <si>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</si>
  <si>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</si>
  <si>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</si>
  <si>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</si>
  <si>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</si>
  <si>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</si>
  <si>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</si>
  <si>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</si>
  <si>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</si>
  <si>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</si>
  <si>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</si>
  <si>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</si>
  <si>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</si>
  <si>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</si>
  <si>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</si>
  <si>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</si>
  <si>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</si>
  <si>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</si>
  <si>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</si>
  <si>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</si>
  <si>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</si>
  <si>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</si>
  <si>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</si>
  <si>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</si>
  <si>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</si>
  <si>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</si>
  <si>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</si>
  <si>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</si>
  <si>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</si>
  <si>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</si>
  <si>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</si>
  <si>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</si>
  <si>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</si>
  <si>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</si>
  <si>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</si>
  <si>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</si>
  <si>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</si>
  <si>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</si>
  <si>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</si>
  <si>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</si>
  <si>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</si>
  <si>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</si>
  <si>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</si>
  <si>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</si>
  <si>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</si>
  <si>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</si>
  <si>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</si>
  <si>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</si>
  <si>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</si>
  <si>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</si>
  <si>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</si>
  <si>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</si>
  <si>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</si>
  <si>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</si>
  <si>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</si>
  <si>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</si>
  <si>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</si>
  <si>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</si>
  <si>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</si>
  <si>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</si>
  <si>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</si>
  <si>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</si>
  <si>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</si>
  <si>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</si>
  <si>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</si>
  <si>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</si>
  <si>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</si>
  <si>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</si>
  <si>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</si>
  <si>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</si>
  <si>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</si>
  <si>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</si>
  <si>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</si>
  <si>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</si>
  <si>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</si>
  <si>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</si>
  <si>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</si>
  <si>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</si>
  <si>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</si>
  <si>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</si>
  <si>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</si>
  <si>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</si>
  <si>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</si>
  <si>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</si>
  <si>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</si>
  <si>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</si>
  <si>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</si>
  <si>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</si>
  <si>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</si>
  <si>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</si>
  <si>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</si>
  <si>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</si>
  <si>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</si>
  <si>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</si>
  <si>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</si>
  <si>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</si>
  <si>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</si>
  <si>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</si>
  <si>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</si>
  <si>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</si>
  <si>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</si>
  <si>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</si>
  <si>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</si>
  <si>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</si>
  <si>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</si>
  <si>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</si>
  <si>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</si>
  <si>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</si>
  <si>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</si>
  <si>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</si>
  <si>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</si>
  <si>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</si>
  <si>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</si>
  <si>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</si>
  <si>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</si>
  <si>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</si>
  <si>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</si>
  <si>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</si>
  <si>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</si>
  <si>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</si>
  <si>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</si>
  <si>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</si>
  <si>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</si>
  <si>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</si>
  <si>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</si>
  <si>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</si>
  <si>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</si>
  <si>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</si>
  <si>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</si>
  <si>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</si>
  <si>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</si>
  <si>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</si>
  <si>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</si>
  <si>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</si>
  <si>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</si>
  <si>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</si>
  <si>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</si>
  <si>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</si>
  <si>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</si>
  <si>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</si>
  <si>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</si>
  <si>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</si>
  <si>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</si>
  <si>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</si>
  <si>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</si>
  <si>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</si>
  <si>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</si>
  <si>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</si>
  <si>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</si>
  <si>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</si>
  <si>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</si>
  <si>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</si>
  <si>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</si>
  <si>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</si>
  <si>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</si>
  <si>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</si>
  <si>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</si>
  <si>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</si>
  <si>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</si>
  <si>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</si>
  <si>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</si>
  <si>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</si>
  <si>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</si>
  <si>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</si>
  <si>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</si>
  <si>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</si>
  <si>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</si>
  <si>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</si>
  <si>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</si>
  <si>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</si>
  <si>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</si>
  <si>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</si>
  <si>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</si>
  <si>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</si>
  <si>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</si>
  <si>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</si>
  <si>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</si>
  <si>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</si>
  <si>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</si>
  <si>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</si>
  <si>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</si>
  <si>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</si>
  <si>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</si>
  <si>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</si>
  <si>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</si>
  <si>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</si>
  <si>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</si>
  <si>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</si>
  <si>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</si>
  <si>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</si>
  <si>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</si>
  <si>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</si>
  <si>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</si>
  <si>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</si>
  <si>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</si>
  <si>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</si>
  <si>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</si>
  <si>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</si>
  <si>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</si>
  <si>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</si>
  <si>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</si>
  <si>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</si>
  <si>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</si>
  <si>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</si>
  <si>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</si>
  <si>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</si>
  <si>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</si>
  <si>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</si>
  <si>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</si>
  <si>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</si>
  <si>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</si>
  <si>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</si>
  <si>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</si>
  <si>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</si>
  <si>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</si>
  <si>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</si>
  <si>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</si>
  <si>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</si>
  <si>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</si>
  <si>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</si>
  <si>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</si>
  <si>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</si>
  <si>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</si>
  <si>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</si>
  <si>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</si>
  <si>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</si>
  <si>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</si>
  <si>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reporta que esta en espera de fecha de ventana de soporte solicitada mediante mesa de servicios con # de ticket 101482 para configuración de VPN, Switch y Access Points.</t>
  </si>
  <si>
    <t>La coordinación estatal refiere complicaciones tecnologicas, por lo que reprogramaron el arranque del EDS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</si>
  <si>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</si>
  <si>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La coordinación estatal refiere que se encuentrá en espera de fecha para ventana de soporte solicitada mediante mesa de servicios con # de ticket 101952, el día 12 de junio, para configuración de VPN, Switch y Acces Point.</t>
  </si>
  <si>
    <t>o´hor</t>
  </si>
  <si>
    <t>CARGAS PHEDS</t>
  </si>
  <si>
    <t>CARGAS MOCE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</si>
</sst>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6">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cellXfs>
  <cellStyles count="3">
    <cellStyle name="Normal" xfId="0" builtinId="0"/>
    <cellStyle name="Normal 2 2" xfId="1" xr:uid="{BBAC9C38-E6FF-4A4E-98C5-89F45FD601CF}"/>
    <cellStyle name="Notas" xfId="2" builtinId="10"/>
  </cellStyles>
  <dxfs count="306">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FCEB3F2B-FE6D-48B4-A600-E3F288038F88}">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3"/>
  <sheetViews>
    <sheetView tabSelected="1" zoomScale="84" zoomScaleNormal="84" workbookViewId="0">
      <pane xSplit="1" ySplit="1" topLeftCell="D578" activePane="bottomRight" state="frozen"/>
      <selection pane="topRight" activeCell="B1" sqref="B1"/>
      <selection pane="bottomLeft" activeCell="A2" sqref="A2"/>
      <selection pane="bottomRight" activeCell="S598" sqref="S598"/>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1846</v>
      </c>
      <c r="K1" s="1" t="s">
        <v>8</v>
      </c>
      <c r="L1" s="1" t="s">
        <v>1762</v>
      </c>
      <c r="M1" s="1" t="s">
        <v>9</v>
      </c>
      <c r="N1" s="1" t="s">
        <v>10</v>
      </c>
      <c r="O1" s="1" t="s">
        <v>11</v>
      </c>
      <c r="P1" s="1" t="s">
        <v>1763</v>
      </c>
      <c r="Q1" s="1" t="s">
        <v>12</v>
      </c>
      <c r="R1" s="1" t="s">
        <v>13</v>
      </c>
      <c r="S1" s="2" t="s">
        <v>14</v>
      </c>
      <c r="T1" s="2" t="s">
        <v>15</v>
      </c>
      <c r="U1" s="2" t="s">
        <v>16</v>
      </c>
      <c r="V1" s="2" t="s">
        <v>17</v>
      </c>
      <c r="W1" s="3" t="s">
        <v>1847</v>
      </c>
      <c r="X1" s="3" t="s">
        <v>1848</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IF(S2="ENVIADO A LA CE/UM",1/3,IF(S2="ENTREGADO/REVISIÓN",2/3,IF(S2="ENVIADO A TICS",1,0)))+
IF(T2="EN PROCESO",0,IF(T2="CONCLUIDO",1,0))+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ref="AC3:AC66" si="0">(
IF(S3="ENVIADO A LA CE/UM",1/3,IF(S3="ENTREGADO/REVISIÓN",2/3,IF(S3="ENVIADO A TICS",1,0)))+
IF(T3="EN PROCESO",0,IF(T3="CONCLUIDO",1,0))+
IF(U3="ENVIADO A LA CE/UM",1/3,IF(U3="EN REVISIÓN CENTRAL",2/3,IF(U3="CONCLUIDO",1,0)))+
IF(V3="ENVIADO A LA CE/UM",1/3,IF(V3="EN REVISIÓN CENTRAL",2/3,IF(V3="CONCLUIDO",1,0)))+
IF(W3="EN PROCESO",1/2,IF(W3="CONCLUIDO",1,0))+
IF(X3="EN PROCESO",1/2,IF(X3="CONCLUIDO",1,0))+
IF(Y3="PROGRAMADAS",1/2,IF(Y3="CONCLUIDAS",1,0))+
IF(Z3="SI",1,IF(Z3="NO",0,0))+
IF(AA3="SI",1,IF(AA3="NO",0,0))
)/9</f>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t="shared" si="0"/>
        <v>0.77777777777777779</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0.55555555555555558</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213</v>
      </c>
      <c r="V49" s="94" t="s">
        <v>213</v>
      </c>
      <c r="W49" s="94"/>
      <c r="X49" s="94"/>
      <c r="Y49" s="94"/>
      <c r="Z49" s="94"/>
      <c r="AA49" s="94"/>
      <c r="AB49" s="95"/>
      <c r="AC49" s="30">
        <f t="shared" si="0"/>
        <v>0.25925925925925924</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0.25925925925925924</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213</v>
      </c>
      <c r="V51" s="94" t="s">
        <v>213</v>
      </c>
      <c r="W51" s="94"/>
      <c r="X51" s="94"/>
      <c r="Y51" s="94"/>
      <c r="Z51" s="94"/>
      <c r="AA51" s="94"/>
      <c r="AB51" s="95"/>
      <c r="AC51" s="30">
        <f t="shared" si="0"/>
        <v>0.25925925925925924</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0.18518518518518517</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0.18518518518518517</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0.18518518518518517</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0.18518518518518517</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0.18518518518518517</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0.18518518518518517</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0.18518518518518517</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0.25925925925925924</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0.25925925925925924</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0.1111111111111111</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0.1111111111111111</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175</v>
      </c>
      <c r="X63" s="94" t="s">
        <v>175</v>
      </c>
      <c r="Y63" s="94" t="s">
        <v>36</v>
      </c>
      <c r="Z63" s="94" t="s">
        <v>74</v>
      </c>
      <c r="AA63" s="94" t="s">
        <v>74</v>
      </c>
      <c r="AB63" s="95" t="s">
        <v>1807</v>
      </c>
      <c r="AC63" s="30">
        <f t="shared" si="0"/>
        <v>0.55555555555555558</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176</v>
      </c>
      <c r="T64" s="94"/>
      <c r="U64" s="94"/>
      <c r="V64" s="94"/>
      <c r="W64" s="94"/>
      <c r="X64" s="94"/>
      <c r="Y64" s="94"/>
      <c r="Z64" s="94"/>
      <c r="AA64" s="94"/>
      <c r="AB64" s="95"/>
      <c r="AC64" s="30">
        <f t="shared" si="0"/>
        <v>3.7037037037037035E-2</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176</v>
      </c>
      <c r="T65" s="94"/>
      <c r="U65" s="94"/>
      <c r="V65" s="94"/>
      <c r="W65" s="94"/>
      <c r="X65" s="94"/>
      <c r="Y65" s="94"/>
      <c r="Z65" s="94"/>
      <c r="AA65" s="94"/>
      <c r="AB65" s="95"/>
      <c r="AC65" s="30">
        <f t="shared" si="0"/>
        <v>3.7037037037037035E-2</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176</v>
      </c>
      <c r="T66" s="94"/>
      <c r="U66" s="94"/>
      <c r="V66" s="94"/>
      <c r="W66" s="94"/>
      <c r="X66" s="94"/>
      <c r="Y66" s="94"/>
      <c r="Z66" s="94"/>
      <c r="AA66" s="94"/>
      <c r="AB66" s="95"/>
      <c r="AC66" s="30">
        <f t="shared" si="0"/>
        <v>3.7037037037037035E-2</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176</v>
      </c>
      <c r="T67" s="94"/>
      <c r="U67" s="94"/>
      <c r="V67" s="94"/>
      <c r="W67" s="94"/>
      <c r="X67" s="94"/>
      <c r="Y67" s="94"/>
      <c r="Z67" s="94"/>
      <c r="AA67" s="94"/>
      <c r="AB67" s="95"/>
      <c r="AC67" s="30">
        <f t="shared" ref="AC67:AC130" si="1">(
IF(S67="ENVIADO A LA CE/UM",1/3,IF(S67="ENTREGADO/REVISIÓN",2/3,IF(S67="ENVIADO A TICS",1,0)))+
IF(T67="EN PROCESO",0,IF(T67="CONCLUIDO",1,0))+
IF(U67="ENVIADO A LA CE/UM",1/3,IF(U67="EN REVISIÓN CENTRAL",2/3,IF(U67="CONCLUIDO",1,0)))+
IF(V67="ENVIADO A LA CE/UM",1/3,IF(V67="EN REVISIÓN CENTRAL",2/3,IF(V67="CONCLUIDO",1,0)))+
IF(W67="EN PROCESO",1/2,IF(W67="CONCLUIDO",1,0))+
IF(X67="EN PROCESO",1/2,IF(X67="CONCLUIDO",1,0))+
IF(Y67="PROGRAMADAS",1/2,IF(Y67="CONCLUIDAS",1,0))+
IF(Z67="SI",1,IF(Z67="NO",0,0))+
IF(AA67="SI",1,IF(AA67="NO",0,0))
)/9</f>
        <v>3.7037037037037035E-2</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176</v>
      </c>
      <c r="T68" s="94"/>
      <c r="U68" s="94"/>
      <c r="V68" s="94"/>
      <c r="W68" s="94"/>
      <c r="X68" s="94"/>
      <c r="Y68" s="94"/>
      <c r="Z68" s="94"/>
      <c r="AA68" s="94"/>
      <c r="AB68" s="95"/>
      <c r="AC68" s="30">
        <f t="shared" si="1"/>
        <v>3.7037037037037035E-2</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176</v>
      </c>
      <c r="T69" s="94"/>
      <c r="U69" s="94"/>
      <c r="V69" s="94"/>
      <c r="W69" s="94"/>
      <c r="X69" s="94"/>
      <c r="Y69" s="94"/>
      <c r="Z69" s="94"/>
      <c r="AA69" s="94"/>
      <c r="AB69" s="95"/>
      <c r="AC69" s="30">
        <f t="shared" si="1"/>
        <v>3.7037037037037035E-2</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176</v>
      </c>
      <c r="T70" s="94"/>
      <c r="U70" s="94"/>
      <c r="V70" s="94"/>
      <c r="W70" s="94"/>
      <c r="X70" s="94"/>
      <c r="Y70" s="94"/>
      <c r="Z70" s="94"/>
      <c r="AA70" s="94"/>
      <c r="AB70" s="95"/>
      <c r="AC70" s="30">
        <f t="shared" si="1"/>
        <v>3.7037037037037035E-2</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176</v>
      </c>
      <c r="T71" s="94"/>
      <c r="U71" s="94"/>
      <c r="V71" s="94"/>
      <c r="W71" s="94"/>
      <c r="X71" s="94"/>
      <c r="Y71" s="94"/>
      <c r="Z71" s="94"/>
      <c r="AA71" s="94"/>
      <c r="AB71" s="95"/>
      <c r="AC71" s="30">
        <f t="shared" si="1"/>
        <v>3.7037037037037035E-2</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176</v>
      </c>
      <c r="T72" s="94"/>
      <c r="U72" s="94"/>
      <c r="V72" s="94"/>
      <c r="W72" s="94"/>
      <c r="X72" s="94"/>
      <c r="Y72" s="94"/>
      <c r="Z72" s="94"/>
      <c r="AA72" s="94"/>
      <c r="AB72" s="95"/>
      <c r="AC72" s="30">
        <f t="shared" si="1"/>
        <v>3.7037037037037035E-2</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176</v>
      </c>
      <c r="T73" s="94"/>
      <c r="U73" s="94"/>
      <c r="V73" s="94"/>
      <c r="W73" s="94"/>
      <c r="X73" s="94"/>
      <c r="Y73" s="94"/>
      <c r="Z73" s="94"/>
      <c r="AA73" s="94"/>
      <c r="AB73" s="95"/>
      <c r="AC73" s="30">
        <f t="shared" si="1"/>
        <v>3.7037037037037035E-2</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176</v>
      </c>
      <c r="T74" s="94"/>
      <c r="U74" s="94"/>
      <c r="V74" s="94"/>
      <c r="W74" s="94"/>
      <c r="X74" s="94"/>
      <c r="Y74" s="94"/>
      <c r="Z74" s="94"/>
      <c r="AA74" s="94"/>
      <c r="AB74" s="95"/>
      <c r="AC74" s="30">
        <f t="shared" si="1"/>
        <v>3.7037037037037035E-2</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176</v>
      </c>
      <c r="T75" s="94"/>
      <c r="U75" s="94"/>
      <c r="V75" s="94"/>
      <c r="W75" s="94"/>
      <c r="X75" s="94"/>
      <c r="Y75" s="94"/>
      <c r="Z75" s="94"/>
      <c r="AA75" s="94"/>
      <c r="AB75" s="95"/>
      <c r="AC75" s="30">
        <f t="shared" si="1"/>
        <v>3.7037037037037035E-2</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176</v>
      </c>
      <c r="T76" s="94"/>
      <c r="U76" s="94"/>
      <c r="V76" s="94"/>
      <c r="W76" s="94"/>
      <c r="X76" s="94"/>
      <c r="Y76" s="94"/>
      <c r="Z76" s="94"/>
      <c r="AA76" s="94"/>
      <c r="AB76" s="95"/>
      <c r="AC76" s="30">
        <f t="shared" si="1"/>
        <v>3.7037037037037035E-2</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176</v>
      </c>
      <c r="T77" s="94"/>
      <c r="U77" s="94"/>
      <c r="V77" s="94"/>
      <c r="W77" s="94"/>
      <c r="X77" s="94"/>
      <c r="Y77" s="94"/>
      <c r="Z77" s="94"/>
      <c r="AA77" s="94"/>
      <c r="AB77" s="95"/>
      <c r="AC77" s="30">
        <f t="shared" si="1"/>
        <v>3.7037037037037035E-2</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176</v>
      </c>
      <c r="T78" s="94"/>
      <c r="U78" s="94"/>
      <c r="V78" s="94"/>
      <c r="W78" s="94"/>
      <c r="X78" s="94"/>
      <c r="Y78" s="94"/>
      <c r="Z78" s="94"/>
      <c r="AA78" s="94"/>
      <c r="AB78" s="95"/>
      <c r="AC78" s="30">
        <f t="shared" si="1"/>
        <v>3.7037037037037035E-2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176</v>
      </c>
      <c r="T79" s="94"/>
      <c r="U79" s="94"/>
      <c r="V79" s="94"/>
      <c r="W79" s="94"/>
      <c r="X79" s="94"/>
      <c r="Y79" s="94"/>
      <c r="Z79" s="94"/>
      <c r="AA79" s="94"/>
      <c r="AB79" s="95"/>
      <c r="AC79" s="30">
        <f t="shared" si="1"/>
        <v>3.7037037037037035E-2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176</v>
      </c>
      <c r="T80" s="94"/>
      <c r="U80" s="94"/>
      <c r="V80" s="94"/>
      <c r="W80" s="94"/>
      <c r="X80" s="94"/>
      <c r="Y80" s="94"/>
      <c r="Z80" s="94"/>
      <c r="AA80" s="94"/>
      <c r="AB80" s="95"/>
      <c r="AC80" s="30">
        <f t="shared" si="1"/>
        <v>3.7037037037037035E-2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176</v>
      </c>
      <c r="T81" s="94"/>
      <c r="U81" s="94"/>
      <c r="V81" s="94"/>
      <c r="W81" s="94"/>
      <c r="X81" s="94"/>
      <c r="Y81" s="94"/>
      <c r="Z81" s="94"/>
      <c r="AA81" s="94"/>
      <c r="AB81" s="95"/>
      <c r="AC81" s="30">
        <f t="shared" si="1"/>
        <v>3.7037037037037035E-2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176</v>
      </c>
      <c r="T82" s="94"/>
      <c r="U82" s="94"/>
      <c r="V82" s="94"/>
      <c r="W82" s="94"/>
      <c r="X82" s="94"/>
      <c r="Y82" s="94"/>
      <c r="Z82" s="94"/>
      <c r="AA82" s="94"/>
      <c r="AB82" s="95"/>
      <c r="AC82" s="30">
        <f t="shared" si="1"/>
        <v>3.7037037037037035E-2</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176</v>
      </c>
      <c r="T83" s="94"/>
      <c r="U83" s="94"/>
      <c r="V83" s="94"/>
      <c r="W83" s="94"/>
      <c r="X83" s="94"/>
      <c r="Y83" s="94"/>
      <c r="Z83" s="94"/>
      <c r="AA83" s="94"/>
      <c r="AB83" s="95"/>
      <c r="AC83" s="30">
        <f t="shared" si="1"/>
        <v>3.7037037037037035E-2</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176</v>
      </c>
      <c r="T84" s="94"/>
      <c r="U84" s="94"/>
      <c r="V84" s="94"/>
      <c r="W84" s="94"/>
      <c r="X84" s="94"/>
      <c r="Y84" s="94"/>
      <c r="Z84" s="94"/>
      <c r="AA84" s="94"/>
      <c r="AB84" s="95"/>
      <c r="AC84" s="30">
        <f t="shared" si="1"/>
        <v>3.7037037037037035E-2</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176</v>
      </c>
      <c r="T85" s="94"/>
      <c r="U85" s="94"/>
      <c r="V85" s="94"/>
      <c r="W85" s="94"/>
      <c r="X85" s="94"/>
      <c r="Y85" s="94"/>
      <c r="Z85" s="94"/>
      <c r="AA85" s="94"/>
      <c r="AB85" s="95"/>
      <c r="AC85" s="30">
        <f t="shared" si="1"/>
        <v>3.7037037037037035E-2</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176</v>
      </c>
      <c r="T86" s="94"/>
      <c r="U86" s="94"/>
      <c r="V86" s="94"/>
      <c r="W86" s="94"/>
      <c r="X86" s="94"/>
      <c r="Y86" s="94"/>
      <c r="Z86" s="94"/>
      <c r="AA86" s="94"/>
      <c r="AB86" s="95"/>
      <c r="AC86" s="30">
        <f t="shared" si="1"/>
        <v>3.7037037037037035E-2</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176</v>
      </c>
      <c r="T87" s="94"/>
      <c r="U87" s="94"/>
      <c r="V87" s="94"/>
      <c r="W87" s="94"/>
      <c r="X87" s="94"/>
      <c r="Y87" s="94"/>
      <c r="Z87" s="94"/>
      <c r="AA87" s="94"/>
      <c r="AB87" s="95"/>
      <c r="AC87" s="30">
        <f t="shared" si="1"/>
        <v>3.7037037037037035E-2</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176</v>
      </c>
      <c r="T88" s="94"/>
      <c r="U88" s="94"/>
      <c r="V88" s="94"/>
      <c r="W88" s="94"/>
      <c r="X88" s="94"/>
      <c r="Y88" s="94"/>
      <c r="Z88" s="94"/>
      <c r="AA88" s="94"/>
      <c r="AB88" s="95"/>
      <c r="AC88" s="30">
        <f t="shared" si="1"/>
        <v>3.7037037037037035E-2</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t="s">
        <v>1842</v>
      </c>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t="s">
        <v>1843</v>
      </c>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1844</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t="s">
        <v>1845</v>
      </c>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175</v>
      </c>
      <c r="Y96" s="94" t="s">
        <v>1815</v>
      </c>
      <c r="Z96" s="94" t="s">
        <v>74</v>
      </c>
      <c r="AA96" s="94" t="s">
        <v>74</v>
      </c>
      <c r="AB96" s="95" t="s">
        <v>1825</v>
      </c>
      <c r="AC96" s="30">
        <f t="shared" si="1"/>
        <v>0.55555555555555558</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1815</v>
      </c>
      <c r="Z98" s="94" t="s">
        <v>74</v>
      </c>
      <c r="AA98" s="94" t="s">
        <v>74</v>
      </c>
      <c r="AB98" s="103" t="s">
        <v>1816</v>
      </c>
      <c r="AC98" s="30">
        <f t="shared" si="1"/>
        <v>0.72222222222222221</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1815</v>
      </c>
      <c r="Z100" s="94" t="s">
        <v>74</v>
      </c>
      <c r="AA100" s="94" t="s">
        <v>74</v>
      </c>
      <c r="AB100" s="103" t="s">
        <v>1817</v>
      </c>
      <c r="AC100" s="30">
        <f t="shared" si="1"/>
        <v>0.72222222222222221</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1815</v>
      </c>
      <c r="Z101" s="94" t="s">
        <v>74</v>
      </c>
      <c r="AA101" s="94" t="s">
        <v>74</v>
      </c>
      <c r="AB101" s="95" t="s">
        <v>1832</v>
      </c>
      <c r="AC101" s="30">
        <f t="shared" si="1"/>
        <v>0.72222222222222221</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1815</v>
      </c>
      <c r="Z102" s="94" t="s">
        <v>74</v>
      </c>
      <c r="AA102" s="94" t="s">
        <v>74</v>
      </c>
      <c r="AB102" s="103" t="s">
        <v>1834</v>
      </c>
      <c r="AC102" s="30">
        <f t="shared" si="1"/>
        <v>0.72222222222222221</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0.61111111111111116</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1815</v>
      </c>
      <c r="Z104" s="94" t="s">
        <v>74</v>
      </c>
      <c r="AA104" s="94" t="s">
        <v>74</v>
      </c>
      <c r="AB104" s="95" t="s">
        <v>1835</v>
      </c>
      <c r="AC104" s="30">
        <f t="shared" si="1"/>
        <v>0.61111111111111116</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1815</v>
      </c>
      <c r="Z105" s="94" t="s">
        <v>74</v>
      </c>
      <c r="AA105" s="94" t="s">
        <v>74</v>
      </c>
      <c r="AB105" s="95" t="s">
        <v>1836</v>
      </c>
      <c r="AC105" s="30">
        <f t="shared" si="1"/>
        <v>0.72222222222222221</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0.55555555555555558</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175</v>
      </c>
      <c r="X107" s="94" t="s">
        <v>175</v>
      </c>
      <c r="Y107" s="94" t="s">
        <v>1815</v>
      </c>
      <c r="Z107" s="94" t="s">
        <v>74</v>
      </c>
      <c r="AA107" s="94" t="s">
        <v>74</v>
      </c>
      <c r="AB107" s="95" t="s">
        <v>1826</v>
      </c>
      <c r="AC107" s="30">
        <f t="shared" si="1"/>
        <v>0.5</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0.42592592592592587</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175</v>
      </c>
      <c r="Y109" s="94" t="s">
        <v>1815</v>
      </c>
      <c r="Z109" s="94" t="s">
        <v>74</v>
      </c>
      <c r="AA109" s="94" t="s">
        <v>74</v>
      </c>
      <c r="AB109" s="95" t="s">
        <v>1839</v>
      </c>
      <c r="AC109" s="30">
        <f t="shared" si="1"/>
        <v>0.66666666666666663</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175</v>
      </c>
      <c r="X110" s="94" t="s">
        <v>175</v>
      </c>
      <c r="Y110" s="94" t="s">
        <v>1815</v>
      </c>
      <c r="Z110" s="94" t="s">
        <v>74</v>
      </c>
      <c r="AA110" s="94" t="s">
        <v>74</v>
      </c>
      <c r="AB110" s="95" t="s">
        <v>1839</v>
      </c>
      <c r="AC110" s="30">
        <f t="shared" si="1"/>
        <v>0.61111111111111116</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175</v>
      </c>
      <c r="Y111" s="94" t="s">
        <v>1815</v>
      </c>
      <c r="Z111" s="94" t="s">
        <v>74</v>
      </c>
      <c r="AA111" s="94" t="s">
        <v>74</v>
      </c>
      <c r="AB111" s="95" t="s">
        <v>1839</v>
      </c>
      <c r="AC111" s="30">
        <f t="shared" si="1"/>
        <v>0.66666666666666663</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c r="X112" s="94"/>
      <c r="Y112" s="94"/>
      <c r="Z112" s="94" t="s">
        <v>74</v>
      </c>
      <c r="AA112" s="94" t="s">
        <v>74</v>
      </c>
      <c r="AB112" s="95" t="s">
        <v>1839</v>
      </c>
      <c r="AC112" s="30">
        <f t="shared" si="1"/>
        <v>0.33333333333333331</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0.44444444444444442</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0.44444444444444442</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0.44444444444444442</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0.44444444444444442</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175</v>
      </c>
      <c r="X117" s="94" t="s">
        <v>175</v>
      </c>
      <c r="Y117" s="94"/>
      <c r="Z117" s="94" t="s">
        <v>74</v>
      </c>
      <c r="AA117" s="94" t="s">
        <v>74</v>
      </c>
      <c r="AB117" s="95" t="s">
        <v>1839</v>
      </c>
      <c r="AC117" s="30">
        <f t="shared" si="1"/>
        <v>0.44444444444444442</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0.55555555555555558</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c r="X119" s="94"/>
      <c r="Y119" s="94"/>
      <c r="Z119" s="94"/>
      <c r="AA119" s="94"/>
      <c r="AB119" s="95" t="s">
        <v>1839</v>
      </c>
      <c r="AC119" s="30">
        <f t="shared" si="1"/>
        <v>0.33333333333333331</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c r="X120" s="94" t="s">
        <v>175</v>
      </c>
      <c r="Y120" s="94"/>
      <c r="Z120" s="94"/>
      <c r="AA120" s="94"/>
      <c r="AB120" s="95" t="s">
        <v>1839</v>
      </c>
      <c r="AC120" s="30">
        <f t="shared" si="1"/>
        <v>0.3888888888888889</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c r="Y121" s="94"/>
      <c r="Z121" s="94"/>
      <c r="AA121" s="94"/>
      <c r="AB121" s="103" t="s">
        <v>1828</v>
      </c>
      <c r="AC121" s="30">
        <f t="shared" si="1"/>
        <v>0.44444444444444442</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si="1"/>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ref="AC131:AC194" si="2">(
IF(S131="ENVIADO A LA CE/UM",1/3,IF(S131="ENTREGADO/REVISIÓN",2/3,IF(S131="ENVIADO A TICS",1,0)))+
IF(T131="EN PROCESO",0,IF(T131="CONCLUIDO",1,0))+
IF(U131="ENVIADO A LA CE/UM",1/3,IF(U131="EN REVISIÓN CENTRAL",2/3,IF(U131="CONCLUIDO",1,0)))+
IF(V131="ENVIADO A LA CE/UM",1/3,IF(V131="EN REVISIÓN CENTRAL",2/3,IF(V131="CONCLUIDO",1,0)))+
IF(W131="EN PROCESO",1/2,IF(W131="CONCLUIDO",1,0))+
IF(X131="EN PROCESO",1/2,IF(X131="CONCLUIDO",1,0))+
IF(Y131="PROGRAMADAS",1/2,IF(Y131="CONCLUIDAS",1,0))+
IF(Z131="SI",1,IF(Z131="NO",0,0))+
IF(AA131="SI",1,IF(AA131="NO",0,0))
)/9</f>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si="2"/>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ref="AC195:AC258" si="3">(
IF(S195="ENVIADO A LA CE/UM",1/3,IF(S195="ENTREGADO/REVISIÓN",2/3,IF(S195="ENVIADO A TICS",1,0)))+
IF(T195="EN PROCESO",0,IF(T195="CONCLUIDO",1,0))+
IF(U195="ENVIADO A LA CE/UM",1/3,IF(U195="EN REVISIÓN CENTRAL",2/3,IF(U195="CONCLUIDO",1,0)))+
IF(V195="ENVIADO A LA CE/UM",1/3,IF(V195="EN REVISIÓN CENTRAL",2/3,IF(V195="CONCLUIDO",1,0)))+
IF(W195="EN PROCESO",1/2,IF(W195="CONCLUIDO",1,0))+
IF(X195="EN PROCESO",1/2,IF(X195="CONCLUIDO",1,0))+
IF(Y195="PROGRAMADAS",1/2,IF(Y195="CONCLUIDAS",1,0))+
IF(Z195="SI",1,IF(Z195="NO",0,0))+
IF(AA195="SI",1,IF(AA195="NO",0,0))
)/9</f>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176</v>
      </c>
      <c r="T196" s="94"/>
      <c r="U196" s="94"/>
      <c r="V196" s="94"/>
      <c r="W196" s="94"/>
      <c r="X196" s="94"/>
      <c r="Y196" s="94"/>
      <c r="Z196" s="94"/>
      <c r="AA196" s="94"/>
      <c r="AB196" s="95"/>
      <c r="AC196" s="30">
        <f t="shared" si="3"/>
        <v>3.7037037037037035E-2</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176</v>
      </c>
      <c r="T197" s="94"/>
      <c r="U197" s="94"/>
      <c r="V197" s="94"/>
      <c r="W197" s="94"/>
      <c r="X197" s="94"/>
      <c r="Y197" s="94"/>
      <c r="Z197" s="94"/>
      <c r="AA197" s="94"/>
      <c r="AB197" s="95"/>
      <c r="AC197" s="30">
        <f t="shared" si="3"/>
        <v>3.7037037037037035E-2</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176</v>
      </c>
      <c r="T198" s="94"/>
      <c r="U198" s="94"/>
      <c r="V198" s="94"/>
      <c r="W198" s="94"/>
      <c r="X198" s="94"/>
      <c r="Y198" s="94"/>
      <c r="Z198" s="94"/>
      <c r="AA198" s="94"/>
      <c r="AB198" s="95"/>
      <c r="AC198" s="30">
        <f t="shared" si="3"/>
        <v>3.7037037037037035E-2</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176</v>
      </c>
      <c r="T199" s="94"/>
      <c r="U199" s="94"/>
      <c r="V199" s="94"/>
      <c r="W199" s="94"/>
      <c r="X199" s="94"/>
      <c r="Y199" s="94"/>
      <c r="Z199" s="94"/>
      <c r="AA199" s="94"/>
      <c r="AB199" s="95"/>
      <c r="AC199" s="30">
        <f t="shared" si="3"/>
        <v>3.7037037037037035E-2</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176</v>
      </c>
      <c r="T200" s="94"/>
      <c r="U200" s="94"/>
      <c r="V200" s="94"/>
      <c r="W200" s="94"/>
      <c r="X200" s="94"/>
      <c r="Y200" s="94"/>
      <c r="Z200" s="94"/>
      <c r="AA200" s="94"/>
      <c r="AB200" s="95"/>
      <c r="AC200" s="30">
        <f t="shared" si="3"/>
        <v>3.7037037037037035E-2</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176</v>
      </c>
      <c r="T201" s="94"/>
      <c r="U201" s="94"/>
      <c r="V201" s="94"/>
      <c r="W201" s="94"/>
      <c r="X201" s="94"/>
      <c r="Y201" s="94"/>
      <c r="Z201" s="94"/>
      <c r="AA201" s="94"/>
      <c r="AB201" s="95"/>
      <c r="AC201" s="30">
        <f t="shared" si="3"/>
        <v>3.7037037037037035E-2</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0.61111111111111116</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0.61111111111111116</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0.61111111111111116</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0.61111111111111116</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0.61111111111111116</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0.61111111111111116</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0.55555555555555558</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213</v>
      </c>
      <c r="V239" s="94" t="s">
        <v>213</v>
      </c>
      <c r="W239" s="94"/>
      <c r="X239" s="94"/>
      <c r="Y239" s="94"/>
      <c r="Z239" s="94"/>
      <c r="AA239" s="94"/>
      <c r="AB239" s="95"/>
      <c r="AC239" s="30">
        <f t="shared" si="3"/>
        <v>0.25925925925925924</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213</v>
      </c>
      <c r="V240" s="94" t="s">
        <v>213</v>
      </c>
      <c r="W240" s="94"/>
      <c r="X240" s="94"/>
      <c r="Y240" s="94"/>
      <c r="Z240" s="94"/>
      <c r="AA240" s="94"/>
      <c r="AB240" s="95"/>
      <c r="AC240" s="30">
        <f t="shared" si="3"/>
        <v>0.25925925925925924</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0.55555555555555558</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0.1111111111111111</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0.1111111111111111</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0.1111111111111111</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0.1111111111111111</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0.1111111111111111</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0.1111111111111111</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0.1111111111111111</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0.1111111111111111</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0.1111111111111111</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0.1111111111111111</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0.1111111111111111</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0.1111111111111111</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0.1111111111111111</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0.1111111111111111</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0.1111111111111111</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0.1111111111111111</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si="3"/>
        <v>0.1111111111111111</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ref="AC259:AC322" si="4">(
IF(S259="ENVIADO A LA CE/UM",1/3,IF(S259="ENTREGADO/REVISIÓN",2/3,IF(S259="ENVIADO A TICS",1,0)))+
IF(T259="EN PROCESO",0,IF(T259="CONCLUIDO",1,0))+
IF(U259="ENVIADO A LA CE/UM",1/3,IF(U259="EN REVISIÓN CENTRAL",2/3,IF(U259="CONCLUIDO",1,0)))+
IF(V259="ENVIADO A LA CE/UM",1/3,IF(V259="EN REVISIÓN CENTRAL",2/3,IF(V259="CONCLUIDO",1,0)))+
IF(W259="EN PROCESO",1/2,IF(W259="CONCLUIDO",1,0))+
IF(X259="EN PROCESO",1/2,IF(X259="CONCLUIDO",1,0))+
IF(Y259="PROGRAMADAS",1/2,IF(Y259="CONCLUIDAS",1,0))+
IF(Z259="SI",1,IF(Z259="NO",0,0))+
IF(AA259="SI",1,IF(AA259="NO",0,0))
)/9</f>
        <v>0.1111111111111111</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0.1111111111111111</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0.1111111111111111</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0.1111111111111111</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0.1111111111111111</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94"/>
      <c r="X264" s="94"/>
      <c r="Y264" s="94"/>
      <c r="Z264" s="94"/>
      <c r="AA264" s="94"/>
      <c r="AB264" s="95"/>
      <c r="AC264" s="30">
        <f t="shared" si="4"/>
        <v>0.1111111111111111</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94" t="s">
        <v>213</v>
      </c>
      <c r="W265" s="94" t="s">
        <v>175</v>
      </c>
      <c r="X265" s="94" t="s">
        <v>175</v>
      </c>
      <c r="Y265" s="94"/>
      <c r="Z265" s="94"/>
      <c r="AA265" s="94"/>
      <c r="AB265" s="95"/>
      <c r="AC265" s="30">
        <f t="shared" si="4"/>
        <v>0.48148148148148145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94" t="s">
        <v>213</v>
      </c>
      <c r="W266" s="94" t="s">
        <v>175</v>
      </c>
      <c r="X266" s="94" t="s">
        <v>175</v>
      </c>
      <c r="Y266" s="94"/>
      <c r="Z266" s="94"/>
      <c r="AA266" s="94"/>
      <c r="AB266" s="95"/>
      <c r="AC266" s="30">
        <f t="shared" si="4"/>
        <v>0.48148148148148145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94" t="s">
        <v>213</v>
      </c>
      <c r="W267" s="94" t="s">
        <v>175</v>
      </c>
      <c r="X267" s="94" t="s">
        <v>175</v>
      </c>
      <c r="Y267" s="94"/>
      <c r="Z267" s="94"/>
      <c r="AA267" s="94"/>
      <c r="AB267" s="95"/>
      <c r="AC267" s="30">
        <f t="shared" si="4"/>
        <v>0.48148148148148145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94" t="s">
        <v>213</v>
      </c>
      <c r="W268" s="94" t="s">
        <v>175</v>
      </c>
      <c r="X268" s="94" t="s">
        <v>175</v>
      </c>
      <c r="Y268" s="94"/>
      <c r="Z268" s="94"/>
      <c r="AA268" s="94"/>
      <c r="AB268" s="95"/>
      <c r="AC268" s="30">
        <f t="shared" si="4"/>
        <v>0.48148148148148145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94" t="s">
        <v>213</v>
      </c>
      <c r="W269" s="94" t="s">
        <v>175</v>
      </c>
      <c r="X269" s="94" t="s">
        <v>175</v>
      </c>
      <c r="Y269" s="94"/>
      <c r="Z269" s="94"/>
      <c r="AA269" s="94"/>
      <c r="AB269" s="95"/>
      <c r="AC269" s="30">
        <f t="shared" si="4"/>
        <v>0.48148148148148145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94" t="s">
        <v>213</v>
      </c>
      <c r="W270" s="94" t="s">
        <v>175</v>
      </c>
      <c r="X270" s="94" t="s">
        <v>175</v>
      </c>
      <c r="Y270" s="94"/>
      <c r="Z270" s="94"/>
      <c r="AA270" s="94"/>
      <c r="AB270" s="95"/>
      <c r="AC270" s="30">
        <f t="shared" si="4"/>
        <v>0.48148148148148145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94" t="s">
        <v>213</v>
      </c>
      <c r="W271" s="94" t="s">
        <v>175</v>
      </c>
      <c r="X271" s="94" t="s">
        <v>175</v>
      </c>
      <c r="Y271" s="94"/>
      <c r="Z271" s="94"/>
      <c r="AA271" s="94"/>
      <c r="AB271" s="95"/>
      <c r="AC271" s="30">
        <f t="shared" si="4"/>
        <v>0.48148148148148145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94" t="s">
        <v>213</v>
      </c>
      <c r="W272" s="94" t="s">
        <v>175</v>
      </c>
      <c r="X272" s="94" t="s">
        <v>175</v>
      </c>
      <c r="Y272" s="94"/>
      <c r="Z272" s="94"/>
      <c r="AA272" s="94"/>
      <c r="AB272" s="95"/>
      <c r="AC272" s="30">
        <f t="shared" si="4"/>
        <v>0.48148148148148145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94" t="s">
        <v>213</v>
      </c>
      <c r="W273" s="94" t="s">
        <v>175</v>
      </c>
      <c r="X273" s="94" t="s">
        <v>175</v>
      </c>
      <c r="Y273" s="94"/>
      <c r="Z273" s="94"/>
      <c r="AA273" s="94"/>
      <c r="AB273" s="95"/>
      <c r="AC273" s="30">
        <f t="shared" si="4"/>
        <v>0.48148148148148145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94" t="s">
        <v>213</v>
      </c>
      <c r="W274" s="94" t="s">
        <v>175</v>
      </c>
      <c r="X274" s="94" t="s">
        <v>175</v>
      </c>
      <c r="Y274" s="94"/>
      <c r="Z274" s="94"/>
      <c r="AA274" s="94"/>
      <c r="AB274" s="95"/>
      <c r="AC274" s="30">
        <f t="shared" si="4"/>
        <v>0.48148148148148145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94" t="s">
        <v>213</v>
      </c>
      <c r="W275" s="94" t="s">
        <v>175</v>
      </c>
      <c r="X275" s="94" t="s">
        <v>175</v>
      </c>
      <c r="Y275" s="94"/>
      <c r="Z275" s="94"/>
      <c r="AA275" s="94"/>
      <c r="AB275" s="95"/>
      <c r="AC275" s="30">
        <f t="shared" si="4"/>
        <v>0.48148148148148145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4"/>
      <c r="X276" s="94"/>
      <c r="Y276" s="94"/>
      <c r="Z276" s="94"/>
      <c r="AA276" s="94"/>
      <c r="AB276" s="95"/>
      <c r="AC276" s="30">
        <f t="shared" si="4"/>
        <v>0.25925925925925924</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0.25925925925925924</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0.25925925925925924</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0.25925925925925924</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0.25925925925925924</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0.25925925925925924</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0.25925925925925924</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0.25925925925925924</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0.25925925925925924</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0.18518518518518517</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0.18518518518518517</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0.18518518518518517</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0.18518518518518517</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0.18518518518518517</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0.18518518518518517</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35</v>
      </c>
      <c r="X292" s="94" t="s">
        <v>175</v>
      </c>
      <c r="Y292" s="94" t="s">
        <v>36</v>
      </c>
      <c r="Z292" s="94" t="s">
        <v>74</v>
      </c>
      <c r="AA292" s="94" t="s">
        <v>74</v>
      </c>
      <c r="AB292" s="95" t="s">
        <v>1807</v>
      </c>
      <c r="AC292" s="30">
        <f t="shared" si="4"/>
        <v>0.61111111111111116</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0.61111111111111116</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0.61111111111111116</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0.61111111111111116</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0.61111111111111116</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175</v>
      </c>
      <c r="X299" s="94" t="s">
        <v>175</v>
      </c>
      <c r="Y299" s="94" t="s">
        <v>1815</v>
      </c>
      <c r="Z299" s="94" t="s">
        <v>74</v>
      </c>
      <c r="AA299" s="94" t="s">
        <v>74</v>
      </c>
      <c r="AB299" s="95" t="s">
        <v>1807</v>
      </c>
      <c r="AC299" s="30">
        <f t="shared" si="4"/>
        <v>0.5</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0.25925925925925924</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175</v>
      </c>
      <c r="X301" s="94" t="s">
        <v>175</v>
      </c>
      <c r="Y301" s="94" t="s">
        <v>1815</v>
      </c>
      <c r="Z301" s="94" t="s">
        <v>74</v>
      </c>
      <c r="AA301" s="94" t="s">
        <v>74</v>
      </c>
      <c r="AB301" s="95" t="s">
        <v>1807</v>
      </c>
      <c r="AC301" s="30">
        <f t="shared" si="4"/>
        <v>0.46296296296296291</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175</v>
      </c>
      <c r="X302" s="94" t="s">
        <v>175</v>
      </c>
      <c r="Y302" s="94" t="s">
        <v>1815</v>
      </c>
      <c r="Z302" s="94" t="s">
        <v>74</v>
      </c>
      <c r="AA302" s="94" t="s">
        <v>74</v>
      </c>
      <c r="AB302" s="95" t="s">
        <v>1807</v>
      </c>
      <c r="AC302" s="30">
        <f t="shared" si="4"/>
        <v>0.5</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175</v>
      </c>
      <c r="X303" s="94" t="s">
        <v>175</v>
      </c>
      <c r="Y303" s="94" t="s">
        <v>1815</v>
      </c>
      <c r="Z303" s="94" t="s">
        <v>74</v>
      </c>
      <c r="AA303" s="94" t="s">
        <v>74</v>
      </c>
      <c r="AB303" s="95" t="s">
        <v>1807</v>
      </c>
      <c r="AC303" s="30">
        <f t="shared" si="4"/>
        <v>0.46296296296296291</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175</v>
      </c>
      <c r="X304" s="94" t="s">
        <v>175</v>
      </c>
      <c r="Y304" s="94" t="s">
        <v>1815</v>
      </c>
      <c r="Z304" s="94" t="s">
        <v>74</v>
      </c>
      <c r="AA304" s="94" t="s">
        <v>74</v>
      </c>
      <c r="AB304" s="95" t="s">
        <v>1807</v>
      </c>
      <c r="AC304" s="30">
        <f t="shared" si="4"/>
        <v>0.5</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175</v>
      </c>
      <c r="X305" s="94" t="s">
        <v>175</v>
      </c>
      <c r="Y305" s="94" t="s">
        <v>1815</v>
      </c>
      <c r="Z305" s="94" t="s">
        <v>74</v>
      </c>
      <c r="AA305" s="94" t="s">
        <v>74</v>
      </c>
      <c r="AB305" s="95" t="s">
        <v>1807</v>
      </c>
      <c r="AC305" s="30">
        <f t="shared" si="4"/>
        <v>0.5</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1815</v>
      </c>
      <c r="Z306" s="94" t="s">
        <v>74</v>
      </c>
      <c r="AA306" s="94" t="s">
        <v>74</v>
      </c>
      <c r="AB306" s="95" t="s">
        <v>1807</v>
      </c>
      <c r="AC306" s="30">
        <f t="shared" si="4"/>
        <v>0.61111111111111116</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1815</v>
      </c>
      <c r="Z307" s="97" t="s">
        <v>74</v>
      </c>
      <c r="AA307" s="97" t="s">
        <v>74</v>
      </c>
      <c r="AB307" s="98" t="s">
        <v>1807</v>
      </c>
      <c r="AC307" s="30">
        <f t="shared" si="4"/>
        <v>0.55555555555555558</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1815</v>
      </c>
      <c r="Z308" s="97" t="s">
        <v>74</v>
      </c>
      <c r="AA308" s="97" t="s">
        <v>74</v>
      </c>
      <c r="AB308" s="98" t="s">
        <v>1807</v>
      </c>
      <c r="AC308" s="30">
        <f t="shared" si="4"/>
        <v>0.55555555555555558</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1815</v>
      </c>
      <c r="Z309" s="94"/>
      <c r="AA309" s="94"/>
      <c r="AB309" s="95"/>
      <c r="AC309" s="30">
        <f t="shared" si="4"/>
        <v>0.61111111111111116</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1815</v>
      </c>
      <c r="Z310" s="94"/>
      <c r="AA310" s="94"/>
      <c r="AB310" s="95"/>
      <c r="AC310" s="30">
        <f t="shared" si="4"/>
        <v>0.61111111111111116</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175</v>
      </c>
      <c r="X311" s="94" t="s">
        <v>175</v>
      </c>
      <c r="Y311" s="94" t="s">
        <v>1815</v>
      </c>
      <c r="Z311" s="94"/>
      <c r="AA311" s="94"/>
      <c r="AB311" s="95"/>
      <c r="AC311" s="30">
        <f t="shared" si="4"/>
        <v>0.61111111111111116</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1815</v>
      </c>
      <c r="Z312" s="94"/>
      <c r="AA312" s="94"/>
      <c r="AB312" s="95"/>
      <c r="AC312" s="30">
        <f t="shared" si="4"/>
        <v>0.72222222222222221</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1815</v>
      </c>
      <c r="Z313" s="94"/>
      <c r="AA313" s="94"/>
      <c r="AB313" s="95"/>
      <c r="AC313" s="30">
        <f t="shared" si="4"/>
        <v>0.61111111111111116</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176</v>
      </c>
      <c r="T314" s="94"/>
      <c r="U314" s="94"/>
      <c r="V314" s="94"/>
      <c r="W314" s="94"/>
      <c r="X314" s="94"/>
      <c r="Y314" s="94"/>
      <c r="Z314" s="94"/>
      <c r="AA314" s="94"/>
      <c r="AB314" s="95"/>
      <c r="AC314" s="30">
        <f t="shared" si="4"/>
        <v>3.7037037037037035E-2</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176</v>
      </c>
      <c r="T315" s="94"/>
      <c r="U315" s="94"/>
      <c r="V315" s="94"/>
      <c r="W315" s="94"/>
      <c r="X315" s="94"/>
      <c r="Y315" s="94"/>
      <c r="Z315" s="94"/>
      <c r="AA315" s="94"/>
      <c r="AB315" s="95"/>
      <c r="AC315" s="30">
        <f t="shared" si="4"/>
        <v>3.7037037037037035E-2</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176</v>
      </c>
      <c r="T316" s="94"/>
      <c r="U316" s="94"/>
      <c r="V316" s="94"/>
      <c r="W316" s="94"/>
      <c r="X316" s="94"/>
      <c r="Y316" s="94"/>
      <c r="Z316" s="94"/>
      <c r="AA316" s="94"/>
      <c r="AB316" s="95"/>
      <c r="AC316" s="30">
        <f t="shared" si="4"/>
        <v>3.7037037037037035E-2</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176</v>
      </c>
      <c r="T317" s="94"/>
      <c r="U317" s="94"/>
      <c r="V317" s="94"/>
      <c r="W317" s="94"/>
      <c r="X317" s="94"/>
      <c r="Y317" s="94"/>
      <c r="Z317" s="94"/>
      <c r="AA317" s="94"/>
      <c r="AB317" s="95"/>
      <c r="AC317" s="30">
        <f t="shared" si="4"/>
        <v>3.7037037037037035E-2</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176</v>
      </c>
      <c r="T318" s="94"/>
      <c r="U318" s="94"/>
      <c r="V318" s="94"/>
      <c r="W318" s="94"/>
      <c r="X318" s="94"/>
      <c r="Y318" s="94"/>
      <c r="Z318" s="94"/>
      <c r="AA318" s="94"/>
      <c r="AB318" s="95"/>
      <c r="AC318" s="30">
        <f t="shared" si="4"/>
        <v>3.7037037037037035E-2</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176</v>
      </c>
      <c r="T319" s="94"/>
      <c r="U319" s="94"/>
      <c r="V319" s="94"/>
      <c r="W319" s="94"/>
      <c r="X319" s="94"/>
      <c r="Y319" s="94"/>
      <c r="Z319" s="94"/>
      <c r="AA319" s="94"/>
      <c r="AB319" s="95"/>
      <c r="AC319" s="30">
        <f t="shared" si="4"/>
        <v>3.7037037037037035E-2</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176</v>
      </c>
      <c r="T320" s="94"/>
      <c r="U320" s="94"/>
      <c r="V320" s="94"/>
      <c r="W320" s="94"/>
      <c r="X320" s="94"/>
      <c r="Y320" s="94"/>
      <c r="Z320" s="94"/>
      <c r="AA320" s="94"/>
      <c r="AB320" s="95"/>
      <c r="AC320" s="30">
        <f t="shared" si="4"/>
        <v>3.7037037037037035E-2</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176</v>
      </c>
      <c r="T321" s="94"/>
      <c r="U321" s="94"/>
      <c r="V321" s="94"/>
      <c r="W321" s="94"/>
      <c r="X321" s="94"/>
      <c r="Y321" s="94"/>
      <c r="Z321" s="94"/>
      <c r="AA321" s="94"/>
      <c r="AB321" s="95"/>
      <c r="AC321" s="30">
        <f t="shared" si="4"/>
        <v>3.7037037037037035E-2</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176</v>
      </c>
      <c r="T322" s="94"/>
      <c r="U322" s="94"/>
      <c r="V322" s="94"/>
      <c r="W322" s="94"/>
      <c r="X322" s="94"/>
      <c r="Y322" s="94"/>
      <c r="Z322" s="94"/>
      <c r="AA322" s="94"/>
      <c r="AB322" s="95"/>
      <c r="AC322" s="30">
        <f t="shared" si="4"/>
        <v>3.7037037037037035E-2</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176</v>
      </c>
      <c r="T323" s="94"/>
      <c r="U323" s="94"/>
      <c r="V323" s="94"/>
      <c r="W323" s="94"/>
      <c r="X323" s="94"/>
      <c r="Y323" s="94"/>
      <c r="Z323" s="94"/>
      <c r="AA323" s="94"/>
      <c r="AB323" s="95"/>
      <c r="AC323" s="30">
        <f t="shared" ref="AC323:AC386" si="5">(
IF(S323="ENVIADO A LA CE/UM",1/3,IF(S323="ENTREGADO/REVISIÓN",2/3,IF(S323="ENVIADO A TICS",1,0)))+
IF(T323="EN PROCESO",0,IF(T323="CONCLUIDO",1,0))+
IF(U323="ENVIADO A LA CE/UM",1/3,IF(U323="EN REVISIÓN CENTRAL",2/3,IF(U323="CONCLUIDO",1,0)))+
IF(V323="ENVIADO A LA CE/UM",1/3,IF(V323="EN REVISIÓN CENTRAL",2/3,IF(V323="CONCLUIDO",1,0)))+
IF(W323="EN PROCESO",1/2,IF(W323="CONCLUIDO",1,0))+
IF(X323="EN PROCESO",1/2,IF(X323="CONCLUIDO",1,0))+
IF(Y323="PROGRAMADAS",1/2,IF(Y323="CONCLUIDAS",1,0))+
IF(Z323="SI",1,IF(Z323="NO",0,0))+
IF(AA323="SI",1,IF(AA323="NO",0,0))
)/9</f>
        <v>3.7037037037037035E-2</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176</v>
      </c>
      <c r="T324" s="94"/>
      <c r="U324" s="94"/>
      <c r="V324" s="94"/>
      <c r="W324" s="94"/>
      <c r="X324" s="94"/>
      <c r="Y324" s="94"/>
      <c r="Z324" s="94"/>
      <c r="AA324" s="94"/>
      <c r="AB324" s="95"/>
      <c r="AC324" s="30">
        <f t="shared" si="5"/>
        <v>3.7037037037037035E-2</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176</v>
      </c>
      <c r="T325" s="94"/>
      <c r="U325" s="94"/>
      <c r="V325" s="94"/>
      <c r="W325" s="94"/>
      <c r="X325" s="94"/>
      <c r="Y325" s="94"/>
      <c r="Z325" s="94"/>
      <c r="AA325" s="94"/>
      <c r="AB325" s="95"/>
      <c r="AC325" s="30">
        <f t="shared" si="5"/>
        <v>3.7037037037037035E-2</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176</v>
      </c>
      <c r="T326" s="94"/>
      <c r="U326" s="94"/>
      <c r="V326" s="94"/>
      <c r="W326" s="94"/>
      <c r="X326" s="94"/>
      <c r="Y326" s="94"/>
      <c r="Z326" s="94"/>
      <c r="AA326" s="94"/>
      <c r="AB326" s="95"/>
      <c r="AC326" s="30">
        <f t="shared" si="5"/>
        <v>3.7037037037037035E-2</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176</v>
      </c>
      <c r="T327" s="94"/>
      <c r="U327" s="94"/>
      <c r="V327" s="94"/>
      <c r="W327" s="94"/>
      <c r="X327" s="94"/>
      <c r="Y327" s="94"/>
      <c r="Z327" s="94"/>
      <c r="AA327" s="94"/>
      <c r="AB327" s="95"/>
      <c r="AC327" s="30">
        <f t="shared" si="5"/>
        <v>3.7037037037037035E-2</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1844</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0.25925925925925924</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c r="V384" s="94"/>
      <c r="W384" s="94"/>
      <c r="X384" s="94"/>
      <c r="Y384" s="94"/>
      <c r="Z384" s="94"/>
      <c r="AA384" s="94"/>
      <c r="AB384" s="95"/>
      <c r="AC384" s="30">
        <f t="shared" si="5"/>
        <v>0.22222222222222221</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si="5"/>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ref="AC387:AC450" si="6">(
IF(S387="ENVIADO A LA CE/UM",1/3,IF(S387="ENTREGADO/REVISIÓN",2/3,IF(S387="ENVIADO A TICS",1,0)))+
IF(T387="EN PROCESO",0,IF(T387="CONCLUIDO",1,0))+
IF(U387="ENVIADO A LA CE/UM",1/3,IF(U387="EN REVISIÓN CENTRAL",2/3,IF(U387="CONCLUIDO",1,0)))+
IF(V387="ENVIADO A LA CE/UM",1/3,IF(V387="EN REVISIÓN CENTRAL",2/3,IF(V387="CONCLUIDO",1,0)))+
IF(W387="EN PROCESO",1/2,IF(W387="CONCLUIDO",1,0))+
IF(X387="EN PROCESO",1/2,IF(X387="CONCLUIDO",1,0))+
IF(Y387="PROGRAMADAS",1/2,IF(Y387="CONCLUIDAS",1,0))+
IF(Z387="SI",1,IF(Z387="NO",0,0))+
IF(AA387="SI",1,IF(AA387="NO",0,0))
)/9</f>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175</v>
      </c>
      <c r="Y408" s="97" t="s">
        <v>1815</v>
      </c>
      <c r="Z408" s="97"/>
      <c r="AA408" s="97"/>
      <c r="AB408" s="98" t="s">
        <v>1839</v>
      </c>
      <c r="AC408" s="30">
        <f t="shared" si="6"/>
        <v>0.55555555555555558</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176</v>
      </c>
      <c r="T427" s="94"/>
      <c r="U427" s="94"/>
      <c r="V427" s="94"/>
      <c r="W427" s="94"/>
      <c r="X427" s="94"/>
      <c r="Y427" s="94"/>
      <c r="Z427" s="94"/>
      <c r="AA427" s="94"/>
      <c r="AB427" s="95"/>
      <c r="AC427" s="30">
        <f t="shared" si="6"/>
        <v>3.7037037037037035E-2</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176</v>
      </c>
      <c r="T428" s="94"/>
      <c r="U428" s="94"/>
      <c r="V428" s="94"/>
      <c r="W428" s="94"/>
      <c r="X428" s="94"/>
      <c r="Y428" s="94"/>
      <c r="Z428" s="94"/>
      <c r="AA428" s="94"/>
      <c r="AB428" s="95"/>
      <c r="AC428" s="30">
        <f t="shared" si="6"/>
        <v>3.7037037037037035E-2</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176</v>
      </c>
      <c r="T429" s="94"/>
      <c r="U429" s="94"/>
      <c r="V429" s="94"/>
      <c r="W429" s="94"/>
      <c r="X429" s="94"/>
      <c r="Y429" s="94"/>
      <c r="Z429" s="94"/>
      <c r="AA429" s="94"/>
      <c r="AB429" s="95"/>
      <c r="AC429" s="30">
        <f t="shared" si="6"/>
        <v>3.7037037037037035E-2</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176</v>
      </c>
      <c r="T430" s="94"/>
      <c r="U430" s="94"/>
      <c r="V430" s="94"/>
      <c r="W430" s="94"/>
      <c r="X430" s="94"/>
      <c r="Y430" s="94"/>
      <c r="Z430" s="94"/>
      <c r="AA430" s="94"/>
      <c r="AB430" s="95"/>
      <c r="AC430" s="30">
        <f t="shared" si="6"/>
        <v>3.7037037037037035E-2</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176</v>
      </c>
      <c r="T431" s="94"/>
      <c r="U431" s="94"/>
      <c r="V431" s="94"/>
      <c r="W431" s="94"/>
      <c r="X431" s="94"/>
      <c r="Y431" s="94"/>
      <c r="Z431" s="94"/>
      <c r="AA431" s="94"/>
      <c r="AB431" s="95"/>
      <c r="AC431" s="30">
        <f t="shared" si="6"/>
        <v>3.7037037037037035E-2</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176</v>
      </c>
      <c r="T432" s="94"/>
      <c r="U432" s="94"/>
      <c r="V432" s="94"/>
      <c r="W432" s="94"/>
      <c r="X432" s="94"/>
      <c r="Y432" s="94"/>
      <c r="Z432" s="94"/>
      <c r="AA432" s="94"/>
      <c r="AB432" s="95"/>
      <c r="AC432" s="30">
        <f t="shared" si="6"/>
        <v>3.7037037037037035E-2</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1815</v>
      </c>
      <c r="Z445" s="94"/>
      <c r="AA445" s="94"/>
      <c r="AB445" s="95"/>
      <c r="AC445" s="30">
        <f t="shared" si="6"/>
        <v>0.61111111111111116</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1815</v>
      </c>
      <c r="Z446" s="94"/>
      <c r="AA446" s="94"/>
      <c r="AB446" s="95"/>
      <c r="AC446" s="30">
        <f t="shared" si="6"/>
        <v>0.61111111111111116</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1815</v>
      </c>
      <c r="Z447" s="94"/>
      <c r="AA447" s="94"/>
      <c r="AB447" s="95"/>
      <c r="AC447" s="30">
        <f t="shared" si="6"/>
        <v>0.61111111111111116</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1815</v>
      </c>
      <c r="Z448" s="94"/>
      <c r="AA448" s="94"/>
      <c r="AB448" s="95"/>
      <c r="AC448" s="30">
        <f t="shared" si="6"/>
        <v>0.61111111111111116</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1815</v>
      </c>
      <c r="Z449" s="94"/>
      <c r="AA449" s="94"/>
      <c r="AB449" s="95"/>
      <c r="AC449" s="30">
        <f t="shared" si="6"/>
        <v>0.61111111111111116</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175</v>
      </c>
      <c r="Y450" s="94" t="s">
        <v>1815</v>
      </c>
      <c r="Z450" s="94"/>
      <c r="AA450" s="94"/>
      <c r="AB450" s="95"/>
      <c r="AC450" s="30">
        <f t="shared" si="6"/>
        <v>0.66666666666666663</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1815</v>
      </c>
      <c r="Z451" s="94"/>
      <c r="AA451" s="94"/>
      <c r="AB451" s="95"/>
      <c r="AC451" s="30">
        <f t="shared" ref="AC451:AC514" si="7">(
IF(S451="ENVIADO A LA CE/UM",1/3,IF(S451="ENTREGADO/REVISIÓN",2/3,IF(S451="ENVIADO A TICS",1,0)))+
IF(T451="EN PROCESO",0,IF(T451="CONCLUIDO",1,0))+
IF(U451="ENVIADO A LA CE/UM",1/3,IF(U451="EN REVISIÓN CENTRAL",2/3,IF(U451="CONCLUIDO",1,0)))+
IF(V451="ENVIADO A LA CE/UM",1/3,IF(V451="EN REVISIÓN CENTRAL",2/3,IF(V451="CONCLUIDO",1,0)))+
IF(W451="EN PROCESO",1/2,IF(W451="CONCLUIDO",1,0))+
IF(X451="EN PROCESO",1/2,IF(X451="CONCLUIDO",1,0))+
IF(Y451="PROGRAMADAS",1/2,IF(Y451="CONCLUIDAS",1,0))+
IF(Z451="SI",1,IF(Z451="NO",0,0))+
IF(AA451="SI",1,IF(AA451="NO",0,0))
)/9</f>
        <v>0.72222222222222221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1815</v>
      </c>
      <c r="Z452" s="94"/>
      <c r="AA452" s="94"/>
      <c r="AB452" s="95"/>
      <c r="AC452" s="30">
        <f t="shared" si="7"/>
        <v>0.61111111111111116</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1815</v>
      </c>
      <c r="Z453" s="94"/>
      <c r="AA453" s="94"/>
      <c r="AB453" s="95"/>
      <c r="AC453" s="30">
        <f t="shared" si="7"/>
        <v>0.61111111111111116</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175</v>
      </c>
      <c r="X454" s="94" t="s">
        <v>175</v>
      </c>
      <c r="Y454" s="94" t="s">
        <v>1815</v>
      </c>
      <c r="Z454" s="94"/>
      <c r="AA454" s="94"/>
      <c r="AB454" s="95"/>
      <c r="AC454" s="30">
        <f t="shared" si="7"/>
        <v>0.61111111111111116</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35</v>
      </c>
      <c r="V468" s="94" t="s">
        <v>35</v>
      </c>
      <c r="W468" s="94" t="s">
        <v>175</v>
      </c>
      <c r="X468" s="94"/>
      <c r="Y468" s="94"/>
      <c r="Z468" s="94"/>
      <c r="AA468" s="94"/>
      <c r="AB468" s="95"/>
      <c r="AC468" s="30">
        <f t="shared" si="7"/>
        <v>0.3888888888888889</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0.25925925925925924</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0.25925925925925924</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0.25925925925925924</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0.25925925925925924</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0.25925925925925924</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0.25925925925925924</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0.1111111111111111</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0.1111111111111111</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0.1111111111111111</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0.1111111111111111</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0.1111111111111111</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0.1111111111111111</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0.1111111111111111</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0.1111111111111111</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0.1111111111111111</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0.1111111111111111</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0.1111111111111111</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0.1111111111111111</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0.1111111111111111</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0.1111111111111111</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0.1111111111111111</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0.1111111111111111</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0.1111111111111111</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0.1111111111111111</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0.1111111111111111</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0.1111111111111111</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0.1111111111111111</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0.1111111111111111</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0.1111111111111111</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0.1111111111111111</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0.1111111111111111</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0.1111111111111111</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0.1111111111111111</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0.1111111111111111</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si="7"/>
        <v>0.1111111111111111</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94"/>
      <c r="X515" s="94"/>
      <c r="Y515" s="94"/>
      <c r="Z515" s="94"/>
      <c r="AA515" s="94"/>
      <c r="AB515" s="95"/>
      <c r="AC515" s="30">
        <f t="shared" ref="AC515:AC578" si="8">(
IF(S515="ENVIADO A LA CE/UM",1/3,IF(S515="ENTREGADO/REVISIÓN",2/3,IF(S515="ENVIADO A TICS",1,0)))+
IF(T515="EN PROCESO",0,IF(T515="CONCLUIDO",1,0))+
IF(U515="ENVIADO A LA CE/UM",1/3,IF(U515="EN REVISIÓN CENTRAL",2/3,IF(U515="CONCLUIDO",1,0)))+
IF(V515="ENVIADO A LA CE/UM",1/3,IF(V515="EN REVISIÓN CENTRAL",2/3,IF(V515="CONCLUIDO",1,0)))+
IF(W515="EN PROCESO",1/2,IF(W515="CONCLUIDO",1,0))+
IF(X515="EN PROCESO",1/2,IF(X515="CONCLUIDO",1,0))+
IF(Y515="PROGRAMADAS",1/2,IF(Y515="CONCLUIDAS",1,0))+
IF(Z515="SI",1,IF(Z515="NO",0,0))+
IF(AA515="SI",1,IF(AA515="NO",0,0))
)/9</f>
        <v>0.1111111111111111</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94" t="s">
        <v>213</v>
      </c>
      <c r="W516" s="94" t="s">
        <v>175</v>
      </c>
      <c r="X516" s="94" t="s">
        <v>175</v>
      </c>
      <c r="Y516" s="94"/>
      <c r="Z516" s="94"/>
      <c r="AA516" s="94"/>
      <c r="AB516" s="95"/>
      <c r="AC516" s="30">
        <f t="shared" si="8"/>
        <v>0.48148148148148145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94" t="s">
        <v>213</v>
      </c>
      <c r="W517" s="94" t="s">
        <v>175</v>
      </c>
      <c r="X517" s="94" t="s">
        <v>175</v>
      </c>
      <c r="Y517" s="94"/>
      <c r="Z517" s="94"/>
      <c r="AA517" s="94"/>
      <c r="AB517" s="95"/>
      <c r="AC517" s="30">
        <f t="shared" si="8"/>
        <v>0.48148148148148145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213</v>
      </c>
      <c r="V518" s="94" t="s">
        <v>213</v>
      </c>
      <c r="W518" s="94" t="s">
        <v>175</v>
      </c>
      <c r="X518" s="94" t="s">
        <v>175</v>
      </c>
      <c r="Y518" s="94"/>
      <c r="Z518" s="94"/>
      <c r="AA518" s="94"/>
      <c r="AB518" s="95"/>
      <c r="AC518" s="30">
        <f t="shared" si="8"/>
        <v>0.48148148148148145</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94" t="s">
        <v>213</v>
      </c>
      <c r="W519" s="94" t="s">
        <v>175</v>
      </c>
      <c r="X519" s="94" t="s">
        <v>175</v>
      </c>
      <c r="Y519" s="94"/>
      <c r="Z519" s="94"/>
      <c r="AA519" s="94"/>
      <c r="AB519" s="95"/>
      <c r="AC519" s="30">
        <f t="shared" si="8"/>
        <v>0.48148148148148145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4"/>
      <c r="X520" s="94"/>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175</v>
      </c>
      <c r="Y521" s="97" t="s">
        <v>1815</v>
      </c>
      <c r="Z521" s="97"/>
      <c r="AA521" s="97"/>
      <c r="AB521" s="98" t="s">
        <v>1839</v>
      </c>
      <c r="AC521" s="30">
        <f t="shared" si="8"/>
        <v>0.66666666666666663</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176</v>
      </c>
      <c r="T524" s="94"/>
      <c r="U524" s="94"/>
      <c r="V524" s="94"/>
      <c r="W524" s="94"/>
      <c r="X524" s="94"/>
      <c r="Y524" s="94"/>
      <c r="Z524" s="94"/>
      <c r="AA524" s="94"/>
      <c r="AB524" s="95"/>
      <c r="AC524" s="30">
        <f t="shared" si="8"/>
        <v>3.7037037037037035E-2</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176</v>
      </c>
      <c r="T525" s="94"/>
      <c r="U525" s="94"/>
      <c r="V525" s="94"/>
      <c r="W525" s="94"/>
      <c r="X525" s="94"/>
      <c r="Y525" s="94"/>
      <c r="Z525" s="94"/>
      <c r="AA525" s="94"/>
      <c r="AB525" s="95"/>
      <c r="AC525" s="30">
        <f t="shared" si="8"/>
        <v>3.7037037037037035E-2</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213</v>
      </c>
      <c r="V531" s="94" t="s">
        <v>213</v>
      </c>
      <c r="W531" s="94"/>
      <c r="X531" s="94"/>
      <c r="Y531" s="94"/>
      <c r="Z531" s="94"/>
      <c r="AA531" s="94"/>
      <c r="AB531" s="95"/>
      <c r="AC531" s="30">
        <f t="shared" si="8"/>
        <v>0.25925925925925924</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94" t="s">
        <v>213</v>
      </c>
      <c r="W532" s="94" t="s">
        <v>175</v>
      </c>
      <c r="X532" s="94" t="s">
        <v>175</v>
      </c>
      <c r="Y532" s="94"/>
      <c r="Z532" s="94"/>
      <c r="AA532" s="94"/>
      <c r="AB532" s="95"/>
      <c r="AC532" s="30">
        <f t="shared" si="8"/>
        <v>0.48148148148148145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0.25925925925925924</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1815</v>
      </c>
      <c r="Z540" s="94"/>
      <c r="AA540" s="94"/>
      <c r="AB540" s="95"/>
      <c r="AC540" s="30">
        <f t="shared" si="8"/>
        <v>0.61111111111111116</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0.25925925925925924</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1815</v>
      </c>
      <c r="Z543" s="94"/>
      <c r="AA543" s="94"/>
      <c r="AB543" s="95"/>
      <c r="AC543" s="30">
        <f t="shared" si="8"/>
        <v>0.61111111111111116</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175</v>
      </c>
      <c r="Y546" s="94" t="s">
        <v>1815</v>
      </c>
      <c r="Z546" s="94"/>
      <c r="AA546" s="94"/>
      <c r="AB546" s="95"/>
      <c r="AC546" s="30">
        <f t="shared" si="8"/>
        <v>0.61111111111111116</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0.25925925925925924</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0.1111111111111111</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0.25925925925925924</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176</v>
      </c>
      <c r="T557" s="94"/>
      <c r="U557" s="94"/>
      <c r="V557" s="94"/>
      <c r="W557" s="94"/>
      <c r="X557" s="94"/>
      <c r="Y557" s="94"/>
      <c r="Z557" s="94"/>
      <c r="AA557" s="94"/>
      <c r="AB557" s="95"/>
      <c r="AC557" s="30">
        <f t="shared" si="8"/>
        <v>3.7037037037037035E-2</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c r="Y563" s="97" t="s">
        <v>1815</v>
      </c>
      <c r="Z563" s="97"/>
      <c r="AA563" s="97"/>
      <c r="AB563" s="98"/>
      <c r="AC563" s="30">
        <f t="shared" si="8"/>
        <v>0.5</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si="8"/>
        <v>0.25925925925925924</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ref="AC579:AC613" si="9">(
IF(S579="ENVIADO A LA CE/UM",1/3,IF(S579="ENTREGADO/REVISIÓN",2/3,IF(S579="ENVIADO A TICS",1,0)))+
IF(T579="EN PROCESO",0,IF(T579="CONCLUIDO",1,0))+
IF(U579="ENVIADO A LA CE/UM",1/3,IF(U579="EN REVISIÓN CENTRAL",2/3,IF(U579="CONCLUIDO",1,0)))+
IF(V579="ENVIADO A LA CE/UM",1/3,IF(V579="EN REVISIÓN CENTRAL",2/3,IF(V579="CONCLUIDO",1,0)))+
IF(W579="EN PROCESO",1/2,IF(W579="CONCLUIDO",1,0))+
IF(X579="EN PROCESO",1/2,IF(X579="CONCLUIDO",1,0))+
IF(Y579="PROGRAMADAS",1/2,IF(Y579="CONCLUIDAS",1,0))+
IF(Z579="SI",1,IF(Z579="NO",0,0))+
IF(AA579="SI",1,IF(AA579="NO",0,0))
)/9</f>
        <v>0.18518518518518517</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0.1111111111111111</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1815</v>
      </c>
      <c r="Z590" s="94"/>
      <c r="AA590" s="94"/>
      <c r="AB590" s="95"/>
      <c r="AC590" s="30">
        <f t="shared" si="9"/>
        <v>0.61111111111111116</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1815</v>
      </c>
      <c r="Z591" s="94"/>
      <c r="AA591" s="94"/>
      <c r="AB591" s="95"/>
      <c r="AC591" s="30">
        <f t="shared" si="9"/>
        <v>0.72222222222222221</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0.1111111111111111</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94"/>
      <c r="X595" s="94"/>
      <c r="Y595" s="94"/>
      <c r="Z595" s="94"/>
      <c r="AA595" s="94"/>
      <c r="AB595" s="95"/>
      <c r="AC595" s="30">
        <f t="shared" si="9"/>
        <v>0.25925925925925924</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94" t="s">
        <v>213</v>
      </c>
      <c r="W596" s="94" t="s">
        <v>175</v>
      </c>
      <c r="X596" s="94" t="s">
        <v>175</v>
      </c>
      <c r="Y596" s="94"/>
      <c r="Z596" s="94"/>
      <c r="AA596" s="94"/>
      <c r="AB596" s="95"/>
      <c r="AC596" s="30">
        <f t="shared" si="9"/>
        <v>0.48148148148148145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4" t="s">
        <v>35</v>
      </c>
      <c r="X597" s="94"/>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0.18518518518518517</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0.25925925925925924</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1815</v>
      </c>
      <c r="Z605" s="94"/>
      <c r="AA605" s="94"/>
      <c r="AB605" s="95"/>
      <c r="AC605" s="30">
        <f t="shared" si="9"/>
        <v>0.61111111111111116</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213</v>
      </c>
      <c r="V608" s="94" t="s">
        <v>213</v>
      </c>
      <c r="W608" s="94"/>
      <c r="X608" s="94"/>
      <c r="Y608" s="94"/>
      <c r="Z608" s="94"/>
      <c r="AA608" s="94"/>
      <c r="AB608" s="95"/>
      <c r="AC608" s="30">
        <f t="shared" si="9"/>
        <v>0.25925925925925924</v>
      </c>
    </row>
    <row r="609" spans="1:29"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94" t="s">
        <v>213</v>
      </c>
      <c r="W609" s="94" t="s">
        <v>175</v>
      </c>
      <c r="X609" s="94" t="s">
        <v>175</v>
      </c>
      <c r="Y609" s="94"/>
      <c r="Z609" s="94"/>
      <c r="AA609" s="94"/>
      <c r="AB609" s="95"/>
      <c r="AC609" s="30">
        <f t="shared" si="9"/>
        <v>0.48148148148148145</v>
      </c>
    </row>
    <row r="610" spans="1:29"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4"/>
      <c r="X610" s="94"/>
      <c r="Y610" s="94"/>
      <c r="Z610" s="94"/>
      <c r="AA610" s="94"/>
      <c r="AB610" s="95"/>
      <c r="AC610" s="30">
        <f t="shared" si="9"/>
        <v>0.1111111111111111</v>
      </c>
    </row>
    <row r="611" spans="1:29"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0.25925925925925924</v>
      </c>
    </row>
    <row r="612" spans="1:29"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29"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sheetData>
  <conditionalFormatting sqref="A598:A609">
    <cfRule type="duplicateValues" dxfId="270" priority="121"/>
  </conditionalFormatting>
  <conditionalFormatting sqref="A2:A611">
    <cfRule type="duplicateValues" dxfId="269" priority="120"/>
  </conditionalFormatting>
  <conditionalFormatting sqref="S2:S613">
    <cfRule type="containsText" dxfId="170" priority="106" operator="containsText" text="ENVIADO A TICS">
      <formula>NOT(ISERROR(SEARCH("ENVIADO A TICS",S2)))</formula>
    </cfRule>
    <cfRule type="containsText" dxfId="169" priority="107" operator="containsText" text="ENTREGADO/REVISIÓN">
      <formula>NOT(ISERROR(SEARCH("ENTREGADO/REVISIÓN",S2)))</formula>
    </cfRule>
    <cfRule type="containsText" dxfId="168" priority="108" operator="containsText" text="ENVIADO A LA CE/UM">
      <formula>NOT(ISERROR(SEARCH("ENVIADO A LA CE/UM",S2)))</formula>
    </cfRule>
  </conditionalFormatting>
  <conditionalFormatting sqref="T2:T610">
    <cfRule type="containsText" dxfId="167" priority="105" operator="containsText" text="EN PROCESO">
      <formula>NOT(ISERROR(SEARCH("EN PROCESO",T2)))</formula>
    </cfRule>
  </conditionalFormatting>
  <conditionalFormatting sqref="T293">
    <cfRule type="containsText" dxfId="166" priority="25" operator="containsText" text="EN PROCESO">
      <formula>NOT(ISERROR(SEARCH("EN PROCESO",T293)))</formula>
    </cfRule>
    <cfRule type="containsText" dxfId="165" priority="26" operator="containsText" text="ENVIADO">
      <formula>NOT(ISERROR(SEARCH("ENVIADO",T293)))</formula>
    </cfRule>
    <cfRule type="containsText" dxfId="164" priority="27" operator="containsText" text="EN PROCESO">
      <formula>NOT(ISERROR(SEARCH("EN PROCESO",T293)))</formula>
    </cfRule>
    <cfRule type="containsText" dxfId="163" priority="28" operator="containsText" text="ENVIADO">
      <formula>NOT(ISERROR(SEARCH("ENVIADO",T293)))</formula>
    </cfRule>
    <cfRule type="containsText" dxfId="162" priority="29" operator="containsText" text="EN PROCESO">
      <formula>NOT(ISERROR(SEARCH("EN PROCESO",T293)))</formula>
    </cfRule>
    <cfRule type="containsText" dxfId="161" priority="30" operator="containsText" text="ENVIADO">
      <formula>NOT(ISERROR(SEARCH("ENVIADO",T293)))</formula>
    </cfRule>
  </conditionalFormatting>
  <conditionalFormatting sqref="T611">
    <cfRule type="containsText" dxfId="160" priority="103" operator="containsText" text="EN REVISIÓN CENTRAL">
      <formula>NOT(ISERROR(SEARCH("EN REVISIÓN CENTRAL",T611)))</formula>
    </cfRule>
    <cfRule type="containsText" dxfId="159" priority="104" operator="containsText" text="ENVIADO A LA CE/UM">
      <formula>NOT(ISERROR(SEARCH("ENVIADO A LA CE/UM",T611)))</formula>
    </cfRule>
  </conditionalFormatting>
  <conditionalFormatting sqref="T612:T613">
    <cfRule type="containsText" dxfId="158" priority="119" operator="containsText" text="EN PROCESO">
      <formula>NOT(ISERROR(SEARCH("EN PROCESO",T612)))</formula>
    </cfRule>
  </conditionalFormatting>
  <conditionalFormatting sqref="T2:X609 T610:W610 T611:U611 W611:W613 X610:X613 T612:V613">
    <cfRule type="containsText" dxfId="157" priority="114" operator="containsText" text="CONCLUIDO">
      <formula>NOT(ISERROR(SEARCH("CONCLUIDO",T2)))</formula>
    </cfRule>
  </conditionalFormatting>
  <conditionalFormatting sqref="U2:V610 U612:V613">
    <cfRule type="containsText" dxfId="156" priority="118" operator="containsText" text="ENVIADO A LA CE/UM">
      <formula>NOT(ISERROR(SEARCH("ENVIADO A LA CE/UM",U2)))</formula>
    </cfRule>
  </conditionalFormatting>
  <conditionalFormatting sqref="U2:V610 U612:V613">
    <cfRule type="containsText" dxfId="155" priority="117" operator="containsText" text="EN REVISIÓN CENTRAL">
      <formula>NOT(ISERROR(SEARCH("EN REVISIÓN CENTRAL",U2)))</formula>
    </cfRule>
  </conditionalFormatting>
  <conditionalFormatting sqref="W49:W62">
    <cfRule type="containsText" dxfId="154" priority="69" operator="containsText" text="EN PROCESO">
      <formula>NOT(ISERROR(SEARCH("EN PROCESO",W49)))</formula>
    </cfRule>
    <cfRule type="containsText" dxfId="153" priority="70" operator="containsText" text="ENVIADO">
      <formula>NOT(ISERROR(SEARCH("ENVIADO",W49)))</formula>
    </cfRule>
  </conditionalFormatting>
  <conditionalFormatting sqref="W64:W88">
    <cfRule type="containsText" dxfId="152" priority="71" operator="containsText" text="EN PROCESO">
      <formula>NOT(ISERROR(SEARCH("EN PROCESO",W64)))</formula>
    </cfRule>
    <cfRule type="containsText" dxfId="151" priority="72" operator="containsText" text="ENVIADO">
      <formula>NOT(ISERROR(SEARCH("ENVIADO",W64)))</formula>
    </cfRule>
  </conditionalFormatting>
  <conditionalFormatting sqref="W117:W221">
    <cfRule type="containsText" dxfId="150" priority="73" operator="containsText" text="EN PROCESO">
      <formula>NOT(ISERROR(SEARCH("EN PROCESO",W117)))</formula>
    </cfRule>
    <cfRule type="containsText" dxfId="149" priority="74" operator="containsText" text="ENVIADO">
      <formula>NOT(ISERROR(SEARCH("ENVIADO",W117)))</formula>
    </cfRule>
  </conditionalFormatting>
  <conditionalFormatting sqref="W228:W237">
    <cfRule type="containsText" dxfId="148" priority="75" operator="containsText" text="EN PROCESO">
      <formula>NOT(ISERROR(SEARCH("EN PROCESO",W228)))</formula>
    </cfRule>
    <cfRule type="containsText" dxfId="147" priority="76" operator="containsText" text="ENVIADO">
      <formula>NOT(ISERROR(SEARCH("ENVIADO",W228)))</formula>
    </cfRule>
  </conditionalFormatting>
  <conditionalFormatting sqref="W239:W240">
    <cfRule type="containsText" dxfId="146" priority="77" operator="containsText" text="EN PROCESO">
      <formula>NOT(ISERROR(SEARCH("EN PROCESO",W239)))</formula>
    </cfRule>
    <cfRule type="containsText" dxfId="145" priority="78" operator="containsText" text="ENVIADO">
      <formula>NOT(ISERROR(SEARCH("ENVIADO",W239)))</formula>
    </cfRule>
  </conditionalFormatting>
  <conditionalFormatting sqref="W276:W290">
    <cfRule type="containsText" dxfId="144" priority="79" operator="containsText" text="EN PROCESO">
      <formula>NOT(ISERROR(SEARCH("EN PROCESO",W276)))</formula>
    </cfRule>
    <cfRule type="containsText" dxfId="143" priority="80" operator="containsText" text="ENVIADO">
      <formula>NOT(ISERROR(SEARCH("ENVIADO",W276)))</formula>
    </cfRule>
  </conditionalFormatting>
  <conditionalFormatting sqref="W293">
    <cfRule type="containsText" dxfId="142" priority="31" operator="containsText" text="EN PROCESO">
      <formula>NOT(ISERROR(SEARCH("EN PROCESO",W293)))</formula>
    </cfRule>
    <cfRule type="containsText" dxfId="141" priority="32" operator="containsText" text="ENVIADO">
      <formula>NOT(ISERROR(SEARCH("ENVIADO",W293)))</formula>
    </cfRule>
    <cfRule type="containsText" dxfId="140" priority="33" operator="containsText" text="EN PROCESO">
      <formula>NOT(ISERROR(SEARCH("EN PROCESO",W293)))</formula>
    </cfRule>
    <cfRule type="containsText" dxfId="139" priority="34" operator="containsText" text="ENVIADO">
      <formula>NOT(ISERROR(SEARCH("ENVIADO",W293)))</formula>
    </cfRule>
  </conditionalFormatting>
  <conditionalFormatting sqref="W300">
    <cfRule type="containsText" dxfId="138" priority="81" operator="containsText" text="EN PROCESO">
      <formula>NOT(ISERROR(SEARCH("EN PROCESO",W300)))</formula>
    </cfRule>
    <cfRule type="containsText" dxfId="137" priority="82" operator="containsText" text="ENVIADO">
      <formula>NOT(ISERROR(SEARCH("ENVIADO",W300)))</formula>
    </cfRule>
  </conditionalFormatting>
  <conditionalFormatting sqref="W314:W327">
    <cfRule type="containsText" dxfId="136" priority="83" operator="containsText" text="EN PROCESO">
      <formula>NOT(ISERROR(SEARCH("EN PROCESO",W314)))</formula>
    </cfRule>
    <cfRule type="containsText" dxfId="135" priority="84" operator="containsText" text="ENVIADO">
      <formula>NOT(ISERROR(SEARCH("ENVIADO",W314)))</formula>
    </cfRule>
  </conditionalFormatting>
  <conditionalFormatting sqref="W337:W407">
    <cfRule type="containsText" dxfId="134" priority="85" operator="containsText" text="EN PROCESO">
      <formula>NOT(ISERROR(SEARCH("EN PROCESO",W337)))</formula>
    </cfRule>
    <cfRule type="containsText" dxfId="133" priority="86" operator="containsText" text="ENVIADO">
      <formula>NOT(ISERROR(SEARCH("ENVIADO",W337)))</formula>
    </cfRule>
  </conditionalFormatting>
  <conditionalFormatting sqref="W409:W521">
    <cfRule type="containsText" dxfId="132" priority="87" operator="containsText" text="EN PROCESO">
      <formula>NOT(ISERROR(SEARCH("EN PROCESO",W409)))</formula>
    </cfRule>
    <cfRule type="containsText" dxfId="131" priority="88" operator="containsText" text="ENVIADO">
      <formula>NOT(ISERROR(SEARCH("ENVIADO",W409)))</formula>
    </cfRule>
  </conditionalFormatting>
  <conditionalFormatting sqref="W521">
    <cfRule type="containsText" dxfId="130" priority="89" operator="containsText" text="EN PROCESO">
      <formula>NOT(ISERROR(SEARCH("EN PROCESO",W521)))</formula>
    </cfRule>
    <cfRule type="containsText" dxfId="129" priority="90" operator="containsText" text="ENVIADO">
      <formula>NOT(ISERROR(SEARCH("ENVIADO",W521)))</formula>
    </cfRule>
    <cfRule type="containsText" dxfId="128" priority="91" operator="containsText" text="EN PROCESO">
      <formula>NOT(ISERROR(SEARCH("EN PROCESO",W521)))</formula>
    </cfRule>
    <cfRule type="containsText" dxfId="127" priority="92" operator="containsText" text="ENVIADO">
      <formula>NOT(ISERROR(SEARCH("ENVIADO",W521)))</formula>
    </cfRule>
  </conditionalFormatting>
  <conditionalFormatting sqref="W521:W544">
    <cfRule type="containsText" dxfId="126" priority="93" operator="containsText" text="EN PROCESO">
      <formula>NOT(ISERROR(SEARCH("EN PROCESO",W521)))</formula>
    </cfRule>
    <cfRule type="containsText" dxfId="125" priority="94" operator="containsText" text="ENVIADO">
      <formula>NOT(ISERROR(SEARCH("ENVIADO",W521)))</formula>
    </cfRule>
  </conditionalFormatting>
  <conditionalFormatting sqref="W544:W590">
    <cfRule type="containsText" dxfId="124" priority="95" operator="containsText" text="EN PROCESO">
      <formula>NOT(ISERROR(SEARCH("EN PROCESO",W544)))</formula>
    </cfRule>
    <cfRule type="containsText" dxfId="123" priority="96" operator="containsText" text="ENVIADO">
      <formula>NOT(ISERROR(SEARCH("ENVIADO",W544)))</formula>
    </cfRule>
  </conditionalFormatting>
  <conditionalFormatting sqref="W565">
    <cfRule type="containsText" dxfId="122" priority="35" operator="containsText" text="EN PROCESO">
      <formula>NOT(ISERROR(SEARCH("EN PROCESO",W565)))</formula>
    </cfRule>
    <cfRule type="containsText" dxfId="121" priority="36" operator="containsText" text="ENVIADO">
      <formula>NOT(ISERROR(SEARCH("ENVIADO",W565)))</formula>
    </cfRule>
    <cfRule type="containsText" dxfId="120" priority="37" operator="containsText" text="EN PROCESO">
      <formula>NOT(ISERROR(SEARCH("EN PROCESO",W565)))</formula>
    </cfRule>
    <cfRule type="containsText" dxfId="119" priority="38" operator="containsText" text="ENVIADO">
      <formula>NOT(ISERROR(SEARCH("ENVIADO",W565)))</formula>
    </cfRule>
  </conditionalFormatting>
  <conditionalFormatting sqref="W591:W613">
    <cfRule type="containsText" dxfId="118" priority="115" operator="containsText" text="EN PROCESO">
      <formula>NOT(ISERROR(SEARCH("EN PROCESO",W591)))</formula>
    </cfRule>
    <cfRule type="containsText" dxfId="117" priority="116" operator="containsText" text="ENVIADO">
      <formula>NOT(ISERROR(SEARCH("ENVIADO",W591)))</formula>
    </cfRule>
  </conditionalFormatting>
  <conditionalFormatting sqref="W2:X609 W610 X610:X613 U611">
    <cfRule type="containsText" dxfId="116" priority="102" operator="containsText" text="ENVIADO">
      <formula>NOT(ISERROR(SEARCH("ENVIADO",U2)))</formula>
    </cfRule>
  </conditionalFormatting>
  <conditionalFormatting sqref="W2:X609 X610:X613 W610 U611">
    <cfRule type="containsText" dxfId="115" priority="101" operator="containsText" text="EN PROCESO">
      <formula>NOT(ISERROR(SEARCH("EN PROCESO",U2)))</formula>
    </cfRule>
  </conditionalFormatting>
  <conditionalFormatting sqref="W242:X264">
    <cfRule type="containsText" dxfId="114" priority="63" operator="containsText" text="EN PROCESO">
      <formula>NOT(ISERROR(SEARCH("EN PROCESO",W242)))</formula>
    </cfRule>
    <cfRule type="containsText" dxfId="113" priority="64" operator="containsText" text="ENVIADO">
      <formula>NOT(ISERROR(SEARCH("ENVIADO",W242)))</formula>
    </cfRule>
  </conditionalFormatting>
  <conditionalFormatting sqref="X2:X240">
    <cfRule type="containsText" dxfId="112" priority="67" operator="containsText" text="EN PROCESO">
      <formula>NOT(ISERROR(SEARCH("EN PROCESO",X2)))</formula>
    </cfRule>
    <cfRule type="containsText" dxfId="111" priority="68" operator="containsText" text="ENVIADO">
      <formula>NOT(ISERROR(SEARCH("ENVIADO",X2)))</formula>
    </cfRule>
  </conditionalFormatting>
  <conditionalFormatting sqref="X41:X43">
    <cfRule type="containsText" dxfId="110" priority="41" operator="containsText" text="EN PROCESO">
      <formula>NOT(ISERROR(SEARCH("EN PROCESO",X41)))</formula>
    </cfRule>
    <cfRule type="containsText" dxfId="109" priority="42" operator="containsText" text="ENVIADO">
      <formula>NOT(ISERROR(SEARCH("ENVIADO",X41)))</formula>
    </cfRule>
    <cfRule type="containsText" dxfId="108" priority="43" operator="containsText" text="EN PROCESO">
      <formula>NOT(ISERROR(SEARCH("EN PROCESO",X41)))</formula>
    </cfRule>
    <cfRule type="containsText" dxfId="107" priority="44" operator="containsText" text="ENVIADO">
      <formula>NOT(ISERROR(SEARCH("ENVIADO",X41)))</formula>
    </cfRule>
    <cfRule type="containsText" dxfId="106" priority="45" operator="containsText" text="EN PROCESO">
      <formula>NOT(ISERROR(SEARCH("EN PROCESO",X41)))</formula>
    </cfRule>
    <cfRule type="containsText" dxfId="105" priority="46" operator="containsText" text="ENVIADO">
      <formula>NOT(ISERROR(SEARCH("ENVIADO",X41)))</formula>
    </cfRule>
    <cfRule type="containsText" dxfId="104" priority="47" operator="containsText" text="EN PROCESO">
      <formula>NOT(ISERROR(SEARCH("EN PROCESO",X41)))</formula>
    </cfRule>
    <cfRule type="containsText" dxfId="103" priority="48" operator="containsText" text="ENVIADO">
      <formula>NOT(ISERROR(SEARCH("ENVIADO",X41)))</formula>
    </cfRule>
  </conditionalFormatting>
  <conditionalFormatting sqref="X46 X63">
    <cfRule type="containsText" dxfId="102" priority="21" operator="containsText" text="EN PROCESO">
      <formula>NOT(ISERROR(SEARCH("EN PROCESO",X46)))</formula>
    </cfRule>
    <cfRule type="containsText" dxfId="101" priority="22" operator="containsText" text="ENVIADO">
      <formula>NOT(ISERROR(SEARCH("ENVIADO",X46)))</formula>
    </cfRule>
    <cfRule type="containsText" dxfId="100" priority="23" operator="containsText" text="EN PROCESO">
      <formula>NOT(ISERROR(SEARCH("EN PROCESO",X46)))</formula>
    </cfRule>
    <cfRule type="containsText" dxfId="99" priority="24" operator="containsText" text="ENVIADO">
      <formula>NOT(ISERROR(SEARCH("ENVIADO",X46)))</formula>
    </cfRule>
  </conditionalFormatting>
  <conditionalFormatting sqref="X240:X264">
    <cfRule type="containsText" dxfId="98" priority="65" operator="containsText" text="EN PROCESO">
      <formula>NOT(ISERROR(SEARCH("EN PROCESO",X240)))</formula>
    </cfRule>
    <cfRule type="containsText" dxfId="97" priority="66" operator="containsText" text="ENVIADO">
      <formula>NOT(ISERROR(SEARCH("ENVIADO",X240)))</formula>
    </cfRule>
  </conditionalFormatting>
  <conditionalFormatting sqref="X265:X275">
    <cfRule type="containsText" dxfId="96" priority="61" operator="containsText" text="EN PROCESO">
      <formula>NOT(ISERROR(SEARCH("EN PROCESO",X265)))</formula>
    </cfRule>
    <cfRule type="containsText" dxfId="95" priority="62" operator="containsText" text="ENVIADO">
      <formula>NOT(ISERROR(SEARCH("ENVIADO",X265)))</formula>
    </cfRule>
  </conditionalFormatting>
  <conditionalFormatting sqref="X265:X276">
    <cfRule type="containsText" dxfId="94" priority="59" operator="containsText" text="EN PROCESO">
      <formula>NOT(ISERROR(SEARCH("EN PROCESO",X265)))</formula>
    </cfRule>
    <cfRule type="containsText" dxfId="93" priority="60" operator="containsText" text="ENVIADO">
      <formula>NOT(ISERROR(SEARCH("ENVIADO",X265)))</formula>
    </cfRule>
  </conditionalFormatting>
  <conditionalFormatting sqref="X276">
    <cfRule type="containsText" dxfId="92" priority="57" operator="containsText" text="EN PROCESO">
      <formula>NOT(ISERROR(SEARCH("EN PROCESO",X276)))</formula>
    </cfRule>
    <cfRule type="containsText" dxfId="91" priority="58" operator="containsText" text="ENVIADO">
      <formula>NOT(ISERROR(SEARCH("ENVIADO",X276)))</formula>
    </cfRule>
  </conditionalFormatting>
  <conditionalFormatting sqref="X276:X613">
    <cfRule type="containsText" dxfId="90" priority="53" operator="containsText" text="EN PROCESO">
      <formula>NOT(ISERROR(SEARCH("EN PROCESO",X276)))</formula>
    </cfRule>
    <cfRule type="containsText" dxfId="89" priority="54" operator="containsText" text="ENVIADO">
      <formula>NOT(ISERROR(SEARCH("ENVIADO",X276)))</formula>
    </cfRule>
    <cfRule type="containsText" dxfId="88" priority="55" operator="containsText" text="EN PROCESO">
      <formula>NOT(ISERROR(SEARCH("EN PROCESO",X276)))</formula>
    </cfRule>
    <cfRule type="containsText" dxfId="87" priority="56" operator="containsText" text="ENVIADO">
      <formula>NOT(ISERROR(SEARCH("ENVIADO",X276)))</formula>
    </cfRule>
  </conditionalFormatting>
  <conditionalFormatting sqref="X291">
    <cfRule type="containsText" dxfId="86" priority="49" operator="containsText" text="EN PROCESO">
      <formula>NOT(ISERROR(SEARCH("EN PROCESO",X291)))</formula>
    </cfRule>
    <cfRule type="containsText" dxfId="85" priority="50" operator="containsText" text="ENVIADO">
      <formula>NOT(ISERROR(SEARCH("ENVIADO",X291)))</formula>
    </cfRule>
    <cfRule type="containsText" dxfId="84" priority="51" operator="containsText" text="EN PROCESO">
      <formula>NOT(ISERROR(SEARCH("EN PROCESO",X291)))</formula>
    </cfRule>
    <cfRule type="containsText" dxfId="83" priority="52" operator="containsText" text="ENVIADO">
      <formula>NOT(ISERROR(SEARCH("ENVIADO",X291)))</formula>
    </cfRule>
  </conditionalFormatting>
  <conditionalFormatting sqref="X298">
    <cfRule type="containsText" dxfId="82" priority="39" operator="containsText" text="EN PROCESO">
      <formula>NOT(ISERROR(SEARCH("EN PROCESO",X298)))</formula>
    </cfRule>
    <cfRule type="containsText" dxfId="81" priority="40" operator="containsText" text="ENVIADO">
      <formula>NOT(ISERROR(SEARCH("ENVIADO",X298)))</formula>
    </cfRule>
  </conditionalFormatting>
  <conditionalFormatting sqref="Y2:Y610 V611">
    <cfRule type="containsText" dxfId="80" priority="99" operator="containsText" text="CONCLUIDAS">
      <formula>NOT(ISERROR(SEARCH("CONCLUIDAS",V2)))</formula>
    </cfRule>
    <cfRule type="containsText" dxfId="79" priority="100" operator="containsText" text="PROGRAMADAS">
      <formula>NOT(ISERROR(SEARCH("PROGRAMADAS",V2)))</formula>
    </cfRule>
  </conditionalFormatting>
  <conditionalFormatting sqref="Y612:Y613">
    <cfRule type="containsText" dxfId="78" priority="112" operator="containsText" text="CONCLUIDAS">
      <formula>NOT(ISERROR(SEARCH("CONCLUIDAS",Y612)))</formula>
    </cfRule>
    <cfRule type="containsText" dxfId="77" priority="113" operator="containsText" text="PROGRAMADAS">
      <formula>NOT(ISERROR(SEARCH("PROGRAMADAS",Y612)))</formula>
    </cfRule>
  </conditionalFormatting>
  <conditionalFormatting sqref="Z2:AA610 W611 Y611:AA611">
    <cfRule type="containsText" dxfId="76" priority="97" operator="containsText" text="SI">
      <formula>NOT(ISERROR(SEARCH("SI",W2)))</formula>
    </cfRule>
    <cfRule type="containsText" dxfId="75" priority="98" operator="containsText" text="NO">
      <formula>NOT(ISERROR(SEARCH("NO",W2)))</formula>
    </cfRule>
  </conditionalFormatting>
  <conditionalFormatting sqref="Z612:AA613">
    <cfRule type="containsText" dxfId="74" priority="110" operator="containsText" text="SI">
      <formula>NOT(ISERROR(SEARCH("SI",Z612)))</formula>
    </cfRule>
    <cfRule type="containsText" dxfId="73" priority="111" operator="containsText" text="NO">
      <formula>NOT(ISERROR(SEARCH("NO",Z612)))</formula>
    </cfRule>
  </conditionalFormatting>
  <conditionalFormatting sqref="Q611">
    <cfRule type="containsText" dxfId="72" priority="17" operator="containsText" text="ENVIADO A TICS">
      <formula>NOT(ISERROR(SEARCH("ENVIADO A TICS",Q611)))</formula>
    </cfRule>
    <cfRule type="containsText" dxfId="71" priority="18" operator="containsText" text="ENTREGADO/REVISIÓN">
      <formula>NOT(ISERROR(SEARCH("ENTREGADO/REVISIÓN",Q611)))</formula>
    </cfRule>
    <cfRule type="containsText" dxfId="70" priority="19" operator="containsText" text="ENVIADO A LA CE/UM">
      <formula>NOT(ISERROR(SEARCH("ENVIADO A LA CE/UM",Q611)))</formula>
    </cfRule>
  </conditionalFormatting>
  <conditionalFormatting sqref="R611">
    <cfRule type="containsText" dxfId="69" priority="16" operator="containsText" text="EN PROCESO">
      <formula>NOT(ISERROR(SEARCH("EN PROCESO",R611)))</formula>
    </cfRule>
  </conditionalFormatting>
  <conditionalFormatting sqref="R611">
    <cfRule type="containsText" dxfId="68" priority="20" operator="containsText" text="CONCLUIDO">
      <formula>NOT(ISERROR(SEARCH("CONCLUIDO",R611)))</formula>
    </cfRule>
  </conditionalFormatting>
  <conditionalFormatting sqref="AC2:AC613">
    <cfRule type="dataBar" priority="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1">
    <cfRule type="containsText" dxfId="10" priority="8" operator="containsText" text="ENVIADO A TICS">
      <formula>NOT(ISERROR(SEARCH("ENVIADO A TICS",S1)))</formula>
    </cfRule>
    <cfRule type="containsText" dxfId="11" priority="9" operator="containsText" text="ENTREGADO/REVISIÓN">
      <formula>NOT(ISERROR(SEARCH("ENTREGADO/REVISIÓN",S1)))</formula>
    </cfRule>
    <cfRule type="containsText" dxfId="12" priority="10" operator="containsText" text="ENVIADO A LA CE/UM">
      <formula>NOT(ISERROR(SEARCH("ENVIADO A LA CE/UM",S1)))</formula>
    </cfRule>
  </conditionalFormatting>
  <conditionalFormatting sqref="T1">
    <cfRule type="containsText" dxfId="9" priority="7" operator="containsText" text="EN PROCESO">
      <formula>NOT(ISERROR(SEARCH("EN PROCESO",T1)))</formula>
    </cfRule>
  </conditionalFormatting>
  <conditionalFormatting sqref="T1:X1">
    <cfRule type="containsText" dxfId="8" priority="12" operator="containsText" text="CONCLUIDO">
      <formula>NOT(ISERROR(SEARCH("CONCLUIDO",T1)))</formula>
    </cfRule>
  </conditionalFormatting>
  <conditionalFormatting sqref="U1">
    <cfRule type="containsText" dxfId="7" priority="14" operator="containsText" text="ENVIADO A LA CE/UM">
      <formula>NOT(ISERROR(SEARCH("ENVIADO A LA CE/UM",U1)))</formula>
    </cfRule>
  </conditionalFormatting>
  <conditionalFormatting sqref="U1:V1">
    <cfRule type="containsText" dxfId="6" priority="13" operator="containsText" text="EN REVISIÓN CENTRAL">
      <formula>NOT(ISERROR(SEARCH("EN REVISIÓN CENTRAL",U1)))</formula>
    </cfRule>
  </conditionalFormatting>
  <conditionalFormatting sqref="W1:X1">
    <cfRule type="containsText" dxfId="5" priority="6" operator="containsText" text="ENVIADO">
      <formula>NOT(ISERROR(SEARCH("ENVIADO",W1)))</formula>
    </cfRule>
  </conditionalFormatting>
  <conditionalFormatting sqref="W1:X1">
    <cfRule type="containsText" dxfId="4" priority="5" operator="containsText" text="EN PROCESO">
      <formula>NOT(ISERROR(SEARCH("EN PROCESO",W1)))</formula>
    </cfRule>
  </conditionalFormatting>
  <conditionalFormatting sqref="Y1">
    <cfRule type="containsText" dxfId="2" priority="3" operator="containsText" text="CONCLUIDAS">
      <formula>NOT(ISERROR(SEARCH("CONCLUIDAS",Y1)))</formula>
    </cfRule>
    <cfRule type="containsText" dxfId="3" priority="4" operator="containsText" text="PROGRAMADAS">
      <formula>NOT(ISERROR(SEARCH("PROGRAMADAS",Y1)))</formula>
    </cfRule>
  </conditionalFormatting>
  <conditionalFormatting sqref="Z1:AA1">
    <cfRule type="containsText" dxfId="1" priority="1" operator="containsText" text="SI">
      <formula>NOT(ISERROR(SEARCH("SI",Z1)))</formula>
    </cfRule>
    <cfRule type="containsText" dxfId="0" priority="2" operator="containsText" text="NO">
      <formula>NOT(ISERROR(SEARCH("NO",Z1)))</formula>
    </cfRule>
  </conditionalFormatting>
  <conditionalFormatting sqref="AC1">
    <cfRule type="dataBar" priority="11">
      <dataBar>
        <cfvo type="min"/>
        <cfvo type="max"/>
        <color rgb="FF638EC6"/>
      </dataBar>
      <extLst>
        <ext xmlns:x14="http://schemas.microsoft.com/office/spreadsheetml/2009/9/main" uri="{B025F937-C7B1-47D3-B67F-A62EFF666E3E}">
          <x14:id>{9DE2B163-4BB2-4695-B219-FB3D183629E7}</x14:id>
        </ext>
      </extLst>
    </cfRule>
  </conditionalFormatting>
  <dataValidations count="7">
    <dataValidation type="list" allowBlank="1" showInputMessage="1" showErrorMessage="1" sqref="U611" xr:uid="{42D0F849-91CC-412E-B0C5-0550BE4BB7CC}">
      <formula1>"ENVIADO,EN PROCESO,CONCLUIDO"</formula1>
    </dataValidation>
    <dataValidation type="list" allowBlank="1" showInputMessage="1" showErrorMessage="1" sqref="T611 U612:V613 U2:V610" xr:uid="{33B6368A-6E7A-4551-8490-4492E9EBD76C}">
      <formula1>"ENVIADO A LA CE/UM,EN REVISIÓN CENTRAL,CONCLUIDO"</formula1>
    </dataValidation>
    <dataValidation type="list" allowBlank="1" showInputMessage="1" showErrorMessage="1" sqref="X299:X613 T612:T613 W3:W613 X49:X297 X5 X41:X43 X46 T2:T610 R611" xr:uid="{74D4A7F5-4347-4DA8-860F-00D6BB760884}">
      <formula1>"EN PROCESO,CONCLUIDO"</formula1>
    </dataValidation>
    <dataValidation type="list" allowBlank="1" showInputMessage="1" showErrorMessage="1" sqref="S2:S613 Q611" xr:uid="{A1063536-0466-4212-8F5D-5F8C42D4BD02}">
      <formula1>"ENVIADO A LA CE/UM,ENTREGADO/REVISIÓN,ENVIADO A TICS"</formula1>
    </dataValidation>
    <dataValidation type="list" allowBlank="1" showInputMessage="1" showErrorMessage="1" sqref="V611 Y612:Y613 Y2:Y610" xr:uid="{E8496C59-9E1C-4692-BCB4-A89AF6B1496C}">
      <formula1>"PROGRAMADAS,CONCLUIDAS"</formula1>
    </dataValidation>
    <dataValidation type="list" allowBlank="1" showInputMessage="1" showErrorMessage="1" sqref="Z2:AA610 Z612:AA613 Y611:AA611" xr:uid="{8E634732-2046-4AA5-AAA2-54A948688708}">
      <formula1>"SI,NO"</formula1>
    </dataValidation>
    <dataValidation type="list" allowBlank="1" showInputMessage="1" showErrorMessage="1" sqref="W2:X2 X3:X4 X6:X40 X44:X45 X47:X48 X298" xr:uid="{15671EE9-ABEA-41CC-A23C-526624BE57FD}">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67" priority="27"/>
  </conditionalFormatting>
  <conditionalFormatting sqref="Q611">
    <cfRule type="containsText" dxfId="66" priority="10" operator="containsText" text="ENVIADO A TICS">
      <formula>NOT(ISERROR(SEARCH("ENVIADO A TICS",Q611)))</formula>
    </cfRule>
    <cfRule type="containsText" dxfId="65" priority="11" operator="containsText" text="ENTREGADO/REVISIÓN">
      <formula>NOT(ISERROR(SEARCH("ENTREGADO/REVISIÓN",Q611)))</formula>
    </cfRule>
    <cfRule type="containsText" dxfId="64" priority="12" operator="containsText" text="ENVIADO A LA CE/UM">
      <formula>NOT(ISERROR(SEARCH("ENVIADO A LA CE/UM",Q611)))</formula>
    </cfRule>
  </conditionalFormatting>
  <conditionalFormatting sqref="R611">
    <cfRule type="containsText" dxfId="63" priority="9" operator="containsText" text="EN PROCESO">
      <formula>NOT(ISERROR(SEARCH("EN PROCESO",R611)))</formula>
    </cfRule>
  </conditionalFormatting>
  <conditionalFormatting sqref="R611:U611 T1:W610">
    <cfRule type="containsText" dxfId="62" priority="18" operator="containsText" text="CONCLUIDO">
      <formula>NOT(ISERROR(SEARCH("CONCLUIDO",R1)))</formula>
    </cfRule>
  </conditionalFormatting>
  <conditionalFormatting sqref="S1:S610">
    <cfRule type="containsText" dxfId="61" priority="24" operator="containsText" text="ENVIADO A TICS">
      <formula>NOT(ISERROR(SEARCH("ENVIADO A TICS",S1)))</formula>
    </cfRule>
    <cfRule type="containsText" dxfId="60" priority="25" operator="containsText" text="ENTREGADO/REVISIÓN">
      <formula>NOT(ISERROR(SEARCH("ENTREGADO/REVISIÓN",S1)))</formula>
    </cfRule>
    <cfRule type="containsText" dxfId="59" priority="26" operator="containsText" text="ENVIADO A LA CE/UM">
      <formula>NOT(ISERROR(SEARCH("ENVIADO A LA CE/UM",S1)))</formula>
    </cfRule>
  </conditionalFormatting>
  <conditionalFormatting sqref="S611:T611">
    <cfRule type="containsText" dxfId="58" priority="7" operator="containsText" text="EN REVISIÓN CENTRAL">
      <formula>NOT(ISERROR(SEARCH("EN REVISIÓN CENTRAL",S611)))</formula>
    </cfRule>
    <cfRule type="containsText" dxfId="57" priority="8" operator="containsText" text="ENVIADO A LA CE/UM">
      <formula>NOT(ISERROR(SEARCH("ENVIADO A LA CE/UM",S611)))</formula>
    </cfRule>
  </conditionalFormatting>
  <conditionalFormatting sqref="T1:T610">
    <cfRule type="containsText" dxfId="56" priority="23" operator="containsText" text="EN PROCESO">
      <formula>NOT(ISERROR(SEARCH("EN PROCESO",T1)))</formula>
    </cfRule>
  </conditionalFormatting>
  <conditionalFormatting sqref="U1">
    <cfRule type="containsText" dxfId="55" priority="28" operator="containsText" text="ENVIADO A LA CE/UM">
      <formula>NOT(ISERROR(SEARCH("ENVIADO A LA CE/UM",U1)))</formula>
    </cfRule>
  </conditionalFormatting>
  <conditionalFormatting sqref="U611">
    <cfRule type="containsText" dxfId="54" priority="5" operator="containsText" text="EN PROCESO">
      <formula>NOT(ISERROR(SEARCH("EN PROCESO",U611)))</formula>
    </cfRule>
    <cfRule type="containsText" dxfId="53" priority="6" operator="containsText" text="ENVIADO">
      <formula>NOT(ISERROR(SEARCH("ENVIADO",U611)))</formula>
    </cfRule>
  </conditionalFormatting>
  <conditionalFormatting sqref="U1:V610">
    <cfRule type="containsText" dxfId="52" priority="21" operator="containsText" text="EN REVISIÓN CENTRAL">
      <formula>NOT(ISERROR(SEARCH("EN REVISIÓN CENTRAL",U1)))</formula>
    </cfRule>
  </conditionalFormatting>
  <conditionalFormatting sqref="U2:V610">
    <cfRule type="containsText" dxfId="51" priority="22" operator="containsText" text="ENVIADO A LA CE/UM">
      <formula>NOT(ISERROR(SEARCH("ENVIADO A LA CE/UM",U2)))</formula>
    </cfRule>
  </conditionalFormatting>
  <conditionalFormatting sqref="V611">
    <cfRule type="containsText" dxfId="50" priority="3" operator="containsText" text="CONCLUIDAS">
      <formula>NOT(ISERROR(SEARCH("CONCLUIDAS",V611)))</formula>
    </cfRule>
    <cfRule type="containsText" dxfId="49" priority="4" operator="containsText" text="PROGRAMADAS">
      <formula>NOT(ISERROR(SEARCH("PROGRAMADAS",V611)))</formula>
    </cfRule>
  </conditionalFormatting>
  <conditionalFormatting sqref="W1:W610">
    <cfRule type="containsText" dxfId="48" priority="19" operator="containsText" text="EN PROCESO">
      <formula>NOT(ISERROR(SEARCH("EN PROCESO",W1)))</formula>
    </cfRule>
    <cfRule type="containsText" dxfId="47" priority="20" operator="containsText" text="ENVIADO">
      <formula>NOT(ISERROR(SEARCH("ENVIADO",W1)))</formula>
    </cfRule>
  </conditionalFormatting>
  <conditionalFormatting sqref="W611:Z611">
    <cfRule type="containsText" dxfId="46" priority="1" operator="containsText" text="SI">
      <formula>NOT(ISERROR(SEARCH("SI",W611)))</formula>
    </cfRule>
    <cfRule type="containsText" dxfId="45" priority="2" operator="containsText" text="NO">
      <formula>NOT(ISERROR(SEARCH("NO",W611)))</formula>
    </cfRule>
  </conditionalFormatting>
  <conditionalFormatting sqref="X1:X610">
    <cfRule type="containsText" dxfId="44" priority="16" operator="containsText" text="CONCLUIDAS">
      <formula>NOT(ISERROR(SEARCH("CONCLUIDAS",X1)))</formula>
    </cfRule>
    <cfRule type="containsText" dxfId="43" priority="17" operator="containsText" text="PROGRAMADAS">
      <formula>NOT(ISERROR(SEARCH("PROGRAMADAS",X1)))</formula>
    </cfRule>
  </conditionalFormatting>
  <conditionalFormatting sqref="Y1:Z610">
    <cfRule type="containsText" dxfId="42" priority="14" operator="containsText" text="SI">
      <formula>NOT(ISERROR(SEARCH("SI",Y1)))</formula>
    </cfRule>
    <cfRule type="containsText" dxfId="41"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2026-07-03T17:47:47Z</dcterms:modified>
</cp:coreProperties>
</file>