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daniel.jimenez\Documents\dev\implementacion_eds_imb\excel\"/>
    </mc:Choice>
  </mc:AlternateContent>
  <xr:revisionPtr revIDLastSave="0" documentId="13_ncr:1_{F2DB6CBC-692F-4BD6-8C2E-67A85DB3BF80}" xr6:coauthVersionLast="47" xr6:coauthVersionMax="47" xr10:uidLastSave="{00000000-0000-0000-0000-000000000000}"/>
  <bookViews>
    <workbookView xWindow="-30828" yWindow="-108" windowWidth="30936" windowHeight="16776" xr2:uid="{A71EBC0A-EF77-4480-B2A6-100C25EC669C}"/>
  </bookViews>
  <sheets>
    <sheet name="Unidades" sheetId="1" r:id="rId1"/>
    <sheet name="equipamiento" sheetId="4" r:id="rId2"/>
    <sheet name="Hoja2" sheetId="3" r:id="rId3"/>
  </sheets>
  <definedNames>
    <definedName name="_xlnm._FilterDatabase" localSheetId="0" hidden="1">Unidades!$A$1:$AG$614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C2" i="1" l="1"/>
  <c r="AC3" i="1"/>
  <c r="AC4" i="1"/>
  <c r="AC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C37" i="1"/>
  <c r="AC38" i="1"/>
  <c r="AC39" i="1"/>
  <c r="AC40" i="1"/>
  <c r="AC41" i="1"/>
  <c r="AC42" i="1"/>
  <c r="AC43" i="1"/>
  <c r="AC44" i="1"/>
  <c r="AC45" i="1"/>
  <c r="AC46" i="1"/>
  <c r="AC47" i="1"/>
  <c r="AC48" i="1"/>
  <c r="AC49" i="1"/>
  <c r="AC50" i="1"/>
  <c r="AC51" i="1"/>
  <c r="AC52" i="1"/>
  <c r="AC53" i="1"/>
  <c r="AC54" i="1"/>
  <c r="AC55" i="1"/>
  <c r="AC56" i="1"/>
  <c r="AC57" i="1"/>
  <c r="AC58" i="1"/>
  <c r="AC59" i="1"/>
  <c r="AC60" i="1"/>
  <c r="AC61" i="1"/>
  <c r="AC62" i="1"/>
  <c r="AC63" i="1"/>
  <c r="AC64" i="1"/>
  <c r="AC65" i="1"/>
  <c r="AC66" i="1"/>
  <c r="AC67" i="1"/>
  <c r="AC68" i="1"/>
  <c r="AC69" i="1"/>
  <c r="AC70" i="1"/>
  <c r="AC71" i="1"/>
  <c r="AC72" i="1"/>
  <c r="AC73" i="1"/>
  <c r="AC74" i="1"/>
  <c r="AC75" i="1"/>
  <c r="AC76" i="1"/>
  <c r="AC77" i="1"/>
  <c r="AC78" i="1"/>
  <c r="AC79" i="1"/>
  <c r="AC80" i="1"/>
  <c r="AC81" i="1"/>
  <c r="AC82" i="1"/>
  <c r="AC83" i="1"/>
  <c r="AC84" i="1"/>
  <c r="AC85" i="1"/>
  <c r="AC86" i="1"/>
  <c r="AC87" i="1"/>
  <c r="AC88" i="1"/>
  <c r="AC89" i="1"/>
  <c r="AC90" i="1"/>
  <c r="AC91" i="1"/>
  <c r="AC92" i="1"/>
  <c r="AC93" i="1"/>
  <c r="AC94" i="1"/>
  <c r="AC95" i="1"/>
  <c r="AC96" i="1"/>
  <c r="AC97" i="1"/>
  <c r="AC98" i="1"/>
  <c r="AC99" i="1"/>
  <c r="AC100" i="1"/>
  <c r="AC101" i="1"/>
  <c r="AC102" i="1"/>
  <c r="AC103" i="1"/>
  <c r="AC104" i="1"/>
  <c r="AC105" i="1"/>
  <c r="AC106" i="1"/>
  <c r="AC107" i="1"/>
  <c r="AC108" i="1"/>
  <c r="AC109" i="1"/>
  <c r="AC110" i="1"/>
  <c r="AC111" i="1"/>
  <c r="AC112" i="1"/>
  <c r="AC113" i="1"/>
  <c r="AC114" i="1"/>
  <c r="AC115" i="1"/>
  <c r="AC116" i="1"/>
  <c r="AC117" i="1"/>
  <c r="AC118" i="1"/>
  <c r="AC119" i="1"/>
  <c r="AC120" i="1"/>
  <c r="AC121" i="1"/>
  <c r="AC122" i="1"/>
  <c r="AC123" i="1"/>
  <c r="AC124" i="1"/>
  <c r="AC125" i="1"/>
  <c r="AC126" i="1"/>
  <c r="AC127" i="1"/>
  <c r="AC128" i="1"/>
  <c r="AC129" i="1"/>
  <c r="AC130" i="1"/>
  <c r="AC131" i="1"/>
  <c r="AC132" i="1"/>
  <c r="AC133" i="1"/>
  <c r="AC134" i="1"/>
  <c r="AC135" i="1"/>
  <c r="AC136" i="1"/>
  <c r="AC137" i="1"/>
  <c r="AC138" i="1"/>
  <c r="AC139" i="1"/>
  <c r="AC140" i="1"/>
  <c r="AC141" i="1"/>
  <c r="AC142" i="1"/>
  <c r="AC143" i="1"/>
  <c r="AC144" i="1"/>
  <c r="AC145" i="1"/>
  <c r="AC146" i="1"/>
  <c r="AC147" i="1"/>
  <c r="AC148" i="1"/>
  <c r="AC149" i="1"/>
  <c r="AC150" i="1"/>
  <c r="AC151" i="1"/>
  <c r="AC152" i="1"/>
  <c r="AC153" i="1"/>
  <c r="AC154" i="1"/>
  <c r="AC155" i="1"/>
  <c r="AC156" i="1"/>
  <c r="AC157" i="1"/>
  <c r="AC158" i="1"/>
  <c r="AC159" i="1"/>
  <c r="AC160" i="1"/>
  <c r="AC161" i="1"/>
  <c r="AC162" i="1"/>
  <c r="AC163" i="1"/>
  <c r="AC164" i="1"/>
  <c r="AC165" i="1"/>
  <c r="AC166" i="1"/>
  <c r="AC167" i="1"/>
  <c r="AC168" i="1"/>
  <c r="AC169" i="1"/>
  <c r="AC170" i="1"/>
  <c r="AC171" i="1"/>
  <c r="AC172" i="1"/>
  <c r="AC173" i="1"/>
  <c r="AC174" i="1"/>
  <c r="AC175" i="1"/>
  <c r="AC176" i="1"/>
  <c r="AC177" i="1"/>
  <c r="AC178" i="1"/>
  <c r="AC179" i="1"/>
  <c r="AC180" i="1"/>
  <c r="AC181" i="1"/>
  <c r="AC182" i="1"/>
  <c r="AC183" i="1"/>
  <c r="AC184" i="1"/>
  <c r="AC185" i="1"/>
  <c r="AC186" i="1"/>
  <c r="AC187" i="1"/>
  <c r="AC188" i="1"/>
  <c r="AC189" i="1"/>
  <c r="AC190" i="1"/>
  <c r="AC191" i="1"/>
  <c r="AC192" i="1"/>
  <c r="AC193" i="1"/>
  <c r="AC194" i="1"/>
  <c r="AC195" i="1"/>
  <c r="AC196" i="1"/>
  <c r="AC197" i="1"/>
  <c r="AC198" i="1"/>
  <c r="AC199" i="1"/>
  <c r="AC200" i="1"/>
  <c r="AC201" i="1"/>
  <c r="AC202" i="1"/>
  <c r="AC203" i="1"/>
  <c r="AC204" i="1"/>
  <c r="AC205" i="1"/>
  <c r="AC206" i="1"/>
  <c r="AC207" i="1"/>
  <c r="AC208" i="1"/>
  <c r="AC209" i="1"/>
  <c r="AC210" i="1"/>
  <c r="AC211" i="1"/>
  <c r="AC212" i="1"/>
  <c r="AC213" i="1"/>
  <c r="AC214" i="1"/>
  <c r="AC215" i="1"/>
  <c r="AC216" i="1"/>
  <c r="AC217" i="1"/>
  <c r="AC218" i="1"/>
  <c r="AC219" i="1"/>
  <c r="AC220" i="1"/>
  <c r="AC221" i="1"/>
  <c r="AC222" i="1"/>
  <c r="AC223" i="1"/>
  <c r="AC225" i="1"/>
  <c r="AC226" i="1"/>
  <c r="AC227" i="1"/>
  <c r="AC228" i="1"/>
  <c r="AC229" i="1"/>
  <c r="AC230" i="1"/>
  <c r="AC231" i="1"/>
  <c r="AC232" i="1"/>
  <c r="AC233" i="1"/>
  <c r="AC234" i="1"/>
  <c r="AC235" i="1"/>
  <c r="AC236" i="1"/>
  <c r="AC237" i="1"/>
  <c r="AC238" i="1"/>
  <c r="AC239" i="1"/>
  <c r="AC240" i="1"/>
  <c r="AC241" i="1"/>
  <c r="AC242" i="1"/>
  <c r="AC243" i="1"/>
  <c r="AC244" i="1"/>
  <c r="AC245" i="1"/>
  <c r="AC246" i="1"/>
  <c r="AC247" i="1"/>
  <c r="AC248" i="1"/>
  <c r="AC249" i="1"/>
  <c r="AC250" i="1"/>
  <c r="AC251" i="1"/>
  <c r="AC252" i="1"/>
  <c r="AC253" i="1"/>
  <c r="AC254" i="1"/>
  <c r="AC255" i="1"/>
  <c r="AC256" i="1"/>
  <c r="AC257" i="1"/>
  <c r="AC258" i="1"/>
  <c r="AC259" i="1"/>
  <c r="AC260" i="1"/>
  <c r="AC261" i="1"/>
  <c r="AC262" i="1"/>
  <c r="AC263" i="1"/>
  <c r="AC264" i="1"/>
  <c r="AC265" i="1"/>
  <c r="AC266" i="1"/>
  <c r="AC267" i="1"/>
  <c r="AC268" i="1"/>
  <c r="AC269" i="1"/>
  <c r="AC270" i="1"/>
  <c r="AC271" i="1"/>
  <c r="AC272" i="1"/>
  <c r="AC273" i="1"/>
  <c r="AC274" i="1"/>
  <c r="AC275" i="1"/>
  <c r="AC276" i="1"/>
  <c r="AC277" i="1"/>
  <c r="AC278" i="1"/>
  <c r="AC279" i="1"/>
  <c r="AC280" i="1"/>
  <c r="AC281" i="1"/>
  <c r="AC282" i="1"/>
  <c r="AC283" i="1"/>
  <c r="AC284" i="1"/>
  <c r="AC285" i="1"/>
  <c r="AC286" i="1"/>
  <c r="AC287" i="1"/>
  <c r="AC288" i="1"/>
  <c r="AC289" i="1"/>
  <c r="AC290" i="1"/>
  <c r="AC291" i="1"/>
  <c r="AC292" i="1"/>
  <c r="AC293" i="1"/>
  <c r="AC294" i="1"/>
  <c r="AC295" i="1"/>
  <c r="AC296" i="1"/>
  <c r="AC297" i="1"/>
  <c r="AC298" i="1"/>
  <c r="AC299" i="1"/>
  <c r="AC300" i="1"/>
  <c r="AC301" i="1"/>
  <c r="AC302" i="1"/>
  <c r="AC303" i="1"/>
  <c r="AC304" i="1"/>
  <c r="AC305" i="1"/>
  <c r="AC306" i="1"/>
  <c r="AC307" i="1"/>
  <c r="AC308" i="1"/>
  <c r="AC309" i="1"/>
  <c r="AC310" i="1"/>
  <c r="AC311" i="1"/>
  <c r="AC312" i="1"/>
  <c r="AC313" i="1"/>
  <c r="AC314" i="1"/>
  <c r="AC315" i="1"/>
  <c r="AC316" i="1"/>
  <c r="AC317" i="1"/>
  <c r="AC318" i="1"/>
  <c r="AC319" i="1"/>
  <c r="AC320" i="1"/>
  <c r="AC321" i="1"/>
  <c r="AC322" i="1"/>
  <c r="AC323" i="1"/>
  <c r="AC324" i="1"/>
  <c r="AC325" i="1"/>
  <c r="AC326" i="1"/>
  <c r="AC327" i="1"/>
  <c r="AC328" i="1"/>
  <c r="AC329" i="1"/>
  <c r="AC330" i="1"/>
  <c r="AC331" i="1"/>
  <c r="AC332" i="1"/>
  <c r="AC333" i="1"/>
  <c r="AC334" i="1"/>
  <c r="AC335" i="1"/>
  <c r="AC336" i="1"/>
  <c r="AC337" i="1"/>
  <c r="AC338" i="1"/>
  <c r="AC339" i="1"/>
  <c r="AC340" i="1"/>
  <c r="AC341" i="1"/>
  <c r="AC342" i="1"/>
  <c r="AC343" i="1"/>
  <c r="AC344" i="1"/>
  <c r="AC345" i="1"/>
  <c r="AC346" i="1"/>
  <c r="AC347" i="1"/>
  <c r="AC348" i="1"/>
  <c r="AC349" i="1"/>
  <c r="AC350" i="1"/>
  <c r="AC351" i="1"/>
  <c r="AC352" i="1"/>
  <c r="AC353" i="1"/>
  <c r="AC354" i="1"/>
  <c r="AC355" i="1"/>
  <c r="AC356" i="1"/>
  <c r="AC357" i="1"/>
  <c r="AC358" i="1"/>
  <c r="AC359" i="1"/>
  <c r="AC360" i="1"/>
  <c r="AC361" i="1"/>
  <c r="AC362" i="1"/>
  <c r="AC363" i="1"/>
  <c r="AC364" i="1"/>
  <c r="AC365" i="1"/>
  <c r="AC366" i="1"/>
  <c r="AC367" i="1"/>
  <c r="AC368" i="1"/>
  <c r="AC369" i="1"/>
  <c r="AC370" i="1"/>
  <c r="AC371" i="1"/>
  <c r="AC372" i="1"/>
  <c r="AC373" i="1"/>
  <c r="AC374" i="1"/>
  <c r="AC375" i="1"/>
  <c r="AC376" i="1"/>
  <c r="AC377" i="1"/>
  <c r="AC378" i="1"/>
  <c r="AC379" i="1"/>
  <c r="AC380" i="1"/>
  <c r="AC381" i="1"/>
  <c r="AC382" i="1"/>
  <c r="AC383" i="1"/>
  <c r="AC384" i="1"/>
  <c r="AC385" i="1"/>
  <c r="AC386" i="1"/>
  <c r="AC387" i="1"/>
  <c r="AC388" i="1"/>
  <c r="AC389" i="1"/>
  <c r="AC390" i="1"/>
  <c r="AC391" i="1"/>
  <c r="AC392" i="1"/>
  <c r="AC393" i="1"/>
  <c r="AC394" i="1"/>
  <c r="AC395" i="1"/>
  <c r="AC396" i="1"/>
  <c r="AC397" i="1"/>
  <c r="AC398" i="1"/>
  <c r="AC399" i="1"/>
  <c r="AC400" i="1"/>
  <c r="AC401" i="1"/>
  <c r="AC402" i="1"/>
  <c r="AC403" i="1"/>
  <c r="AC404" i="1"/>
  <c r="AC405" i="1"/>
  <c r="AC406" i="1"/>
  <c r="AC407" i="1"/>
  <c r="AC408" i="1"/>
  <c r="AC409" i="1"/>
  <c r="AC410" i="1"/>
  <c r="AC411" i="1"/>
  <c r="AC412" i="1"/>
  <c r="AC413" i="1"/>
  <c r="AC414" i="1"/>
  <c r="AC415" i="1"/>
  <c r="AC416" i="1"/>
  <c r="AC417" i="1"/>
  <c r="AC418" i="1"/>
  <c r="AC419" i="1"/>
  <c r="AC420" i="1"/>
  <c r="AC421" i="1"/>
  <c r="AC422" i="1"/>
  <c r="AC423" i="1"/>
  <c r="AC424" i="1"/>
  <c r="AC425" i="1"/>
  <c r="AC426" i="1"/>
  <c r="AC427" i="1"/>
  <c r="AC428" i="1"/>
  <c r="AC429" i="1"/>
  <c r="AC430" i="1"/>
  <c r="AC431" i="1"/>
  <c r="AC432" i="1"/>
  <c r="AC433" i="1"/>
  <c r="AC434" i="1"/>
  <c r="AC435" i="1"/>
  <c r="AC436" i="1"/>
  <c r="AC437" i="1"/>
  <c r="AC438" i="1"/>
  <c r="AC439" i="1"/>
  <c r="AC440" i="1"/>
  <c r="AC441" i="1"/>
  <c r="AC442" i="1"/>
  <c r="AC443" i="1"/>
  <c r="AC444" i="1"/>
  <c r="AC445" i="1"/>
  <c r="AC446" i="1"/>
  <c r="AC447" i="1"/>
  <c r="AC448" i="1"/>
  <c r="AC449" i="1"/>
  <c r="AC450" i="1"/>
  <c r="AC451" i="1"/>
  <c r="AC452" i="1"/>
  <c r="AC453" i="1"/>
  <c r="AC454" i="1"/>
  <c r="AC455" i="1"/>
  <c r="AC456" i="1"/>
  <c r="AC457" i="1"/>
  <c r="AC458" i="1"/>
  <c r="AC459" i="1"/>
  <c r="AC460" i="1"/>
  <c r="AC461" i="1"/>
  <c r="AC462" i="1"/>
  <c r="AC463" i="1"/>
  <c r="AC464" i="1"/>
  <c r="AC465" i="1"/>
  <c r="AC466" i="1"/>
  <c r="AC467" i="1"/>
  <c r="AC468" i="1"/>
  <c r="AC469" i="1"/>
  <c r="AC470" i="1"/>
  <c r="AC471" i="1"/>
  <c r="AC472" i="1"/>
  <c r="AC473" i="1"/>
  <c r="AC474" i="1"/>
  <c r="AC475" i="1"/>
  <c r="AC476" i="1"/>
  <c r="AC477" i="1"/>
  <c r="AC478" i="1"/>
  <c r="AC479" i="1"/>
  <c r="AC480" i="1"/>
  <c r="AC481" i="1"/>
  <c r="AC482" i="1"/>
  <c r="AC483" i="1"/>
  <c r="AC484" i="1"/>
  <c r="AC485" i="1"/>
  <c r="AC486" i="1"/>
  <c r="AC487" i="1"/>
  <c r="AC488" i="1"/>
  <c r="AC489" i="1"/>
  <c r="AC490" i="1"/>
  <c r="AC491" i="1"/>
  <c r="AC492" i="1"/>
  <c r="AC493" i="1"/>
  <c r="AC494" i="1"/>
  <c r="AC495" i="1"/>
  <c r="AC496" i="1"/>
  <c r="AC497" i="1"/>
  <c r="AC498" i="1"/>
  <c r="AC499" i="1"/>
  <c r="AC500" i="1"/>
  <c r="AC501" i="1"/>
  <c r="AC502" i="1"/>
  <c r="AC503" i="1"/>
  <c r="AC504" i="1"/>
  <c r="AC505" i="1"/>
  <c r="AC506" i="1"/>
  <c r="AC507" i="1"/>
  <c r="AC508" i="1"/>
  <c r="AC509" i="1"/>
  <c r="AC510" i="1"/>
  <c r="AC511" i="1"/>
  <c r="AC512" i="1"/>
  <c r="AC513" i="1"/>
  <c r="AC514" i="1"/>
  <c r="AC515" i="1"/>
  <c r="AC516" i="1"/>
  <c r="AC517" i="1"/>
  <c r="AC518" i="1"/>
  <c r="AC519" i="1"/>
  <c r="AC520" i="1"/>
  <c r="AC521" i="1"/>
  <c r="AC522" i="1"/>
  <c r="AC523" i="1"/>
  <c r="AC524" i="1"/>
  <c r="AC525" i="1"/>
  <c r="AC526" i="1"/>
  <c r="AC527" i="1"/>
  <c r="AC528" i="1"/>
  <c r="AC529" i="1"/>
  <c r="AC530" i="1"/>
  <c r="AC531" i="1"/>
  <c r="AC532" i="1"/>
  <c r="AC533" i="1"/>
  <c r="AC534" i="1"/>
  <c r="AC535" i="1"/>
  <c r="AC536" i="1"/>
  <c r="AC537" i="1"/>
  <c r="AC538" i="1"/>
  <c r="AC539" i="1"/>
  <c r="AC540" i="1"/>
  <c r="AC541" i="1"/>
  <c r="AC542" i="1"/>
  <c r="AC543" i="1"/>
  <c r="AC544" i="1"/>
  <c r="AC545" i="1"/>
  <c r="AC546" i="1"/>
  <c r="AC547" i="1"/>
  <c r="AC548" i="1"/>
  <c r="AC549" i="1"/>
  <c r="AC550" i="1"/>
  <c r="AC551" i="1"/>
  <c r="AC552" i="1"/>
  <c r="AC553" i="1"/>
  <c r="AC554" i="1"/>
  <c r="AC555" i="1"/>
  <c r="AC556" i="1"/>
  <c r="AC557" i="1"/>
  <c r="AC558" i="1"/>
  <c r="AC559" i="1"/>
  <c r="AC560" i="1"/>
  <c r="AC561" i="1"/>
  <c r="AC562" i="1"/>
  <c r="AC563" i="1"/>
  <c r="AC564" i="1"/>
  <c r="AC565" i="1"/>
  <c r="AC566" i="1"/>
  <c r="AC567" i="1"/>
  <c r="AC568" i="1"/>
  <c r="AC569" i="1"/>
  <c r="AC570" i="1"/>
  <c r="AC571" i="1"/>
  <c r="AC572" i="1"/>
  <c r="AC573" i="1"/>
  <c r="AC574" i="1"/>
  <c r="AC575" i="1"/>
  <c r="AC576" i="1"/>
  <c r="AC577" i="1"/>
  <c r="AC578" i="1"/>
  <c r="AC579" i="1"/>
  <c r="AC580" i="1"/>
  <c r="AC581" i="1"/>
  <c r="AC582" i="1"/>
  <c r="AC583" i="1"/>
  <c r="AC584" i="1"/>
  <c r="AC585" i="1"/>
  <c r="AC586" i="1"/>
  <c r="AC587" i="1"/>
  <c r="AC588" i="1"/>
  <c r="AC589" i="1"/>
  <c r="AC590" i="1"/>
  <c r="AC591" i="1"/>
  <c r="AC592" i="1"/>
  <c r="AC593" i="1"/>
  <c r="AC594" i="1"/>
  <c r="AC595" i="1"/>
  <c r="AC596" i="1"/>
  <c r="AC597" i="1"/>
  <c r="AC598" i="1"/>
  <c r="AC599" i="1"/>
  <c r="AC600" i="1"/>
  <c r="AC601" i="1"/>
  <c r="AC602" i="1"/>
  <c r="AC603" i="1"/>
  <c r="AC604" i="1"/>
  <c r="AC605" i="1"/>
  <c r="AC606" i="1"/>
  <c r="AC607" i="1"/>
  <c r="AC608" i="1"/>
  <c r="AC609" i="1"/>
  <c r="AC610" i="1"/>
  <c r="AC611" i="1"/>
  <c r="AC612" i="1"/>
  <c r="AC613" i="1"/>
  <c r="AF2" i="1"/>
  <c r="AF3" i="1"/>
  <c r="AF4" i="1"/>
  <c r="AF5" i="1"/>
  <c r="AF6" i="1"/>
  <c r="AF7" i="1"/>
  <c r="AF8" i="1"/>
  <c r="AF9" i="1"/>
  <c r="AF10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AF34" i="1"/>
  <c r="AF35" i="1"/>
  <c r="AF36" i="1"/>
  <c r="AF37" i="1"/>
  <c r="AF38" i="1"/>
  <c r="AF39" i="1"/>
  <c r="AF40" i="1"/>
  <c r="AF41" i="1"/>
  <c r="AF42" i="1"/>
  <c r="AF43" i="1"/>
  <c r="AF44" i="1"/>
  <c r="AF45" i="1"/>
  <c r="AF46" i="1"/>
  <c r="AF47" i="1"/>
  <c r="AF48" i="1"/>
  <c r="AF49" i="1"/>
  <c r="AF50" i="1"/>
  <c r="AF51" i="1"/>
  <c r="AF52" i="1"/>
  <c r="AF53" i="1"/>
  <c r="AF54" i="1"/>
  <c r="AF55" i="1"/>
  <c r="AF56" i="1"/>
  <c r="AF57" i="1"/>
  <c r="AF58" i="1"/>
  <c r="AF59" i="1"/>
  <c r="AF60" i="1"/>
  <c r="AF61" i="1"/>
  <c r="AF62" i="1"/>
  <c r="AF63" i="1"/>
  <c r="AF64" i="1"/>
  <c r="AF65" i="1"/>
  <c r="AF66" i="1"/>
  <c r="AF67" i="1"/>
  <c r="AF68" i="1"/>
  <c r="AF69" i="1"/>
  <c r="AF70" i="1"/>
  <c r="AF71" i="1"/>
  <c r="AF72" i="1"/>
  <c r="AF73" i="1"/>
  <c r="AF74" i="1"/>
  <c r="AF75" i="1"/>
  <c r="AF76" i="1"/>
  <c r="AF77" i="1"/>
  <c r="AF78" i="1"/>
  <c r="AF79" i="1"/>
  <c r="AF80" i="1"/>
  <c r="AF81" i="1"/>
  <c r="AF82" i="1"/>
  <c r="AF83" i="1"/>
  <c r="AF84" i="1"/>
  <c r="AF85" i="1"/>
  <c r="AF86" i="1"/>
  <c r="AF87" i="1"/>
  <c r="AF88" i="1"/>
  <c r="AF89" i="1"/>
  <c r="AF90" i="1"/>
  <c r="AF91" i="1"/>
  <c r="AF92" i="1"/>
  <c r="AF93" i="1"/>
  <c r="AF94" i="1"/>
  <c r="AF95" i="1"/>
  <c r="AF96" i="1"/>
  <c r="AF97" i="1"/>
  <c r="AF98" i="1"/>
  <c r="AF99" i="1"/>
  <c r="AF100" i="1"/>
  <c r="AF101" i="1"/>
  <c r="AF102" i="1"/>
  <c r="AF103" i="1"/>
  <c r="AF104" i="1"/>
  <c r="AF105" i="1"/>
  <c r="AF106" i="1"/>
  <c r="AF107" i="1"/>
  <c r="AF108" i="1"/>
  <c r="AF109" i="1"/>
  <c r="AF110" i="1"/>
  <c r="AF111" i="1"/>
  <c r="AF112" i="1"/>
  <c r="AF113" i="1"/>
  <c r="AF114" i="1"/>
  <c r="AF115" i="1"/>
  <c r="AF116" i="1"/>
  <c r="AF117" i="1"/>
  <c r="AF118" i="1"/>
  <c r="AF119" i="1"/>
  <c r="AF120" i="1"/>
  <c r="AF121" i="1"/>
  <c r="AF122" i="1"/>
  <c r="AF123" i="1"/>
  <c r="AF124" i="1"/>
  <c r="AF125" i="1"/>
  <c r="AF126" i="1"/>
  <c r="AF127" i="1"/>
  <c r="AF128" i="1"/>
  <c r="AF129" i="1"/>
  <c r="AF130" i="1"/>
  <c r="AF131" i="1"/>
  <c r="AF132" i="1"/>
  <c r="AF133" i="1"/>
  <c r="AF134" i="1"/>
  <c r="AF135" i="1"/>
  <c r="AF136" i="1"/>
  <c r="AF137" i="1"/>
  <c r="AF138" i="1"/>
  <c r="AF139" i="1"/>
  <c r="AF140" i="1"/>
  <c r="AF141" i="1"/>
  <c r="AF142" i="1"/>
  <c r="AF143" i="1"/>
  <c r="AF144" i="1"/>
  <c r="AF145" i="1"/>
  <c r="AF146" i="1"/>
  <c r="AF147" i="1"/>
  <c r="AF148" i="1"/>
  <c r="AF149" i="1"/>
  <c r="AF150" i="1"/>
  <c r="AF151" i="1"/>
  <c r="AF152" i="1"/>
  <c r="AF153" i="1"/>
  <c r="AF154" i="1"/>
  <c r="AF155" i="1"/>
  <c r="AF156" i="1"/>
  <c r="AF157" i="1"/>
  <c r="AF158" i="1"/>
  <c r="AF159" i="1"/>
  <c r="AF160" i="1"/>
  <c r="AF161" i="1"/>
  <c r="AF162" i="1"/>
  <c r="AF163" i="1"/>
  <c r="AF164" i="1"/>
  <c r="AF165" i="1"/>
  <c r="AF166" i="1"/>
  <c r="AF167" i="1"/>
  <c r="AF168" i="1"/>
  <c r="AF169" i="1"/>
  <c r="AF170" i="1"/>
  <c r="AF171" i="1"/>
  <c r="AF172" i="1"/>
  <c r="AF173" i="1"/>
  <c r="AF174" i="1"/>
  <c r="AF175" i="1"/>
  <c r="AF176" i="1"/>
  <c r="AF177" i="1"/>
  <c r="AF178" i="1"/>
  <c r="AF179" i="1"/>
  <c r="AF180" i="1"/>
  <c r="AF181" i="1"/>
  <c r="AF182" i="1"/>
  <c r="AF183" i="1"/>
  <c r="AF184" i="1"/>
  <c r="AF185" i="1"/>
  <c r="AF186" i="1"/>
  <c r="AF187" i="1"/>
  <c r="AF188" i="1"/>
  <c r="AF189" i="1"/>
  <c r="AF190" i="1"/>
  <c r="AF191" i="1"/>
  <c r="AF192" i="1"/>
  <c r="AF193" i="1"/>
  <c r="AF194" i="1"/>
  <c r="AF195" i="1"/>
  <c r="AF196" i="1"/>
  <c r="AF197" i="1"/>
  <c r="AF198" i="1"/>
  <c r="AF199" i="1"/>
  <c r="AF200" i="1"/>
  <c r="AF201" i="1"/>
  <c r="AF202" i="1"/>
  <c r="AF203" i="1"/>
  <c r="AF204" i="1"/>
  <c r="AF205" i="1"/>
  <c r="AF206" i="1"/>
  <c r="AF207" i="1"/>
  <c r="AF208" i="1"/>
  <c r="AF209" i="1"/>
  <c r="AF210" i="1"/>
  <c r="AF211" i="1"/>
  <c r="AF212" i="1"/>
  <c r="AF213" i="1"/>
  <c r="AF214" i="1"/>
  <c r="AF215" i="1"/>
  <c r="AF216" i="1"/>
  <c r="AF217" i="1"/>
  <c r="AF218" i="1"/>
  <c r="AF219" i="1"/>
  <c r="AF220" i="1"/>
  <c r="AF221" i="1"/>
  <c r="AF222" i="1"/>
  <c r="AF223" i="1"/>
  <c r="AF224" i="1"/>
  <c r="AF225" i="1"/>
  <c r="AF226" i="1"/>
  <c r="AF227" i="1"/>
  <c r="AF228" i="1"/>
  <c r="AF229" i="1"/>
  <c r="AF230" i="1"/>
  <c r="AF231" i="1"/>
  <c r="AF232" i="1"/>
  <c r="AF233" i="1"/>
  <c r="AF234" i="1"/>
  <c r="AF235" i="1"/>
  <c r="AF236" i="1"/>
  <c r="AF237" i="1"/>
  <c r="AF238" i="1"/>
  <c r="AF239" i="1"/>
  <c r="AF240" i="1"/>
  <c r="AF241" i="1"/>
  <c r="AF242" i="1"/>
  <c r="AF243" i="1"/>
  <c r="AF244" i="1"/>
  <c r="AF245" i="1"/>
  <c r="AF246" i="1"/>
  <c r="AF247" i="1"/>
  <c r="AF248" i="1"/>
  <c r="AF249" i="1"/>
  <c r="AF250" i="1"/>
  <c r="AF251" i="1"/>
  <c r="AF252" i="1"/>
  <c r="AF253" i="1"/>
  <c r="AF254" i="1"/>
  <c r="AF255" i="1"/>
  <c r="AF256" i="1"/>
  <c r="AF257" i="1"/>
  <c r="AF258" i="1"/>
  <c r="AF259" i="1"/>
  <c r="AF260" i="1"/>
  <c r="AF261" i="1"/>
  <c r="AF262" i="1"/>
  <c r="AF263" i="1"/>
  <c r="AF264" i="1"/>
  <c r="AF265" i="1"/>
  <c r="AF266" i="1"/>
  <c r="AF267" i="1"/>
  <c r="AF268" i="1"/>
  <c r="AF269" i="1"/>
  <c r="AF270" i="1"/>
  <c r="AF271" i="1"/>
  <c r="AF272" i="1"/>
  <c r="AF273" i="1"/>
  <c r="AF274" i="1"/>
  <c r="AF275" i="1"/>
  <c r="AF276" i="1"/>
  <c r="AF277" i="1"/>
  <c r="AF278" i="1"/>
  <c r="AF279" i="1"/>
  <c r="AF280" i="1"/>
  <c r="AF281" i="1"/>
  <c r="AF282" i="1"/>
  <c r="AF283" i="1"/>
  <c r="AF284" i="1"/>
  <c r="AF285" i="1"/>
  <c r="AF286" i="1"/>
  <c r="AF287" i="1"/>
  <c r="AF288" i="1"/>
  <c r="AF289" i="1"/>
  <c r="AF290" i="1"/>
  <c r="AF291" i="1"/>
  <c r="AF292" i="1"/>
  <c r="AF293" i="1"/>
  <c r="AF294" i="1"/>
  <c r="AF295" i="1"/>
  <c r="AF296" i="1"/>
  <c r="AF297" i="1"/>
  <c r="AF298" i="1"/>
  <c r="AF299" i="1"/>
  <c r="AF300" i="1"/>
  <c r="AF301" i="1"/>
  <c r="AF302" i="1"/>
  <c r="AF303" i="1"/>
  <c r="AF304" i="1"/>
  <c r="AF305" i="1"/>
  <c r="AF306" i="1"/>
  <c r="AF307" i="1"/>
  <c r="AF308" i="1"/>
  <c r="AF309" i="1"/>
  <c r="AF310" i="1"/>
  <c r="AF311" i="1"/>
  <c r="AF312" i="1"/>
  <c r="AF313" i="1"/>
  <c r="AF314" i="1"/>
  <c r="AF315" i="1"/>
  <c r="AF316" i="1"/>
  <c r="AF317" i="1"/>
  <c r="AF318" i="1"/>
  <c r="AF319" i="1"/>
  <c r="AF320" i="1"/>
  <c r="AF321" i="1"/>
  <c r="AF322" i="1"/>
  <c r="AF323" i="1"/>
  <c r="AF324" i="1"/>
  <c r="AF325" i="1"/>
  <c r="AF326" i="1"/>
  <c r="AF327" i="1"/>
  <c r="AF328" i="1"/>
  <c r="AF329" i="1"/>
  <c r="AF330" i="1"/>
  <c r="AF331" i="1"/>
  <c r="AF332" i="1"/>
  <c r="AF333" i="1"/>
  <c r="AF334" i="1"/>
  <c r="AF335" i="1"/>
  <c r="AF336" i="1"/>
  <c r="AF337" i="1"/>
  <c r="AF338" i="1"/>
  <c r="AF339" i="1"/>
  <c r="AF340" i="1"/>
  <c r="AF341" i="1"/>
  <c r="AF342" i="1"/>
  <c r="AF343" i="1"/>
  <c r="AF344" i="1"/>
  <c r="AF345" i="1"/>
  <c r="AF346" i="1"/>
  <c r="AF347" i="1"/>
  <c r="AF348" i="1"/>
  <c r="AF349" i="1"/>
  <c r="AF350" i="1"/>
  <c r="AF351" i="1"/>
  <c r="AF352" i="1"/>
  <c r="AF353" i="1"/>
  <c r="AF354" i="1"/>
  <c r="AF355" i="1"/>
  <c r="AF356" i="1"/>
  <c r="AF357" i="1"/>
  <c r="AF358" i="1"/>
  <c r="AF359" i="1"/>
  <c r="AF360" i="1"/>
  <c r="AF361" i="1"/>
  <c r="AF362" i="1"/>
  <c r="AF363" i="1"/>
  <c r="AF364" i="1"/>
  <c r="AF365" i="1"/>
  <c r="AF366" i="1"/>
  <c r="AF367" i="1"/>
  <c r="AF368" i="1"/>
  <c r="AF369" i="1"/>
  <c r="AF370" i="1"/>
  <c r="AF371" i="1"/>
  <c r="AF372" i="1"/>
  <c r="AF373" i="1"/>
  <c r="AF374" i="1"/>
  <c r="AF375" i="1"/>
  <c r="AF376" i="1"/>
  <c r="AF377" i="1"/>
  <c r="AF378" i="1"/>
  <c r="AF379" i="1"/>
  <c r="AF380" i="1"/>
  <c r="AF381" i="1"/>
  <c r="AF382" i="1"/>
  <c r="AF383" i="1"/>
  <c r="AF384" i="1"/>
  <c r="AF385" i="1"/>
  <c r="AF386" i="1"/>
  <c r="AF387" i="1"/>
  <c r="AF388" i="1"/>
  <c r="AF389" i="1"/>
  <c r="AF390" i="1"/>
  <c r="AF391" i="1"/>
  <c r="AF392" i="1"/>
  <c r="AF393" i="1"/>
  <c r="AF394" i="1"/>
  <c r="AF395" i="1"/>
  <c r="AF396" i="1"/>
  <c r="AF397" i="1"/>
  <c r="AF398" i="1"/>
  <c r="AF399" i="1"/>
  <c r="AF400" i="1"/>
  <c r="AF401" i="1"/>
  <c r="AF402" i="1"/>
  <c r="AF403" i="1"/>
  <c r="AF404" i="1"/>
  <c r="AF405" i="1"/>
  <c r="AF406" i="1"/>
  <c r="AF407" i="1"/>
  <c r="AF408" i="1"/>
  <c r="AF409" i="1"/>
  <c r="AF410" i="1"/>
  <c r="AF411" i="1"/>
  <c r="AF412" i="1"/>
  <c r="AF413" i="1"/>
  <c r="AF414" i="1"/>
  <c r="AF415" i="1"/>
  <c r="AF416" i="1"/>
  <c r="AF417" i="1"/>
  <c r="AF418" i="1"/>
  <c r="AF419" i="1"/>
  <c r="AF420" i="1"/>
  <c r="AF421" i="1"/>
  <c r="AF422" i="1"/>
  <c r="AF423" i="1"/>
  <c r="AF424" i="1"/>
  <c r="AF425" i="1"/>
  <c r="AF426" i="1"/>
  <c r="AF427" i="1"/>
  <c r="AF428" i="1"/>
  <c r="AF429" i="1"/>
  <c r="AF430" i="1"/>
  <c r="AF431" i="1"/>
  <c r="AF432" i="1"/>
  <c r="AF433" i="1"/>
  <c r="AF434" i="1"/>
  <c r="AF435" i="1"/>
  <c r="AF436" i="1"/>
  <c r="AF437" i="1"/>
  <c r="AF438" i="1"/>
  <c r="AF439" i="1"/>
  <c r="AF440" i="1"/>
  <c r="AF441" i="1"/>
  <c r="AF442" i="1"/>
  <c r="AF443" i="1"/>
  <c r="AF444" i="1"/>
  <c r="AF445" i="1"/>
  <c r="AF446" i="1"/>
  <c r="AF447" i="1"/>
  <c r="AF448" i="1"/>
  <c r="AF449" i="1"/>
  <c r="AF450" i="1"/>
  <c r="AF451" i="1"/>
  <c r="AF452" i="1"/>
  <c r="AF453" i="1"/>
  <c r="AF454" i="1"/>
  <c r="AF455" i="1"/>
  <c r="AF456" i="1"/>
  <c r="AF457" i="1"/>
  <c r="AF458" i="1"/>
  <c r="AF459" i="1"/>
  <c r="AF460" i="1"/>
  <c r="AF461" i="1"/>
  <c r="AF462" i="1"/>
  <c r="AF463" i="1"/>
  <c r="AF464" i="1"/>
  <c r="AF465" i="1"/>
  <c r="AF466" i="1"/>
  <c r="AF467" i="1"/>
  <c r="AF468" i="1"/>
  <c r="AF469" i="1"/>
  <c r="AF470" i="1"/>
  <c r="AF471" i="1"/>
  <c r="AF472" i="1"/>
  <c r="AF473" i="1"/>
  <c r="AF474" i="1"/>
  <c r="AF475" i="1"/>
  <c r="AF476" i="1"/>
  <c r="AF477" i="1"/>
  <c r="AF478" i="1"/>
  <c r="AF479" i="1"/>
  <c r="AF480" i="1"/>
  <c r="AF481" i="1"/>
  <c r="AF482" i="1"/>
  <c r="AF483" i="1"/>
  <c r="AF484" i="1"/>
  <c r="AF485" i="1"/>
  <c r="AF486" i="1"/>
  <c r="AF487" i="1"/>
  <c r="AF488" i="1"/>
  <c r="AF489" i="1"/>
  <c r="AF490" i="1"/>
  <c r="AF491" i="1"/>
  <c r="AF492" i="1"/>
  <c r="AF493" i="1"/>
  <c r="AF494" i="1"/>
  <c r="AF495" i="1"/>
  <c r="AF496" i="1"/>
  <c r="AF497" i="1"/>
  <c r="AF498" i="1"/>
  <c r="AF499" i="1"/>
  <c r="AF500" i="1"/>
  <c r="AF501" i="1"/>
  <c r="AF502" i="1"/>
  <c r="AF503" i="1"/>
  <c r="AF504" i="1"/>
  <c r="AF505" i="1"/>
  <c r="AF506" i="1"/>
  <c r="AF507" i="1"/>
  <c r="AF508" i="1"/>
  <c r="AF509" i="1"/>
  <c r="AF510" i="1"/>
  <c r="AF511" i="1"/>
  <c r="AF512" i="1"/>
  <c r="AF513" i="1"/>
  <c r="AF514" i="1"/>
  <c r="AF515" i="1"/>
  <c r="AF516" i="1"/>
  <c r="AF517" i="1"/>
  <c r="AF518" i="1"/>
  <c r="AF519" i="1"/>
  <c r="AF520" i="1"/>
  <c r="AF521" i="1"/>
  <c r="AF522" i="1"/>
  <c r="AF523" i="1"/>
  <c r="AF524" i="1"/>
  <c r="AF525" i="1"/>
  <c r="AF526" i="1"/>
  <c r="AF527" i="1"/>
  <c r="AF528" i="1"/>
  <c r="AF529" i="1"/>
  <c r="AF530" i="1"/>
  <c r="AF531" i="1"/>
  <c r="AF532" i="1"/>
  <c r="AF533" i="1"/>
  <c r="AF534" i="1"/>
  <c r="AF535" i="1"/>
  <c r="AF536" i="1"/>
  <c r="AF537" i="1"/>
  <c r="AF538" i="1"/>
  <c r="AF539" i="1"/>
  <c r="AF540" i="1"/>
  <c r="AF541" i="1"/>
  <c r="AF542" i="1"/>
  <c r="AF543" i="1"/>
  <c r="AF544" i="1"/>
  <c r="AF545" i="1"/>
  <c r="AF546" i="1"/>
  <c r="AF547" i="1"/>
  <c r="AF548" i="1"/>
  <c r="AF549" i="1"/>
  <c r="AF550" i="1"/>
  <c r="AF551" i="1"/>
  <c r="AF552" i="1"/>
  <c r="AF553" i="1"/>
  <c r="AF554" i="1"/>
  <c r="AF555" i="1"/>
  <c r="AF556" i="1"/>
  <c r="AF557" i="1"/>
  <c r="AF558" i="1"/>
  <c r="AF559" i="1"/>
  <c r="AF560" i="1"/>
  <c r="AF561" i="1"/>
  <c r="AF562" i="1"/>
  <c r="AF563" i="1"/>
  <c r="AF564" i="1"/>
  <c r="AF565" i="1"/>
  <c r="AF566" i="1"/>
  <c r="AF567" i="1"/>
  <c r="AF568" i="1"/>
  <c r="AF569" i="1"/>
  <c r="AF570" i="1"/>
  <c r="AF571" i="1"/>
  <c r="AF572" i="1"/>
  <c r="AF573" i="1"/>
  <c r="AF574" i="1"/>
  <c r="AF575" i="1"/>
  <c r="AF576" i="1"/>
  <c r="AF577" i="1"/>
  <c r="AF578" i="1"/>
  <c r="AF579" i="1"/>
  <c r="AF580" i="1"/>
  <c r="AF581" i="1"/>
  <c r="AF582" i="1"/>
  <c r="AF583" i="1"/>
  <c r="AF584" i="1"/>
  <c r="AF585" i="1"/>
  <c r="AF586" i="1"/>
  <c r="AF587" i="1"/>
  <c r="AF588" i="1"/>
  <c r="AF589" i="1"/>
  <c r="AF590" i="1"/>
  <c r="AF591" i="1"/>
  <c r="AF592" i="1"/>
  <c r="AF593" i="1"/>
  <c r="AF594" i="1"/>
  <c r="AF595" i="1"/>
  <c r="AF596" i="1"/>
  <c r="AF597" i="1"/>
  <c r="AF598" i="1"/>
  <c r="AF599" i="1"/>
  <c r="AF600" i="1"/>
  <c r="AF601" i="1"/>
  <c r="AF602" i="1"/>
  <c r="AF603" i="1"/>
  <c r="AF604" i="1"/>
  <c r="AF605" i="1"/>
  <c r="AF606" i="1"/>
  <c r="AF607" i="1"/>
  <c r="AF608" i="1"/>
  <c r="AF609" i="1"/>
  <c r="AF610" i="1"/>
  <c r="AF611" i="1"/>
  <c r="AF612" i="1"/>
  <c r="AF613" i="1"/>
  <c r="AG613" i="1"/>
  <c r="AG612" i="1"/>
  <c r="AG611" i="1"/>
  <c r="AG610" i="1"/>
  <c r="AG609" i="1"/>
  <c r="AG608" i="1"/>
  <c r="AG607" i="1"/>
  <c r="AG606" i="1"/>
  <c r="AG605" i="1"/>
  <c r="AG604" i="1"/>
  <c r="AG603" i="1"/>
  <c r="AG602" i="1"/>
  <c r="AG601" i="1"/>
  <c r="AG600" i="1"/>
  <c r="AG599" i="1"/>
  <c r="AG598" i="1"/>
  <c r="AG597" i="1"/>
  <c r="AG596" i="1"/>
  <c r="AG595" i="1"/>
  <c r="AG594" i="1"/>
  <c r="AG593" i="1"/>
  <c r="AG592" i="1"/>
  <c r="AG591" i="1"/>
  <c r="AG590" i="1"/>
  <c r="AG589" i="1"/>
  <c r="AG588" i="1"/>
  <c r="AG587" i="1"/>
  <c r="AG586" i="1"/>
  <c r="AG585" i="1"/>
  <c r="AG584" i="1"/>
  <c r="AG583" i="1"/>
  <c r="AG582" i="1"/>
  <c r="AG581" i="1"/>
  <c r="AG580" i="1"/>
  <c r="AG579" i="1"/>
  <c r="AG578" i="1"/>
  <c r="AG577" i="1"/>
  <c r="AG576" i="1"/>
  <c r="AG575" i="1"/>
  <c r="AG574" i="1"/>
  <c r="AG573" i="1"/>
  <c r="AG572" i="1"/>
  <c r="AG571" i="1"/>
  <c r="AG570" i="1"/>
  <c r="AG569" i="1"/>
  <c r="AG568" i="1"/>
  <c r="AG567" i="1"/>
  <c r="AG566" i="1"/>
  <c r="AG565" i="1"/>
  <c r="AG564" i="1"/>
  <c r="AG563" i="1"/>
  <c r="AG562" i="1"/>
  <c r="AG561" i="1"/>
  <c r="AG560" i="1"/>
  <c r="AG559" i="1"/>
  <c r="AG558" i="1"/>
  <c r="AG557" i="1"/>
  <c r="AG556" i="1"/>
  <c r="AG555" i="1"/>
  <c r="AG554" i="1"/>
  <c r="AG553" i="1"/>
  <c r="AG552" i="1"/>
  <c r="AG551" i="1"/>
  <c r="AG550" i="1"/>
  <c r="AG549" i="1"/>
  <c r="AG548" i="1"/>
  <c r="AG547" i="1"/>
  <c r="AG546" i="1"/>
  <c r="AG545" i="1"/>
  <c r="AG544" i="1"/>
  <c r="AG543" i="1"/>
  <c r="AG542" i="1"/>
  <c r="AG541" i="1"/>
  <c r="AG540" i="1"/>
  <c r="AG539" i="1"/>
  <c r="AG538" i="1"/>
  <c r="AG537" i="1"/>
  <c r="AG536" i="1"/>
  <c r="AG535" i="1"/>
  <c r="AG534" i="1"/>
  <c r="AG533" i="1"/>
  <c r="AG532" i="1"/>
  <c r="AG531" i="1"/>
  <c r="AG530" i="1"/>
  <c r="AG529" i="1"/>
  <c r="AG528" i="1"/>
  <c r="AG527" i="1"/>
  <c r="AG526" i="1"/>
  <c r="AG525" i="1"/>
  <c r="AG524" i="1"/>
  <c r="AG523" i="1"/>
  <c r="AG522" i="1"/>
  <c r="AG521" i="1"/>
  <c r="AG520" i="1"/>
  <c r="AG519" i="1"/>
  <c r="AG518" i="1"/>
  <c r="AG517" i="1"/>
  <c r="AG516" i="1"/>
  <c r="AG515" i="1"/>
  <c r="AG514" i="1"/>
  <c r="AG513" i="1"/>
  <c r="AG512" i="1"/>
  <c r="AG511" i="1"/>
  <c r="AG510" i="1"/>
  <c r="AG509" i="1"/>
  <c r="AG508" i="1"/>
  <c r="AG507" i="1"/>
  <c r="AG506" i="1"/>
  <c r="AG505" i="1"/>
  <c r="AG504" i="1"/>
  <c r="AG503" i="1"/>
  <c r="AG502" i="1"/>
  <c r="AG501" i="1"/>
  <c r="AG500" i="1"/>
  <c r="AG499" i="1"/>
  <c r="AG498" i="1"/>
  <c r="AG497" i="1"/>
  <c r="AG496" i="1"/>
  <c r="AG495" i="1"/>
  <c r="AG494" i="1"/>
  <c r="AG493" i="1"/>
  <c r="AG492" i="1"/>
  <c r="AG491" i="1"/>
  <c r="AG490" i="1"/>
  <c r="AG489" i="1"/>
  <c r="AG488" i="1"/>
  <c r="AG487" i="1"/>
  <c r="AG486" i="1"/>
  <c r="AG485" i="1"/>
  <c r="AG484" i="1"/>
  <c r="AG483" i="1"/>
  <c r="AG482" i="1"/>
  <c r="AG481" i="1"/>
  <c r="AG480" i="1"/>
  <c r="AG479" i="1"/>
  <c r="AG478" i="1"/>
  <c r="AG477" i="1"/>
  <c r="AG476" i="1"/>
  <c r="AG475" i="1"/>
  <c r="AG474" i="1"/>
  <c r="AG473" i="1"/>
  <c r="AG472" i="1"/>
  <c r="AG471" i="1"/>
  <c r="AG470" i="1"/>
  <c r="AG469" i="1"/>
  <c r="AG468" i="1"/>
  <c r="AG467" i="1"/>
  <c r="AG466" i="1"/>
  <c r="AG465" i="1"/>
  <c r="AG464" i="1"/>
  <c r="AG463" i="1"/>
  <c r="AG462" i="1"/>
  <c r="AG461" i="1"/>
  <c r="AG460" i="1"/>
  <c r="AG459" i="1"/>
  <c r="AG458" i="1"/>
  <c r="AG457" i="1"/>
  <c r="AG456" i="1"/>
  <c r="AG455" i="1"/>
  <c r="AG454" i="1"/>
  <c r="AG453" i="1"/>
  <c r="AG452" i="1"/>
  <c r="AG451" i="1"/>
  <c r="AG450" i="1"/>
  <c r="AG449" i="1"/>
  <c r="AG448" i="1"/>
  <c r="AG447" i="1"/>
  <c r="AG446" i="1"/>
  <c r="AG445" i="1"/>
  <c r="AG444" i="1"/>
  <c r="AG443" i="1"/>
  <c r="AG442" i="1"/>
  <c r="AG441" i="1"/>
  <c r="AG440" i="1"/>
  <c r="AG439" i="1"/>
  <c r="AG438" i="1"/>
  <c r="AG437" i="1"/>
  <c r="AG436" i="1"/>
  <c r="AG435" i="1"/>
  <c r="AG434" i="1"/>
  <c r="AG433" i="1"/>
  <c r="AG432" i="1"/>
  <c r="AG431" i="1"/>
  <c r="AG430" i="1"/>
  <c r="AG429" i="1"/>
  <c r="AG428" i="1"/>
  <c r="AG427" i="1"/>
  <c r="AG426" i="1"/>
  <c r="AG425" i="1"/>
  <c r="AG424" i="1"/>
  <c r="AG423" i="1"/>
  <c r="AG422" i="1"/>
  <c r="AG421" i="1"/>
  <c r="AG420" i="1"/>
  <c r="AG419" i="1"/>
  <c r="AG418" i="1"/>
  <c r="AG417" i="1"/>
  <c r="AG416" i="1"/>
  <c r="AG415" i="1"/>
  <c r="AG414" i="1"/>
  <c r="AG413" i="1"/>
  <c r="AG412" i="1"/>
  <c r="AG411" i="1"/>
  <c r="AG410" i="1"/>
  <c r="AG409" i="1"/>
  <c r="AG408" i="1"/>
  <c r="AG407" i="1"/>
  <c r="AG406" i="1"/>
  <c r="AG405" i="1"/>
  <c r="AG404" i="1"/>
  <c r="AG403" i="1"/>
  <c r="AG402" i="1"/>
  <c r="AG401" i="1"/>
  <c r="AG400" i="1"/>
  <c r="AG399" i="1"/>
  <c r="AG398" i="1"/>
  <c r="AG397" i="1"/>
  <c r="AG396" i="1"/>
  <c r="AG395" i="1"/>
  <c r="AG394" i="1"/>
  <c r="AG393" i="1"/>
  <c r="AG392" i="1"/>
  <c r="AG391" i="1"/>
  <c r="AG390" i="1"/>
  <c r="AG389" i="1"/>
  <c r="AG388" i="1"/>
  <c r="AG387" i="1"/>
  <c r="AG386" i="1"/>
  <c r="AG385" i="1"/>
  <c r="AG384" i="1"/>
  <c r="AG383" i="1"/>
  <c r="AG382" i="1"/>
  <c r="AG381" i="1"/>
  <c r="AG380" i="1"/>
  <c r="AG379" i="1"/>
  <c r="AG378" i="1"/>
  <c r="AG377" i="1"/>
  <c r="AG376" i="1"/>
  <c r="AG375" i="1"/>
  <c r="AG374" i="1"/>
  <c r="AG373" i="1"/>
  <c r="AG372" i="1"/>
  <c r="AG371" i="1"/>
  <c r="AG370" i="1"/>
  <c r="AG369" i="1"/>
  <c r="AG368" i="1"/>
  <c r="AG367" i="1"/>
  <c r="AG366" i="1"/>
  <c r="AG365" i="1"/>
  <c r="AG364" i="1"/>
  <c r="AG363" i="1"/>
  <c r="AG362" i="1"/>
  <c r="AG361" i="1"/>
  <c r="AG360" i="1"/>
  <c r="AG359" i="1"/>
  <c r="AG358" i="1"/>
  <c r="AG357" i="1"/>
  <c r="AG356" i="1"/>
  <c r="AG355" i="1"/>
  <c r="AG354" i="1"/>
  <c r="AG353" i="1"/>
  <c r="AG352" i="1"/>
  <c r="AG351" i="1"/>
  <c r="AG350" i="1"/>
  <c r="AG349" i="1"/>
  <c r="AG348" i="1"/>
  <c r="AG347" i="1"/>
  <c r="AG346" i="1"/>
  <c r="AG345" i="1"/>
  <c r="AG344" i="1"/>
  <c r="AG343" i="1"/>
  <c r="AG342" i="1"/>
  <c r="AG341" i="1"/>
  <c r="AG340" i="1"/>
  <c r="AG339" i="1"/>
  <c r="AG338" i="1"/>
  <c r="AG337" i="1"/>
  <c r="AG336" i="1"/>
  <c r="AG335" i="1"/>
  <c r="AG334" i="1"/>
  <c r="AG333" i="1"/>
  <c r="AG332" i="1"/>
  <c r="AG331" i="1"/>
  <c r="AG330" i="1"/>
  <c r="AG329" i="1"/>
  <c r="AG328" i="1"/>
  <c r="AG327" i="1"/>
  <c r="AG326" i="1"/>
  <c r="AG325" i="1"/>
  <c r="AG324" i="1"/>
  <c r="AG323" i="1"/>
  <c r="AG322" i="1"/>
  <c r="AG321" i="1"/>
  <c r="AG320" i="1"/>
  <c r="AG319" i="1"/>
  <c r="AG318" i="1"/>
  <c r="AG317" i="1"/>
  <c r="AG316" i="1"/>
  <c r="AG315" i="1"/>
  <c r="AG314" i="1"/>
  <c r="AG313" i="1"/>
  <c r="AG312" i="1"/>
  <c r="AG311" i="1"/>
  <c r="AG310" i="1"/>
  <c r="AG309" i="1"/>
  <c r="AG308" i="1"/>
  <c r="AG307" i="1"/>
  <c r="AG306" i="1"/>
  <c r="AG305" i="1"/>
  <c r="AG304" i="1"/>
  <c r="AG303" i="1"/>
  <c r="AG302" i="1"/>
  <c r="AG301" i="1"/>
  <c r="AG300" i="1"/>
  <c r="AG299" i="1"/>
  <c r="AG298" i="1"/>
  <c r="AG297" i="1"/>
  <c r="AG296" i="1"/>
  <c r="AG295" i="1"/>
  <c r="AG294" i="1"/>
  <c r="AG293" i="1"/>
  <c r="AG292" i="1"/>
  <c r="AG291" i="1"/>
  <c r="AG290" i="1"/>
  <c r="AG289" i="1"/>
  <c r="AG288" i="1"/>
  <c r="AG287" i="1"/>
  <c r="AG286" i="1"/>
  <c r="AG285" i="1"/>
  <c r="AG284" i="1"/>
  <c r="AG283" i="1"/>
  <c r="AG282" i="1"/>
  <c r="AG281" i="1"/>
  <c r="AG280" i="1"/>
  <c r="AG279" i="1"/>
  <c r="AG278" i="1"/>
  <c r="AG277" i="1"/>
  <c r="AG276" i="1"/>
  <c r="AG275" i="1"/>
  <c r="AG274" i="1"/>
  <c r="AG273" i="1"/>
  <c r="AG272" i="1"/>
  <c r="AG271" i="1"/>
  <c r="AG270" i="1"/>
  <c r="AG269" i="1"/>
  <c r="AG268" i="1"/>
  <c r="AG267" i="1"/>
  <c r="AG266" i="1"/>
  <c r="AG265" i="1"/>
  <c r="AG264" i="1"/>
  <c r="AG263" i="1"/>
  <c r="AG262" i="1"/>
  <c r="AG261" i="1"/>
  <c r="AG260" i="1"/>
  <c r="AG259" i="1"/>
  <c r="AG258" i="1"/>
  <c r="AG257" i="1"/>
  <c r="AG256" i="1"/>
  <c r="AG255" i="1"/>
  <c r="AG254" i="1"/>
  <c r="AG253" i="1"/>
  <c r="AG252" i="1"/>
  <c r="AG251" i="1"/>
  <c r="AG250" i="1"/>
  <c r="AG249" i="1"/>
  <c r="AG248" i="1"/>
  <c r="AG247" i="1"/>
  <c r="AG246" i="1"/>
  <c r="AG245" i="1"/>
  <c r="AG244" i="1"/>
  <c r="AG243" i="1"/>
  <c r="AG242" i="1"/>
  <c r="AG241" i="1"/>
  <c r="AG240" i="1"/>
  <c r="AG239" i="1"/>
  <c r="AG238" i="1"/>
  <c r="AG237" i="1"/>
  <c r="AG236" i="1"/>
  <c r="AG235" i="1"/>
  <c r="AG234" i="1"/>
  <c r="AG233" i="1"/>
  <c r="AG232" i="1"/>
  <c r="AG231" i="1"/>
  <c r="AG230" i="1"/>
  <c r="AG229" i="1"/>
  <c r="AG228" i="1"/>
  <c r="AG227" i="1"/>
  <c r="AG226" i="1"/>
  <c r="AG225" i="1"/>
  <c r="AG224" i="1"/>
  <c r="AG223" i="1"/>
  <c r="AG222" i="1"/>
  <c r="AG221" i="1"/>
  <c r="AG220" i="1"/>
  <c r="AG219" i="1"/>
  <c r="AG218" i="1"/>
  <c r="AG217" i="1"/>
  <c r="AG216" i="1"/>
  <c r="AG215" i="1"/>
  <c r="AG214" i="1"/>
  <c r="AG213" i="1"/>
  <c r="AG212" i="1"/>
  <c r="AG211" i="1"/>
  <c r="AG210" i="1"/>
  <c r="AG209" i="1"/>
  <c r="AG208" i="1"/>
  <c r="AG207" i="1"/>
  <c r="AG206" i="1"/>
  <c r="AG205" i="1"/>
  <c r="AG204" i="1"/>
  <c r="AG203" i="1"/>
  <c r="AG202" i="1"/>
  <c r="AG201" i="1"/>
  <c r="AG200" i="1"/>
  <c r="AG199" i="1"/>
  <c r="AG198" i="1"/>
  <c r="AG197" i="1"/>
  <c r="AG196" i="1"/>
  <c r="AG195" i="1"/>
  <c r="AG194" i="1"/>
  <c r="AG193" i="1"/>
  <c r="AG192" i="1"/>
  <c r="AG191" i="1"/>
  <c r="AG190" i="1"/>
  <c r="AG189" i="1"/>
  <c r="AG188" i="1"/>
  <c r="AG187" i="1"/>
  <c r="AG186" i="1"/>
  <c r="AG185" i="1"/>
  <c r="AG184" i="1"/>
  <c r="AG183" i="1"/>
  <c r="AG182" i="1"/>
  <c r="AG181" i="1"/>
  <c r="AG180" i="1"/>
  <c r="AG179" i="1"/>
  <c r="AG178" i="1"/>
  <c r="AG177" i="1"/>
  <c r="AG176" i="1"/>
  <c r="AG175" i="1"/>
  <c r="AG174" i="1"/>
  <c r="AG173" i="1"/>
  <c r="AG172" i="1"/>
  <c r="AG171" i="1"/>
  <c r="AG170" i="1"/>
  <c r="AG169" i="1"/>
  <c r="AG168" i="1"/>
  <c r="AG167" i="1"/>
  <c r="AG166" i="1"/>
  <c r="AG165" i="1"/>
  <c r="AG164" i="1"/>
  <c r="AG163" i="1"/>
  <c r="AG162" i="1"/>
  <c r="AG161" i="1"/>
  <c r="AG160" i="1"/>
  <c r="AG159" i="1"/>
  <c r="AG158" i="1"/>
  <c r="AG157" i="1"/>
  <c r="AG156" i="1"/>
  <c r="AG155" i="1"/>
  <c r="AG154" i="1"/>
  <c r="AG153" i="1"/>
  <c r="AG152" i="1"/>
  <c r="AG151" i="1"/>
  <c r="AG150" i="1"/>
  <c r="AG149" i="1"/>
  <c r="AG148" i="1"/>
  <c r="AG147" i="1"/>
  <c r="AG146" i="1"/>
  <c r="AG145" i="1"/>
  <c r="AG144" i="1"/>
  <c r="AG143" i="1"/>
  <c r="AG142" i="1"/>
  <c r="AG141" i="1"/>
  <c r="AG140" i="1"/>
  <c r="AG139" i="1"/>
  <c r="AG138" i="1"/>
  <c r="AG137" i="1"/>
  <c r="AG136" i="1"/>
  <c r="AG135" i="1"/>
  <c r="AG134" i="1"/>
  <c r="AG133" i="1"/>
  <c r="AG132" i="1"/>
  <c r="AG131" i="1"/>
  <c r="AG130" i="1"/>
  <c r="AG129" i="1"/>
  <c r="AG128" i="1"/>
  <c r="AG127" i="1"/>
  <c r="AG126" i="1"/>
  <c r="AG125" i="1"/>
  <c r="AG124" i="1"/>
  <c r="AG123" i="1"/>
  <c r="AG122" i="1"/>
  <c r="AG121" i="1"/>
  <c r="AG120" i="1"/>
  <c r="AG119" i="1"/>
  <c r="AG118" i="1"/>
  <c r="AG117" i="1"/>
  <c r="AG116" i="1"/>
  <c r="AG115" i="1"/>
  <c r="AG114" i="1"/>
  <c r="AG113" i="1"/>
  <c r="AG112" i="1"/>
  <c r="AG111" i="1"/>
  <c r="AG110" i="1"/>
  <c r="AG109" i="1"/>
  <c r="AG108" i="1"/>
  <c r="AG107" i="1"/>
  <c r="AG106" i="1"/>
  <c r="AG105" i="1"/>
  <c r="AG104" i="1"/>
  <c r="AG103" i="1"/>
  <c r="AG102" i="1"/>
  <c r="AG101" i="1"/>
  <c r="AG100" i="1"/>
  <c r="AG99" i="1"/>
  <c r="AG98" i="1"/>
  <c r="AG97" i="1"/>
  <c r="AG96" i="1"/>
  <c r="AG95" i="1"/>
  <c r="AG94" i="1"/>
  <c r="AG93" i="1"/>
  <c r="AG92" i="1"/>
  <c r="AG91" i="1"/>
  <c r="AG90" i="1"/>
  <c r="AG89" i="1"/>
  <c r="AG88" i="1"/>
  <c r="AG87" i="1"/>
  <c r="AG86" i="1"/>
  <c r="AG85" i="1"/>
  <c r="AG84" i="1"/>
  <c r="AG83" i="1"/>
  <c r="AG82" i="1"/>
  <c r="AG81" i="1"/>
  <c r="AG80" i="1"/>
  <c r="AG79" i="1"/>
  <c r="AG78" i="1"/>
  <c r="AG77" i="1"/>
  <c r="AG76" i="1"/>
  <c r="AG75" i="1"/>
  <c r="AG74" i="1"/>
  <c r="AG73" i="1"/>
  <c r="AG72" i="1"/>
  <c r="AG71" i="1"/>
  <c r="AG70" i="1"/>
  <c r="AG69" i="1"/>
  <c r="AG68" i="1"/>
  <c r="AG67" i="1"/>
  <c r="AG66" i="1"/>
  <c r="AG65" i="1"/>
  <c r="AG64" i="1"/>
  <c r="AG63" i="1"/>
  <c r="AG62" i="1"/>
  <c r="AG61" i="1"/>
  <c r="AG60" i="1"/>
  <c r="AG59" i="1"/>
  <c r="AG58" i="1"/>
  <c r="AG57" i="1"/>
  <c r="AG56" i="1"/>
  <c r="AG55" i="1"/>
  <c r="AG54" i="1"/>
  <c r="AG53" i="1"/>
  <c r="AG52" i="1"/>
  <c r="AG51" i="1"/>
  <c r="AG50" i="1"/>
  <c r="AG49" i="1"/>
  <c r="AG48" i="1"/>
  <c r="AG47" i="1"/>
  <c r="AG46" i="1"/>
  <c r="AG45" i="1"/>
  <c r="AG44" i="1"/>
  <c r="AG43" i="1"/>
  <c r="AG42" i="1"/>
  <c r="AG41" i="1"/>
  <c r="AG40" i="1"/>
  <c r="AG39" i="1"/>
  <c r="AG38" i="1"/>
  <c r="AG37" i="1"/>
  <c r="AG36" i="1"/>
  <c r="AG35" i="1"/>
  <c r="AG34" i="1"/>
  <c r="AG33" i="1"/>
  <c r="AG32" i="1"/>
  <c r="AG31" i="1"/>
  <c r="AG30" i="1"/>
  <c r="AG29" i="1"/>
  <c r="AG28" i="1"/>
  <c r="AG27" i="1"/>
  <c r="AG26" i="1"/>
  <c r="AG25" i="1"/>
  <c r="AG24" i="1"/>
  <c r="AG23" i="1"/>
  <c r="AG22" i="1"/>
  <c r="AG21" i="1"/>
  <c r="AG20" i="1"/>
  <c r="AG19" i="1"/>
  <c r="AG18" i="1"/>
  <c r="AG17" i="1"/>
  <c r="AG16" i="1"/>
  <c r="AG15" i="1"/>
  <c r="AG14" i="1"/>
  <c r="AG13" i="1"/>
  <c r="AG12" i="1"/>
  <c r="AG11" i="1"/>
  <c r="AG10" i="1"/>
  <c r="AG9" i="1"/>
  <c r="AG8" i="1"/>
  <c r="AG7" i="1"/>
  <c r="AG6" i="1"/>
  <c r="AG5" i="1"/>
  <c r="AG4" i="1"/>
  <c r="AG3" i="1"/>
  <c r="AG2" i="1"/>
  <c r="AC614" i="1" l="1"/>
  <c r="AD614" i="1" s="1"/>
  <c r="AF614" i="1"/>
  <c r="AG61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tc={C1A52CD7-EA9F-470A-A5B5-635F3E8FCE69}</author>
  </authors>
  <commentList>
    <comment ref="Q192" authorId="0" shapeId="0" xr:uid="{C1A52CD7-EA9F-470A-A5B5-635F3E8FCE69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¡NOTA IMPORTANTE!
1. Al agregar un nuevo hospital es importante llenar todos los campos necesarios.
2. No dejar filas filtradas.
3. No ocultar columnas ni filas.
Respuesta:
    Favor de no realizar agrupaciones.
</t>
      </text>
    </comment>
  </commentList>
</comments>
</file>

<file path=xl/sharedStrings.xml><?xml version="1.0" encoding="utf-8"?>
<sst xmlns="http://schemas.openxmlformats.org/spreadsheetml/2006/main" count="20453" uniqueCount="1873">
  <si>
    <t>CLUES</t>
  </si>
  <si>
    <t>INST</t>
  </si>
  <si>
    <t>ENTIDAD</t>
  </si>
  <si>
    <t>MUNICIPIO</t>
  </si>
  <si>
    <t>NOMBRE DE LA UNIDAD</t>
  </si>
  <si>
    <t>CATEGORÍA GERENCIAL AMPLIADA</t>
  </si>
  <si>
    <t>TIPOLOGÍA</t>
  </si>
  <si>
    <t>SUBTIPOLOGÍA</t>
  </si>
  <si>
    <t>ESTATUS DE OPERACION</t>
  </si>
  <si>
    <t>ESTRATO UNIDAD</t>
  </si>
  <si>
    <t>TOTAL CONSULTORIOS</t>
  </si>
  <si>
    <t>TOTAL QUIRÓFANOS</t>
  </si>
  <si>
    <t>LATITUD</t>
  </si>
  <si>
    <t>LONGITUD</t>
  </si>
  <si>
    <t>FORMATO TICS/SERVICIOS</t>
  </si>
  <si>
    <t>ENTREGA DE EQUIPOS / RED</t>
  </si>
  <si>
    <t>FORMATO PHEDS</t>
  </si>
  <si>
    <t>FORMATO MOCE</t>
  </si>
  <si>
    <t>CONFIGURACIONES INICIALES</t>
  </si>
  <si>
    <t>CAPACITACIONES</t>
  </si>
  <si>
    <t>USO PHEDS</t>
  </si>
  <si>
    <t>USO MOCE</t>
  </si>
  <si>
    <t>OBSERVACIONES</t>
  </si>
  <si>
    <t>AVANCE</t>
  </si>
  <si>
    <t>CSIMB000023</t>
  </si>
  <si>
    <t>IMB</t>
  </si>
  <si>
    <t>CHIAPAS</t>
  </si>
  <si>
    <t>ACALA</t>
  </si>
  <si>
    <t>H. B. C. MANUEL VELASCO SUAREZ ACALA</t>
  </si>
  <si>
    <t>Basico comunitario</t>
  </si>
  <si>
    <t>HOSPITAL INTEGRAL (COMUNITARIO)</t>
  </si>
  <si>
    <t>NO ESPECIFICADO</t>
  </si>
  <si>
    <t>EN OPERACION</t>
  </si>
  <si>
    <t>URBANO</t>
  </si>
  <si>
    <t>ENVIADO A TICS</t>
  </si>
  <si>
    <t>CONCLUIDO</t>
  </si>
  <si>
    <t>CONCLUIDAS</t>
  </si>
  <si>
    <t>SI</t>
  </si>
  <si>
    <t>CSIMB000151</t>
  </si>
  <si>
    <t>ANGEL ALBINO CORZO</t>
  </si>
  <si>
    <t>H. B. C. DE ÁNGEL ALBINO CORZO</t>
  </si>
  <si>
    <t>CSIMB000373</t>
  </si>
  <si>
    <t>CINTALAPA DE FIGUEROA</t>
  </si>
  <si>
    <t>H. B. C. DE CINTALAPA DE FIGUEROA</t>
  </si>
  <si>
    <t>CSIMB001300</t>
  </si>
  <si>
    <t>LAS MARGARITAS</t>
  </si>
  <si>
    <t>H. B. C. DE LAS MARGARITAS</t>
  </si>
  <si>
    <t>CSIMB002152</t>
  </si>
  <si>
    <t>SALTO DE AGUA</t>
  </si>
  <si>
    <t>HOSPITAL BÁSICO COMUNITARIO SALTO DE AGUA</t>
  </si>
  <si>
    <t>CSIMB002683</t>
  </si>
  <si>
    <t>TILA</t>
  </si>
  <si>
    <t>H. B. C. DE TILA</t>
  </si>
  <si>
    <t>CSIMB003646</t>
  </si>
  <si>
    <t>BERRIOZABAL</t>
  </si>
  <si>
    <t>HOSPITAL BÁSICO COMUNITARIO 12 CAMAS "BERRIOZABAL"</t>
  </si>
  <si>
    <t>CSIMB003692</t>
  </si>
  <si>
    <t>SIMOJOVEL</t>
  </si>
  <si>
    <t>HOSPITAL BASICO COMUNITARIO SIMOJOVEL</t>
  </si>
  <si>
    <t>CSIMB003704</t>
  </si>
  <si>
    <t>LAS ROSAS</t>
  </si>
  <si>
    <t>HOSPITAL BÁSICO COMUNITARIO LAS ROSAS</t>
  </si>
  <si>
    <t>CSIMB003716</t>
  </si>
  <si>
    <t>CHIAPA DE CORZO</t>
  </si>
  <si>
    <t>HOSPITAL BASICO COMUNITARIO DE CHIAPA DE CORZO</t>
  </si>
  <si>
    <t>CSIMB003926</t>
  </si>
  <si>
    <t>AMATAN</t>
  </si>
  <si>
    <t>HOSPITAL BÁSICO COMUNITARIO DE AMATÁN</t>
  </si>
  <si>
    <t>CSIMB004626</t>
  </si>
  <si>
    <t>EL PORVENIR</t>
  </si>
  <si>
    <t>H. B. C. DEL PORVENIR</t>
  </si>
  <si>
    <t>CSIMB004631</t>
  </si>
  <si>
    <t>VILLA CORZO</t>
  </si>
  <si>
    <t>H. B. C. DE REVOLUCIÓN MEXICANA</t>
  </si>
  <si>
    <t>NO</t>
  </si>
  <si>
    <t>CSIMB004643</t>
  </si>
  <si>
    <t>TAPILULA</t>
  </si>
  <si>
    <t>HOSPITAL BÁSICO COMUNITARIO, TAPILULA</t>
  </si>
  <si>
    <t>CSIMB004713</t>
  </si>
  <si>
    <t>LARRAINZAR</t>
  </si>
  <si>
    <t>H. B. C. DE LARRAINZAR</t>
  </si>
  <si>
    <t>CSIMB004725</t>
  </si>
  <si>
    <t>OCOSINGO</t>
  </si>
  <si>
    <t>H. B. C. DE SANTO DOMINGO</t>
  </si>
  <si>
    <t>RURAL</t>
  </si>
  <si>
    <t>CSIMB005483</t>
  </si>
  <si>
    <t>PIJIJIAPAN</t>
  </si>
  <si>
    <t>H. B. C.  DR. RAFAEL ALFARO GONZÁLEZ PIJIJIAPAN</t>
  </si>
  <si>
    <t>CSIMB005495</t>
  </si>
  <si>
    <t>TEOPISCA</t>
  </si>
  <si>
    <t>H. B. C. DE TEOPISCA</t>
  </si>
  <si>
    <t>CSIMB005524</t>
  </si>
  <si>
    <t>FRONTERA COMALAPA</t>
  </si>
  <si>
    <t>H. B. C. DE FRONTERA COMALAPA</t>
  </si>
  <si>
    <t>CSIMB005536</t>
  </si>
  <si>
    <t>CHALCHIHUITAN</t>
  </si>
  <si>
    <t>H. B. C. DE CHALCHIHUITÁN</t>
  </si>
  <si>
    <t>CSIMB005891</t>
  </si>
  <si>
    <t>OSTUACAN</t>
  </si>
  <si>
    <t>HOSPITAL BÁSICO COMUNITARIO OSTUACAN, CHIAPAS</t>
  </si>
  <si>
    <t>CSIMB006113</t>
  </si>
  <si>
    <t>OXCHUC</t>
  </si>
  <si>
    <t>HOSPITAL BÁSICO COMUNITARIO DE OXCHUC</t>
  </si>
  <si>
    <t>CSIMB006125</t>
  </si>
  <si>
    <t>CHAMULA</t>
  </si>
  <si>
    <t>H. B. C. DE SAN JUAN CHAMULA</t>
  </si>
  <si>
    <t>CSIMB006241</t>
  </si>
  <si>
    <t>H. B. C. DE OCOSINGO</t>
  </si>
  <si>
    <t>CSIMB000175</t>
  </si>
  <si>
    <t>ARRIAGA</t>
  </si>
  <si>
    <t>HOSPITAL GENERAL JUÁREZ ARRIAGA</t>
  </si>
  <si>
    <t>Generales</t>
  </si>
  <si>
    <t>HOSPITAL GENERAL</t>
  </si>
  <si>
    <t>CSIMB000460</t>
  </si>
  <si>
    <t>COMITAN DE DOMINGUEZ</t>
  </si>
  <si>
    <t>HOSPITAL GENERAL MARÍA IGNACIA GANDULFO COMITAN</t>
  </si>
  <si>
    <t>CSIMB001073</t>
  </si>
  <si>
    <t>HUIXTLA</t>
  </si>
  <si>
    <t>HOSPITAL GENERAL HUIXTLA</t>
  </si>
  <si>
    <t>CSIMB001732</t>
  </si>
  <si>
    <t>PALENQUE</t>
  </si>
  <si>
    <t>HOSPITAL GENERAL PALENQUE</t>
  </si>
  <si>
    <t>CSIMB001884</t>
  </si>
  <si>
    <t>PICHUCALCO</t>
  </si>
  <si>
    <t>HOSPITAL GENERAL PICHUCALCO</t>
  </si>
  <si>
    <t>CSIMB002753</t>
  </si>
  <si>
    <t>TONALA</t>
  </si>
  <si>
    <t>HOSPITAL GENERAL DR. JUAN C. CORZO TONALÁ</t>
  </si>
  <si>
    <t>CSIMB002980</t>
  </si>
  <si>
    <t>TUXTLA GUTIERREZ</t>
  </si>
  <si>
    <t>HOSPITAL REGIONAL DR. RAFAEL PASCASIO GAMBOA TUXTLA</t>
  </si>
  <si>
    <t>CSIMB003622</t>
  </si>
  <si>
    <t>REFORMA</t>
  </si>
  <si>
    <t>HOSPITAL GENERAL DE REFORMA</t>
  </si>
  <si>
    <t>CSIMB003675</t>
  </si>
  <si>
    <t>YAJALON</t>
  </si>
  <si>
    <t>HOSPITAL GENERAL YAJALÓN "DR. JOSE MANUEL VELASCO SILES"</t>
  </si>
  <si>
    <t>CSIMB003680</t>
  </si>
  <si>
    <t>TAPACHULA</t>
  </si>
  <si>
    <t>HOSPITAL GENERAL TAPACHULA</t>
  </si>
  <si>
    <t>CSIMB005500</t>
  </si>
  <si>
    <t>SAN CRISTOBAL DE LAS CASAS</t>
  </si>
  <si>
    <t>HOSPITAL DE LAS CULTURAS SAN CRISTOBAL DE LAS CASAS</t>
  </si>
  <si>
    <t>CSIMB005582</t>
  </si>
  <si>
    <t>VILLAFLORES</t>
  </si>
  <si>
    <t>HOSPITAL GENERAL BICENTENARIO VILLAFLORES</t>
  </si>
  <si>
    <t>CSIMB006533</t>
  </si>
  <si>
    <t>HOSPITAL CHIAPAS NOS UNE DR. JESUS GILBERTO GOMEZ MAZA</t>
  </si>
  <si>
    <t>YNIMB000024</t>
  </si>
  <si>
    <t>YUCATAN</t>
  </si>
  <si>
    <t>TEKAX</t>
  </si>
  <si>
    <t>HOSPITAL GENERAL DE TEKAX, YUCATÁN</t>
  </si>
  <si>
    <t>CSIMB003506</t>
  </si>
  <si>
    <t>HOSPITAL REGIONAL DE ALTA ESPECIALIDAD CIUDAD SALUD</t>
  </si>
  <si>
    <t>HRAES</t>
  </si>
  <si>
    <t>HOSPITAL ESPECIALIZADO</t>
  </si>
  <si>
    <t>CSIMB003511</t>
  </si>
  <si>
    <t>HOSPITAL DE ESPECIALIDADES PEDIÁTRICAS</t>
  </si>
  <si>
    <t>TSIMB002865</t>
  </si>
  <si>
    <t>TAMAULIPAS</t>
  </si>
  <si>
    <t>VICTORIA</t>
  </si>
  <si>
    <t>HOSPITAL REGIONAL DE ALTA ESPECIALIDAD EN CD VICTORIA BICENTENARIO 2010</t>
  </si>
  <si>
    <t>CSIMB005512</t>
  </si>
  <si>
    <t>HOSPITAL DE LA MUJER COMITÁN</t>
  </si>
  <si>
    <t>Materno infantil</t>
  </si>
  <si>
    <t>CSIMB002234</t>
  </si>
  <si>
    <t>HOSPITAL DE LA MUJER SAN CRISTÓBAL DE LAS CASAS</t>
  </si>
  <si>
    <t>CSIMB003605</t>
  </si>
  <si>
    <t>UNIDAD DE ATENCIÓN A LA SALUD MENTAL SAN AGUSTÍN</t>
  </si>
  <si>
    <t>Psiquiátrico</t>
  </si>
  <si>
    <t>HOSPITAL PSIQUIÁTRICO</t>
  </si>
  <si>
    <t>BCIMB000623</t>
  </si>
  <si>
    <t>BAJA CALIFORNIA</t>
  </si>
  <si>
    <t>SAN FELIPE</t>
  </si>
  <si>
    <t>HOSPITAL COMUNITARIO SAN FELIPE</t>
  </si>
  <si>
    <t>EN PROCESO</t>
  </si>
  <si>
    <t>ENVIADO A LA CE/UM</t>
  </si>
  <si>
    <t>BCIMB001726</t>
  </si>
  <si>
    <t>MEXICALI</t>
  </si>
  <si>
    <t>UNEME DE ONCOLOGÍA</t>
  </si>
  <si>
    <t>UNEMES</t>
  </si>
  <si>
    <t>UNIDAD DE ESPECIALIDADES MÉDICAS (UNEMES)</t>
  </si>
  <si>
    <t>UNEMES DE ONCOLOGÍA</t>
  </si>
  <si>
    <t>BCIMB000010</t>
  </si>
  <si>
    <t>ENSENADA</t>
  </si>
  <si>
    <t>HOSPITAL GENERAL DE ENSENADA</t>
  </si>
  <si>
    <t>CCIMB000266</t>
  </si>
  <si>
    <t>CAMPECHE</t>
  </si>
  <si>
    <t>CHAMPOTON</t>
  </si>
  <si>
    <t>HOSPITAL COMUNITARIO DE CHAMPOTÓN "DR.JOSÉ E. NAZAR RAIDEN"</t>
  </si>
  <si>
    <t>ENTREGADO/REVISIÓN</t>
  </si>
  <si>
    <t>CCIMB000674</t>
  </si>
  <si>
    <t>CANDELARIA</t>
  </si>
  <si>
    <t>HOSPITAL COMUNITARIO DE CANDELARIA</t>
  </si>
  <si>
    <t>CCIMB000831</t>
  </si>
  <si>
    <t>HOPELCHEN</t>
  </si>
  <si>
    <t>HOSPITAL  COMUNITARIO DE  HOPELCHEN</t>
  </si>
  <si>
    <t>CCIMB000942</t>
  </si>
  <si>
    <t>PALIZADA</t>
  </si>
  <si>
    <t>HOSPITAL DE PALIZADA</t>
  </si>
  <si>
    <t>CCIMB000966</t>
  </si>
  <si>
    <t>CARMEN</t>
  </si>
  <si>
    <t>HOSPITAL DE SABANCUY</t>
  </si>
  <si>
    <t>CCIMB001164</t>
  </si>
  <si>
    <t>CALAKMUL</t>
  </si>
  <si>
    <t>HOSPITAL INTEGRAL XPUJIL</t>
  </si>
  <si>
    <t>CCIMB001362</t>
  </si>
  <si>
    <t>CALKINI</t>
  </si>
  <si>
    <t>HOSPITAL INTEGRAL DE CALKINÍ</t>
  </si>
  <si>
    <t>YNSSA013464</t>
  </si>
  <si>
    <t>SSA</t>
  </si>
  <si>
    <t>PETO</t>
  </si>
  <si>
    <t>HOSPITAL COMUNITARIO DE PETO, YUCATÁN</t>
  </si>
  <si>
    <t>EN REVISIÓN CENTRAL</t>
  </si>
  <si>
    <t>YNSSA013481</t>
  </si>
  <si>
    <t>TICUL</t>
  </si>
  <si>
    <t>HOSPITAL COMUNITARIO DE TICUL, YUCATÁN</t>
  </si>
  <si>
    <t>VZIMB008980</t>
  </si>
  <si>
    <t>VERACRUZ DE IGNACIO DE LA LLAVE</t>
  </si>
  <si>
    <t>NAUTLA</t>
  </si>
  <si>
    <t>HOSPITAL DE LA COMUNIDAD DE NAUTLA</t>
  </si>
  <si>
    <t>VZIMB008975</t>
  </si>
  <si>
    <t>NARANJOS AMATLAN</t>
  </si>
  <si>
    <t>HOSPITAL DE LA COMUNIDAD NARANJOS AMATLÁN, VERACRUZ</t>
  </si>
  <si>
    <t>DFIMB001822</t>
  </si>
  <si>
    <t>CIUDAD DE MEXICO</t>
  </si>
  <si>
    <t>BENITO JUAREZ</t>
  </si>
  <si>
    <t>HOSPITAL GENERAL XOCO</t>
  </si>
  <si>
    <t>GRIMB000934</t>
  </si>
  <si>
    <t>GUERRERO</t>
  </si>
  <si>
    <t>ALCOZAUCA DE GUERRERO</t>
  </si>
  <si>
    <t>HOSPITAL BÁSICO COMUNITARIO ALCOZAUCA DE GUERRERO</t>
  </si>
  <si>
    <t>GRIMB001120</t>
  </si>
  <si>
    <t>ARCELIA</t>
  </si>
  <si>
    <t>HOSPITAL BÁSICO COMUNITARIO ARCELIA</t>
  </si>
  <si>
    <t>GRIMB002030</t>
  </si>
  <si>
    <t>COAHUAYUTLA DE JOSE MARIA IZAZAGA</t>
  </si>
  <si>
    <t>HOSPITAL BÁSICO COMUNITARIO COAHUAYUTLA DE GUERRERO</t>
  </si>
  <si>
    <t>GRIMB002170</t>
  </si>
  <si>
    <t>COPALA</t>
  </si>
  <si>
    <t>HOSPITAL BÁSICO COMUNITARIO COPALA</t>
  </si>
  <si>
    <t>GRIMB002812</t>
  </si>
  <si>
    <t>CUAJINICUILAPA</t>
  </si>
  <si>
    <t>HOSPITAL BÁSICO COMUNITARIO CUAJINICUILAPA</t>
  </si>
  <si>
    <t>GRIMB003705</t>
  </si>
  <si>
    <t>GENERAL HELIODORO CASTILLO</t>
  </si>
  <si>
    <t>HOSPITAL BÁSICO COMUNITARIO TLACOTEPEC</t>
  </si>
  <si>
    <t>GRIMB004562</t>
  </si>
  <si>
    <t>LEONARDO BRAVO</t>
  </si>
  <si>
    <t>HOSPITAL BÁSICO COMUNITARIO FILO DE CABALLOS</t>
  </si>
  <si>
    <t>GRIMB004574</t>
  </si>
  <si>
    <t>MALINALTEPEC</t>
  </si>
  <si>
    <t>HOSPITAL BÁSICO COMUNITARIO MALINALTEPEC</t>
  </si>
  <si>
    <t>GRIMB005320</t>
  </si>
  <si>
    <t>PETATLAN</t>
  </si>
  <si>
    <t>HOSPITAL BÁSICO COMUNITARIO PETATLAN</t>
  </si>
  <si>
    <t>GRIMB005566</t>
  </si>
  <si>
    <t>QUECHULTENANGO</t>
  </si>
  <si>
    <t>HOSPITAL BÁSICO COMUNITARIO QUECHULTENANGO</t>
  </si>
  <si>
    <t>GRIMB006370</t>
  </si>
  <si>
    <t>TECPAN DE GALEANA</t>
  </si>
  <si>
    <t>HOSPITAL BÁSICO COMUNITARIO TECPAN DE GALEANA</t>
  </si>
  <si>
    <t>GRIMB006930</t>
  </si>
  <si>
    <t>TEPECOACUILCO DE TRUJANO</t>
  </si>
  <si>
    <t>HOSPITAL BÁSICO COMUNITARIO XALITLA</t>
  </si>
  <si>
    <t>GRIMB006983</t>
  </si>
  <si>
    <t>TIXTLA DE GUERRERO</t>
  </si>
  <si>
    <t>HOSPITAL BÁSICO COMUNITARIO TIXTLA DE GUERRERO</t>
  </si>
  <si>
    <t>GRIMB007712</t>
  </si>
  <si>
    <t>XOCHIHUEHUETLAN</t>
  </si>
  <si>
    <t>HOSPITAL BÁSICO COMUNITARIO XOCHIHUEHUETLAN</t>
  </si>
  <si>
    <t>GRIMB007753</t>
  </si>
  <si>
    <t>XOCHISTLAHUACA</t>
  </si>
  <si>
    <t>HOSPITAL BÁSICO COMUNITARIO XOCHISTLÁHUACA</t>
  </si>
  <si>
    <t>GRIMB007980</t>
  </si>
  <si>
    <t>EDUARDO NERI</t>
  </si>
  <si>
    <t>HOSPITAL BÁSICO COMUNITARIO ZUMPANGO JOSÉ PONIENTE</t>
  </si>
  <si>
    <t>GRIMB008120</t>
  </si>
  <si>
    <t>ACATEPEC</t>
  </si>
  <si>
    <t>HOSPITAL BÁSICO COMUNITARIO ACATEPEC</t>
  </si>
  <si>
    <t>GRIMB009030</t>
  </si>
  <si>
    <t>SAN MARCOS</t>
  </si>
  <si>
    <t>HOSPITAL DE LA COMUNIDAD SAN MARCOS</t>
  </si>
  <si>
    <t>GRIMB009054</t>
  </si>
  <si>
    <t>ZAPOTITLAN TABLAS</t>
  </si>
  <si>
    <t>HOSPITAL DE LA COMUNIDAD DE ZAPOTITLÁN TABLAS</t>
  </si>
  <si>
    <t>GRIMB009491</t>
  </si>
  <si>
    <t>TLACOAPA</t>
  </si>
  <si>
    <t>HOSPITAL DE LA COMUNIDAD DE TLACOAPA</t>
  </si>
  <si>
    <t>GRIMB009906</t>
  </si>
  <si>
    <t>TELOLOAPAN</t>
  </si>
  <si>
    <t>HOSPITAL DE LA COMUNIDAD DE TELOLOAPAN GRO.</t>
  </si>
  <si>
    <t>GRIMB010285</t>
  </si>
  <si>
    <t>HUAMUXTITLAN</t>
  </si>
  <si>
    <t>HOSPITAL DE LA COMUNIDAD DE HUAMUXTITLÁN</t>
  </si>
  <si>
    <t>GRIMB010290</t>
  </si>
  <si>
    <t>COYUCA DE BENITEZ</t>
  </si>
  <si>
    <t>HOSPITAL DE LA COMUNIDAD DE COYUCA DE BENITEZ</t>
  </si>
  <si>
    <t>GRIMB010495</t>
  </si>
  <si>
    <t>SAN LUIS ACATLAN</t>
  </si>
  <si>
    <t>HOSPITAL IMSS BIENESTAR SAN LUIS ACATLAN</t>
  </si>
  <si>
    <t>GRIMB010512</t>
  </si>
  <si>
    <t>OLINALA</t>
  </si>
  <si>
    <t>HOSPITAL COMUNITARIO DE OLINALÁ</t>
  </si>
  <si>
    <t>HGIMB001481</t>
  </si>
  <si>
    <t>HIDALGO</t>
  </si>
  <si>
    <t>IXMIQUILPAN</t>
  </si>
  <si>
    <t>HOSPITAL GENERAL DEL VALLE DEL MEZQUITAL IXMIQUILPAN</t>
  </si>
  <si>
    <t>HGIMB004800</t>
  </si>
  <si>
    <t>APAN</t>
  </si>
  <si>
    <t>HOSPITAL GENERAL DE APAN</t>
  </si>
  <si>
    <t>HGIMB005005</t>
  </si>
  <si>
    <t>SANTIAGO TULANTEPEC DE LUGO GUERRERO</t>
  </si>
  <si>
    <t>HOSPITAL GENERAL DE TULANCINGO</t>
  </si>
  <si>
    <t>HGIMB004573</t>
  </si>
  <si>
    <t>PACHUCA DE SOTO</t>
  </si>
  <si>
    <t>HOSPITAL MATERNO INFANTIL</t>
  </si>
  <si>
    <t>HGIMB000431</t>
  </si>
  <si>
    <t>ATLAPEXCO</t>
  </si>
  <si>
    <t>HOSPITAL INTEGRAL ATLAPEXCO</t>
  </si>
  <si>
    <t>HGIMB001686</t>
  </si>
  <si>
    <t>JACALA DE LEDEZMA</t>
  </si>
  <si>
    <t>HOSPITAL INTEGRAL JACALA</t>
  </si>
  <si>
    <t>HGIMB004561</t>
  </si>
  <si>
    <t>ZIMAPAN</t>
  </si>
  <si>
    <t>HOSPITAL ZIMAPÁN</t>
  </si>
  <si>
    <t>MCIMB000890</t>
  </si>
  <si>
    <t>MEXICO</t>
  </si>
  <si>
    <t>ATIZAPAN</t>
  </si>
  <si>
    <t>HOSPITAL MUNICIPAL SANTA CRUZ ATIZAPÁN BICENTENARIO</t>
  </si>
  <si>
    <t>MCIMB001351</t>
  </si>
  <si>
    <t>COATEPEC HARINAS</t>
  </si>
  <si>
    <t>HOSPITAL  RAMÓN LÓPEZ RAYÓN BICENTENARIO COATEPEC HARINAS</t>
  </si>
  <si>
    <t>MCIMB002244</t>
  </si>
  <si>
    <t>HUEHUETOCA</t>
  </si>
  <si>
    <t>HOSPITAL MUNICIPAL HUEHUETOCA</t>
  </si>
  <si>
    <t>MCIMB002331</t>
  </si>
  <si>
    <t>HUIXQUILUCAN</t>
  </si>
  <si>
    <t>HOSPITAL SANTOS DEGOLLADO BICENTENARIO</t>
  </si>
  <si>
    <t>MCIMB002874</t>
  </si>
  <si>
    <t>XALATLACO</t>
  </si>
  <si>
    <t>HOSPITAL MUNICIPAL XALATLACO MARIANO MATAMOROS</t>
  </si>
  <si>
    <t>MCIMB004344</t>
  </si>
  <si>
    <t>EL ORO</t>
  </si>
  <si>
    <t>HOSPITAL IGNACIO LÓPEZ RAYÓN BICENTENARIO</t>
  </si>
  <si>
    <t>MCIMB004443</t>
  </si>
  <si>
    <t>OTUMBA</t>
  </si>
  <si>
    <t>HOSPITAL MUNICIPAL OTUMBA BICENTENARIO</t>
  </si>
  <si>
    <t>MCIMB005102</t>
  </si>
  <si>
    <t>SULTEPEC</t>
  </si>
  <si>
    <t>HOSPITAL JOSÉ MARÍA COSS BICENTENARIO</t>
  </si>
  <si>
    <t>MCIMB005942</t>
  </si>
  <si>
    <t>TENANGO DEL VALLE</t>
  </si>
  <si>
    <t>HOSPITAL MUNICIPAL MARIANO MATAMOROS BICENTENARIO TENANGO DEL VALLE</t>
  </si>
  <si>
    <t>MCIMB006181</t>
  </si>
  <si>
    <t>TEPETLIXPA</t>
  </si>
  <si>
    <t>HM TEPETLIXPA HERMENEGILDO GALEANA, BICENTENARIO</t>
  </si>
  <si>
    <t>MCIMB006275</t>
  </si>
  <si>
    <t>TEXCALTITLAN</t>
  </si>
  <si>
    <t>HOSPITAL JUAN ALDAMA BICENTENARIO</t>
  </si>
  <si>
    <t>MCIMB006893</t>
  </si>
  <si>
    <t>TLATLAYA</t>
  </si>
  <si>
    <t>HOSPITAL MUNICIPAL SAN PEDRO LIMÓN</t>
  </si>
  <si>
    <t>MCIMB007465</t>
  </si>
  <si>
    <t>VILLA GUERRERO</t>
  </si>
  <si>
    <t>HOSPITAL MUNICIPAL BICENTENARIO HERMENEGILDO GALEANA VILLA GUERRERO</t>
  </si>
  <si>
    <t>MCIMB007540</t>
  </si>
  <si>
    <t>VILLA VICTORIA</t>
  </si>
  <si>
    <t>HOSPITAL GUADALUPE VICTORIA BICENTENARIO</t>
  </si>
  <si>
    <t>MCIMB007960</t>
  </si>
  <si>
    <t>ZUMPANGO</t>
  </si>
  <si>
    <t>HOSPITAL MUNICIPAL SAN JUAN ZITLALTEPEC</t>
  </si>
  <si>
    <t>MCIMB008556</t>
  </si>
  <si>
    <t>LUVIANOS</t>
  </si>
  <si>
    <t>HOSPITAL VALERIO TRUJANO BICENTENARIO</t>
  </si>
  <si>
    <t>MCIMB008824</t>
  </si>
  <si>
    <t>TECAMAC</t>
  </si>
  <si>
    <t>HOSPITAL MUNICIPAL TECAMAC LIC. CÉSAR CAMACHO QUIROZ</t>
  </si>
  <si>
    <t>MCIMB009051</t>
  </si>
  <si>
    <t>ACAMBAY DE RUIZ CASTAÑEDA</t>
  </si>
  <si>
    <t>HOSPITAL MUNICIPAL ACAMBAY IGNACIO ALLENDE  BICENTENARIO</t>
  </si>
  <si>
    <t>MCIMB009162</t>
  </si>
  <si>
    <t>TEMOAYA</t>
  </si>
  <si>
    <t>HOSPITAL MUNICIPAL TEMOAYA</t>
  </si>
  <si>
    <t>MCIMB009186</t>
  </si>
  <si>
    <t>ZACUALPAN</t>
  </si>
  <si>
    <t>HOSPITAL MUNICIPAL ZACUALPAN</t>
  </si>
  <si>
    <t>MCIMB009425</t>
  </si>
  <si>
    <t>LERMA</t>
  </si>
  <si>
    <t>HOSPITAL MUNICIPAL LERMA</t>
  </si>
  <si>
    <t>MCIMB009734</t>
  </si>
  <si>
    <t>VILLA DEL CARBON</t>
  </si>
  <si>
    <t>HOSPITAL MUNICIPAL VILLA DEL CARBON</t>
  </si>
  <si>
    <t>MCIMB010224</t>
  </si>
  <si>
    <t>CHICONCUAC</t>
  </si>
  <si>
    <t>HOSPITAL MUNICIPAL DE CHICONCUAC</t>
  </si>
  <si>
    <t>MCIMB010294</t>
  </si>
  <si>
    <t>MALINALCO</t>
  </si>
  <si>
    <t>HOSPITAL MUNICIPAL MALINALCO PEDRO ASCENCIO DE ALQUISIRAS</t>
  </si>
  <si>
    <t>MCIMB010825</t>
  </si>
  <si>
    <t>IXTAPALUCA</t>
  </si>
  <si>
    <t>HOSPITAL MUNICIPAL IXTAPALUCA LEONA VICARIO BICENTENARIO</t>
  </si>
  <si>
    <t>MCIMB010842</t>
  </si>
  <si>
    <t>OTZOLOTEPEC</t>
  </si>
  <si>
    <t>SANTA MARÍA TETITLA</t>
  </si>
  <si>
    <t>MCIMB011694</t>
  </si>
  <si>
    <t>XONACATLAN</t>
  </si>
  <si>
    <t>HOSPITAL MUNICIPAL XONACATLÁN VICENTE GUERRERO BICENTENARIO</t>
  </si>
  <si>
    <t>MCIMB012114</t>
  </si>
  <si>
    <t>TEMASCALTEPEC</t>
  </si>
  <si>
    <t>HOSPITAL MUNICIPAL TEMASCALTEPEC</t>
  </si>
  <si>
    <t>MCIMB012131</t>
  </si>
  <si>
    <t>JIQUIPILCO</t>
  </si>
  <si>
    <t>HOSPITAL MUNICIPAL HERMENEGILDO GALEANA JIQUIPILCO</t>
  </si>
  <si>
    <t>MCIMB012196</t>
  </si>
  <si>
    <t>NICOLAS ROMERO</t>
  </si>
  <si>
    <t>HOSPITAL MUNICIPAL JUAN ALDAMA VILLA NICOLÁS ROMERO</t>
  </si>
  <si>
    <t>MNIMB000230</t>
  </si>
  <si>
    <t>MICHOACAN DE OCAMPO</t>
  </si>
  <si>
    <t>ARTEAGA</t>
  </si>
  <si>
    <t>HOSPITAL INTEGRAL ARTEAGA</t>
  </si>
  <si>
    <t>MNIMB000353</t>
  </si>
  <si>
    <t>COAHUAYANA</t>
  </si>
  <si>
    <t>HOSPITAL INTEGRAL COAHUAYANA</t>
  </si>
  <si>
    <t>MNIMB001601</t>
  </si>
  <si>
    <t>MUGICA</t>
  </si>
  <si>
    <t>HOSPITAL INTEGRAL NUEVA ITALIA</t>
  </si>
  <si>
    <t>MNIMB003940</t>
  </si>
  <si>
    <t>TUZANTLA</t>
  </si>
  <si>
    <t>HOSPITAL COMUNITARIO TUZANTLA</t>
  </si>
  <si>
    <t>MNIMB003952</t>
  </si>
  <si>
    <t>NOCUPETARO</t>
  </si>
  <si>
    <t>HOSPITAL COMUNITARIO CARACUARO-NOCUPETARO</t>
  </si>
  <si>
    <t>MNIMB003981</t>
  </si>
  <si>
    <t>LA HUACANA</t>
  </si>
  <si>
    <t>HOSPITAL COMUNITARIO LA HUACANA</t>
  </si>
  <si>
    <t>MNIMB004751</t>
  </si>
  <si>
    <t>AQUILA</t>
  </si>
  <si>
    <t>HOSPITAL COMUNITARIO MARUATA</t>
  </si>
  <si>
    <t>MSIMB001820</t>
  </si>
  <si>
    <t>MORELOS</t>
  </si>
  <si>
    <t>PUENTE DE IXTLA</t>
  </si>
  <si>
    <t>HC PUENTE DE IXTLA DR. FERNANDO R. VIZCARRA</t>
  </si>
  <si>
    <t>MSIMB001861</t>
  </si>
  <si>
    <t>OCUITUCO</t>
  </si>
  <si>
    <t>HC DE OCUITUCO</t>
  </si>
  <si>
    <t>MSIMB002112</t>
  </si>
  <si>
    <t>JONACATEPEC DE LEANDRO VALLE</t>
  </si>
  <si>
    <t>HC DE JONACATEPEC</t>
  </si>
  <si>
    <t>NTIMB000020</t>
  </si>
  <si>
    <t>NAYARIT</t>
  </si>
  <si>
    <t>ACAPONETA</t>
  </si>
  <si>
    <t>HOSPITAL INTEGRAL ACAPONETA</t>
  </si>
  <si>
    <t>NTIMB000353</t>
  </si>
  <si>
    <t>IXTLAN DEL RIO</t>
  </si>
  <si>
    <t>HOSPITAL INTEGRAL IXTLÁN DEL RÍO</t>
  </si>
  <si>
    <t>NTIMB000510</t>
  </si>
  <si>
    <t>DEL NAYAR</t>
  </si>
  <si>
    <t>HOSPITAL MIXTO JESÚS MARÍA</t>
  </si>
  <si>
    <t>NTIMB002202</t>
  </si>
  <si>
    <t>LA YESCA</t>
  </si>
  <si>
    <t>HOSPITAL INTEGRAL PUENTE DE CAMOTLÁN</t>
  </si>
  <si>
    <t>NTIMB002523</t>
  </si>
  <si>
    <t>BAHIA DE BANDERAS</t>
  </si>
  <si>
    <t>HOSPITAL BASICO COMUNITARIO DE TONDOROQUE</t>
  </si>
  <si>
    <t>NTIMB002622</t>
  </si>
  <si>
    <t>COMPOSTELA</t>
  </si>
  <si>
    <t>HOSPITAL BÁSICO COMUNITARIO DE COMPOSTELA</t>
  </si>
  <si>
    <t>NTIMB002634</t>
  </si>
  <si>
    <t>TECUALA</t>
  </si>
  <si>
    <t>HOSPITAL BASICO COMUNITARIO DE TECUALA</t>
  </si>
  <si>
    <t>NTIMB002646</t>
  </si>
  <si>
    <t>HOSPITAL BASICO COMUNITARIO LAS VARAS</t>
  </si>
  <si>
    <t>NTIMB002745</t>
  </si>
  <si>
    <t>TUXPAN</t>
  </si>
  <si>
    <t>HOSPITAL COMUNITARIO TUXPAN</t>
  </si>
  <si>
    <t>OCIMB000135</t>
  </si>
  <si>
    <t>OAXACA</t>
  </si>
  <si>
    <t>ASUNCION NOCHIXTLAN</t>
  </si>
  <si>
    <t>HC NOCHIXTLAN</t>
  </si>
  <si>
    <t>OCIMB000350</t>
  </si>
  <si>
    <t>CHALCATONGO DE HIDALGO</t>
  </si>
  <si>
    <t>HC HOSPITAL INTEGRAL COMUNITARIO CHALCATONGO</t>
  </si>
  <si>
    <t>OCIMB000386</t>
  </si>
  <si>
    <t>TAMAZULAPAM DEL ESPIRITU SANTO</t>
  </si>
  <si>
    <t>HC TAMAZULAPAN</t>
  </si>
  <si>
    <t>OCIMB003500</t>
  </si>
  <si>
    <t>SAN PEDRO TAPANATEPEC</t>
  </si>
  <si>
    <t>HC SAN PEDRO TAPANATEPEC</t>
  </si>
  <si>
    <t>OCIMB003816</t>
  </si>
  <si>
    <t>SANTA CATARINA JUQUILA</t>
  </si>
  <si>
    <t>HC SANTA CATARINA JUQUILA</t>
  </si>
  <si>
    <t>OCIMB007864</t>
  </si>
  <si>
    <t>SAN JACINTO TLACOTEPEC</t>
  </si>
  <si>
    <t>HC TLACOTEPEC</t>
  </si>
  <si>
    <t>OCIMB008045</t>
  </si>
  <si>
    <t>SANTO DOMINGO TEOJOMULCO</t>
  </si>
  <si>
    <t>HC LA PAZ TEOJOMULCO-TEXMELUCAN</t>
  </si>
  <si>
    <t>OCIMB008190</t>
  </si>
  <si>
    <t>SANTIAGO TAMAZOLA</t>
  </si>
  <si>
    <t>HC TAMAZOLA</t>
  </si>
  <si>
    <t>OCIMB008634</t>
  </si>
  <si>
    <t>LOMA BONITA</t>
  </si>
  <si>
    <t>HC LOMA BONITA</t>
  </si>
  <si>
    <t>OCIMB008774</t>
  </si>
  <si>
    <t>NEJAPA DE MADERO</t>
  </si>
  <si>
    <t>HC NEJAPA DE MADERO</t>
  </si>
  <si>
    <t>OCIMB008803</t>
  </si>
  <si>
    <t>SAN JUAN BAUTISTA VALLE NACIONAL</t>
  </si>
  <si>
    <t>HC VALLE NACIONAL</t>
  </si>
  <si>
    <t>OCIMB008861</t>
  </si>
  <si>
    <t>SAN MIGUEL SOYALTEPEC</t>
  </si>
  <si>
    <t>HC TEMASCAL</t>
  </si>
  <si>
    <t>OCIMB008873</t>
  </si>
  <si>
    <t>SANTOS REYES NOPALA</t>
  </si>
  <si>
    <t>HC SANTOS REYES NOPALA</t>
  </si>
  <si>
    <t>OCIMB009100</t>
  </si>
  <si>
    <t>VILLA DE TUTUTEPEC</t>
  </si>
  <si>
    <t>HC RÍO GRANDE</t>
  </si>
  <si>
    <t>OCIMB009416</t>
  </si>
  <si>
    <t>TEOTITLAN DE FLORES MAGON</t>
  </si>
  <si>
    <t>HC TEOTITLÁN DE FLORES MAGÓN</t>
  </si>
  <si>
    <t>OCIMB009445</t>
  </si>
  <si>
    <t>VILLA SOLA DE VEGA</t>
  </si>
  <si>
    <t>HC VILLA SOLA VEGA</t>
  </si>
  <si>
    <t>OCIMB009462</t>
  </si>
  <si>
    <t>SANTA MARIA HUATULCO</t>
  </si>
  <si>
    <t>HC SANTA MARIA HUATULCO</t>
  </si>
  <si>
    <t>OCIMB009561</t>
  </si>
  <si>
    <t>SAN PEDRO HUAMELULA</t>
  </si>
  <si>
    <t>HC SAN PEDRO HUAMELULA</t>
  </si>
  <si>
    <t>OCIMB009643</t>
  </si>
  <si>
    <t>IXTLAN DE JUAREZ</t>
  </si>
  <si>
    <t>IXTLÁN DE JUÁREZ</t>
  </si>
  <si>
    <t>PLIMB000100</t>
  </si>
  <si>
    <t>PUEBLA</t>
  </si>
  <si>
    <t>AHUACATLAN</t>
  </si>
  <si>
    <t>HOSPITAL COMUNITARIO AHUACATLÁN</t>
  </si>
  <si>
    <t>PLIMB000351</t>
  </si>
  <si>
    <t>AYOTOXCO DE GUERRERO</t>
  </si>
  <si>
    <t>HOSPITAL COMUNITARIO DE AYOTOXCO</t>
  </si>
  <si>
    <t>PLIMB000433</t>
  </si>
  <si>
    <t>COXCATLAN</t>
  </si>
  <si>
    <t>HOSPITAL COMUNITARIO COXCATLAN</t>
  </si>
  <si>
    <t>PLIMB000602</t>
  </si>
  <si>
    <t>CUYOACO</t>
  </si>
  <si>
    <t>HOSPITAL COMUNITARIO CUYOACO</t>
  </si>
  <si>
    <t>PLIMB001121</t>
  </si>
  <si>
    <t>HUEHUETLA</t>
  </si>
  <si>
    <t>HOSPITAL COMUNITARIO HUEHUETLA</t>
  </si>
  <si>
    <t>PLIMB001285</t>
  </si>
  <si>
    <t>IXTACAMAXTITLAN</t>
  </si>
  <si>
    <t>HOSPITAL COMUNITARIO  IXTACAMAXTITLAN</t>
  </si>
  <si>
    <t>PLIMB001710</t>
  </si>
  <si>
    <t>PALMAR DE BRAVO</t>
  </si>
  <si>
    <t>HOSPITAL COMUNITARIO CUACNOPALAN</t>
  </si>
  <si>
    <t>PLIMB002154</t>
  </si>
  <si>
    <t>SAN MARTIN TEXMELUCAN</t>
  </si>
  <si>
    <t>HOSPITAL COMUNITARIO SAN MARTÍN TEXMELUCAN (EL MORAL)</t>
  </si>
  <si>
    <t>PLIMB002492</t>
  </si>
  <si>
    <t>TECOMATLAN</t>
  </si>
  <si>
    <t>HOSPITAL COMUNITARIO TECOMATLAN</t>
  </si>
  <si>
    <t>PLIMB003093</t>
  </si>
  <si>
    <t>TULCINGO</t>
  </si>
  <si>
    <t>HOSPITAL COMUNITARIO TULCINGO DE VALLE</t>
  </si>
  <si>
    <t>PLIMB003571</t>
  </si>
  <si>
    <t>ZAPOTITLAN DE MENDEZ</t>
  </si>
  <si>
    <t>HOSPITAL INTEGRAL ZAPOTITLAN DE MENDEZ</t>
  </si>
  <si>
    <t>PLIMB003706</t>
  </si>
  <si>
    <t>ZOQUITLAN</t>
  </si>
  <si>
    <t>HOSPITAL COMUNITARIO ZOQUITLAN</t>
  </si>
  <si>
    <t>PLIMB004020</t>
  </si>
  <si>
    <t>TLAOLA</t>
  </si>
  <si>
    <t>HOSPITAL COMUNITARIO TLAOLA</t>
  </si>
  <si>
    <t>PLIMB004056</t>
  </si>
  <si>
    <t>ACATZINGO</t>
  </si>
  <si>
    <t>HOSPITAL COMUNITARIO ACATZINGO</t>
  </si>
  <si>
    <t>PLIMB004073</t>
  </si>
  <si>
    <t>AJALPAN</t>
  </si>
  <si>
    <t>HOSPITAL COMUNITARIO AJALPAN</t>
  </si>
  <si>
    <t>PLIMB004085</t>
  </si>
  <si>
    <t>TLACOTEPEC DE BENITO JUAREZ</t>
  </si>
  <si>
    <t>HOSPITAL COMUNITARIO TLACOTEPEC DE BENITO JUÁREZ</t>
  </si>
  <si>
    <t>PLIMB004102</t>
  </si>
  <si>
    <t>PANTEPEC</t>
  </si>
  <si>
    <t>HOSPITAL COMUNITARIO MECAPALAPA</t>
  </si>
  <si>
    <t>PLIMB004131</t>
  </si>
  <si>
    <t>VICENTE GUERRERO</t>
  </si>
  <si>
    <t>HOSPITAL COMUNITARIO VICENTE GUERRERO</t>
  </si>
  <si>
    <t>PLIMB004143</t>
  </si>
  <si>
    <t>SAN SEBASTIAN TLACOTEPEC</t>
  </si>
  <si>
    <t>HOSPITAL COMUNITARIO TLACOTEPEC DE PORFIRÍO DÍAZ</t>
  </si>
  <si>
    <t>PLIMB004242</t>
  </si>
  <si>
    <t>GUADALUPE VICTORIA</t>
  </si>
  <si>
    <t>HOSPITAL INTEGRAL GUADALUPE VICTORIA</t>
  </si>
  <si>
    <t>PLIMB004732</t>
  </si>
  <si>
    <t>ZACAPOAXTLA</t>
  </si>
  <si>
    <t>HOSPITAL INTEGRAL ZACAPOAXTLA</t>
  </si>
  <si>
    <t>PLIMB004954</t>
  </si>
  <si>
    <t>SAN JOSE CHIAPA</t>
  </si>
  <si>
    <t>HOSPITAL INTEGRAL SAN JOSÉ CHIAPA</t>
  </si>
  <si>
    <t>PLIMB005263</t>
  </si>
  <si>
    <t>ACAJETE</t>
  </si>
  <si>
    <t>HOSPITAL INTEGRAL ACAJETE-TEPETZALA</t>
  </si>
  <si>
    <t>PLIMB005555</t>
  </si>
  <si>
    <t>HOSPITAL INTEGRAL PALMAR DE BRAVO</t>
  </si>
  <si>
    <t>PLIMB005601</t>
  </si>
  <si>
    <t>XICOTEPEC</t>
  </si>
  <si>
    <t>HOSPITAL INTEGRAL DE XICOTEPEC</t>
  </si>
  <si>
    <t>PLIMB005794</t>
  </si>
  <si>
    <t>QUIMIXTLAN</t>
  </si>
  <si>
    <t>HOSPITAL COMUNITARIO QUIMIXTLAN</t>
  </si>
  <si>
    <t>PLIMB006004</t>
  </si>
  <si>
    <t>IXCAQUIXTLA</t>
  </si>
  <si>
    <t>HOSPITAL COMUNITARIO DR. MIGUEL ANGEL COBOS MARIN</t>
  </si>
  <si>
    <t>PLIMB007095</t>
  </si>
  <si>
    <t>ZACAPALA</t>
  </si>
  <si>
    <t>HOSPITAL COMUNITARIO ZACAPALA</t>
  </si>
  <si>
    <t>PLIMB007136</t>
  </si>
  <si>
    <t>TETELA DE OCAMPO</t>
  </si>
  <si>
    <t>HOSPITAL COMUNITARIO DE TETELA DE OCAMPO</t>
  </si>
  <si>
    <t>PLIMB007305</t>
  </si>
  <si>
    <t>PAHUATLAN</t>
  </si>
  <si>
    <t>HOSPITAL COMUNITARIO PAHUATLÁN DE VALLE</t>
  </si>
  <si>
    <t>PLIMB007416</t>
  </si>
  <si>
    <t>VENUSTIANO CARRANZA</t>
  </si>
  <si>
    <t>HOSPITAL INTEGRAL VENUSTIANO CARRANZA</t>
  </si>
  <si>
    <t>QRIMB000421</t>
  </si>
  <si>
    <t>QUINTANA ROO</t>
  </si>
  <si>
    <t>BACALAR</t>
  </si>
  <si>
    <t>HOSPITAL INTEGRAL DE BACALAR</t>
  </si>
  <si>
    <t>QRIMB001174</t>
  </si>
  <si>
    <t>JOSE MARIA MORELOS</t>
  </si>
  <si>
    <t>HOSPITAL INTEGRAL DE JOSÉ MARÍA MORELOS</t>
  </si>
  <si>
    <t>QRIMB001285</t>
  </si>
  <si>
    <t>LAZARO CARDENAS</t>
  </si>
  <si>
    <t>HOSPITAL INTEGRAL DE KANTUNILKÍN</t>
  </si>
  <si>
    <t>QRIMB001582</t>
  </si>
  <si>
    <t>ISLA MUJERES</t>
  </si>
  <si>
    <t xml:space="preserve">HOSPITAL INTEGRAL DE ISLA MUJERES </t>
  </si>
  <si>
    <t>QRIMB001611</t>
  </si>
  <si>
    <t>OTHON P. BLANCO</t>
  </si>
  <si>
    <t>HOSPITAL IMSS-BIENESTAR NICOLÁS BRAVO</t>
  </si>
  <si>
    <t>QRIMB001623</t>
  </si>
  <si>
    <t>TULUM</t>
  </si>
  <si>
    <t>HOSPITAL IMSS-BIENESTAR TULUM</t>
  </si>
  <si>
    <t>SPIMB000042</t>
  </si>
  <si>
    <t>SAN LUIS POTOSI</t>
  </si>
  <si>
    <t>AQUISMON</t>
  </si>
  <si>
    <t>HOSPITAL COMUNITARIO AQUISMON</t>
  </si>
  <si>
    <t>SPIMB000170</t>
  </si>
  <si>
    <t>CIUDAD DEL MAIZ</t>
  </si>
  <si>
    <t>HOSPITAL COMUNITARIO CIUDAD DEL MAÍZ</t>
  </si>
  <si>
    <t>SPIMB000643</t>
  </si>
  <si>
    <t>SALINAS</t>
  </si>
  <si>
    <t>HOSPITAL COMUNITARIO SALINAS DE HIDALGO</t>
  </si>
  <si>
    <t>SPIMB001063</t>
  </si>
  <si>
    <t>TAMAZUNCHALE</t>
  </si>
  <si>
    <t>HOSPITAL COMUNITARIO TAMAZUNCHALE</t>
  </si>
  <si>
    <t>SPIMB001804</t>
  </si>
  <si>
    <t>VILLA DE ARISTA</t>
  </si>
  <si>
    <t>HOSPITAL COMUNITARIO VILLA DE ARISTA</t>
  </si>
  <si>
    <t>SPIMB001920</t>
  </si>
  <si>
    <t>EBANO</t>
  </si>
  <si>
    <t>HOSPITAL COMUNITARIO EBANO</t>
  </si>
  <si>
    <t>SPIMB002801</t>
  </si>
  <si>
    <t>TAMUIN</t>
  </si>
  <si>
    <t>HOSPITAL COMUNITARIO DE TAMUIN</t>
  </si>
  <si>
    <t>SPIMB002813</t>
  </si>
  <si>
    <t>XILITLA</t>
  </si>
  <si>
    <t>HOSPITAL BASICO COMUNITARIO DE XILITLA</t>
  </si>
  <si>
    <t>SLIMB000195</t>
  </si>
  <si>
    <t>SINALOA</t>
  </si>
  <si>
    <t>ANGOSTURA</t>
  </si>
  <si>
    <t>HOSPITAL INTEGRAL ANGOSTURA</t>
  </si>
  <si>
    <t>SLIMB000241</t>
  </si>
  <si>
    <t>BADIRAGUATO</t>
  </si>
  <si>
    <t>HOSPITAL INTEGRAL BADIRAGUATO</t>
  </si>
  <si>
    <t>SLIMB000446</t>
  </si>
  <si>
    <t>CONCORDIA</t>
  </si>
  <si>
    <t>HOSPITAL INTEGRAL CONCORDIA</t>
  </si>
  <si>
    <t>SLIMB000545</t>
  </si>
  <si>
    <t>COSALA</t>
  </si>
  <si>
    <t>HOSPITAL INTEGRAL COSALA</t>
  </si>
  <si>
    <t>SLIMB000895</t>
  </si>
  <si>
    <t>CHOIX</t>
  </si>
  <si>
    <t>HOSPITAL INTEGRAL CHOIX</t>
  </si>
  <si>
    <t>SLIMB001554</t>
  </si>
  <si>
    <t>MOCORITO</t>
  </si>
  <si>
    <t>HOSPITAL INTEGRAL MOCORITO</t>
  </si>
  <si>
    <t>SLIMB001711</t>
  </si>
  <si>
    <t>ROSARIO</t>
  </si>
  <si>
    <t>HOSPITAL INTEGRAL DE EL ROSARIO</t>
  </si>
  <si>
    <t>SLIMB001950</t>
  </si>
  <si>
    <t>HOSPITAL INTEGRAL DE SINALOA DE LEYVA</t>
  </si>
  <si>
    <t>SLIMB002184</t>
  </si>
  <si>
    <t>NAVOLATO</t>
  </si>
  <si>
    <t>HOSPITAL INTEGRAL NAVOLATO</t>
  </si>
  <si>
    <t>SLIMB002242</t>
  </si>
  <si>
    <t>AHOME</t>
  </si>
  <si>
    <t>HOSPITAL INTEGRAL VALLE DEL CARRIZO</t>
  </si>
  <si>
    <t>SLIMB002464</t>
  </si>
  <si>
    <t>SAN IGNACIO</t>
  </si>
  <si>
    <t>HOSPITAL INTEGRAL SAN IGNACIO</t>
  </si>
  <si>
    <t>SLIMB002476</t>
  </si>
  <si>
    <t>CULIACAN</t>
  </si>
  <si>
    <t>HOSPITAL INTEGRAL VALLE DE SAN LORENZO</t>
  </si>
  <si>
    <t>CMIMB000103</t>
  </si>
  <si>
    <t>COLIMA</t>
  </si>
  <si>
    <t>HOSPITAL REGIONAL UNIVERSITARIO</t>
  </si>
  <si>
    <t>CMIMB000470</t>
  </si>
  <si>
    <t>IXTLAHUACAN</t>
  </si>
  <si>
    <t>HOSPITAL GENERAL IXTLÁHUACAN</t>
  </si>
  <si>
    <t>CMIMB000844</t>
  </si>
  <si>
    <t>TECOMAN</t>
  </si>
  <si>
    <t>HOSPITAL GENERAL TECOMÁN DR. JOSÉ F. RIVAS GUZMÁN</t>
  </si>
  <si>
    <t>CMIMB001141</t>
  </si>
  <si>
    <t>MANZANILLO</t>
  </si>
  <si>
    <t>HOSPITAL GENERAL DE MANZANILLO</t>
  </si>
  <si>
    <t>CMIMB001445</t>
  </si>
  <si>
    <t>INSTITUTO ESTATAL DE CANCEROLOGÍA LIC. CARLOS DE LA MADRID VIRGEN</t>
  </si>
  <si>
    <t>CMIMB001153</t>
  </si>
  <si>
    <t>VILLA DE ALVAREZ</t>
  </si>
  <si>
    <t>TCIMB002273</t>
  </si>
  <si>
    <t>TABASCO</t>
  </si>
  <si>
    <t>JALAPA</t>
  </si>
  <si>
    <t>HOSPITAL COMUNITARIO DE JALAPA</t>
  </si>
  <si>
    <t>TCIMB002396</t>
  </si>
  <si>
    <t>JALPA DE MENDEZ</t>
  </si>
  <si>
    <t>HOSPITAL COMUNITARIO DE JALPA DE MÈNDEZ</t>
  </si>
  <si>
    <t>TCIMB002961</t>
  </si>
  <si>
    <t>NACAJUCA</t>
  </si>
  <si>
    <t>HOSPITAL COMUNITARIO DE  NACAJUCA</t>
  </si>
  <si>
    <t>TCIMB003265</t>
  </si>
  <si>
    <t>TACOTALPA</t>
  </si>
  <si>
    <t>HOSPITAL COMUNITARIO DE TACOTALPA DR. RAMÓN MEDINA</t>
  </si>
  <si>
    <t>TCIMB005020</t>
  </si>
  <si>
    <t>HUIMANGUILLO</t>
  </si>
  <si>
    <t>HOSPITAL COMUNITARIO VILLA LA VENTA</t>
  </si>
  <si>
    <t>TCIMB005271</t>
  </si>
  <si>
    <t>JONUTA</t>
  </si>
  <si>
    <t>HOSPITAL DR. ARCENIO FILIGRANA ZUBIETA</t>
  </si>
  <si>
    <t>TCIMB005505</t>
  </si>
  <si>
    <t>CENTLA</t>
  </si>
  <si>
    <t>HOSPITAL COMUNITARIO DE FRONTERA</t>
  </si>
  <si>
    <t>TSIMB000012</t>
  </si>
  <si>
    <t>ABASOLO</t>
  </si>
  <si>
    <t>HOSPITAL INTEGRAL ABASOLO</t>
  </si>
  <si>
    <t>TSIMB000082</t>
  </si>
  <si>
    <t>ALDAMA</t>
  </si>
  <si>
    <t>HOSPITAL INTEGRAL ALDAMA</t>
  </si>
  <si>
    <t>TSIMB003483</t>
  </si>
  <si>
    <t>MIGUEL ALEMAN</t>
  </si>
  <si>
    <t>HOSPITAL INTEGRAL MIGUEL ALEMÁN</t>
  </si>
  <si>
    <t>TLIMB000181</t>
  </si>
  <si>
    <t>TLAXCALA</t>
  </si>
  <si>
    <t>EL CARMEN TEQUEXQUITLA</t>
  </si>
  <si>
    <t>HOSPITAL COMUNITARIO EL CARMEN TEQUEXQUITLA</t>
  </si>
  <si>
    <t>TLIMB000555</t>
  </si>
  <si>
    <t>CONTLA DE JUAN CUAMATZI</t>
  </si>
  <si>
    <t>HOSPITAL COMUNITARIO SAN BERNARDINO CONTLA</t>
  </si>
  <si>
    <t>TLIMB001050</t>
  </si>
  <si>
    <t>ZACATELCO</t>
  </si>
  <si>
    <t>HOSPITAL COMUNITARIO ZACATELCO</t>
  </si>
  <si>
    <t>TLIMB001412</t>
  </si>
  <si>
    <t>TLAXCO</t>
  </si>
  <si>
    <t>HOSPITAL COMUNITARIO TLAXCO</t>
  </si>
  <si>
    <t>VZIMB000254</t>
  </si>
  <si>
    <t>ALVARADO</t>
  </si>
  <si>
    <t>HOSPITAL DE LA COMUNIDAD DE ALVARADO</t>
  </si>
  <si>
    <t>VZIMB000691</t>
  </si>
  <si>
    <t>CATEMACO</t>
  </si>
  <si>
    <t>HOSPITAL DE LA COMUNIDAD CATEMACO</t>
  </si>
  <si>
    <t>VZIMB000790</t>
  </si>
  <si>
    <t>COATEPEC</t>
  </si>
  <si>
    <t>HOSPITAL DE LA COMUNIDAD COATEPEC</t>
  </si>
  <si>
    <t>VZIMB001794</t>
  </si>
  <si>
    <t>GUTIERREZ ZAMORA</t>
  </si>
  <si>
    <t>HOSPITAL DE LA COMUNIDAD DE GUTIÉRREZ ZAMORA</t>
  </si>
  <si>
    <t>VZIMB001922</t>
  </si>
  <si>
    <t>HUAYACOCOTLA</t>
  </si>
  <si>
    <t>HOSPITAL DE LA COMUNIDAD DE  HUAYACOCOTLA</t>
  </si>
  <si>
    <t>VZIMB002120</t>
  </si>
  <si>
    <t>IXHUATLAN DEL SURESTE</t>
  </si>
  <si>
    <t>HOSPITAL COMUNITARIO DE IXHUATLAN DEL SURESTE</t>
  </si>
  <si>
    <t>VZIMB002511</t>
  </si>
  <si>
    <t>JESUS CARRANZA</t>
  </si>
  <si>
    <t>HOSPITAL DE LA COMUNIDAD SUCHILAPAN DEL RÍO. CARMEN BOUZAS DE LÓPEZ ARIAS</t>
  </si>
  <si>
    <t>VZIMB003276</t>
  </si>
  <si>
    <t>OZULUAMA DE MASCAREÑAS</t>
  </si>
  <si>
    <t>HOSPITAL DE LA COMUNIDAD OZULUAMA DE MASCAREÑAS</t>
  </si>
  <si>
    <t>VZIMB003701</t>
  </si>
  <si>
    <t>PLAYA VICENTE</t>
  </si>
  <si>
    <t>HOSPITAL DE LA COMUNIDAD PLAYA VICENTE</t>
  </si>
  <si>
    <t>VZIMB004710</t>
  </si>
  <si>
    <t>TEMPOAL</t>
  </si>
  <si>
    <t>HOSPITAL DE LA COMUNIDAD  DE TEMPOAL</t>
  </si>
  <si>
    <t>VZIMB004775</t>
  </si>
  <si>
    <t>TEOCELO</t>
  </si>
  <si>
    <t>HOSPITAL DE LA COMUNIDAD DE TEOCELO</t>
  </si>
  <si>
    <t>VZIMB005171</t>
  </si>
  <si>
    <t>TLACOTALPAN</t>
  </si>
  <si>
    <t>HOSPITAL DE LA COMUNIDAD TLACOTALPAN</t>
  </si>
  <si>
    <t>VZIMB005306</t>
  </si>
  <si>
    <t>TLAPACOYAN</t>
  </si>
  <si>
    <t>HOSPITAL DE LA COMUNIDAD TLAPACOYAN</t>
  </si>
  <si>
    <t>VZIMB006023</t>
  </si>
  <si>
    <t>UXPANAPA</t>
  </si>
  <si>
    <t>HOSPITAL DE LA COMUNIDAD LA LAGUNA  POBLADO 6</t>
  </si>
  <si>
    <t>VZIMB006122</t>
  </si>
  <si>
    <t>MECAYAPAN</t>
  </si>
  <si>
    <t>HOSPITAL COMUNITARIO DE TONALAPAN</t>
  </si>
  <si>
    <t>VZIMB006134</t>
  </si>
  <si>
    <t>TLAQUILPA</t>
  </si>
  <si>
    <t>HOSPITAL DE LA COMUNIDAD DE TLAQUILPAN VISTA HERMOSA</t>
  </si>
  <si>
    <t>VZIMB006146</t>
  </si>
  <si>
    <t>TEZONAPA</t>
  </si>
  <si>
    <t>HOSPITAL DE LA COMUNIDAD DE TEZONAPA</t>
  </si>
  <si>
    <t>VZIMB006151</t>
  </si>
  <si>
    <t>IXHUATLAN DE MADERO</t>
  </si>
  <si>
    <t>HOSPITAL DE LA COMUNIDAD DE LLANO DE EN MEDIO</t>
  </si>
  <si>
    <t>VZIMB006163</t>
  </si>
  <si>
    <t>ESPINAL</t>
  </si>
  <si>
    <t>HOSPITAL DE LA COMUNIDAD DE ENTABLADERO</t>
  </si>
  <si>
    <t>VZIMB006180</t>
  </si>
  <si>
    <t>CERRO AZUL</t>
  </si>
  <si>
    <t>HOSPITAL DE LA COMUNIDAD DE CERRO AZUL</t>
  </si>
  <si>
    <t>VZIMB007592</t>
  </si>
  <si>
    <t>LAS CHOAPAS</t>
  </si>
  <si>
    <t>HOSPITAL DE LA COMUNIDAD DR. PEDRO CORONEL PÉREZ</t>
  </si>
  <si>
    <t>VZIMB007732</t>
  </si>
  <si>
    <t>NAOLINCO</t>
  </si>
  <si>
    <t>HOSPITAL DE LA COMUNIDAD DE NAOLINCO</t>
  </si>
  <si>
    <t>VZIMB007860</t>
  </si>
  <si>
    <t>JOSE AZUETA</t>
  </si>
  <si>
    <t>HOSPITAL DE LA COMUNIDAD DE JOSÉ AZUETA</t>
  </si>
  <si>
    <t>ZSIMB000492</t>
  </si>
  <si>
    <t>ZACATECAS</t>
  </si>
  <si>
    <t>JALPA</t>
  </si>
  <si>
    <t>HOSPITAL COMUNITARIO JALPA (DR CALIXTO MEDINA MEDINA)</t>
  </si>
  <si>
    <t>ZSIMB000615</t>
  </si>
  <si>
    <t>JUAN ALDAMA</t>
  </si>
  <si>
    <t>HOSPITAL COMUNITARIO JUAN ALDAMA</t>
  </si>
  <si>
    <t>ZSIMB000620</t>
  </si>
  <si>
    <t>JUCHIPILA</t>
  </si>
  <si>
    <t>HOSPITAL COMUNITARIO JUCHIPILA</t>
  </si>
  <si>
    <t>ZSIMB000813</t>
  </si>
  <si>
    <t>NOCHISTLAN DE MEJIA</t>
  </si>
  <si>
    <t>HOSPITAL COMUNITARIO NOCHISTLÁN DE MEJÍA</t>
  </si>
  <si>
    <t>ZSIMB000900</t>
  </si>
  <si>
    <t>OJOCALIENTE</t>
  </si>
  <si>
    <t>HOSPITAL COMUNITARIO OJOCALIENTE</t>
  </si>
  <si>
    <t>ZSIMB001233</t>
  </si>
  <si>
    <t>HOSPITAL COMUNITARIO TABASCO</t>
  </si>
  <si>
    <t>ZSIMB001320</t>
  </si>
  <si>
    <t>VALPARAISO</t>
  </si>
  <si>
    <t>HOSPITAL COMUNITARIO VALPARAÍSO</t>
  </si>
  <si>
    <t>ZSIMB001653</t>
  </si>
  <si>
    <t>TRANCOSO</t>
  </si>
  <si>
    <t>HOSPITAL COMUNITARIO TRANCOSO</t>
  </si>
  <si>
    <t>ZSIMB001834</t>
  </si>
  <si>
    <t>CALERA</t>
  </si>
  <si>
    <t>HOSPITAL COMUNITARIO VÍCTOR ROSALES</t>
  </si>
  <si>
    <t>ZSIMB001846</t>
  </si>
  <si>
    <t>VILLA DE COS</t>
  </si>
  <si>
    <t>HOSPITAL COMUNITARIO VILLA DE COS</t>
  </si>
  <si>
    <t>ZSIMB002015</t>
  </si>
  <si>
    <t>SOMBRERETE</t>
  </si>
  <si>
    <t>HOSPITAL COMUNITARIO SOMBRERETE</t>
  </si>
  <si>
    <t>BCIMB000355</t>
  </si>
  <si>
    <t>HOSPITAL GENERAL DE MEXICALI</t>
  </si>
  <si>
    <t>BCIMB000676</t>
  </si>
  <si>
    <t>TECATE</t>
  </si>
  <si>
    <t>HOSPITAL GENERAL DE TECATE</t>
  </si>
  <si>
    <t>BCIMB000734</t>
  </si>
  <si>
    <t>TIJUANA</t>
  </si>
  <si>
    <t>HOSPITAL GENERAL TIJUANA</t>
  </si>
  <si>
    <t>BCIMB001422</t>
  </si>
  <si>
    <t>PLAYAS DE ROSARITO</t>
  </si>
  <si>
    <t>HOSPITAL GENERAL PLAYAS DE ROSARITO</t>
  </si>
  <si>
    <t>BCIMB001796</t>
  </si>
  <si>
    <t>HOSPITAL GENERAL TIJUANA ZONA ESTE</t>
  </si>
  <si>
    <t>BCIMB001702</t>
  </si>
  <si>
    <t>BCIMB001352</t>
  </si>
  <si>
    <t>HOSPITAL MATERNO INFANTIL DE TIJUANA</t>
  </si>
  <si>
    <t>BSIMB000503</t>
  </si>
  <si>
    <t>BAJA CALIFORNIA SUR</t>
  </si>
  <si>
    <t>LORETO</t>
  </si>
  <si>
    <t>HOSPITAL COMUNITARIO DE LORETO</t>
  </si>
  <si>
    <t>BSIMB000346</t>
  </si>
  <si>
    <t>LOS CABOS</t>
  </si>
  <si>
    <t>HOSPITAL GENERAL  RAÚL A. CARRILLO</t>
  </si>
  <si>
    <t>BSIMB000643</t>
  </si>
  <si>
    <t>HOSPITAL GENERAL DE CABO SAN LUCAS</t>
  </si>
  <si>
    <t>BSIMB000672</t>
  </si>
  <si>
    <t>LA PAZ</t>
  </si>
  <si>
    <t>B. HOSPITAL GENERAL CON ESPECIALIDADES JUAN MARÍA DE SALVATIERRA</t>
  </si>
  <si>
    <t>CCIMB000073</t>
  </si>
  <si>
    <t>HOSPITAL DR. MANUEL CAMPOS</t>
  </si>
  <si>
    <t>CCIMB000172</t>
  </si>
  <si>
    <t>H.G. MA. SOCORRO QUIROGA AGUILAR</t>
  </si>
  <si>
    <t>CCIMB001526</t>
  </si>
  <si>
    <t>HOSPITAL GENERAL DE ESPECIALIDADES DR. JAVIER BUENFIL OSORIO</t>
  </si>
  <si>
    <t>CCIMB001531</t>
  </si>
  <si>
    <t>ESCARCEGA</t>
  </si>
  <si>
    <t>HOSPITAL GENERAL DE ESCARCEGA DR. JANELL ROMERO AGUILAR</t>
  </si>
  <si>
    <t>DFIMB002114</t>
  </si>
  <si>
    <t>HOSPITAL GENERAL BALBUENA</t>
  </si>
  <si>
    <t>DFIMB002674</t>
  </si>
  <si>
    <t>TLALPAN</t>
  </si>
  <si>
    <t>HOSPITAL GENERAL AJUSCO MEDIO</t>
  </si>
  <si>
    <t>DFIMB000842</t>
  </si>
  <si>
    <t>IZTAPALAPA</t>
  </si>
  <si>
    <t>HOSPITAL GENERAL IZTAPALAPA</t>
  </si>
  <si>
    <t>DFIMB002662</t>
  </si>
  <si>
    <t>TLAHUAC</t>
  </si>
  <si>
    <t>HOSPITAL GENERAL TLÁHUAC</t>
  </si>
  <si>
    <t>DFIMB002575</t>
  </si>
  <si>
    <t>ALVARO OBREGON</t>
  </si>
  <si>
    <t>HOSPITAL GENERAL DR. ENRIQUE CABRERA</t>
  </si>
  <si>
    <t>DFIMB000451</t>
  </si>
  <si>
    <t>GUSTAVO A. MADERO</t>
  </si>
  <si>
    <t>HOSPITAL GENERAL VILLA</t>
  </si>
  <si>
    <t>DFIMB002266</t>
  </si>
  <si>
    <t>HOSPITAL DE ESPECIALIDADES DE LA CIUDAD DE MEXICO DR. BELISARIO DOMÍNGUEZ</t>
  </si>
  <si>
    <t>DFIMB002020</t>
  </si>
  <si>
    <t>MIGUEL HIDALGO</t>
  </si>
  <si>
    <t>HOSPITAL GENERAL DR. RUBÉN LEÑERO</t>
  </si>
  <si>
    <t>DFIMB001706</t>
  </si>
  <si>
    <t>XOCHIMILCO</t>
  </si>
  <si>
    <t>HOSPITAL MATERNO PEDIÁTRICO XOCHIMILCO</t>
  </si>
  <si>
    <t>YNSSA013440</t>
  </si>
  <si>
    <t>VALLADOLID</t>
  </si>
  <si>
    <t>HOSPITAL GENERAL DE VALLADOLID</t>
  </si>
  <si>
    <t>DFIMB002341</t>
  </si>
  <si>
    <t>HOSPITAL GENERAL TOPILEJO</t>
  </si>
  <si>
    <t>DFIMB000446</t>
  </si>
  <si>
    <t>HOSPITAL GENERAL DE TICOMÁN</t>
  </si>
  <si>
    <t>DFIMB001921</t>
  </si>
  <si>
    <t>CUAUHTEMOC</t>
  </si>
  <si>
    <t>HOSPITAL PEDIÁTRICO PERALVILLO</t>
  </si>
  <si>
    <t>Pediátrico</t>
  </si>
  <si>
    <t>DFIMB002090</t>
  </si>
  <si>
    <t>HOSPITAL MATERNO INFANTIL INGUARÁN</t>
  </si>
  <si>
    <t>DFIMB002003</t>
  </si>
  <si>
    <t>HOSPITAL PEDIÁTRICO TACUBAYA</t>
  </si>
  <si>
    <t>DFIMB000830</t>
  </si>
  <si>
    <t>HOSPITAL PEDIÁTRICO IZTAPALAPA</t>
  </si>
  <si>
    <t>DFIMB002435</t>
  </si>
  <si>
    <t>CUAJIMALPA DE MORELOS</t>
  </si>
  <si>
    <t xml:space="preserve">HOSPITAL GENERAL DE CUAJIMALPA  </t>
  </si>
  <si>
    <t>DFIMB002102</t>
  </si>
  <si>
    <t>HOSPITAL PEDIÁTRICO MOCTEZUMA</t>
  </si>
  <si>
    <t>SRIMB000016</t>
  </si>
  <si>
    <t>SONORA</t>
  </si>
  <si>
    <t>GUAYMAS</t>
  </si>
  <si>
    <t>HOSPITAL COMUNITARIO VICAM SWITCH</t>
  </si>
  <si>
    <t>SRIMB000050</t>
  </si>
  <si>
    <t>ALAMOS</t>
  </si>
  <si>
    <t>HOSPITAL COMUNITARIO ALAMOS</t>
  </si>
  <si>
    <t>SRIMB001351</t>
  </si>
  <si>
    <t>MOCTEZUMA</t>
  </si>
  <si>
    <t>HOSPITAL COMUNITARIO MOCTEZUMA</t>
  </si>
  <si>
    <t>SRIMB001964</t>
  </si>
  <si>
    <t>URES</t>
  </si>
  <si>
    <t>HOSPITAL COMUNITARIO URES</t>
  </si>
  <si>
    <t>SRIMB000453</t>
  </si>
  <si>
    <t>CAJEME</t>
  </si>
  <si>
    <t>HOSPITAL GENERAL CD. OBREGÓN</t>
  </si>
  <si>
    <t>GRIMB000024</t>
  </si>
  <si>
    <t>ACAPULCO DE JUAREZ</t>
  </si>
  <si>
    <t>HOSP. GRAL. RENACIMIENTO</t>
  </si>
  <si>
    <t>GRIMB001436</t>
  </si>
  <si>
    <t>ATOYAC DE ALVAREZ</t>
  </si>
  <si>
    <t>DR. JUVENTINO RODRÍGUEZ GARCÍA</t>
  </si>
  <si>
    <t>GRIMB003961</t>
  </si>
  <si>
    <t>HUITZUCO DE LOS FIGUEROA</t>
  </si>
  <si>
    <t>HOSPITAL GENERAL DE HUITZUCO</t>
  </si>
  <si>
    <t>GRIMB004096</t>
  </si>
  <si>
    <t>IGUALA DE LA INDEPENDENCIA</t>
  </si>
  <si>
    <t>DR. JORGE SOBERON ACEVEDO</t>
  </si>
  <si>
    <t>GRIMB004311</t>
  </si>
  <si>
    <t>ZIHUATANEJO DE AZUETA</t>
  </si>
  <si>
    <t>DR. BERNARDO SEPULVEDA GUTIÉRREZ</t>
  </si>
  <si>
    <t>GRIMB005163</t>
  </si>
  <si>
    <t>OMETEPEC</t>
  </si>
  <si>
    <t>HOSPITAL GENERAL OMETEPEC</t>
  </si>
  <si>
    <t>GRIMB008926</t>
  </si>
  <si>
    <t>HOSPITAL GENERAL DE ACAPULCO</t>
  </si>
  <si>
    <t>GRIMB008931</t>
  </si>
  <si>
    <t>HOSPITAL GENERAL DR. RAYMUNDO ABARCA ALARCÓN</t>
  </si>
  <si>
    <t>GRIMB009042</t>
  </si>
  <si>
    <t>COYUCA DE CATALAN</t>
  </si>
  <si>
    <t>HOSPITAL GENERAL REGIONAL DR. GUILLERMO SOBERÓN ACEVEDO</t>
  </si>
  <si>
    <t>GRIMB009486</t>
  </si>
  <si>
    <t>CHILAPA DE ALVAREZ</t>
  </si>
  <si>
    <t>HOSPITAL GENERAL CHILAPA DE ÁLVAREZ PZC</t>
  </si>
  <si>
    <t>GRIMB009742</t>
  </si>
  <si>
    <t xml:space="preserve">INSTITUTO ESTATAL DE CANCEROLOGÍA DR ARTURO BELTRÁN ORTEGA </t>
  </si>
  <si>
    <t>GRIMB010401</t>
  </si>
  <si>
    <t>TAXCO DE ALARCON</t>
  </si>
  <si>
    <t>HG ADOLFO PRIETO</t>
  </si>
  <si>
    <t>GRIMB010524</t>
  </si>
  <si>
    <t>AYUTLA DE LOS LIBRES</t>
  </si>
  <si>
    <t>HOSPITAL IMSS BIENESTAR AYUTLA</t>
  </si>
  <si>
    <t>GRIMB010536</t>
  </si>
  <si>
    <t>TLAPA DE COMONFORT</t>
  </si>
  <si>
    <t>HOSPITAL IMSS BIENESTAR TLAPA</t>
  </si>
  <si>
    <t>HGIMB004795</t>
  </si>
  <si>
    <t>TLANCHINOL</t>
  </si>
  <si>
    <t>HOSPITAL INTEGRAL DE TLANCHINOL</t>
  </si>
  <si>
    <t>HGIMB004841</t>
  </si>
  <si>
    <t>HOSPITAL BÁSICO COMUNITARIO HUEHUETLA</t>
  </si>
  <si>
    <t>HGIMB000151</t>
  </si>
  <si>
    <t>ACTOPAN</t>
  </si>
  <si>
    <t>HOSPITAL GENERAL ACTOPAN</t>
  </si>
  <si>
    <t>HGIMB004812</t>
  </si>
  <si>
    <t>HUEJUTLA DE REYES</t>
  </si>
  <si>
    <t>HOSPITAL GENERAL DE LA HUASTECA</t>
  </si>
  <si>
    <t>HGIMB002572</t>
  </si>
  <si>
    <t>SAN BARTOLO TUTOTEPEC</t>
  </si>
  <si>
    <t>HOSPITAL REGIONAL OTOMI TEPEHUA</t>
  </si>
  <si>
    <t>HGIMB002304</t>
  </si>
  <si>
    <t>HOSPITAL GENERAL PACHUCA</t>
  </si>
  <si>
    <t>HGIMB005034</t>
  </si>
  <si>
    <t>TOLCAYUCA</t>
  </si>
  <si>
    <t>VILLA OCARANZA</t>
  </si>
  <si>
    <t>HGIMB002036</t>
  </si>
  <si>
    <t>MIXQUIAHUALA DE JUAREZ</t>
  </si>
  <si>
    <t>HOSPITAL INTEGRAL CINTA LARGA</t>
  </si>
  <si>
    <t>HGIMB001394</t>
  </si>
  <si>
    <t>HUICHAPAN</t>
  </si>
  <si>
    <t>HOSPITAL GENERAL HUICHAPAN</t>
  </si>
  <si>
    <t>MCIMB000226</t>
  </si>
  <si>
    <t>ACOLMAN</t>
  </si>
  <si>
    <t>TEPEXPAN DR. GUSTAVO BAZ PRADA</t>
  </si>
  <si>
    <t>MCIMB000914</t>
  </si>
  <si>
    <t>ATIZAPAN DE ZARAGOZA</t>
  </si>
  <si>
    <t>H.G. DR.SALVADOR GONZÁLEZ HERREJON</t>
  </si>
  <si>
    <t>MCIMB001486</t>
  </si>
  <si>
    <t>CUAUTITLAN</t>
  </si>
  <si>
    <t>H.G. JOSÉ VICENTE VILLADA</t>
  </si>
  <si>
    <t>MCIMB001515</t>
  </si>
  <si>
    <t>CHALCO</t>
  </si>
  <si>
    <t>HOSPITAL GENERAL DE CHALCO</t>
  </si>
  <si>
    <t>MCIMB001841</t>
  </si>
  <si>
    <t>CHIMALHUACAN</t>
  </si>
  <si>
    <t>H.G. CHIMALHUACÁN</t>
  </si>
  <si>
    <t>MCIMB002005</t>
  </si>
  <si>
    <t>ECATEPEC DE MORELOS</t>
  </si>
  <si>
    <t>H.G. DR. JOSÉ MARÍA RODRÍGUEZ</t>
  </si>
  <si>
    <t>MCIMB002565</t>
  </si>
  <si>
    <t>ZOQUIAPAN DR. PEDRO LÓPEZ</t>
  </si>
  <si>
    <t>MCIMB002640</t>
  </si>
  <si>
    <t>IXTLAHUACA</t>
  </si>
  <si>
    <t>HOSPITAL GENERAL IXTLAHUACA VALENTIN GÓMEZ FARÍAS</t>
  </si>
  <si>
    <t>MCIMB003743</t>
  </si>
  <si>
    <t>NAUCALPAN DE JUAREZ</t>
  </si>
  <si>
    <t>H.G. DR. MAXIMILIANO RUÍZ CASTAÑEDA</t>
  </si>
  <si>
    <t>MCIMB003895</t>
  </si>
  <si>
    <t>NEZAHUALCOYOTL</t>
  </si>
  <si>
    <t>H.G. DR. GUSTAVO BAZ PRADA</t>
  </si>
  <si>
    <t>MCIMB004694</t>
  </si>
  <si>
    <t>SAN FELIPE DEL PROGRESO</t>
  </si>
  <si>
    <t>HOSPITAL GENERAL SAN FELIPE DEL PROGRESO</t>
  </si>
  <si>
    <t>MCIMB005225</t>
  </si>
  <si>
    <t>TEJUPILCO</t>
  </si>
  <si>
    <t>HOSPITAL GENERAL MIGUEL HIDALGO Y COSTILLA BICENTENARIO</t>
  </si>
  <si>
    <t>MCIMB005860</t>
  </si>
  <si>
    <t>TENANCINGO</t>
  </si>
  <si>
    <t>H.G. TENANCINGO</t>
  </si>
  <si>
    <t>MCIMB006946</t>
  </si>
  <si>
    <t>TOLUCA</t>
  </si>
  <si>
    <t>H.G. DR. NICOLÁS SAN JUAN</t>
  </si>
  <si>
    <t>MCIMB007231</t>
  </si>
  <si>
    <t>VALLE DE BRAVO</t>
  </si>
  <si>
    <t>HOSPITAL GENERAL VALLE DE BRAVO</t>
  </si>
  <si>
    <t>MCIMB008042</t>
  </si>
  <si>
    <t>VALLE DE CHALCO SOLIDARIDAD</t>
  </si>
  <si>
    <t>H.G. DR. FERNANDO QUIROZ GUTIÉRREZ</t>
  </si>
  <si>
    <t>MCIMB009022</t>
  </si>
  <si>
    <t>JILOTEPEC</t>
  </si>
  <si>
    <t>H.G. JILOTEPEC</t>
  </si>
  <si>
    <t>MCIMB009063</t>
  </si>
  <si>
    <t>ATLACOMULCO</t>
  </si>
  <si>
    <t>HOSPITAL GENERAL ATLACOMULCO</t>
  </si>
  <si>
    <t>MCIMB009145</t>
  </si>
  <si>
    <t>CENTRO MÉDICO LIC. ADOLFO LÓPEZ MATEOS</t>
  </si>
  <si>
    <t>MCIMB009174</t>
  </si>
  <si>
    <t>IXTAPAN DE LA SAL</t>
  </si>
  <si>
    <t>HOSPITAL GENERAL IXTAPAN DE LA SAL</t>
  </si>
  <si>
    <t>MCIMB009203</t>
  </si>
  <si>
    <t>HOSPITAL GENERAL LAS AMÉRICAS</t>
  </si>
  <si>
    <t>MCIMB009215</t>
  </si>
  <si>
    <t>HOSPITAL GENERAL LA PERLA NEZAHUALCOYOTL</t>
  </si>
  <si>
    <t>MCIMB009261</t>
  </si>
  <si>
    <t>TULTITLAN</t>
  </si>
  <si>
    <t>HOSPITAL GENERAL TULTITLAN SAN PABLO DE LAS SALINAS</t>
  </si>
  <si>
    <t>MCIMB009536</t>
  </si>
  <si>
    <t>HOSPITAL GENERAL CHIMALHUACÁN SAN AGUSTÍN</t>
  </si>
  <si>
    <t>MCIMB009775</t>
  </si>
  <si>
    <t>AXAPUSCO</t>
  </si>
  <si>
    <t>HOSPITAL GENERAL DE AXAPUSCO</t>
  </si>
  <si>
    <t>MCIMB010236</t>
  </si>
  <si>
    <t>CENTRO ESPECIALIZADO DE ATENCIÓN A PERSONAS CON DISCAPACIDAD VISUAL</t>
  </si>
  <si>
    <t>MCIMB011945</t>
  </si>
  <si>
    <t>TEXCOCO</t>
  </si>
  <si>
    <t>H.G. TEXCOCO GUADALUPE VICTORIA BICENTENARIO</t>
  </si>
  <si>
    <t>MCIMB012073</t>
  </si>
  <si>
    <t>HUEYPOXTLA</t>
  </si>
  <si>
    <t>HOSPITAL GENERAL HUEYPOXTLA HERMENEGILDO GALEANA BICENTENARIO</t>
  </si>
  <si>
    <t>MCIMB012271</t>
  </si>
  <si>
    <t>AMECAMECA</t>
  </si>
  <si>
    <t>H.G. VALENTÍN GÓMEZ FARÍAS (SAN FRANCISCO ZENTLALPAN)</t>
  </si>
  <si>
    <t>YNSSA001224</t>
  </si>
  <si>
    <t>TIZIMIN</t>
  </si>
  <si>
    <t>HOSPITAL GENERAL SAN CARLOS</t>
  </si>
  <si>
    <t>MCIMB012476</t>
  </si>
  <si>
    <t>ATENCO</t>
  </si>
  <si>
    <t>HOSPITAL GENERAL ATENCO “FRANCISCO ALTAMIRANO NÚÑEZ”</t>
  </si>
  <si>
    <t>MNIMB000650</t>
  </si>
  <si>
    <t>CHERAN</t>
  </si>
  <si>
    <t>HOSPITAL GENERAL DE CHERÁN</t>
  </si>
  <si>
    <t>MNIMB001292</t>
  </si>
  <si>
    <t>HOSPITAL GENERAL DE LÁZARO CÁRDENAS "DRA. ELENA AVILÉS"</t>
  </si>
  <si>
    <t>MNIMB001415</t>
  </si>
  <si>
    <t>MORELIA</t>
  </si>
  <si>
    <t>CENTRO ESTATAL DE ATENCION ONCOLOGICA</t>
  </si>
  <si>
    <t>MNIMB002091</t>
  </si>
  <si>
    <t>SAHUAYO</t>
  </si>
  <si>
    <t>HOSPITAL GENERAL SAHUAYO</t>
  </si>
  <si>
    <t>MNIMB002190</t>
  </si>
  <si>
    <t>TACAMBARO</t>
  </si>
  <si>
    <t>HOSPITAL GENERAL DE TACAMBARO MARIA ZENDEJAS</t>
  </si>
  <si>
    <t>MNIMB002774</t>
  </si>
  <si>
    <t>URUAPAN</t>
  </si>
  <si>
    <t>HOSPITAL GENERAL DR. PEDRO DANIEL MARTÍNEZ</t>
  </si>
  <si>
    <t>MNIMB002931</t>
  </si>
  <si>
    <t>ZAMORA</t>
  </si>
  <si>
    <t>HOSPITAL GENERAL ZAMORA</t>
  </si>
  <si>
    <t>MNIMB003013</t>
  </si>
  <si>
    <t>ZITACUARO</t>
  </si>
  <si>
    <t>HOSPITAL GENERAL ZITACUARO</t>
  </si>
  <si>
    <t>MNIMB003532</t>
  </si>
  <si>
    <t>ZACAPU</t>
  </si>
  <si>
    <t>HOSPITAL GENERAL ZACAPU</t>
  </si>
  <si>
    <t>MNIMB003544</t>
  </si>
  <si>
    <t>PATZCUARO</t>
  </si>
  <si>
    <t>HOSPITAL GENERAL PATZCUARO</t>
  </si>
  <si>
    <t>MNIMB003590</t>
  </si>
  <si>
    <t>HOSPITAL GENERAL "DR MIGUEL SILVA"</t>
  </si>
  <si>
    <t>MNIMB003911</t>
  </si>
  <si>
    <t>MARAVATIO</t>
  </si>
  <si>
    <t>HOSPITAL GENERAL MARAVATIO</t>
  </si>
  <si>
    <t>MNIMB003923</t>
  </si>
  <si>
    <t>PURUANDIRO</t>
  </si>
  <si>
    <t>HOSPITAL GENERAL PURUANDIRO</t>
  </si>
  <si>
    <t>MNIMB003935</t>
  </si>
  <si>
    <t>HOSPITAL GENERAL CIUDAD HIDALGO</t>
  </si>
  <si>
    <t>MNIMB003964</t>
  </si>
  <si>
    <t>LOS REYES</t>
  </si>
  <si>
    <t>HOSPITAL GENERAL LOS REYES</t>
  </si>
  <si>
    <t>MNIMB003976</t>
  </si>
  <si>
    <t>LA PIEDAD</t>
  </si>
  <si>
    <t>HOSPITAL GENERAL LA PIEDAD</t>
  </si>
  <si>
    <t>MNIMB004734</t>
  </si>
  <si>
    <t>APATZINGAN</t>
  </si>
  <si>
    <t>HOSPITAL GENERAL APATZINGAN</t>
  </si>
  <si>
    <t>MSIMB000292</t>
  </si>
  <si>
    <t>CUAUTLA</t>
  </si>
  <si>
    <t>HOSPITAL GENERAL DE CUAUTLA</t>
  </si>
  <si>
    <t>MSIMB000386</t>
  </si>
  <si>
    <t>CUERNAVACA</t>
  </si>
  <si>
    <t>HG DE CUERNAVACA DR. JOSE G. PARRES</t>
  </si>
  <si>
    <t>MSIMB000806</t>
  </si>
  <si>
    <t>JOJUTLA</t>
  </si>
  <si>
    <t>HG DE JOJUTLA DR. ERNESTO MEANA SAN ROMÁN</t>
  </si>
  <si>
    <t>MSIMB001243</t>
  </si>
  <si>
    <t>TETECALA</t>
  </si>
  <si>
    <t>HG DE TETECALA DR. RODOLFO BECERRIL DE LA PAZ</t>
  </si>
  <si>
    <t>MSIMB001856</t>
  </si>
  <si>
    <t>TEMIXCO</t>
  </si>
  <si>
    <t>HOSPITAL GENERAL DE TEMIXCO</t>
  </si>
  <si>
    <t>MSIMB002351</t>
  </si>
  <si>
    <t>AXOCHIAPAN</t>
  </si>
  <si>
    <t>HOSPITAL GENERAL DE AXOCHIAPAN</t>
  </si>
  <si>
    <t>NTIMB000551</t>
  </si>
  <si>
    <t>ROSAMORADA</t>
  </si>
  <si>
    <t>HOSPITAL GENERAL ROSAMORADA</t>
  </si>
  <si>
    <t>NTIMB001246</t>
  </si>
  <si>
    <t>TEPIC</t>
  </si>
  <si>
    <t>HOSPITAL CIVIL DR. ANTONIO GONZÁLEZ GUEVARA</t>
  </si>
  <si>
    <t>NTIMB001654</t>
  </si>
  <si>
    <t>HOSPITAL GENERAL SAN FRANCISCO</t>
  </si>
  <si>
    <t>NTIMB001724</t>
  </si>
  <si>
    <t>SANTIAGO IXCUINTLA</t>
  </si>
  <si>
    <t>HOSPITAL GENERAL SANTIAGO IXCUINTLA</t>
  </si>
  <si>
    <t>OCIMB000490</t>
  </si>
  <si>
    <t>HEROICA CIUDAD DE HUAJUAPAN DE LEON</t>
  </si>
  <si>
    <t>HG HUAJUAPAN ENF. MARÍA DEL PILAR SÁNCHEZ VILLAVICENCIO</t>
  </si>
  <si>
    <t>OCIMB000881</t>
  </si>
  <si>
    <t>OAXACA DE JUAREZ</t>
  </si>
  <si>
    <t>HG OAXACA DR. AURELIO VALDIVIESO</t>
  </si>
  <si>
    <t>OCIMB001844</t>
  </si>
  <si>
    <t>SAN JUAN BAUTISTA CUICATLAN</t>
  </si>
  <si>
    <t>HG CUICATLAN DR. ALBERTO VARGAS MERINO</t>
  </si>
  <si>
    <t>OCIMB002100</t>
  </si>
  <si>
    <t>SAN JUAN COTZOCON</t>
  </si>
  <si>
    <t>HG MARÍA LOMBARDO DE CASO</t>
  </si>
  <si>
    <t>OCIMB003133</t>
  </si>
  <si>
    <t>SAN PABLO HUIXTEPEC</t>
  </si>
  <si>
    <t>HG SAN PABLO HUIXTEPEC DR. MANUEL VELASCO SUÁREZ</t>
  </si>
  <si>
    <t>OCIMB003401</t>
  </si>
  <si>
    <t>SAN PEDRO POCHUTLA</t>
  </si>
  <si>
    <t>HG POCHUTLA</t>
  </si>
  <si>
    <t>OCIMB004912</t>
  </si>
  <si>
    <t>SANTIAGO PINOTEPA NACIONAL</t>
  </si>
  <si>
    <t>HG PINOTEPA PEDRO ESPINOZA RUEDA</t>
  </si>
  <si>
    <t>OCIMB007012</t>
  </si>
  <si>
    <t>HEROICA CIUDAD DE JUCHITAN DE ZARAGOZA</t>
  </si>
  <si>
    <t>HG JUCHITAN DR. MACEDONIO BENITEZ FUENTES</t>
  </si>
  <si>
    <t>OCIMB007181</t>
  </si>
  <si>
    <t>HOSPITAL ESPECIALIZADO DE 30 CAMAS DE JUCHITAN</t>
  </si>
  <si>
    <t>OCIMB007572</t>
  </si>
  <si>
    <t>CIUDAD IXTEPEC</t>
  </si>
  <si>
    <t>HG CIUDAD IXTEPEC</t>
  </si>
  <si>
    <t>OCIMB007625</t>
  </si>
  <si>
    <t>SANTO DOMINGO TEHUANTEPEC</t>
  </si>
  <si>
    <t>HG TEHUANTEPEC</t>
  </si>
  <si>
    <t>OCIMB008651</t>
  </si>
  <si>
    <t>SALINA CRUZ</t>
  </si>
  <si>
    <t>HG SALINA CRUZ</t>
  </si>
  <si>
    <t>OCIMB008815</t>
  </si>
  <si>
    <t>SAN PEDRO MIXTEPEC</t>
  </si>
  <si>
    <t>HG PUERTO ESCONDIDO</t>
  </si>
  <si>
    <t>OCIMB009660</t>
  </si>
  <si>
    <t>SAN JUAN BAUTISTA TUXTEPEC</t>
  </si>
  <si>
    <t>HOSPITAL GENERAL DE SAN JUAN BAUTISTA TUXTEPEC</t>
  </si>
  <si>
    <t>PLIMB000626</t>
  </si>
  <si>
    <t>CHALCHICOMULA DE SESMA</t>
  </si>
  <si>
    <t>HOSPITAL GENERAL CIUDAD SERDÁN</t>
  </si>
  <si>
    <t>PLIMB001536</t>
  </si>
  <si>
    <t>LIBRES</t>
  </si>
  <si>
    <t>HOSPITAL GENERAL DE LIBRES</t>
  </si>
  <si>
    <t>PLIMB001780</t>
  </si>
  <si>
    <t>HOSPITAL GENERAL DR EDUARDO VAZQUEZ N</t>
  </si>
  <si>
    <t>PLIMB002516</t>
  </si>
  <si>
    <t>TEHUACAN</t>
  </si>
  <si>
    <t>HOSPITAL GENERAL TEHUACAN</t>
  </si>
  <si>
    <t>PLIMB004860</t>
  </si>
  <si>
    <t>SAN ANDRES CHOLULA</t>
  </si>
  <si>
    <t>HOSPITAL GENERAL DE CHOLULA</t>
  </si>
  <si>
    <t>PLIMB004925</t>
  </si>
  <si>
    <t>TEZIUTLAN</t>
  </si>
  <si>
    <t>HOSPITAL GENERAL DE TEZIUTLÁN</t>
  </si>
  <si>
    <t>PLIMB005012</t>
  </si>
  <si>
    <t>ACATLAN</t>
  </si>
  <si>
    <t>HOSPITAL GENERAL DE ACATLÁN DE OSORIO</t>
  </si>
  <si>
    <t>PLIMB005070</t>
  </si>
  <si>
    <t>TLATLAUQUITEPEC</t>
  </si>
  <si>
    <t>HOSPITAL GENERAL TLATLAUQUITEPEC</t>
  </si>
  <si>
    <t>PLIMB005321</t>
  </si>
  <si>
    <t>HUEJOTZINGO</t>
  </si>
  <si>
    <t>HOSPITAL GENERAL DE HUEJOTZINGO</t>
  </si>
  <si>
    <t>PLIMB005613</t>
  </si>
  <si>
    <t>ATLIXCO</t>
  </si>
  <si>
    <t>HOSPITAL GENERAL DE ATLIXCO GONZALO RÍO ARRONTE</t>
  </si>
  <si>
    <t>PLIMB005700</t>
  </si>
  <si>
    <t>HOSPITAL DE TRAUMATOLOGÍA Y ORTOPEDIA DOCTOR Y GENERAL RAFAEL MORENO VALLE</t>
  </si>
  <si>
    <t>PLIMB005910</t>
  </si>
  <si>
    <t>HOSPITAL GENERAL DE LA ZONA NORTE  BICENTENARIO DE LA INDEPENDENCIA</t>
  </si>
  <si>
    <t>PLIMB006016</t>
  </si>
  <si>
    <t>TEPEACA</t>
  </si>
  <si>
    <t>HOSPITAL GENERAL DE TEPEACA</t>
  </si>
  <si>
    <t>PLIMB006103</t>
  </si>
  <si>
    <t>ZACATLAN</t>
  </si>
  <si>
    <t>HOSPITAL GENERAL DE ZACATLÁN</t>
  </si>
  <si>
    <t>PLIMB006885</t>
  </si>
  <si>
    <t>HUAUCHINANGO</t>
  </si>
  <si>
    <t>HOSPITAL GENERAL HUAUCHINANGO</t>
  </si>
  <si>
    <t>PLIMB007083</t>
  </si>
  <si>
    <t>IZUCAR DE MATAMOROS</t>
  </si>
  <si>
    <t>HOSPITAL GENERAL DE IZUCAR DE MATAMOROS</t>
  </si>
  <si>
    <t>PLIMB007112</t>
  </si>
  <si>
    <t>CUETZALAN DEL PROGRESO</t>
  </si>
  <si>
    <t>HOSPITAL GENERAL DE CUETZALAN</t>
  </si>
  <si>
    <t>PLIMB007170</t>
  </si>
  <si>
    <t>TECAMACHALCO</t>
  </si>
  <si>
    <t>HOSPITAL GENERAL TECAMACHALCO</t>
  </si>
  <si>
    <t>QRIMB000013</t>
  </si>
  <si>
    <t>COZUMEL</t>
  </si>
  <si>
    <t>HOSPITAL GENERAL DE COZUMEL</t>
  </si>
  <si>
    <t>QRIMB000025</t>
  </si>
  <si>
    <t>FELIPE CARRILLO PUERTO</t>
  </si>
  <si>
    <t>HOSPITAL GENERAL DE FELIPE CARRILLO PUERTO</t>
  </si>
  <si>
    <t>QRIMB000351</t>
  </si>
  <si>
    <t>HOSPITAL GENERAL DE CHETUMAL</t>
  </si>
  <si>
    <t>QRIMB001606</t>
  </si>
  <si>
    <t>HOSPITAL DE ONCOLOGÍA IMSS-BIENESTAR CHETUMAL</t>
  </si>
  <si>
    <t>QRIMB001956</t>
  </si>
  <si>
    <t>SOLIDARIDAD</t>
  </si>
  <si>
    <t>HOSPITAL GENERAL DE PLAYA DEL CARMEN</t>
  </si>
  <si>
    <t>QRIMB001973</t>
  </si>
  <si>
    <t>HOSPITAL GENERAL DE CANCÚN DR. JESÚS KUMATE RODRÍGUEZ</t>
  </si>
  <si>
    <t>SPIMB000240</t>
  </si>
  <si>
    <t>CIUDAD VALLES</t>
  </si>
  <si>
    <t>HOSPITAL GENERAL CD. VALLES</t>
  </si>
  <si>
    <t>SPIMB000585</t>
  </si>
  <si>
    <t>RIOVERDE</t>
  </si>
  <si>
    <t>HOSPITAL GENERAL DE RÍOVERDE</t>
  </si>
  <si>
    <t>SPIMB002125</t>
  </si>
  <si>
    <t>MATEHUALA</t>
  </si>
  <si>
    <t>HOSPITAL GENERAL DE MATEHUALA</t>
  </si>
  <si>
    <t>SPIMB002574</t>
  </si>
  <si>
    <t>HOSPITAL REGIONAL DE ALTA ESPECIALIDAD DR.IGNACIO MORONES PRIETO</t>
  </si>
  <si>
    <t>SPIMB002970</t>
  </si>
  <si>
    <t>SOLEDAD DE GRACIANO SANCHEZ</t>
  </si>
  <si>
    <t>HOSPITAL GENERAL DE SOLEDAD DE GRACIANO SÁNCHEZ</t>
  </si>
  <si>
    <t>SLIMB000014</t>
  </si>
  <si>
    <t>HOSPITAL GENERAL DE CULIACÁN</t>
  </si>
  <si>
    <t>SLIMB000031</t>
  </si>
  <si>
    <t>HOSPITAL GENERAL LOS MOCHIS</t>
  </si>
  <si>
    <t>SLIMB001134</t>
  </si>
  <si>
    <t>GUASAVE</t>
  </si>
  <si>
    <t>HOSPITAL GENERAL GUASAVE</t>
  </si>
  <si>
    <t>SLIMB002254</t>
  </si>
  <si>
    <t>MAZATLAN</t>
  </si>
  <si>
    <t>HOSPITAL GENERAL DE MAZATLÁN</t>
  </si>
  <si>
    <t>SLIMB002481</t>
  </si>
  <si>
    <t>ELOTA</t>
  </si>
  <si>
    <t>HOSPITAL GENERAL LA CRUZ</t>
  </si>
  <si>
    <t>SLIMB003053</t>
  </si>
  <si>
    <t>ESCUINAPA</t>
  </si>
  <si>
    <t>HOSPITAL GENERAL ESCUINAPA</t>
  </si>
  <si>
    <t>SLIMB003065</t>
  </si>
  <si>
    <t>ELDORADO</t>
  </si>
  <si>
    <t>HOSPITAL GENERAL EL DORADO</t>
  </si>
  <si>
    <t>SRIMB001404</t>
  </si>
  <si>
    <t>NAVOJOA</t>
  </si>
  <si>
    <t>HOSPITAL GENERAL NAVOJOA</t>
  </si>
  <si>
    <t>SRIMB001561</t>
  </si>
  <si>
    <t>NOGALES</t>
  </si>
  <si>
    <t>HOSPITAL GENERAL NOGALES</t>
  </si>
  <si>
    <t>SRIMB002186</t>
  </si>
  <si>
    <t>CANANEA</t>
  </si>
  <si>
    <t>HOSPITAL GENERAL DE CANANEA</t>
  </si>
  <si>
    <t>SRIMB002594</t>
  </si>
  <si>
    <t>HUATABAMPO</t>
  </si>
  <si>
    <t>HOSPITAL GENERAL DEL BAJO RIO MAYO</t>
  </si>
  <si>
    <t>SRIMB002891</t>
  </si>
  <si>
    <t>HERMOSILLO</t>
  </si>
  <si>
    <t>HOSPITAL INTEGRAL DE LA MUJER DEL ESTADO DE SONORA</t>
  </si>
  <si>
    <t>SRIMB002191</t>
  </si>
  <si>
    <t>MAGDALENA</t>
  </si>
  <si>
    <t>HOSPITAL COMUNITARIO DE MAGDALENA</t>
  </si>
  <si>
    <t>SRIMB002355</t>
  </si>
  <si>
    <t>PUERTO PEÑASCO</t>
  </si>
  <si>
    <t>HOSPITAL INTEGRAL PUERTO PEÑASCO</t>
  </si>
  <si>
    <t>SRIMB000844</t>
  </si>
  <si>
    <t>HOSPITAL GENERAL GUAYMAS</t>
  </si>
  <si>
    <t>SRIMB002203</t>
  </si>
  <si>
    <t>HOSPITAL GENERAL DEL ESTADO DE SONORA</t>
  </si>
  <si>
    <t>SRIMB001766</t>
  </si>
  <si>
    <t>SAN LUIS RIO COLORADO</t>
  </si>
  <si>
    <t>HOSPITAL GENERAL DE SAN LUIS RÍO COLORADO</t>
  </si>
  <si>
    <t>TCIMB000016</t>
  </si>
  <si>
    <t>BALANCAN</t>
  </si>
  <si>
    <t>HOSPITAL GENERAL DE BALANCÁN</t>
  </si>
  <si>
    <t>TCIMB000190</t>
  </si>
  <si>
    <t>CARDENAS</t>
  </si>
  <si>
    <t>HOSPITAL GENERAL DE CÁRDENAS</t>
  </si>
  <si>
    <t>TCIMB000786</t>
  </si>
  <si>
    <t>CENTRO</t>
  </si>
  <si>
    <t>HOSPITAL REGIONAL DE ALTA ESPECIALIDAD DR. GUSTAVO A. ROVIROSA PÉREZ</t>
  </si>
  <si>
    <t>TCIMB000791</t>
  </si>
  <si>
    <t>HOSPITAL REGIONAL DE ALTA ESPECIALIDAD DR. JUAN GRAHAM CASASUS</t>
  </si>
  <si>
    <t>TCIMB001561</t>
  </si>
  <si>
    <t>CUNDUACAN</t>
  </si>
  <si>
    <t>HOSPITAL GENERAL DE CUNDUACAN</t>
  </si>
  <si>
    <t>TCIMB001841</t>
  </si>
  <si>
    <t>EMILIANO ZAPATA</t>
  </si>
  <si>
    <t>HOSPITAL GENERAL DE EMILIANO ZAPATA</t>
  </si>
  <si>
    <t>TCIMB001870</t>
  </si>
  <si>
    <t>HOSPITAL GENERAL DE HUIMANGUILLO  DR. ADELFO S. AGUIRRE</t>
  </si>
  <si>
    <t>TCIMB002611</t>
  </si>
  <si>
    <t>MACUSPANA</t>
  </si>
  <si>
    <t>HOSPITAL GENERAL DE MACUSPANA</t>
  </si>
  <si>
    <t>TCIMB002920</t>
  </si>
  <si>
    <t>HOSPITAL GENERAL DE VILLA BENITO JUÁREZ</t>
  </si>
  <si>
    <t>TCIMB003253</t>
  </si>
  <si>
    <t>PARAISO</t>
  </si>
  <si>
    <t>HOSPITAL GENERAL DE PARAÍSO</t>
  </si>
  <si>
    <t>TCIMB003446</t>
  </si>
  <si>
    <t>TEAPA</t>
  </si>
  <si>
    <t>HOSPITAL GENERAL DE TEAPA DR. NICANDRO L. MELO</t>
  </si>
  <si>
    <t>TCIMB003586</t>
  </si>
  <si>
    <t>TENOSIQUE</t>
  </si>
  <si>
    <t>HOSPITAL GENERAL DE TENOSIQUE</t>
  </si>
  <si>
    <t>TCIMB005266</t>
  </si>
  <si>
    <t>COMALCALCO</t>
  </si>
  <si>
    <t>HOSPITAL GENERAL "DR. DESIDERIO G. ROSADO CARBAJAL"</t>
  </si>
  <si>
    <t>TSIMB000316</t>
  </si>
  <si>
    <t>CIUDAD MADERO</t>
  </si>
  <si>
    <t>HOSPITAL GENERAL CIVIL CIUDAD MADERO</t>
  </si>
  <si>
    <t>TSIMB001091</t>
  </si>
  <si>
    <t>NUEVO LAREDO</t>
  </si>
  <si>
    <t>HOSPITAL GENERAL NUEVO LAREDO</t>
  </si>
  <si>
    <t>TSIMB001103</t>
  </si>
  <si>
    <t>HOSPITAL GENERAL CIVIL NUEVO LAREDO</t>
  </si>
  <si>
    <t>TSIMB001260</t>
  </si>
  <si>
    <t>REYNOSA</t>
  </si>
  <si>
    <t>HOSPITAL GENERAL REYNOSA DR. JOSÉ MARÍA CANTÚ GARZA</t>
  </si>
  <si>
    <t>TSIMB001535</t>
  </si>
  <si>
    <t>SAN FERNANDO</t>
  </si>
  <si>
    <t>HOSPITAL GENERAL SAN FERNANDO</t>
  </si>
  <si>
    <t>TSIMB001943</t>
  </si>
  <si>
    <t>HOSPITAL GENERAL CIVIL VICTORIA DR. JOSÉ MACÍAS HERNÁNDEZ</t>
  </si>
  <si>
    <t>TSIMB001955</t>
  </si>
  <si>
    <t>HOSPITAL GENERAL DR. NORBERTO TREVIÑO ZAPATA</t>
  </si>
  <si>
    <t>TSIMB002416</t>
  </si>
  <si>
    <t>MATAMOROS</t>
  </si>
  <si>
    <t>HOSPITAL GENERAL DE MATAMOROS</t>
  </si>
  <si>
    <t>TSIMB002520</t>
  </si>
  <si>
    <t>TAMPICO</t>
  </si>
  <si>
    <t>HOSPITAL GENERAL DE TAMPICO DR. CARLOS CANSECO</t>
  </si>
  <si>
    <t>TSIMB002643</t>
  </si>
  <si>
    <t>EL MANTE</t>
  </si>
  <si>
    <t>HOSPITAL GENERAL DE CD. MANTE DR. EMILIO MARTÍNEZ MANAUTOU</t>
  </si>
  <si>
    <t>TSIMB003075</t>
  </si>
  <si>
    <t>RIO BRAVO</t>
  </si>
  <si>
    <t>HOSPITAL GENERAL RÍO BRAVO</t>
  </si>
  <si>
    <t>TSIMB003466</t>
  </si>
  <si>
    <t>VALLE HERMOSO</t>
  </si>
  <si>
    <t>HOSPITAL GENERAL VALLE HERMOSO DR. RODOLFO TORRE CANTÙ</t>
  </si>
  <si>
    <t>TLIMB000975</t>
  </si>
  <si>
    <t>TZOMPANTEPEC</t>
  </si>
  <si>
    <t>H.G.R. EMILIO SÁNCHEZ PIEDRAS</t>
  </si>
  <si>
    <t>TLIMB001395</t>
  </si>
  <si>
    <t>SAN PABLO DEL MONTE</t>
  </si>
  <si>
    <t>HOSPITAL GENERAL DE SAN PABLO DEL MONTE</t>
  </si>
  <si>
    <t>TLIMB001820</t>
  </si>
  <si>
    <t>APETATITLAN DE ANTONIO CARVAJAL</t>
  </si>
  <si>
    <t>HOSPITAL GENERAL TLAXCALA LIC. ANSELMO CERVANTES HERNANDEZ</t>
  </si>
  <si>
    <t>TLIMB002025</t>
  </si>
  <si>
    <t>CALPULALPAN</t>
  </si>
  <si>
    <t>HOSPITAL GENERAL DE CALPULALPAN</t>
  </si>
  <si>
    <t>TLIMB002100</t>
  </si>
  <si>
    <t>NATIVITAS</t>
  </si>
  <si>
    <t>HOSPITAL GENERAL DE NATIVITAS</t>
  </si>
  <si>
    <t>TLIMB002136</t>
  </si>
  <si>
    <t>HUAMANTLA</t>
  </si>
  <si>
    <t>HOSPITAL GENERAL DE HUAMANTLA</t>
  </si>
  <si>
    <t>VZIMB000230</t>
  </si>
  <si>
    <t>ALTOTONGA</t>
  </si>
  <si>
    <t>HOSPITAL GENERAL ALTOTONGA EUFROSINA CAMACHO</t>
  </si>
  <si>
    <t>VZIMB000826</t>
  </si>
  <si>
    <t>COATZACOALCOS</t>
  </si>
  <si>
    <t>HOSPITAL REGIONAL DE COATZACOALCOS DR.VALENTIN GÓMEZ FARIAS</t>
  </si>
  <si>
    <t>VZIMB000983</t>
  </si>
  <si>
    <t>CORDOBA</t>
  </si>
  <si>
    <t>HOSPITAL GENERAL CORDOBA YANGA</t>
  </si>
  <si>
    <t>VZIMB001000</t>
  </si>
  <si>
    <t>COSAMALOAPAN DE CARPIO</t>
  </si>
  <si>
    <t>HOSPITAL GENERAL COSAMALOAPAN  DR. VÍCTOR MANUEL PITALUA GONZÁLEZ</t>
  </si>
  <si>
    <t>VZIMB001881</t>
  </si>
  <si>
    <t>HUATUSCO</t>
  </si>
  <si>
    <t>HOSPITAL GENERAL HUATUSCO DR. DARÍO MENDEZ LIMA</t>
  </si>
  <si>
    <t>VZIMB002325</t>
  </si>
  <si>
    <t>XALAPA</t>
  </si>
  <si>
    <t>CENTRO ESTATAL DE CANCEROLOGÍA DR. MIGUEL DORANTES MESA</t>
  </si>
  <si>
    <t>VZIMB002330</t>
  </si>
  <si>
    <t>CENTRO DE ALTA ESPECIALIDAD  DR. RAFAEL LUCIO</t>
  </si>
  <si>
    <t>VZIMB002342</t>
  </si>
  <si>
    <t>HOSPITAL REGIONAL DE  XALAPA  DR. LUIS F.  NACHÓN</t>
  </si>
  <si>
    <t>VZIMB002675</t>
  </si>
  <si>
    <t>MARTINEZ DE LA TORRE</t>
  </si>
  <si>
    <t>HOSPITAL GENERAL MARTÍNEZ DE LA TORRE</t>
  </si>
  <si>
    <t>VZIMB002844</t>
  </si>
  <si>
    <t>MINATITLAN</t>
  </si>
  <si>
    <t>HOSPITAL GENERAL DE MINATITLAN</t>
  </si>
  <si>
    <t>VZIMB002972</t>
  </si>
  <si>
    <t>MISANTLA</t>
  </si>
  <si>
    <t>HOSPITAL GENERAL DE MISANTLA</t>
  </si>
  <si>
    <t>VZIMB003322</t>
  </si>
  <si>
    <t>PANUCO</t>
  </si>
  <si>
    <t>HOSPITAL GENERAL PANUCO DR. MANUEL I ÁVILA</t>
  </si>
  <si>
    <t>VZIMB003491</t>
  </si>
  <si>
    <t>PAPANTLA</t>
  </si>
  <si>
    <t>HOSPITAL GENERAL PAPANTLA  DR. JOSÉ BUILL BELENGUER</t>
  </si>
  <si>
    <t>VZIMB003766</t>
  </si>
  <si>
    <t>POZA RICA DE HIDALGO</t>
  </si>
  <si>
    <t>HOSPITAL REGIONAL  POZA RICA DE HIDALGO</t>
  </si>
  <si>
    <t>VZIMB003870</t>
  </si>
  <si>
    <t>RIO BLANCO</t>
  </si>
  <si>
    <t>HOSPITAL REGIONAL RÍO BLANCO</t>
  </si>
  <si>
    <t>VZIMB003911</t>
  </si>
  <si>
    <t>SAN ANDRES TUXTLA</t>
  </si>
  <si>
    <t>HOSPITAL GENERAL SAN ANDRÉS TUXTLA. DR. BERNARDO PEÑA</t>
  </si>
  <si>
    <t>VZIMB004046</t>
  </si>
  <si>
    <t>SANTIAGO TUXTLA</t>
  </si>
  <si>
    <t>HOSPITAL GENERAL DE SANTIAGO TUXTLA</t>
  </si>
  <si>
    <t>VZIMB004384</t>
  </si>
  <si>
    <t>TANTOYUCA</t>
  </si>
  <si>
    <t>HOSPITAL GENERAL TANTOYUCA</t>
  </si>
  <si>
    <t>VZIMB004944</t>
  </si>
  <si>
    <t>TIERRA BLANCA</t>
  </si>
  <si>
    <t>HOSPITAL GENERAL DE  TIERRA BLANCA JESÚS GARCÍA CORONA</t>
  </si>
  <si>
    <t>VZIMB005393</t>
  </si>
  <si>
    <t>HOSPITAL GENERAL TUXPAN DR. EMILIO ALCAZAR</t>
  </si>
  <si>
    <t>VZIMB005533</t>
  </si>
  <si>
    <t>VERACRUZ</t>
  </si>
  <si>
    <t>HOSPITAL DE ALTA ESPECIALIDAD DE VERACRUZ</t>
  </si>
  <si>
    <t>VZIMB006105</t>
  </si>
  <si>
    <t>LA ANTIGUA</t>
  </si>
  <si>
    <t>HOSPITAL GENERAL DE CARDEL</t>
  </si>
  <si>
    <t>VZIMB006175</t>
  </si>
  <si>
    <t>HOSPITAL GENERAL DE  TARIMOYA (VERACRUZ)</t>
  </si>
  <si>
    <t>VZIMB006192</t>
  </si>
  <si>
    <t>TLALIXCOYAN</t>
  </si>
  <si>
    <t>HOSPITAL GENERAL TLALIXCOYAN</t>
  </si>
  <si>
    <t>VZIMB006315</t>
  </si>
  <si>
    <t>OLUTA</t>
  </si>
  <si>
    <t>HOSPITAL GENERAL DE OLUTA-ACAYUCAN</t>
  </si>
  <si>
    <t>VZIMB007102</t>
  </si>
  <si>
    <t>PEROTE</t>
  </si>
  <si>
    <t>HOSPITAL GENERAL PEROTE VERACRUZ</t>
  </si>
  <si>
    <t>VZIMB007365</t>
  </si>
  <si>
    <t>BOCA DEL RIO</t>
  </si>
  <si>
    <t>HOSPITAL GENERAL DE  BOCA DEL RIO</t>
  </si>
  <si>
    <t>VZIMB007575</t>
  </si>
  <si>
    <t>ISLA</t>
  </si>
  <si>
    <t>HOSPITAL GENERAL ISLA</t>
  </si>
  <si>
    <t>VZIMB007930</t>
  </si>
  <si>
    <t>COSOLEACAQUE</t>
  </si>
  <si>
    <t>HOSPITAL GENERAL COSOLEACAQUE</t>
  </si>
  <si>
    <t>VZIMB008053</t>
  </si>
  <si>
    <t>ALAMO TEMAPACHE</t>
  </si>
  <si>
    <t>HOSPITAL GENERAL ÁLAMO</t>
  </si>
  <si>
    <t>ZSIMB000113</t>
  </si>
  <si>
    <t>FRESNILLO</t>
  </si>
  <si>
    <t>HOSPITAL GENERAL FRESNILLO (DR. JOSÉ HARO ÁVILA)</t>
  </si>
  <si>
    <t>ZSIMB000533</t>
  </si>
  <si>
    <t>JEREZ</t>
  </si>
  <si>
    <t>HOSPITAL GENERAL JEREZ</t>
  </si>
  <si>
    <t>ZSIMB002295</t>
  </si>
  <si>
    <t>HOSPITAL GENERAL LORETO</t>
  </si>
  <si>
    <t>ZSIMB002481</t>
  </si>
  <si>
    <t>HOSPITAL GENERAL ZACATECAS LUZ GONZÁLEZ COSIO</t>
  </si>
  <si>
    <t>MCIMB012295</t>
  </si>
  <si>
    <t>HOSPITAL REGIONAL DE ALTA ESPECIALIDAD IXTAPALUCA</t>
  </si>
  <si>
    <t>OCIMB006826</t>
  </si>
  <si>
    <t>SAN BARTOLO COYOTEPEC</t>
  </si>
  <si>
    <t>HOSPITAL REGIONAL DE ALTA ESPECIALIDAD DE OAXACA</t>
  </si>
  <si>
    <t>OCIMB009071</t>
  </si>
  <si>
    <t>PUTLA VILLA DE GUERRERO</t>
  </si>
  <si>
    <t>HG PUTLA AMIGO DE LA NIÑEZ Y DE LA MADRE</t>
  </si>
  <si>
    <t>MCIMB012464</t>
  </si>
  <si>
    <t>HOSPITAL DE GINECOLOGÍA Y OBSTETRICÍA IMIEM</t>
  </si>
  <si>
    <t>GRIMB008902</t>
  </si>
  <si>
    <t>CHILPANCINGO DE LOS BRAVO</t>
  </si>
  <si>
    <t>HOSPITAL DE LA MADRE Y EL NIÑO GUERRERENSE</t>
  </si>
  <si>
    <t>GRIMB008890</t>
  </si>
  <si>
    <t>HOSPITAL DE LA MADRE Y EL NIÑO INDIGENA GUERRERENSE</t>
  </si>
  <si>
    <t>MNIMB001403</t>
  </si>
  <si>
    <t>HOSPITAL DE LA MUJER</t>
  </si>
  <si>
    <t>MSIMB001844</t>
  </si>
  <si>
    <t>YAUTEPEC</t>
  </si>
  <si>
    <t>NTIMB000015</t>
  </si>
  <si>
    <t>PLIMB004126</t>
  </si>
  <si>
    <t>SLIMB002493</t>
  </si>
  <si>
    <t>TLIMB002095</t>
  </si>
  <si>
    <t>ZSIMB002126</t>
  </si>
  <si>
    <t>GUADALUPE</t>
  </si>
  <si>
    <t>PLIMB004720</t>
  </si>
  <si>
    <t>HOSPITAL DE LA MUJER Y NEONATOLOGÍA</t>
  </si>
  <si>
    <t>SPIMB002965</t>
  </si>
  <si>
    <t>HOSPITAL DE LA NIÑEZ Y LA MUJER DR. ALBERTO LÓPEZ HERMOSA</t>
  </si>
  <si>
    <t>OCIMB009631</t>
  </si>
  <si>
    <t>HOSPITAL GENERAL DE LA MUJER Y LA NIÑEZ OAXAQUEÑA</t>
  </si>
  <si>
    <t>TSIMB002713</t>
  </si>
  <si>
    <t>HOSPITAL GENERAL MATERNO INFANTIL DE REYNOSA</t>
  </si>
  <si>
    <t>MNIMB003660</t>
  </si>
  <si>
    <t>HOSPITAL INFANTIL DE MORELIA "EVA SAMANO DE LÓPEZ MATEOS"</t>
  </si>
  <si>
    <t>TSIMB001931</t>
  </si>
  <si>
    <t>HOSPITAL INFANTIL DE TAMAULIPAS</t>
  </si>
  <si>
    <t>TLIMB001890</t>
  </si>
  <si>
    <t>HOSPITAL INFANTIL DE TLAXCALA</t>
  </si>
  <si>
    <t>SRIMB002174</t>
  </si>
  <si>
    <t>CABORCA</t>
  </si>
  <si>
    <t>HOSPITAL GENERAL DE CABORCA</t>
  </si>
  <si>
    <t>MCIMB009676</t>
  </si>
  <si>
    <t>HOSPITAL MATERNO DE TEXCOCO</t>
  </si>
  <si>
    <t>BSIMB000754</t>
  </si>
  <si>
    <t>COMONDU</t>
  </si>
  <si>
    <t>HOSPITAL GENERAL DE CIUDAD CONSTITUCIÓN</t>
  </si>
  <si>
    <t>SRIMB000914</t>
  </si>
  <si>
    <t>HOSPITAL INFANTIL DEL ESTADO DE SONORA</t>
  </si>
  <si>
    <t>HGIMB004824</t>
  </si>
  <si>
    <t>TULA DE ALLENDE</t>
  </si>
  <si>
    <t>HOSPITAL GENERAL TULA</t>
  </si>
  <si>
    <t>MCIMB011986</t>
  </si>
  <si>
    <t>HOSPITAL MATERNO INFANTIL CHALCO JOSÉFA ORTÍZ DE DOMÍNGUEZ</t>
  </si>
  <si>
    <t>SRIMB002360</t>
  </si>
  <si>
    <t>AGUA PRIETA</t>
  </si>
  <si>
    <t>HOSPITAL GENERAL DE AGUA PRIETA</t>
  </si>
  <si>
    <t>DFIMB000183</t>
  </si>
  <si>
    <t>COYOACAN</t>
  </si>
  <si>
    <t>HOSPITAL PEDIÁTRICO COYOACÁN</t>
  </si>
  <si>
    <t>YNSSA001830</t>
  </si>
  <si>
    <t>MERIDA</t>
  </si>
  <si>
    <t>VZIMB008946</t>
  </si>
  <si>
    <t>HOSPITAL MATERNO INFANTIL DE COATZACOALCOS</t>
  </si>
  <si>
    <t>BSIMB000812</t>
  </si>
  <si>
    <t>MULEGE</t>
  </si>
  <si>
    <t>HOSPITAL GENERAL DE SANTA ROSALÍA</t>
  </si>
  <si>
    <t>DFIMB002015</t>
  </si>
  <si>
    <t>HOSPITAL PEDIÁTRICO LEGARIA</t>
  </si>
  <si>
    <t>MCIMB012254</t>
  </si>
  <si>
    <t>HOSPITAL MATERNO INFANTIL GUADALUPE VICTORIA ATIZAPÁN DE ZARAGOZA</t>
  </si>
  <si>
    <t>DFIMB001151</t>
  </si>
  <si>
    <t>MILPA ALTA</t>
  </si>
  <si>
    <t>HOSPITAL GENERAL MILPA ALTA</t>
  </si>
  <si>
    <t>MCIMB012085</t>
  </si>
  <si>
    <t>SAN JOSE DEL RINCON</t>
  </si>
  <si>
    <t>HOSPITAL MATERNO INFANTIL JOSÉ MARÍA MORELOS Y PAVÓN BICENTENARIO SAN JOSÉ DEL RINCÓN</t>
  </si>
  <si>
    <t>DFIMB000410</t>
  </si>
  <si>
    <t>HOSPITAL PEDIÁTRICO SAN JUAN DE ARAGÓN</t>
  </si>
  <si>
    <t>MCIMB012143</t>
  </si>
  <si>
    <t>HOSPITAL MATERNO INFANTIL MIGUEL HIDALGO Y COSTILLA LOS REYES LA PAZ</t>
  </si>
  <si>
    <t>QRIMB000346</t>
  </si>
  <si>
    <t>HOSPITAL MATERNO INFANTIL MORELOS</t>
  </si>
  <si>
    <t>DFIMB001933</t>
  </si>
  <si>
    <t>HOSPITAL GENERAL DR. GREGORIO SALAS FLORES</t>
  </si>
  <si>
    <t>MCIMB012201</t>
  </si>
  <si>
    <t>HOSPITAL MATERNO INFANTIL VICENTE GUERRERO CHIMALHUACÁN</t>
  </si>
  <si>
    <t>DFIMB000760</t>
  </si>
  <si>
    <t>IZTACALCO</t>
  </si>
  <si>
    <t>HOSPITAL PEDIÁTRICO IZTACALCO</t>
  </si>
  <si>
    <t>MCIMB006951</t>
  </si>
  <si>
    <t>HOSPITAL MATERNO PERINATAL MÓNICA PRETELINI SÁENZ</t>
  </si>
  <si>
    <t>TCIMB000803</t>
  </si>
  <si>
    <t>HOSPITAL REGIONAL DE ALTA ESPECIALIDAD DE LA MUJER</t>
  </si>
  <si>
    <t>OCIMB001313</t>
  </si>
  <si>
    <t>HE DE LA NIÑEZ OAXAQUEÑA</t>
  </si>
  <si>
    <t>PLIMB005205</t>
  </si>
  <si>
    <t>HOSPITAL DE LA NIÑEZ POBLANA</t>
  </si>
  <si>
    <t>MSIMB002235</t>
  </si>
  <si>
    <t>HOSPITAL DEL NIÑO MORELENSE</t>
  </si>
  <si>
    <t>MCIMB012440</t>
  </si>
  <si>
    <t>HOSPITAL PARA EL NIÑO IMIEM</t>
  </si>
  <si>
    <t>DFIMB000434</t>
  </si>
  <si>
    <t>HOSPITAL MATERNO INFANTIL CUAUTEPEC</t>
  </si>
  <si>
    <t>DFIMB000422</t>
  </si>
  <si>
    <t>HOSPITAL PEDIÁTRICO VILLA</t>
  </si>
  <si>
    <t>SLIMB002230</t>
  </si>
  <si>
    <t>HOSPITAL PEDIÁTRICO DE SINALOA</t>
  </si>
  <si>
    <t>DFIMB001385</t>
  </si>
  <si>
    <t>HOSPITAL MATERNO INFANTIL TLÁHUAC</t>
  </si>
  <si>
    <t>DFIMB001064</t>
  </si>
  <si>
    <t>LA MAGDALENA CONTRERAS</t>
  </si>
  <si>
    <t>HOSPITAL MATERNO INFANTIL MAGDALENA CONTRERAS</t>
  </si>
  <si>
    <t>DFIMB000031</t>
  </si>
  <si>
    <t>AZCAPOTZALCO</t>
  </si>
  <si>
    <t>HOSPITAL MATERNO INFANTIL DR. NICOLÁS M. CEDILLO</t>
  </si>
  <si>
    <t>DFIMB002650</t>
  </si>
  <si>
    <t>CLÍNICA HOSPITAL EMILIANO ZAPATA</t>
  </si>
  <si>
    <t>DFIMB000026</t>
  </si>
  <si>
    <t>HOSPITAL PEDIÁTRICO AZCAPOTZALCO</t>
  </si>
  <si>
    <t>DFIMB002085</t>
  </si>
  <si>
    <t>CLÍNICA HOSPITAL DE ESPECIALIDADES TOXICOLÓGICAS VENUSTIANO CARRANZA</t>
  </si>
  <si>
    <t>DFIMB002353</t>
  </si>
  <si>
    <t>HOSPITAL ONCOLÓGICO PARA LA MUJER DE LA CIUDAD DE MÉXICO</t>
  </si>
  <si>
    <t>DFIMB001694</t>
  </si>
  <si>
    <t>CLÍNICA HOSPITAL DE ESPECIALIDADES TOXICOLÓGICAS XOCHIMILCO</t>
  </si>
  <si>
    <t>TCIMB000774</t>
  </si>
  <si>
    <t>HOSPITAL REGIONAL DE ALTA ESPECIALIDAD DEL NIÑO "DR. RODOLFO NIETO PADRÓN"</t>
  </si>
  <si>
    <t>BSIMB000783</t>
  </si>
  <si>
    <t>HOSPITAL PSIQUIÁTRICO DE BAJA CALIFORNIA SUR</t>
  </si>
  <si>
    <t>CCIMB000143</t>
  </si>
  <si>
    <t>HOSPITAL PSIQUIÁTRICO DE CAMPECHE</t>
  </si>
  <si>
    <t>VZIMB008963</t>
  </si>
  <si>
    <t>ORIZABA</t>
  </si>
  <si>
    <t>HOSPITAL DE SALUD MENTAL ORIZABA DR. VÍCTOR M. CONCHA VÁSQUEZ</t>
  </si>
  <si>
    <t>HGIMB004952</t>
  </si>
  <si>
    <t>METZTITLAN</t>
  </si>
  <si>
    <t>HOSPITAL IMSS BIENESTAR METZTITLÁN</t>
  </si>
  <si>
    <t>MCIMB000231</t>
  </si>
  <si>
    <t>HOSPITAL PSIQUIÁTRICO  DR. ADOLFO M. NIETO TEPEXPAN</t>
  </si>
  <si>
    <t>MCIMB000243</t>
  </si>
  <si>
    <t>HOSPITAL PSIQUIÁTRICO JOSÉ SAYAGO</t>
  </si>
  <si>
    <t>MCIMB002570</t>
  </si>
  <si>
    <t>H. ZOQUIAPAN GRANJA LA SALUD</t>
  </si>
  <si>
    <t>MNIMB001420</t>
  </si>
  <si>
    <t>HOSPITAL PSIQUIATRICO "DR. JOSÉ TORRES OROZCO"</t>
  </si>
  <si>
    <t>OCIMB001330</t>
  </si>
  <si>
    <t>H PSIQUIÁTRICO GRANJA CRUZ DEL SUR</t>
  </si>
  <si>
    <t>PLIMB001792</t>
  </si>
  <si>
    <t>HOSPITAL PSIQUIÁTRICO DR. RAFAEL SERRANO</t>
  </si>
  <si>
    <t>SPIMB000976</t>
  </si>
  <si>
    <t>CLÍNICA PSIQUIÁTRICA DR. EVERARDO NEUMANN PEÑA</t>
  </si>
  <si>
    <t>SLIMB000615</t>
  </si>
  <si>
    <t>SRIMB000926</t>
  </si>
  <si>
    <t>HOSPITAL PSIQUIÁTRICO CRUZ DEL NORTE HILLO</t>
  </si>
  <si>
    <t>SRIMB000931</t>
  </si>
  <si>
    <t>CENTRO DE HIGIENE MENTAL DR. CARLOS NAVA MUÑOZ</t>
  </si>
  <si>
    <t>TCIMB000815</t>
  </si>
  <si>
    <t>HOSPITAL REGIONAL DE ALTA ESPECIALIDAD DE SALUD MENTAL VILLAHERMOSA</t>
  </si>
  <si>
    <t>TSIMB002532</t>
  </si>
  <si>
    <t>HOSPITAL PSIQUIÁTRICO DE TAMPICO</t>
  </si>
  <si>
    <t>VZIMB002354</t>
  </si>
  <si>
    <t>INSTITUTO VERACRUZANO DE SALUD MENTAL DR. RAFAEL VELASCO FERNANDEZ</t>
  </si>
  <si>
    <t>YNSSA000570</t>
  </si>
  <si>
    <t xml:space="preserve">HOSPITAL PSIQUIÁTRICO YUCATÁN </t>
  </si>
  <si>
    <t>ZSIMB002213</t>
  </si>
  <si>
    <t>HOSPITAL DE ESPECIALIDADES DE SALUD MENTAL</t>
  </si>
  <si>
    <t>GTIMB000015</t>
  </si>
  <si>
    <t>GUANAJUATO</t>
  </si>
  <si>
    <t>LEON</t>
  </si>
  <si>
    <t>HOSPITAL REGIONAL DE ALTA ESPECIALIDAD DEL BAJÍO</t>
  </si>
  <si>
    <t>CCIMB001432</t>
  </si>
  <si>
    <t>CEO: CENTRO ESTATAL DE ONCOLOGÍA DE CAMPECHE</t>
  </si>
  <si>
    <t>SERVICIOS AMPLIADOS ONCOLOGIA</t>
  </si>
  <si>
    <t>CLÍNICA DE ESPECIALIDADES</t>
  </si>
  <si>
    <t>CLÍNICA DE ESPECIALIDADES DE CANCEROLOGÍA O DISPLASIAS</t>
  </si>
  <si>
    <t>OCIMB000876</t>
  </si>
  <si>
    <t>CENTRO DE ONCOLOGÍA Y RADIOTERAPIA DE OAXACA, S.S.O.</t>
  </si>
  <si>
    <t>PLIMB004172</t>
  </si>
  <si>
    <t>UNIDAD DE ONCOLOGÍA</t>
  </si>
  <si>
    <t>BSIMB000766</t>
  </si>
  <si>
    <t xml:space="preserve">CENTRO ESTATAL DE ONCOLOGÍA "DR. RUBÉN CARDOZA MACÍAS" </t>
  </si>
  <si>
    <t>NTIMB001765</t>
  </si>
  <si>
    <t>CENTRO ESTATAL DE CANCEROLOGÍA</t>
  </si>
  <si>
    <t>SLIMB002971</t>
  </si>
  <si>
    <t>INSTITUTO SINALOENSE DE CANCEROLOGÍA</t>
  </si>
  <si>
    <t>SRIMB000902</t>
  </si>
  <si>
    <t>CENTRO ESTATAL DE ONCOLOGÍA DR. ERNESTO RIVERA CLAISSE</t>
  </si>
  <si>
    <t>TSIMB001926</t>
  </si>
  <si>
    <t>CENTRO ONCOLÓGICO DE TAMAULIPAS</t>
  </si>
  <si>
    <t>TSIMB003582</t>
  </si>
  <si>
    <t>CENTRO ONCOLÓGICO NUEVO LAREDO DR. RODOLFO TORRE CANTÚ</t>
  </si>
  <si>
    <t>TLIMB002165</t>
  </si>
  <si>
    <t>DETECCIÓN Y DIAGNÓSTICO DE CANCER DE MAMA</t>
  </si>
  <si>
    <t>ZSIMB002225</t>
  </si>
  <si>
    <t>UNEME DE ONCOLOGIA GUADALUPE</t>
  </si>
  <si>
    <t>TSIMB003594</t>
  </si>
  <si>
    <t>UNIDAD MÉDICA ESPECIALIZADA PARA LA DETECCIÓN Y DIAGNÓSTICO DE CÁNCER DE MAMA</t>
  </si>
  <si>
    <t>YNSSA001941</t>
  </si>
  <si>
    <t>UNEME DE ONCOLOGIA</t>
  </si>
  <si>
    <t>YNIMB000012</t>
  </si>
  <si>
    <t>HOSPITAL REGIONAL DE ALTA ESPECIALIDAD DE LA PENÍNSULA DE YUCATÁN</t>
  </si>
  <si>
    <t>HOSPITAL GENERAL DR AGUSTÍN O´HORÁN</t>
  </si>
  <si>
    <t>HOSPITAL GENERAL DE JIUTEPEC</t>
  </si>
  <si>
    <t>SAN MIGUEL DE ALLENDE</t>
  </si>
  <si>
    <t>CENTRO DE EXCELENCIA EN PARTERÍA Y BIENESTAR</t>
  </si>
  <si>
    <t>SUSPENCIÓN DE REGISTRO 12/12/2025</t>
  </si>
  <si>
    <t>SEGUNDO NIVEL</t>
  </si>
  <si>
    <t>TERCER NIVEL</t>
  </si>
  <si>
    <t>YNIMB000036</t>
  </si>
  <si>
    <t>MSIMB002515</t>
  </si>
  <si>
    <t>GTIMB000020</t>
  </si>
  <si>
    <t>PRIMER NIVEL</t>
  </si>
  <si>
    <t>Prioridad</t>
  </si>
  <si>
    <t>NIVEL ATENCION</t>
  </si>
  <si>
    <t>TOTAL
CAMAS</t>
  </si>
  <si>
    <t>20.9018891</t>
  </si>
  <si>
    <t>-89.6419666</t>
  </si>
  <si>
    <t>21.0193421</t>
  </si>
  <si>
    <t>-89.5819034</t>
  </si>
  <si>
    <t>JIUTEPEC</t>
  </si>
  <si>
    <t>18.8759753</t>
  </si>
  <si>
    <t>-99.1693427</t>
  </si>
  <si>
    <t>HRAE</t>
  </si>
  <si>
    <t>TIPO_ENTIDAD</t>
  </si>
  <si>
    <t>ESTADO DE MÉXICO</t>
  </si>
  <si>
    <t>YUCATÁN</t>
  </si>
  <si>
    <t>ESTATAL</t>
  </si>
  <si>
    <t>CIUDAD DE MÉXICO</t>
  </si>
  <si>
    <t>MÉXICO</t>
  </si>
  <si>
    <t>MICHOACÁN</t>
  </si>
  <si>
    <t>SAN LUIS POTOSÍ</t>
  </si>
  <si>
    <t xml:space="preserve">Colima </t>
  </si>
  <si>
    <t>Nayarit</t>
  </si>
  <si>
    <t>Tamaulipas</t>
  </si>
  <si>
    <t>Oaxaca</t>
  </si>
  <si>
    <t>Guerrero</t>
  </si>
  <si>
    <t>Sinaloa</t>
  </si>
  <si>
    <t>Zacatecas</t>
  </si>
  <si>
    <t>Campeche</t>
  </si>
  <si>
    <t xml:space="preserve">Quintana Roo </t>
  </si>
  <si>
    <t>pc_requerimiento</t>
  </si>
  <si>
    <t>pc_entregado</t>
  </si>
  <si>
    <t>aps_requerimiento</t>
  </si>
  <si>
    <t>aps_entregado</t>
  </si>
  <si>
    <t>impresoras_requerimiento</t>
  </si>
  <si>
    <t>impresoras_entregado</t>
  </si>
  <si>
    <t>Etapa 1</t>
  </si>
  <si>
    <t xml:space="preserve">HOSPITAL PSIQUIATRICO "DR. JOSÉ TORRES OROZCO"
</t>
  </si>
  <si>
    <t>No</t>
  </si>
  <si>
    <t>Guanajuato</t>
  </si>
  <si>
    <t>PROGRAMADAS</t>
  </si>
  <si>
    <t>NTIMB002540</t>
  </si>
  <si>
    <t>NTIMB002086</t>
  </si>
  <si>
    <t>UNIDAD DE HEMODIÁLISIS</t>
  </si>
  <si>
    <t>UNEME</t>
  </si>
  <si>
    <t>UNEMES DE HEMODIÁLISIS</t>
  </si>
  <si>
    <t>UNEMES DE CIRUGÍA AMBULATORIA</t>
  </si>
  <si>
    <t xml:space="preserve">Conexión eléctrica DEFICIENTE — requiere adecuación antes del arranque del sistema.
Equipos obsoletos con bajo rendimiento identificados en múltiples áreas.
Starlink sin configurar — acción prioritaria junto con corrección eléctrica.
</t>
  </si>
  <si>
    <t>Nodos de red deteriorados en múltiples áreas — reemplazo físico de infraestructura requerido.</t>
  </si>
  <si>
    <t>Solo 4 PCs operativos de 46 necesarios — déficit del 91%.</t>
  </si>
  <si>
    <t>Hospital con mayores necesidades de infraestructura TI: SIN antena Starlink, sin nodos de red.</t>
  </si>
  <si>
    <t>Déficit de 103 PCs y 34 impresoras — máximo de la célula.</t>
  </si>
  <si>
    <t xml:space="preserve">Personal usa máquinas de escribir por ausencia de PCs. Se requiere VPN Starlink como acción prioritaria antes del arranque.
Brecha de 68 PCs y 15 impresoras — mayor prioridad de equipamiento en la célula.
Sin red en áreas clínicas (hospitalización, quirófano, consulta externa).
</t>
  </si>
  <si>
    <t>pero</t>
  </si>
  <si>
    <t>CENTRO DE ONCOLOGIA Y RADIOTERAPIA DE OAXACA, S.S.O.</t>
  </si>
  <si>
    <t>Primera etapa</t>
  </si>
  <si>
    <t>CARGAS PHEDS</t>
  </si>
  <si>
    <t>CARGAS MOCE</t>
  </si>
  <si>
    <t>SUBTIPOLOGIA</t>
  </si>
  <si>
    <t>*</t>
  </si>
  <si>
    <t>NO APLICA</t>
  </si>
  <si>
    <t xml:space="preserve">Configuraciones iniciales de Iztapalapa falta configurar los equipos de computo (se estima una falta de 50% en equipos: CE después de la visita se detectó un faltante del 5 % de equipos y no tiene impresoras. Aún no se tiene programadas las capacitaciones.
En las áreas de: urgencias, hospitalización adultos, quirofano, pedríatia, ginecología, terapia intensiva, medicina interna, rehabilitación, hacen falta entre un 80-90% de equipos, en todas las centrales de enfermería se captura en bitácora. </t>
  </si>
  <si>
    <t>Configuraciones iniciales, se hizo el levantamiento de infraestructura de red y de cómputo pero no se cuenta con la red institucional. Falta información para completar MoCE y definir los usuarios con el área administrativa de la unidad.</t>
  </si>
  <si>
    <t xml:space="preserve">Configuraciones iniciales, se hizo el levantamiento de infraestructura de red y de cómputo, sin embargo, se estima un faltante del 40% de equipos para instalar PHEDS y MoCE, principalmente en las áreas de cirugía, medicina interna, ginecología, UCI pediatricos, pediatría, UCI adultos, bareatría y quirofáno. </t>
  </si>
  <si>
    <t>BSIMB000520</t>
  </si>
  <si>
    <t>UNEME HEMODIÁLISIS</t>
  </si>
  <si>
    <t>Ninguna</t>
  </si>
  <si>
    <t>VZIMB007621</t>
  </si>
  <si>
    <t xml:space="preserve">VERACRUZ </t>
  </si>
  <si>
    <t>Baja California</t>
  </si>
  <si>
    <t xml:space="preserve">Baja California Sur </t>
  </si>
  <si>
    <t>CDMX Primera Etapa (1)</t>
  </si>
  <si>
    <t>Ninguno</t>
  </si>
  <si>
    <t>CDMX (segunda etapa) (1)</t>
  </si>
  <si>
    <t>CDMX (segunda etapa) (2)</t>
  </si>
  <si>
    <t>Hidalgo</t>
  </si>
  <si>
    <t>3 Hospitales de Oaxaca (HRAEO, Niñez Oaxaqueña y Tuxtepec)</t>
  </si>
  <si>
    <t>Zona Oriente Estado de México (3)</t>
  </si>
  <si>
    <t>Zona Oriente Estado de México (2)</t>
  </si>
  <si>
    <t>Zona Oriente Estado de México (1)</t>
  </si>
  <si>
    <t>Edo. México segunda etapa (1)</t>
  </si>
  <si>
    <t>Edo. México segunda etapa (2)</t>
  </si>
  <si>
    <t>Michoacán</t>
  </si>
  <si>
    <t xml:space="preserve">Morelos </t>
  </si>
  <si>
    <t>Puebla (1)</t>
  </si>
  <si>
    <t>Puebla (2)</t>
  </si>
  <si>
    <t>San Luis Potosí</t>
  </si>
  <si>
    <t>Sonora</t>
  </si>
  <si>
    <t xml:space="preserve">Tabasco </t>
  </si>
  <si>
    <t>Tlaxcala</t>
  </si>
  <si>
    <t>Veracruz (1)</t>
  </si>
  <si>
    <t>Veracruz (2)</t>
  </si>
  <si>
    <t>Veracruz (3)</t>
  </si>
  <si>
    <t>PLATON SANCHEZ</t>
  </si>
  <si>
    <t>UNEME DE PLATON SÁNCHEZ</t>
  </si>
  <si>
    <t>UNEMES OTRAS</t>
  </si>
  <si>
    <t>Yucatan</t>
  </si>
  <si>
    <t>CÉLULA ASIGNADA</t>
  </si>
  <si>
    <t>Distribución</t>
  </si>
  <si>
    <t>HIDALGO ETAPA1</t>
  </si>
  <si>
    <t>ESTADO DE MÉXICO ETAPA1</t>
  </si>
  <si>
    <t>CIUDAD DE MEXICO ETAPA1</t>
  </si>
  <si>
    <t>CIUDAD DE MEXICO ETAPA2</t>
  </si>
  <si>
    <t>ESTADO DE MÉXICO ETAPA2</t>
  </si>
  <si>
    <t>HIDALGO ETAPA2</t>
  </si>
  <si>
    <t>El hospital no cuenta con personal de tecnología o informática</t>
  </si>
  <si>
    <t>Pendiente fecha de entrega de equipo</t>
  </si>
  <si>
    <t xml:space="preserve">La coordinación estatal reporta que la unidad no cuenta con enlace de internet </t>
  </si>
  <si>
    <t xml:space="preserve"> </t>
  </si>
  <si>
    <t>No había conectividad</t>
  </si>
  <si>
    <t>parcial</t>
  </si>
  <si>
    <t>COMPLETO</t>
  </si>
  <si>
    <t>TSIMB003763</t>
  </si>
  <si>
    <t>HOSPITAL GENERAL CIUDAD MADERO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</si>
</sst>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7" x14ac:knownFonts="1">
    <font>
      <sz val="11"/>
      <color theme="1"/>
      <name val="Aptos Narrow"/>
      <family val="2"/>
      <scheme val="minor"/>
    </font>
    <font>
      <sz val="9"/>
      <color rgb="FFFFFFFF"/>
      <name val="Noto Sans"/>
      <family val="2"/>
    </font>
    <font>
      <sz val="9"/>
      <color theme="0"/>
      <name val="Noto Sans"/>
      <family val="2"/>
    </font>
    <font>
      <u/>
      <sz val="9"/>
      <color rgb="FF000000"/>
      <name val="Noto Sans"/>
      <family val="2"/>
    </font>
    <font>
      <u/>
      <sz val="9"/>
      <color rgb="FFFF0000"/>
      <name val="Noto Sans"/>
      <family val="2"/>
    </font>
    <font>
      <u/>
      <sz val="11"/>
      <color theme="1"/>
      <name val="Aptos Narrow"/>
      <family val="2"/>
      <scheme val="minor"/>
    </font>
    <font>
      <u/>
      <sz val="9"/>
      <color theme="1"/>
      <name val="Noto Sans"/>
      <family val="2"/>
    </font>
    <font>
      <u/>
      <sz val="9"/>
      <name val="Noto Sans"/>
      <family val="2"/>
    </font>
    <font>
      <u/>
      <sz val="10"/>
      <name val="Arial"/>
      <family val="2"/>
    </font>
    <font>
      <sz val="11"/>
      <color rgb="FF000000"/>
      <name val="Aptos Narrow"/>
      <family val="2"/>
      <scheme val="minor"/>
    </font>
    <font>
      <sz val="9"/>
      <color rgb="FF000000"/>
      <name val="Noto Sans"/>
      <family val="2"/>
    </font>
    <font>
      <sz val="9"/>
      <color rgb="FFFF0000"/>
      <name val="Noto Sans"/>
      <family val="2"/>
    </font>
    <font>
      <sz val="10"/>
      <name val="Arial"/>
      <family val="2"/>
    </font>
    <font>
      <sz val="11"/>
      <color theme="1"/>
      <name val="Aptos Narrow"/>
      <family val="2"/>
      <scheme val="minor"/>
    </font>
    <font>
      <sz val="9"/>
      <color theme="1"/>
      <name val="Noto Sans"/>
      <family val="2"/>
    </font>
    <font>
      <b/>
      <sz val="9"/>
      <color rgb="FFFFFFFF"/>
      <name val="Noto Sans"/>
      <family val="2"/>
    </font>
    <font>
      <b/>
      <sz val="9"/>
      <color theme="0"/>
      <name val="Noto Sans"/>
      <family val="2"/>
    </font>
    <font>
      <sz val="11"/>
      <color rgb="FF000000"/>
      <name val="Aptos Narrow"/>
      <family val="2"/>
    </font>
    <font>
      <sz val="9"/>
      <name val="Noto Sans"/>
      <family val="2"/>
    </font>
    <font>
      <sz val="11"/>
      <color rgb="FF000000"/>
      <name val="Calibri"/>
      <family val="2"/>
    </font>
    <font>
      <sz val="10"/>
      <color theme="1"/>
      <name val="Noto Sans"/>
      <family val="2"/>
    </font>
    <font>
      <sz val="9"/>
      <color rgb="FF242424"/>
      <name val="Noto Sans"/>
      <family val="2"/>
    </font>
    <font>
      <b/>
      <sz val="10"/>
      <color theme="1"/>
      <name val="Noto Sans"/>
      <family val="2"/>
    </font>
    <font>
      <b/>
      <sz val="9"/>
      <color rgb="FF000000"/>
      <name val="Noto Sans"/>
      <family val="2"/>
    </font>
    <font>
      <b/>
      <u/>
      <sz val="9"/>
      <color theme="0"/>
      <name val="Noto Sans"/>
      <family val="2"/>
    </font>
    <font>
      <sz val="9"/>
      <name val="Arial"/>
      <family val="2"/>
    </font>
    <font>
      <sz val="9"/>
      <color indexed="81"/>
      <name val="Tahoma"/>
      <charset val="1"/>
    </font>
  </fonts>
  <fills count="26">
    <fill>
      <patternFill patternType="none"/>
    </fill>
    <fill>
      <patternFill patternType="gray125"/>
    </fill>
    <fill>
      <patternFill patternType="solid">
        <fgColor rgb="FF13322B"/>
        <bgColor rgb="FF13322B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691C32"/>
        <bgColor indexed="64"/>
      </patternFill>
    </fill>
    <fill>
      <patternFill patternType="solid">
        <fgColor rgb="FF161A1D"/>
        <bgColor indexed="64"/>
      </patternFill>
    </fill>
    <fill>
      <patternFill patternType="solid">
        <fgColor rgb="FFACA8A5"/>
        <bgColor indexed="64"/>
      </patternFill>
    </fill>
    <fill>
      <patternFill patternType="solid">
        <fgColor rgb="FFA57F2C"/>
        <bgColor indexed="64"/>
      </patternFill>
    </fill>
    <fill>
      <patternFill patternType="solid">
        <fgColor rgb="FF1E5B4F"/>
        <bgColor rgb="FF13322B"/>
      </patternFill>
    </fill>
    <fill>
      <patternFill patternType="solid">
        <fgColor rgb="FF15608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rgb="FFFFFFCC"/>
      </patternFill>
    </fill>
    <fill>
      <patternFill patternType="solid">
        <fgColor rgb="FFED7D31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6E0B4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E2FBD9"/>
        <bgColor indexed="64"/>
      </patternFill>
    </fill>
    <fill>
      <patternFill patternType="solid">
        <fgColor rgb="FFFFFFCD"/>
        <bgColor indexed="64"/>
      </patternFill>
    </fill>
    <fill>
      <patternFill patternType="solid">
        <fgColor theme="7" tint="0.59999389629810485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/>
      <diagonal/>
    </border>
  </borders>
  <cellStyleXfs count="3">
    <xf numFmtId="0" fontId="0" fillId="0" borderId="0"/>
    <xf numFmtId="0" fontId="13" fillId="0" borderId="0"/>
    <xf numFmtId="0" fontId="13" fillId="17" borderId="14" applyNumberFormat="0" applyFont="0" applyAlignment="0" applyProtection="0"/>
  </cellStyleXfs>
  <cellXfs count="14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164" fontId="2" fillId="13" borderId="1" xfId="0" applyNumberFormat="1" applyFont="1" applyFill="1" applyBorder="1" applyAlignment="1">
      <alignment horizontal="center" vertical="center" wrapText="1"/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4" fillId="0" borderId="1" xfId="0" applyFont="1" applyBorder="1"/>
    <xf numFmtId="0" fontId="5" fillId="0" borderId="1" xfId="0" applyFont="1" applyBorder="1"/>
    <xf numFmtId="0" fontId="3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6" fillId="0" borderId="1" xfId="0" applyFont="1" applyBorder="1"/>
    <xf numFmtId="0" fontId="6" fillId="0" borderId="1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164" fontId="5" fillId="0" borderId="1" xfId="0" applyNumberFormat="1" applyFont="1" applyBorder="1"/>
    <xf numFmtId="0" fontId="3" fillId="6" borderId="1" xfId="0" applyFont="1" applyFill="1" applyBorder="1"/>
    <xf numFmtId="0" fontId="7" fillId="0" borderId="1" xfId="0" applyFont="1" applyBorder="1"/>
    <xf numFmtId="0" fontId="3" fillId="7" borderId="1" xfId="0" applyFont="1" applyFill="1" applyBorder="1"/>
    <xf numFmtId="0" fontId="6" fillId="7" borderId="1" xfId="0" applyFont="1" applyFill="1" applyBorder="1"/>
    <xf numFmtId="0" fontId="3" fillId="8" borderId="1" xfId="0" applyFont="1" applyFill="1" applyBorder="1"/>
    <xf numFmtId="0" fontId="3" fillId="0" borderId="1" xfId="0" applyFont="1" applyBorder="1" applyAlignment="1">
      <alignment wrapText="1"/>
    </xf>
    <xf numFmtId="0" fontId="3" fillId="9" borderId="1" xfId="0" applyFont="1" applyFill="1" applyBorder="1"/>
    <xf numFmtId="0" fontId="3" fillId="9" borderId="1" xfId="0" applyFont="1" applyFill="1" applyBorder="1" applyAlignment="1">
      <alignment horizontal="center"/>
    </xf>
    <xf numFmtId="0" fontId="6" fillId="9" borderId="1" xfId="0" applyFont="1" applyFill="1" applyBorder="1"/>
    <xf numFmtId="0" fontId="8" fillId="9" borderId="1" xfId="0" applyFont="1" applyFill="1" applyBorder="1"/>
    <xf numFmtId="0" fontId="5" fillId="9" borderId="1" xfId="0" applyFont="1" applyFill="1" applyBorder="1"/>
    <xf numFmtId="0" fontId="5" fillId="9" borderId="1" xfId="0" applyFont="1" applyFill="1" applyBorder="1" applyAlignment="1">
      <alignment horizontal="center"/>
    </xf>
    <xf numFmtId="0" fontId="5" fillId="0" borderId="0" xfId="0" applyFont="1"/>
    <xf numFmtId="164" fontId="0" fillId="0" borderId="1" xfId="0" applyNumberFormat="1" applyBorder="1"/>
    <xf numFmtId="0" fontId="9" fillId="0" borderId="0" xfId="0" applyFont="1"/>
    <xf numFmtId="0" fontId="10" fillId="0" borderId="3" xfId="0" applyFont="1" applyBorder="1"/>
    <xf numFmtId="0" fontId="11" fillId="0" borderId="1" xfId="0" applyFont="1" applyBorder="1"/>
    <xf numFmtId="0" fontId="10" fillId="0" borderId="1" xfId="0" applyFont="1" applyBorder="1"/>
    <xf numFmtId="0" fontId="10" fillId="9" borderId="1" xfId="0" applyFont="1" applyFill="1" applyBorder="1"/>
    <xf numFmtId="0" fontId="0" fillId="9" borderId="1" xfId="0" applyFill="1" applyBorder="1"/>
    <xf numFmtId="0" fontId="10" fillId="0" borderId="1" xfId="0" applyFont="1" applyBorder="1" applyAlignment="1">
      <alignment horizontal="center"/>
    </xf>
    <xf numFmtId="0" fontId="10" fillId="6" borderId="1" xfId="0" applyFont="1" applyFill="1" applyBorder="1"/>
    <xf numFmtId="0" fontId="10" fillId="9" borderId="1" xfId="0" applyFont="1" applyFill="1" applyBorder="1" applyAlignment="1">
      <alignment horizontal="center"/>
    </xf>
    <xf numFmtId="0" fontId="14" fillId="9" borderId="1" xfId="0" applyFont="1" applyFill="1" applyBorder="1"/>
    <xf numFmtId="0" fontId="15" fillId="14" borderId="0" xfId="0" applyFont="1" applyFill="1" applyAlignment="1">
      <alignment horizontal="center" vertical="center" wrapText="1"/>
    </xf>
    <xf numFmtId="3" fontId="16" fillId="16" borderId="5" xfId="1" applyNumberFormat="1" applyFont="1" applyFill="1" applyBorder="1" applyAlignment="1">
      <alignment horizontal="centerContinuous" vertical="center" wrapText="1"/>
    </xf>
    <xf numFmtId="0" fontId="16" fillId="15" borderId="4" xfId="0" applyFont="1" applyFill="1" applyBorder="1" applyAlignment="1">
      <alignment horizontal="center" vertical="center" wrapText="1"/>
    </xf>
    <xf numFmtId="0" fontId="16" fillId="15" borderId="6" xfId="0" applyFont="1" applyFill="1" applyBorder="1" applyAlignment="1">
      <alignment horizontal="center" vertical="center" wrapText="1"/>
    </xf>
    <xf numFmtId="0" fontId="16" fillId="15" borderId="7" xfId="0" applyFont="1" applyFill="1" applyBorder="1" applyAlignment="1">
      <alignment horizontal="center" vertical="center" wrapText="1"/>
    </xf>
    <xf numFmtId="0" fontId="0" fillId="0" borderId="1" xfId="0" applyBorder="1"/>
    <xf numFmtId="0" fontId="10" fillId="3" borderId="1" xfId="0" applyFont="1" applyFill="1" applyBorder="1" applyAlignment="1">
      <alignment horizontal="center"/>
    </xf>
    <xf numFmtId="0" fontId="10" fillId="4" borderId="1" xfId="0" applyFont="1" applyFill="1" applyBorder="1" applyAlignment="1">
      <alignment horizontal="center"/>
    </xf>
    <xf numFmtId="0" fontId="10" fillId="5" borderId="1" xfId="0" applyFont="1" applyFill="1" applyBorder="1" applyAlignment="1">
      <alignment horizontal="center"/>
    </xf>
    <xf numFmtId="0" fontId="14" fillId="0" borderId="1" xfId="0" applyFont="1" applyBorder="1"/>
    <xf numFmtId="3" fontId="3" fillId="0" borderId="1" xfId="0" applyNumberFormat="1" applyFont="1" applyBorder="1"/>
    <xf numFmtId="0" fontId="18" fillId="0" borderId="1" xfId="0" applyFont="1" applyBorder="1"/>
    <xf numFmtId="0" fontId="14" fillId="7" borderId="1" xfId="0" applyFont="1" applyFill="1" applyBorder="1"/>
    <xf numFmtId="0" fontId="10" fillId="0" borderId="8" xfId="0" applyFont="1" applyBorder="1"/>
    <xf numFmtId="0" fontId="0" fillId="0" borderId="0" xfId="0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10" fillId="6" borderId="1" xfId="0" applyFont="1" applyFill="1" applyBorder="1" applyAlignment="1">
      <alignment horizontal="center"/>
    </xf>
    <xf numFmtId="0" fontId="10" fillId="0" borderId="10" xfId="0" applyFont="1" applyBorder="1"/>
    <xf numFmtId="0" fontId="10" fillId="0" borderId="11" xfId="0" applyFont="1" applyBorder="1"/>
    <xf numFmtId="0" fontId="10" fillId="0" borderId="12" xfId="0" applyFont="1" applyBorder="1"/>
    <xf numFmtId="0" fontId="10" fillId="5" borderId="1" xfId="0" applyFont="1" applyFill="1" applyBorder="1"/>
    <xf numFmtId="0" fontId="20" fillId="0" borderId="1" xfId="0" applyFont="1" applyBorder="1" applyAlignment="1">
      <alignment vertical="center"/>
    </xf>
    <xf numFmtId="0" fontId="10" fillId="0" borderId="13" xfId="0" applyFont="1" applyBorder="1"/>
    <xf numFmtId="0" fontId="10" fillId="0" borderId="0" xfId="0" applyFont="1"/>
    <xf numFmtId="0" fontId="17" fillId="0" borderId="1" xfId="0" applyFont="1" applyBorder="1"/>
    <xf numFmtId="0" fontId="14" fillId="0" borderId="1" xfId="0" applyFont="1" applyBorder="1" applyAlignment="1">
      <alignment horizontal="center"/>
    </xf>
    <xf numFmtId="0" fontId="14" fillId="0" borderId="2" xfId="0" applyFont="1" applyBorder="1" applyAlignment="1">
      <alignment horizontal="center"/>
    </xf>
    <xf numFmtId="0" fontId="14" fillId="6" borderId="1" xfId="0" applyFont="1" applyFill="1" applyBorder="1"/>
    <xf numFmtId="0" fontId="14" fillId="6" borderId="1" xfId="0" applyFont="1" applyFill="1" applyBorder="1" applyAlignment="1">
      <alignment horizontal="center"/>
    </xf>
    <xf numFmtId="0" fontId="14" fillId="6" borderId="2" xfId="0" applyFont="1" applyFill="1" applyBorder="1" applyAlignment="1">
      <alignment horizontal="center"/>
    </xf>
    <xf numFmtId="0" fontId="14" fillId="0" borderId="8" xfId="0" applyFont="1" applyBorder="1"/>
    <xf numFmtId="0" fontId="0" fillId="0" borderId="2" xfId="0" applyBorder="1"/>
    <xf numFmtId="0" fontId="14" fillId="0" borderId="2" xfId="0" applyFont="1" applyBorder="1" applyAlignment="1">
      <alignment horizontal="left"/>
    </xf>
    <xf numFmtId="0" fontId="14" fillId="0" borderId="0" xfId="0" applyFont="1" applyAlignment="1">
      <alignment horizontal="center"/>
    </xf>
    <xf numFmtId="0" fontId="14" fillId="5" borderId="1" xfId="0" applyFont="1" applyFill="1" applyBorder="1"/>
    <xf numFmtId="0" fontId="14" fillId="0" borderId="8" xfId="0" applyFont="1" applyBorder="1" applyAlignment="1">
      <alignment horizontal="center"/>
    </xf>
    <xf numFmtId="0" fontId="14" fillId="0" borderId="2" xfId="0" applyFont="1" applyBorder="1"/>
    <xf numFmtId="0" fontId="14" fillId="0" borderId="9" xfId="0" applyFont="1" applyBorder="1"/>
    <xf numFmtId="3" fontId="10" fillId="0" borderId="1" xfId="0" applyNumberFormat="1" applyFont="1" applyBorder="1"/>
    <xf numFmtId="0" fontId="19" fillId="0" borderId="1" xfId="0" applyFont="1" applyBorder="1"/>
    <xf numFmtId="3" fontId="19" fillId="0" borderId="1" xfId="0" applyNumberFormat="1" applyFont="1" applyBorder="1"/>
    <xf numFmtId="0" fontId="20" fillId="9" borderId="1" xfId="0" applyFont="1" applyFill="1" applyBorder="1" applyAlignment="1">
      <alignment horizontal="left" vertical="center" wrapText="1"/>
    </xf>
    <xf numFmtId="0" fontId="0" fillId="9" borderId="1" xfId="0" applyFill="1" applyBorder="1" applyAlignment="1">
      <alignment horizontal="center"/>
    </xf>
    <xf numFmtId="0" fontId="10" fillId="0" borderId="2" xfId="0" applyFont="1" applyBorder="1"/>
    <xf numFmtId="0" fontId="14" fillId="0" borderId="0" xfId="0" applyFont="1"/>
    <xf numFmtId="0" fontId="20" fillId="9" borderId="1" xfId="0" applyFont="1" applyFill="1" applyBorder="1" applyAlignment="1">
      <alignment horizontal="center" vertical="center" wrapText="1"/>
    </xf>
    <xf numFmtId="164" fontId="0" fillId="0" borderId="11" xfId="0" applyNumberFormat="1" applyBorder="1"/>
    <xf numFmtId="0" fontId="14" fillId="0" borderId="12" xfId="0" applyFont="1" applyBorder="1" applyAlignment="1">
      <alignment horizontal="center"/>
    </xf>
    <xf numFmtId="0" fontId="20" fillId="0" borderId="1" xfId="0" applyFont="1" applyBorder="1" applyAlignment="1">
      <alignment horizontal="left" vertical="center" wrapText="1"/>
    </xf>
    <xf numFmtId="0" fontId="10" fillId="0" borderId="1" xfId="0" applyFont="1" applyBorder="1" applyAlignment="1">
      <alignment vertical="top" wrapText="1"/>
    </xf>
    <xf numFmtId="0" fontId="0" fillId="0" borderId="1" xfId="0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0" fillId="0" borderId="9" xfId="0" applyFont="1" applyBorder="1"/>
    <xf numFmtId="0" fontId="10" fillId="18" borderId="2" xfId="0" applyFont="1" applyFill="1" applyBorder="1"/>
    <xf numFmtId="0" fontId="10" fillId="18" borderId="9" xfId="0" applyFont="1" applyFill="1" applyBorder="1"/>
    <xf numFmtId="0" fontId="11" fillId="0" borderId="9" xfId="0" applyFont="1" applyBorder="1"/>
    <xf numFmtId="0" fontId="10" fillId="19" borderId="2" xfId="0" applyFont="1" applyFill="1" applyBorder="1"/>
    <xf numFmtId="0" fontId="10" fillId="19" borderId="9" xfId="0" applyFont="1" applyFill="1" applyBorder="1"/>
    <xf numFmtId="0" fontId="0" fillId="18" borderId="2" xfId="0" applyFill="1" applyBorder="1"/>
    <xf numFmtId="0" fontId="0" fillId="18" borderId="9" xfId="0" applyFill="1" applyBorder="1"/>
    <xf numFmtId="0" fontId="10" fillId="20" borderId="2" xfId="0" applyFont="1" applyFill="1" applyBorder="1"/>
    <xf numFmtId="0" fontId="10" fillId="21" borderId="2" xfId="0" applyFont="1" applyFill="1" applyBorder="1"/>
    <xf numFmtId="0" fontId="21" fillId="0" borderId="0" xfId="0" applyFont="1"/>
    <xf numFmtId="0" fontId="18" fillId="22" borderId="0" xfId="0" applyFont="1" applyFill="1" applyAlignment="1">
      <alignment horizontal="left" vertical="center" wrapText="1" readingOrder="1"/>
    </xf>
    <xf numFmtId="0" fontId="18" fillId="0" borderId="0" xfId="0" applyFont="1"/>
    <xf numFmtId="0" fontId="20" fillId="0" borderId="18" xfId="0" applyFont="1" applyBorder="1"/>
    <xf numFmtId="3" fontId="22" fillId="0" borderId="18" xfId="0" applyNumberFormat="1" applyFont="1" applyBorder="1"/>
    <xf numFmtId="3" fontId="20" fillId="0" borderId="18" xfId="0" applyNumberFormat="1" applyFont="1" applyBorder="1"/>
    <xf numFmtId="3" fontId="20" fillId="23" borderId="18" xfId="0" applyNumberFormat="1" applyFont="1" applyFill="1" applyBorder="1"/>
    <xf numFmtId="0" fontId="20" fillId="24" borderId="18" xfId="2" applyFont="1" applyFill="1" applyBorder="1"/>
    <xf numFmtId="3" fontId="20" fillId="24" borderId="18" xfId="2" applyNumberFormat="1" applyFont="1" applyFill="1" applyBorder="1"/>
    <xf numFmtId="0" fontId="11" fillId="0" borderId="15" xfId="0" applyFont="1" applyBorder="1"/>
    <xf numFmtId="0" fontId="14" fillId="9" borderId="1" xfId="0" applyFont="1" applyFill="1" applyBorder="1" applyAlignment="1">
      <alignment horizontal="left" vertical="center" wrapText="1"/>
    </xf>
    <xf numFmtId="0" fontId="23" fillId="0" borderId="1" xfId="0" applyFont="1" applyBorder="1"/>
    <xf numFmtId="0" fontId="12" fillId="18" borderId="15" xfId="0" applyFont="1" applyFill="1" applyBorder="1"/>
    <xf numFmtId="0" fontId="0" fillId="18" borderId="16" xfId="0" applyFill="1" applyBorder="1"/>
    <xf numFmtId="0" fontId="10" fillId="21" borderId="1" xfId="0" applyFont="1" applyFill="1" applyBorder="1"/>
    <xf numFmtId="0" fontId="18" fillId="0" borderId="17" xfId="0" applyFont="1" applyBorder="1"/>
    <xf numFmtId="0" fontId="10" fillId="9" borderId="11" xfId="0" applyFont="1" applyFill="1" applyBorder="1"/>
    <xf numFmtId="0" fontId="10" fillId="9" borderId="12" xfId="0" applyFont="1" applyFill="1" applyBorder="1"/>
    <xf numFmtId="0" fontId="10" fillId="9" borderId="8" xfId="0" applyFont="1" applyFill="1" applyBorder="1"/>
    <xf numFmtId="0" fontId="0" fillId="9" borderId="10" xfId="0" applyFill="1" applyBorder="1"/>
    <xf numFmtId="0" fontId="10" fillId="9" borderId="10" xfId="0" applyFont="1" applyFill="1" applyBorder="1" applyAlignment="1">
      <alignment horizontal="center"/>
    </xf>
    <xf numFmtId="0" fontId="0" fillId="9" borderId="10" xfId="0" applyFill="1" applyBorder="1" applyAlignment="1">
      <alignment horizontal="center"/>
    </xf>
    <xf numFmtId="0" fontId="10" fillId="0" borderId="0" xfId="0" applyFont="1" applyAlignment="1">
      <alignment horizontal="center"/>
    </xf>
    <xf numFmtId="3" fontId="24" fillId="16" borderId="5" xfId="1" applyNumberFormat="1" applyFont="1" applyFill="1" applyBorder="1" applyAlignment="1">
      <alignment horizontal="centerContinuous" vertical="center" wrapText="1"/>
    </xf>
    <xf numFmtId="3" fontId="20" fillId="23" borderId="19" xfId="0" applyNumberFormat="1" applyFont="1" applyFill="1" applyBorder="1"/>
    <xf numFmtId="3" fontId="20" fillId="0" borderId="19" xfId="0" applyNumberFormat="1" applyFont="1" applyBorder="1"/>
    <xf numFmtId="3" fontId="20" fillId="24" borderId="19" xfId="2" applyNumberFormat="1" applyFont="1" applyFill="1" applyBorder="1"/>
    <xf numFmtId="3" fontId="20" fillId="23" borderId="20" xfId="0" applyNumberFormat="1" applyFont="1" applyFill="1" applyBorder="1"/>
    <xf numFmtId="3" fontId="20" fillId="23" borderId="19" xfId="2" applyNumberFormat="1" applyFont="1" applyFill="1" applyBorder="1"/>
    <xf numFmtId="3" fontId="20" fillId="24" borderId="19" xfId="0" applyNumberFormat="1" applyFont="1" applyFill="1" applyBorder="1"/>
    <xf numFmtId="3" fontId="20" fillId="0" borderId="20" xfId="0" applyNumberFormat="1" applyFont="1" applyBorder="1"/>
    <xf numFmtId="0" fontId="25" fillId="9" borderId="1" xfId="0" applyFont="1" applyFill="1" applyBorder="1"/>
    <xf numFmtId="0" fontId="10" fillId="19" borderId="2" xfId="0" applyFont="1" applyFill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3" fillId="0" borderId="2" xfId="0" applyFont="1" applyBorder="1"/>
    <xf numFmtId="164" fontId="5" fillId="0" borderId="11" xfId="0" applyNumberFormat="1" applyFont="1" applyBorder="1"/>
    <xf numFmtId="164" fontId="5" fillId="0" borderId="0" xfId="0" applyNumberFormat="1" applyFont="1"/>
    <xf numFmtId="0" fontId="14" fillId="25" borderId="1" xfId="0" applyFont="1" applyFill="1" applyBorder="1" applyAlignment="1">
      <alignment horizontal="center"/>
    </xf>
    <xf numFmtId="0" fontId="11" fillId="0" borderId="8" xfId="0" applyFont="1" applyBorder="1"/>
  </cellXfs>
  <cellStyles count="3">
    <cellStyle name="Normal" xfId="0" builtinId="0"/>
    <cellStyle name="Normal 2 2" xfId="1" xr:uid="{BBAC9C38-E6FF-4A4E-98C5-89F45FD601CF}"/>
    <cellStyle name="Notas" xfId="2" builtinId="10"/>
  </cellStyles>
  <dxfs count="992"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theme="9" tint="0.39994506668294322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FF7C80"/>
        </patternFill>
      </fill>
    </dxf>
    <dxf>
      <fill>
        <patternFill>
          <bgColor theme="9" tint="0.39994506668294322"/>
        </patternFill>
      </fill>
    </dxf>
    <dxf>
      <fill>
        <patternFill>
          <bgColor rgb="FFFF7C80"/>
        </patternFill>
      </fill>
    </dxf>
    <dxf>
      <fill>
        <patternFill>
          <bgColor theme="9" tint="0.39994506668294322"/>
        </patternFill>
      </fill>
    </dxf>
    <dxf>
      <fill>
        <patternFill>
          <bgColor rgb="FFFF7C80"/>
        </patternFill>
      </fill>
    </dxf>
    <dxf>
      <fill>
        <patternFill>
          <bgColor theme="9" tint="0.39994506668294322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theme="9" tint="0.39994506668294322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FF7C80"/>
        </patternFill>
      </fill>
    </dxf>
    <dxf>
      <fill>
        <patternFill>
          <bgColor theme="9" tint="0.39994506668294322"/>
        </patternFill>
      </fill>
    </dxf>
    <dxf>
      <fill>
        <patternFill>
          <bgColor rgb="FFFF7C80"/>
        </patternFill>
      </fill>
    </dxf>
    <dxf>
      <fill>
        <patternFill>
          <bgColor theme="9" tint="0.39994506668294322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theme="9" tint="0.39994506668294322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theme="7" tint="0.59996337778862885"/>
        </patternFill>
      </fill>
    </dxf>
    <dxf>
      <fill>
        <patternFill>
          <bgColor rgb="FFFF7C80"/>
        </patternFill>
      </fill>
    </dxf>
    <dxf>
      <fill>
        <patternFill>
          <bgColor theme="9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Daniel Antonio Jiménez Ángeles" id="{9437CFA6-529D-42B7-8D6F-955A67AE697E}" userId="S::daniel.jimenez@imssbienestar.gob.mx::124bb3c5-2d2c-49c8-acfb-3daf3516d9a5" providerId="AD"/>
</personList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Q192" dT="2026-05-26T20:04:04.05" personId="{9437CFA6-529D-42B7-8D6F-955A67AE697E}" id="{C1A52CD7-EA9F-470A-A5B5-635F3E8FCE69}">
    <text>¡NOTA IMPORTANTE!
1. Al agregar un nuevo hospital es importante llenar todos los campos necesarios.
2. No dejar filas filtradas.
3. No ocultar columnas ni filas.</text>
  </threadedComment>
  <threadedComment ref="Q192" dT="2026-08-05T16:40:18.50" personId="{9437CFA6-529D-42B7-8D6F-955A67AE697E}" id="{38BFD2A5-61C0-40F1-847D-2B2BDB5B1144}" parentId="{C1A52CD7-EA9F-470A-A5B5-635F3E8FCE69}">
    <text xml:space="preserve">Favor de no realizar agrupaciones.
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8C860C-69C5-482A-A322-88D4F7BD0ED6}">
  <sheetPr codeName="Hoja1"/>
  <dimension ref="A1:AG614"/>
  <sheetViews>
    <sheetView tabSelected="1" zoomScale="72" zoomScaleNormal="72" workbookViewId="0">
      <pane xSplit="1" ySplit="1" topLeftCell="G560" activePane="bottomRight" state="frozen"/>
      <selection pane="topRight" activeCell="B1" sqref="B1"/>
      <selection pane="bottomLeft" activeCell="A2" sqref="A2"/>
      <selection pane="bottomRight" activeCell="AB614" sqref="AB614"/>
    </sheetView>
  </sheetViews>
  <sheetFormatPr baseColWidth="10" defaultRowHeight="14.4" x14ac:dyDescent="0.3"/>
  <cols>
    <col min="6" max="6" width="50.109375" customWidth="1"/>
    <col min="18" max="18" width="13.109375" bestFit="1" customWidth="1"/>
    <col min="20" max="20" width="27.5546875" bestFit="1" customWidth="1"/>
    <col min="21" max="21" width="19" bestFit="1" customWidth="1"/>
    <col min="22" max="22" width="18.5546875" bestFit="1" customWidth="1"/>
  </cols>
  <sheetData>
    <row r="1" spans="1:33" ht="25.2" customHeight="1" x14ac:dyDescent="0.3">
      <c r="A1" s="1" t="s">
        <v>0</v>
      </c>
      <c r="B1" s="1" t="s">
        <v>1</v>
      </c>
      <c r="C1" s="1" t="s">
        <v>2</v>
      </c>
      <c r="D1" s="1" t="s">
        <v>1772</v>
      </c>
      <c r="E1" s="1" t="s">
        <v>3</v>
      </c>
      <c r="F1" s="1" t="s">
        <v>4</v>
      </c>
      <c r="G1" s="1" t="s">
        <v>5</v>
      </c>
      <c r="H1" s="1" t="s">
        <v>1761</v>
      </c>
      <c r="I1" s="1" t="s">
        <v>6</v>
      </c>
      <c r="J1" s="1" t="s">
        <v>1817</v>
      </c>
      <c r="K1" s="1" t="s">
        <v>8</v>
      </c>
      <c r="L1" s="1" t="s">
        <v>1762</v>
      </c>
      <c r="M1" s="1" t="s">
        <v>9</v>
      </c>
      <c r="N1" s="1" t="s">
        <v>10</v>
      </c>
      <c r="O1" s="1" t="s">
        <v>11</v>
      </c>
      <c r="P1" s="1" t="s">
        <v>1763</v>
      </c>
      <c r="Q1" s="1" t="s">
        <v>12</v>
      </c>
      <c r="R1" s="1" t="s">
        <v>13</v>
      </c>
      <c r="S1" s="2" t="s">
        <v>14</v>
      </c>
      <c r="T1" s="2" t="s">
        <v>15</v>
      </c>
      <c r="U1" s="2" t="s">
        <v>16</v>
      </c>
      <c r="V1" s="2" t="s">
        <v>17</v>
      </c>
      <c r="W1" s="3" t="s">
        <v>1815</v>
      </c>
      <c r="X1" s="3" t="s">
        <v>1816</v>
      </c>
      <c r="Y1" s="3" t="s">
        <v>19</v>
      </c>
      <c r="Z1" s="3" t="s">
        <v>20</v>
      </c>
      <c r="AA1" s="3" t="s">
        <v>21</v>
      </c>
      <c r="AB1" s="4" t="s">
        <v>22</v>
      </c>
      <c r="AC1" s="3" t="s">
        <v>1870</v>
      </c>
      <c r="AD1" s="3" t="s">
        <v>1856</v>
      </c>
      <c r="AE1" s="3" t="s">
        <v>1857</v>
      </c>
      <c r="AF1" s="3" t="s">
        <v>1869</v>
      </c>
      <c r="AG1" s="3" t="s">
        <v>1870</v>
      </c>
    </row>
    <row r="2" spans="1:33" x14ac:dyDescent="0.3">
      <c r="A2" s="34" t="s">
        <v>874</v>
      </c>
      <c r="B2" s="54" t="s">
        <v>25</v>
      </c>
      <c r="C2" s="54" t="s">
        <v>172</v>
      </c>
      <c r="D2" s="33" t="s">
        <v>1775</v>
      </c>
      <c r="E2" s="34" t="s">
        <v>875</v>
      </c>
      <c r="F2" s="52" t="s">
        <v>876</v>
      </c>
      <c r="G2" s="34" t="s">
        <v>111</v>
      </c>
      <c r="H2" s="37">
        <v>1</v>
      </c>
      <c r="I2" s="34" t="s">
        <v>112</v>
      </c>
      <c r="J2" s="34" t="s">
        <v>31</v>
      </c>
      <c r="K2" s="34" t="s">
        <v>32</v>
      </c>
      <c r="L2" s="34" t="s">
        <v>1755</v>
      </c>
      <c r="M2" s="34" t="s">
        <v>33</v>
      </c>
      <c r="N2" s="47">
        <v>30</v>
      </c>
      <c r="O2" s="48">
        <v>8</v>
      </c>
      <c r="P2" s="49">
        <v>303</v>
      </c>
      <c r="Q2" s="50">
        <v>32.5257079</v>
      </c>
      <c r="R2" s="50">
        <v>-117.0094107</v>
      </c>
      <c r="S2" s="66" t="s">
        <v>34</v>
      </c>
      <c r="T2" s="66" t="s">
        <v>35</v>
      </c>
      <c r="U2" s="66" t="s">
        <v>35</v>
      </c>
      <c r="V2" s="66" t="s">
        <v>35</v>
      </c>
      <c r="W2" s="66" t="s">
        <v>35</v>
      </c>
      <c r="X2" s="66" t="s">
        <v>35</v>
      </c>
      <c r="Y2" s="66" t="s">
        <v>36</v>
      </c>
      <c r="Z2" s="66" t="s">
        <v>37</v>
      </c>
      <c r="AA2" s="66" t="s">
        <v>37</v>
      </c>
      <c r="AB2" s="70" t="s">
        <v>1795</v>
      </c>
      <c r="AC2" s="87">
        <f t="shared" ref="AC2:AC65" si="0">(
IF(S2="ENVIADO A LA CE/UM",1/3,IF(S2="ENTREGADO/REVISIÓN",2/3,IF(S2="ENVIADO A TICS",1,0)))+
IF(T2="EN PROCESO",1/2,IF(T2="CONCLUIDO",1,0))+
IF(OR(U2="CONCLUIDO",U2="NO APLICA"),1,IF(U2="EN REVISIÓN CENTRAL",2/3,IF(U2="ENVIADO A LA CE/UM",1/3,0)))+
IF(OR(V2="CONCLUIDO",V2="NO APLICA"),1,IF(V2="EN REVISIÓN CENTRAL",2/3,IF(V2="ENVIADO A LA CE/UM",1/3,0)))+                                                                                                                                                                                                                                                         IF(OR(W2="CONCLUIDO",W2="NO APLICA"),1,IF(W2="EN PROCESO",0.5,0))+
IF(OR(X2="CONCLUIDO",X2="NO APLICA"),1,IF(X2="EN PROCESO",0.5,0))+
IF(Y2="PROGRAMADAS",1/2,IF(Y2="CONCLUIDAS",1,0))+
IF(OR(Z2="SI",Z2="NO APLICA"),1,0)+
IF(OR(AA2="SI",AA2="NO APLICA"),1,0)
)/9</f>
        <v>1</v>
      </c>
      <c r="AD2" s="91">
        <v>8</v>
      </c>
      <c r="AE2" s="103" t="s">
        <v>1830</v>
      </c>
      <c r="AF2">
        <f>IF(AND(OR(Z2="SI",Z2="NO APLICA"),OR(AA2="SI",AA2="NO APLICA")),1,0)</f>
        <v>1</v>
      </c>
      <c r="AG2">
        <f t="shared" ref="AG2:AG65" si="1">IF(AND(OR(Z2="SI",Z2="NO APLICA"),OR(AA2="SI",AA2="NO APLICA")),1,0)</f>
        <v>1</v>
      </c>
    </row>
    <row r="3" spans="1:33" x14ac:dyDescent="0.3">
      <c r="A3" s="84" t="s">
        <v>1823</v>
      </c>
      <c r="B3" s="93" t="s">
        <v>25</v>
      </c>
      <c r="C3" s="93" t="s">
        <v>886</v>
      </c>
      <c r="D3" s="33" t="s">
        <v>1775</v>
      </c>
      <c r="E3" s="34" t="s">
        <v>895</v>
      </c>
      <c r="F3" s="34" t="s">
        <v>1824</v>
      </c>
      <c r="G3" s="34"/>
      <c r="H3" s="37"/>
      <c r="I3" s="34" t="s">
        <v>181</v>
      </c>
      <c r="J3" s="34" t="s">
        <v>1804</v>
      </c>
      <c r="K3" s="34" t="s">
        <v>32</v>
      </c>
      <c r="L3" s="34" t="s">
        <v>1755</v>
      </c>
      <c r="M3" s="34" t="s">
        <v>33</v>
      </c>
      <c r="N3" s="47">
        <v>2</v>
      </c>
      <c r="O3" s="48">
        <v>0</v>
      </c>
      <c r="P3" s="49">
        <v>0</v>
      </c>
      <c r="Q3" s="50">
        <v>24.121522899999999</v>
      </c>
      <c r="R3" s="50">
        <v>-110.31472979999999</v>
      </c>
      <c r="S3" s="66" t="s">
        <v>34</v>
      </c>
      <c r="T3" s="66" t="s">
        <v>35</v>
      </c>
      <c r="U3" s="66" t="s">
        <v>35</v>
      </c>
      <c r="V3" s="66" t="s">
        <v>35</v>
      </c>
      <c r="W3" s="66" t="s">
        <v>35</v>
      </c>
      <c r="X3" s="66" t="s">
        <v>35</v>
      </c>
      <c r="Y3" s="66" t="s">
        <v>36</v>
      </c>
      <c r="Z3" s="66" t="s">
        <v>37</v>
      </c>
      <c r="AA3" s="66" t="s">
        <v>37</v>
      </c>
      <c r="AB3" s="70" t="s">
        <v>1795</v>
      </c>
      <c r="AC3" s="87">
        <f t="shared" si="0"/>
        <v>1</v>
      </c>
      <c r="AD3" s="91">
        <v>8</v>
      </c>
      <c r="AE3" s="103" t="s">
        <v>1830</v>
      </c>
      <c r="AF3">
        <f t="shared" ref="AF3:AF66" si="2">IF(OR(AND(Z3="SI",AA3="NO"),AND(Z3="NO",AA3="SI")),1,0)</f>
        <v>0</v>
      </c>
      <c r="AG3">
        <f t="shared" si="1"/>
        <v>1</v>
      </c>
    </row>
    <row r="4" spans="1:33" x14ac:dyDescent="0.3">
      <c r="A4" s="84" t="s">
        <v>1676</v>
      </c>
      <c r="B4" s="93" t="s">
        <v>25</v>
      </c>
      <c r="C4" s="93" t="s">
        <v>886</v>
      </c>
      <c r="D4" s="33" t="s">
        <v>1775</v>
      </c>
      <c r="E4" s="34" t="s">
        <v>895</v>
      </c>
      <c r="F4" s="34" t="s">
        <v>1677</v>
      </c>
      <c r="G4" s="34" t="s">
        <v>169</v>
      </c>
      <c r="H4" s="37">
        <v>2</v>
      </c>
      <c r="I4" s="34" t="s">
        <v>170</v>
      </c>
      <c r="J4" s="34" t="s">
        <v>31</v>
      </c>
      <c r="K4" s="34" t="s">
        <v>32</v>
      </c>
      <c r="L4" s="34" t="s">
        <v>1755</v>
      </c>
      <c r="M4" s="34" t="s">
        <v>33</v>
      </c>
      <c r="N4" s="47">
        <v>6</v>
      </c>
      <c r="O4" s="48">
        <v>0</v>
      </c>
      <c r="P4" s="49">
        <v>32</v>
      </c>
      <c r="Q4" s="50">
        <v>24.096708</v>
      </c>
      <c r="R4" s="50">
        <v>-110.398409</v>
      </c>
      <c r="S4" s="66" t="s">
        <v>34</v>
      </c>
      <c r="T4" s="66" t="s">
        <v>35</v>
      </c>
      <c r="U4" s="66" t="s">
        <v>35</v>
      </c>
      <c r="V4" s="66" t="s">
        <v>35</v>
      </c>
      <c r="W4" s="66" t="s">
        <v>35</v>
      </c>
      <c r="X4" s="66" t="s">
        <v>35</v>
      </c>
      <c r="Y4" s="66" t="s">
        <v>36</v>
      </c>
      <c r="Z4" s="66" t="s">
        <v>37</v>
      </c>
      <c r="AA4" s="66" t="s">
        <v>37</v>
      </c>
      <c r="AB4" s="67" t="s">
        <v>1866</v>
      </c>
      <c r="AC4" s="87">
        <f t="shared" si="0"/>
        <v>1</v>
      </c>
      <c r="AD4" s="91">
        <v>4</v>
      </c>
      <c r="AE4" s="64" t="s">
        <v>1834</v>
      </c>
      <c r="AF4">
        <f t="shared" si="2"/>
        <v>0</v>
      </c>
      <c r="AG4">
        <f t="shared" si="1"/>
        <v>1</v>
      </c>
    </row>
    <row r="5" spans="1:33" x14ac:dyDescent="0.3">
      <c r="A5" s="84" t="s">
        <v>710</v>
      </c>
      <c r="B5" s="93" t="s">
        <v>25</v>
      </c>
      <c r="C5" s="93" t="s">
        <v>708</v>
      </c>
      <c r="D5" s="98" t="s">
        <v>1771</v>
      </c>
      <c r="E5" s="52" t="s">
        <v>711</v>
      </c>
      <c r="F5" s="34" t="s">
        <v>712</v>
      </c>
      <c r="G5" s="34" t="s">
        <v>111</v>
      </c>
      <c r="H5" s="37">
        <v>1</v>
      </c>
      <c r="I5" s="34" t="s">
        <v>112</v>
      </c>
      <c r="J5" s="34" t="s">
        <v>31</v>
      </c>
      <c r="K5" s="34" t="s">
        <v>32</v>
      </c>
      <c r="L5" s="34" t="s">
        <v>1755</v>
      </c>
      <c r="M5" s="34" t="s">
        <v>33</v>
      </c>
      <c r="N5" s="47">
        <v>9</v>
      </c>
      <c r="O5" s="48">
        <v>0</v>
      </c>
      <c r="P5" s="49">
        <v>45</v>
      </c>
      <c r="Q5" s="50">
        <v>18.997540999999998</v>
      </c>
      <c r="R5" s="50">
        <v>-103.736051</v>
      </c>
      <c r="S5" s="66" t="s">
        <v>34</v>
      </c>
      <c r="T5" s="66" t="s">
        <v>35</v>
      </c>
      <c r="U5" s="66" t="s">
        <v>35</v>
      </c>
      <c r="V5" s="66" t="s">
        <v>35</v>
      </c>
      <c r="W5" s="66" t="s">
        <v>35</v>
      </c>
      <c r="X5" s="66" t="s">
        <v>35</v>
      </c>
      <c r="Y5" s="66" t="s">
        <v>36</v>
      </c>
      <c r="Z5" s="66" t="s">
        <v>37</v>
      </c>
      <c r="AA5" s="66" t="s">
        <v>37</v>
      </c>
      <c r="AB5" s="70" t="s">
        <v>1814</v>
      </c>
      <c r="AC5" s="87">
        <f t="shared" si="0"/>
        <v>1</v>
      </c>
      <c r="AD5" s="91">
        <v>3</v>
      </c>
      <c r="AE5" s="105" t="s">
        <v>1835</v>
      </c>
      <c r="AF5">
        <f t="shared" si="2"/>
        <v>0</v>
      </c>
      <c r="AG5">
        <f t="shared" si="1"/>
        <v>1</v>
      </c>
    </row>
    <row r="6" spans="1:33" x14ac:dyDescent="0.3">
      <c r="A6" s="84" t="s">
        <v>713</v>
      </c>
      <c r="B6" s="93" t="s">
        <v>25</v>
      </c>
      <c r="C6" s="93" t="s">
        <v>708</v>
      </c>
      <c r="D6" s="33" t="s">
        <v>1775</v>
      </c>
      <c r="E6" s="52" t="s">
        <v>714</v>
      </c>
      <c r="F6" s="34" t="s">
        <v>715</v>
      </c>
      <c r="G6" s="34" t="s">
        <v>111</v>
      </c>
      <c r="H6" s="37">
        <v>1</v>
      </c>
      <c r="I6" s="34" t="s">
        <v>112</v>
      </c>
      <c r="J6" s="34" t="s">
        <v>31</v>
      </c>
      <c r="K6" s="34" t="s">
        <v>32</v>
      </c>
      <c r="L6" s="34" t="s">
        <v>1755</v>
      </c>
      <c r="M6" s="34" t="s">
        <v>33</v>
      </c>
      <c r="N6" s="47">
        <v>12</v>
      </c>
      <c r="O6" s="48">
        <v>4</v>
      </c>
      <c r="P6" s="49">
        <v>77</v>
      </c>
      <c r="Q6" s="50">
        <v>18.906326</v>
      </c>
      <c r="R6" s="50">
        <v>-103.884075</v>
      </c>
      <c r="S6" s="66" t="s">
        <v>34</v>
      </c>
      <c r="T6" s="66" t="s">
        <v>35</v>
      </c>
      <c r="U6" s="66" t="s">
        <v>35</v>
      </c>
      <c r="V6" s="66" t="s">
        <v>35</v>
      </c>
      <c r="W6" s="66" t="s">
        <v>35</v>
      </c>
      <c r="X6" s="66" t="s">
        <v>35</v>
      </c>
      <c r="Y6" s="66" t="s">
        <v>36</v>
      </c>
      <c r="Z6" s="66" t="s">
        <v>37</v>
      </c>
      <c r="AA6" s="66" t="s">
        <v>37</v>
      </c>
      <c r="AB6" s="67"/>
      <c r="AC6" s="87">
        <f t="shared" si="0"/>
        <v>1</v>
      </c>
      <c r="AD6" s="91">
        <v>2</v>
      </c>
      <c r="AE6" s="103" t="s">
        <v>1837</v>
      </c>
      <c r="AF6">
        <f t="shared" si="2"/>
        <v>0</v>
      </c>
      <c r="AG6">
        <f t="shared" si="1"/>
        <v>1</v>
      </c>
    </row>
    <row r="7" spans="1:33" x14ac:dyDescent="0.3">
      <c r="A7" s="84" t="s">
        <v>1048</v>
      </c>
      <c r="B7" s="93" t="s">
        <v>25</v>
      </c>
      <c r="C7" s="93" t="s">
        <v>1777</v>
      </c>
      <c r="D7" s="33" t="s">
        <v>1775</v>
      </c>
      <c r="E7" s="34" t="s">
        <v>1049</v>
      </c>
      <c r="F7" s="34" t="s">
        <v>1050</v>
      </c>
      <c r="G7" s="34" t="s">
        <v>111</v>
      </c>
      <c r="H7" s="37">
        <v>1</v>
      </c>
      <c r="I7" s="34" t="s">
        <v>112</v>
      </c>
      <c r="J7" s="34" t="s">
        <v>31</v>
      </c>
      <c r="K7" s="34" t="s">
        <v>32</v>
      </c>
      <c r="L7" s="34" t="s">
        <v>1756</v>
      </c>
      <c r="M7" s="34" t="s">
        <v>33</v>
      </c>
      <c r="N7" s="47">
        <v>14</v>
      </c>
      <c r="O7" s="48">
        <v>6</v>
      </c>
      <c r="P7" s="49">
        <v>194</v>
      </c>
      <c r="Q7" s="50">
        <v>19.514533100000001</v>
      </c>
      <c r="R7" s="50">
        <v>-99.038108300000005</v>
      </c>
      <c r="S7" s="66" t="s">
        <v>34</v>
      </c>
      <c r="T7" s="66" t="s">
        <v>35</v>
      </c>
      <c r="U7" s="66" t="s">
        <v>35</v>
      </c>
      <c r="V7" s="66" t="s">
        <v>35</v>
      </c>
      <c r="W7" s="66" t="s">
        <v>35</v>
      </c>
      <c r="X7" s="66" t="s">
        <v>35</v>
      </c>
      <c r="Y7" s="66" t="s">
        <v>36</v>
      </c>
      <c r="Z7" s="66" t="s">
        <v>74</v>
      </c>
      <c r="AA7" s="66" t="s">
        <v>74</v>
      </c>
      <c r="AB7" s="67" t="s">
        <v>1865</v>
      </c>
      <c r="AC7" s="87">
        <f t="shared" si="0"/>
        <v>0.77777777777777779</v>
      </c>
      <c r="AD7" s="91">
        <v>9</v>
      </c>
      <c r="AE7" s="103" t="s">
        <v>1836</v>
      </c>
      <c r="AF7">
        <f t="shared" si="2"/>
        <v>0</v>
      </c>
      <c r="AG7">
        <f t="shared" si="1"/>
        <v>0</v>
      </c>
    </row>
    <row r="8" spans="1:33" x14ac:dyDescent="0.3">
      <c r="A8" s="84" t="s">
        <v>1091</v>
      </c>
      <c r="B8" s="93" t="s">
        <v>25</v>
      </c>
      <c r="C8" s="93" t="s">
        <v>1777</v>
      </c>
      <c r="D8" s="33" t="s">
        <v>1775</v>
      </c>
      <c r="E8" s="34" t="s">
        <v>1049</v>
      </c>
      <c r="F8" s="34" t="s">
        <v>1092</v>
      </c>
      <c r="G8" s="34" t="s">
        <v>111</v>
      </c>
      <c r="H8" s="37">
        <v>1</v>
      </c>
      <c r="I8" s="34" t="s">
        <v>112</v>
      </c>
      <c r="J8" s="34" t="s">
        <v>31</v>
      </c>
      <c r="K8" s="34" t="s">
        <v>32</v>
      </c>
      <c r="L8" s="34" t="s">
        <v>1756</v>
      </c>
      <c r="M8" s="34" t="s">
        <v>33</v>
      </c>
      <c r="N8" s="47">
        <v>18</v>
      </c>
      <c r="O8" s="48">
        <v>8</v>
      </c>
      <c r="P8" s="49">
        <v>246</v>
      </c>
      <c r="Q8" s="50">
        <v>19.5936922</v>
      </c>
      <c r="R8" s="50">
        <v>-99.018878299999997</v>
      </c>
      <c r="S8" s="66" t="s">
        <v>34</v>
      </c>
      <c r="T8" s="66" t="s">
        <v>35</v>
      </c>
      <c r="U8" s="66" t="s">
        <v>35</v>
      </c>
      <c r="V8" s="66" t="s">
        <v>35</v>
      </c>
      <c r="W8" s="66" t="s">
        <v>35</v>
      </c>
      <c r="X8" s="66" t="s">
        <v>35</v>
      </c>
      <c r="Y8" s="66" t="s">
        <v>36</v>
      </c>
      <c r="Z8" s="66" t="s">
        <v>74</v>
      </c>
      <c r="AA8" s="66" t="s">
        <v>74</v>
      </c>
      <c r="AB8" s="67" t="s">
        <v>1865</v>
      </c>
      <c r="AC8" s="87">
        <f t="shared" si="0"/>
        <v>0.77777777777777779</v>
      </c>
      <c r="AD8" s="91">
        <v>9</v>
      </c>
      <c r="AE8" s="103" t="s">
        <v>1836</v>
      </c>
      <c r="AF8">
        <f t="shared" si="2"/>
        <v>0</v>
      </c>
      <c r="AG8">
        <f t="shared" si="1"/>
        <v>0</v>
      </c>
    </row>
    <row r="9" spans="1:33" x14ac:dyDescent="0.3">
      <c r="A9" s="84" t="s">
        <v>1093</v>
      </c>
      <c r="B9" s="93" t="s">
        <v>25</v>
      </c>
      <c r="C9" s="93" t="s">
        <v>1777</v>
      </c>
      <c r="D9" s="33" t="s">
        <v>1775</v>
      </c>
      <c r="E9" s="34" t="s">
        <v>1060</v>
      </c>
      <c r="F9" s="34" t="s">
        <v>1094</v>
      </c>
      <c r="G9" s="34" t="s">
        <v>111</v>
      </c>
      <c r="H9" s="37">
        <v>1</v>
      </c>
      <c r="I9" s="34" t="s">
        <v>112</v>
      </c>
      <c r="J9" s="34" t="s">
        <v>31</v>
      </c>
      <c r="K9" s="34" t="s">
        <v>32</v>
      </c>
      <c r="L9" s="34" t="s">
        <v>1756</v>
      </c>
      <c r="M9" s="34" t="s">
        <v>33</v>
      </c>
      <c r="N9" s="47">
        <v>36</v>
      </c>
      <c r="O9" s="48">
        <v>9</v>
      </c>
      <c r="P9" s="49">
        <v>224</v>
      </c>
      <c r="Q9" s="50">
        <v>19.387644000000002</v>
      </c>
      <c r="R9" s="50">
        <v>-98.989264000000006</v>
      </c>
      <c r="S9" s="66" t="s">
        <v>34</v>
      </c>
      <c r="T9" s="66" t="s">
        <v>35</v>
      </c>
      <c r="U9" s="66" t="s">
        <v>35</v>
      </c>
      <c r="V9" s="66" t="s">
        <v>35</v>
      </c>
      <c r="W9" s="66" t="s">
        <v>35</v>
      </c>
      <c r="X9" s="66" t="s">
        <v>35</v>
      </c>
      <c r="Y9" s="66" t="s">
        <v>36</v>
      </c>
      <c r="Z9" s="66" t="s">
        <v>74</v>
      </c>
      <c r="AA9" s="66" t="s">
        <v>74</v>
      </c>
      <c r="AB9" s="67" t="s">
        <v>1865</v>
      </c>
      <c r="AC9" s="87">
        <f t="shared" si="0"/>
        <v>0.77777777777777779</v>
      </c>
      <c r="AD9" s="91">
        <v>9</v>
      </c>
      <c r="AE9" s="103" t="s">
        <v>1836</v>
      </c>
      <c r="AF9">
        <f t="shared" si="2"/>
        <v>0</v>
      </c>
      <c r="AG9">
        <f t="shared" si="1"/>
        <v>0</v>
      </c>
    </row>
    <row r="10" spans="1:33" x14ac:dyDescent="0.3">
      <c r="A10" s="84" t="s">
        <v>716</v>
      </c>
      <c r="B10" s="93" t="s">
        <v>25</v>
      </c>
      <c r="C10" s="93" t="s">
        <v>708</v>
      </c>
      <c r="D10" s="33" t="s">
        <v>1775</v>
      </c>
      <c r="E10" s="52" t="s">
        <v>717</v>
      </c>
      <c r="F10" s="34" t="s">
        <v>718</v>
      </c>
      <c r="G10" s="34" t="s">
        <v>111</v>
      </c>
      <c r="H10" s="37">
        <v>1</v>
      </c>
      <c r="I10" s="34" t="s">
        <v>112</v>
      </c>
      <c r="J10" s="34" t="s">
        <v>31</v>
      </c>
      <c r="K10" s="34" t="s">
        <v>32</v>
      </c>
      <c r="L10" s="34" t="s">
        <v>1755</v>
      </c>
      <c r="M10" s="34" t="s">
        <v>33</v>
      </c>
      <c r="N10" s="47">
        <v>13</v>
      </c>
      <c r="O10" s="48">
        <v>3</v>
      </c>
      <c r="P10" s="49">
        <v>75</v>
      </c>
      <c r="Q10" s="50">
        <v>19.116565000000001</v>
      </c>
      <c r="R10" s="50">
        <v>-104.327259</v>
      </c>
      <c r="S10" s="66" t="s">
        <v>34</v>
      </c>
      <c r="T10" s="66" t="s">
        <v>35</v>
      </c>
      <c r="U10" s="66" t="s">
        <v>35</v>
      </c>
      <c r="V10" s="66" t="s">
        <v>35</v>
      </c>
      <c r="W10" s="66" t="s">
        <v>35</v>
      </c>
      <c r="X10" s="66" t="s">
        <v>35</v>
      </c>
      <c r="Y10" s="66" t="s">
        <v>36</v>
      </c>
      <c r="Z10" s="66" t="s">
        <v>37</v>
      </c>
      <c r="AA10" s="66" t="s">
        <v>37</v>
      </c>
      <c r="AB10" s="73"/>
      <c r="AC10" s="87">
        <f t="shared" si="0"/>
        <v>1</v>
      </c>
      <c r="AD10" s="91">
        <v>2</v>
      </c>
      <c r="AE10" s="103" t="s">
        <v>1837</v>
      </c>
      <c r="AF10">
        <f t="shared" si="2"/>
        <v>0</v>
      </c>
      <c r="AG10">
        <f t="shared" si="1"/>
        <v>1</v>
      </c>
    </row>
    <row r="11" spans="1:33" x14ac:dyDescent="0.3">
      <c r="A11" s="84" t="s">
        <v>1105</v>
      </c>
      <c r="B11" s="93" t="s">
        <v>25</v>
      </c>
      <c r="C11" s="93" t="s">
        <v>1777</v>
      </c>
      <c r="D11" s="33" t="s">
        <v>1775</v>
      </c>
      <c r="E11" s="34" t="s">
        <v>1106</v>
      </c>
      <c r="F11" s="34" t="s">
        <v>1107</v>
      </c>
      <c r="G11" s="34" t="s">
        <v>111</v>
      </c>
      <c r="H11" s="37">
        <v>1</v>
      </c>
      <c r="I11" s="34" t="s">
        <v>112</v>
      </c>
      <c r="J11" s="34" t="s">
        <v>31</v>
      </c>
      <c r="K11" s="34" t="s">
        <v>32</v>
      </c>
      <c r="L11" s="34" t="s">
        <v>1755</v>
      </c>
      <c r="M11" s="34" t="s">
        <v>33</v>
      </c>
      <c r="N11" s="47">
        <v>12</v>
      </c>
      <c r="O11" s="48">
        <v>5</v>
      </c>
      <c r="P11" s="49">
        <v>126</v>
      </c>
      <c r="Q11" s="50">
        <v>19.514057000000001</v>
      </c>
      <c r="R11" s="50">
        <v>-98.871977000000001</v>
      </c>
      <c r="S11" s="66" t="s">
        <v>34</v>
      </c>
      <c r="T11" s="66" t="s">
        <v>35</v>
      </c>
      <c r="U11" s="66" t="s">
        <v>35</v>
      </c>
      <c r="V11" s="66" t="s">
        <v>35</v>
      </c>
      <c r="W11" s="66" t="s">
        <v>35</v>
      </c>
      <c r="X11" s="66" t="s">
        <v>35</v>
      </c>
      <c r="Y11" s="66" t="s">
        <v>36</v>
      </c>
      <c r="Z11" s="66" t="s">
        <v>74</v>
      </c>
      <c r="AA11" s="66" t="s">
        <v>74</v>
      </c>
      <c r="AB11" s="67"/>
      <c r="AC11" s="87">
        <f t="shared" si="0"/>
        <v>0.77777777777777779</v>
      </c>
      <c r="AD11" s="91">
        <v>2</v>
      </c>
      <c r="AE11" s="103" t="s">
        <v>1837</v>
      </c>
      <c r="AF11">
        <f t="shared" si="2"/>
        <v>0</v>
      </c>
      <c r="AG11">
        <f t="shared" si="1"/>
        <v>0</v>
      </c>
    </row>
    <row r="12" spans="1:33" x14ac:dyDescent="0.3">
      <c r="A12" s="84" t="s">
        <v>24</v>
      </c>
      <c r="B12" s="93" t="s">
        <v>25</v>
      </c>
      <c r="C12" s="93" t="s">
        <v>26</v>
      </c>
      <c r="D12" s="33" t="s">
        <v>1775</v>
      </c>
      <c r="E12" s="34" t="s">
        <v>27</v>
      </c>
      <c r="F12" s="34" t="s">
        <v>28</v>
      </c>
      <c r="G12" s="34" t="s">
        <v>29</v>
      </c>
      <c r="H12" s="37">
        <v>1</v>
      </c>
      <c r="I12" s="34" t="s">
        <v>30</v>
      </c>
      <c r="J12" s="34" t="s">
        <v>31</v>
      </c>
      <c r="K12" s="34" t="s">
        <v>32</v>
      </c>
      <c r="L12" s="34" t="s">
        <v>1755</v>
      </c>
      <c r="M12" s="34" t="s">
        <v>33</v>
      </c>
      <c r="N12" s="47">
        <v>7</v>
      </c>
      <c r="O12" s="48">
        <v>2</v>
      </c>
      <c r="P12" s="49">
        <v>23</v>
      </c>
      <c r="Q12" s="50">
        <v>16.556405000000002</v>
      </c>
      <c r="R12" s="50">
        <v>-92.815190999999999</v>
      </c>
      <c r="S12" s="66" t="s">
        <v>34</v>
      </c>
      <c r="T12" s="66" t="s">
        <v>35</v>
      </c>
      <c r="U12" s="66" t="s">
        <v>35</v>
      </c>
      <c r="V12" s="66" t="s">
        <v>35</v>
      </c>
      <c r="W12" s="66" t="s">
        <v>35</v>
      </c>
      <c r="X12" s="66" t="s">
        <v>35</v>
      </c>
      <c r="Y12" s="66" t="s">
        <v>36</v>
      </c>
      <c r="Z12" s="66" t="s">
        <v>37</v>
      </c>
      <c r="AA12" s="66" t="s">
        <v>37</v>
      </c>
      <c r="AB12" s="73" t="s">
        <v>1809</v>
      </c>
      <c r="AC12" s="87">
        <f t="shared" si="0"/>
        <v>1</v>
      </c>
      <c r="AD12" s="91">
        <v>2</v>
      </c>
      <c r="AE12" s="103" t="s">
        <v>1837</v>
      </c>
      <c r="AF12">
        <f t="shared" si="2"/>
        <v>0</v>
      </c>
      <c r="AG12">
        <f t="shared" si="1"/>
        <v>1</v>
      </c>
    </row>
    <row r="13" spans="1:33" x14ac:dyDescent="0.3">
      <c r="A13" s="84" t="s">
        <v>1033</v>
      </c>
      <c r="B13" s="93" t="s">
        <v>25</v>
      </c>
      <c r="C13" s="93" t="s">
        <v>1777</v>
      </c>
      <c r="D13" s="33" t="s">
        <v>1775</v>
      </c>
      <c r="E13" s="34" t="s">
        <v>1034</v>
      </c>
      <c r="F13" s="34" t="s">
        <v>1035</v>
      </c>
      <c r="G13" s="34" t="s">
        <v>111</v>
      </c>
      <c r="H13" s="37">
        <v>1</v>
      </c>
      <c r="I13" s="34" t="s">
        <v>155</v>
      </c>
      <c r="J13" s="34" t="s">
        <v>31</v>
      </c>
      <c r="K13" s="34" t="s">
        <v>32</v>
      </c>
      <c r="L13" s="34" t="s">
        <v>1755</v>
      </c>
      <c r="M13" s="34" t="s">
        <v>33</v>
      </c>
      <c r="N13" s="47">
        <v>23</v>
      </c>
      <c r="O13" s="48">
        <v>2</v>
      </c>
      <c r="P13" s="49">
        <v>188</v>
      </c>
      <c r="Q13" s="50">
        <v>19.611498000000001</v>
      </c>
      <c r="R13" s="50">
        <v>-98.941027500000004</v>
      </c>
      <c r="S13" s="66" t="s">
        <v>34</v>
      </c>
      <c r="T13" s="66" t="s">
        <v>175</v>
      </c>
      <c r="U13" s="66" t="s">
        <v>35</v>
      </c>
      <c r="V13" s="66" t="s">
        <v>35</v>
      </c>
      <c r="W13" s="66" t="s">
        <v>35</v>
      </c>
      <c r="X13" s="66" t="s">
        <v>35</v>
      </c>
      <c r="Y13" s="66" t="s">
        <v>1799</v>
      </c>
      <c r="Z13" s="66" t="s">
        <v>74</v>
      </c>
      <c r="AA13" s="66" t="s">
        <v>74</v>
      </c>
      <c r="AB13" s="73" t="s">
        <v>1811</v>
      </c>
      <c r="AC13" s="87">
        <f t="shared" si="0"/>
        <v>0.66666666666666663</v>
      </c>
      <c r="AD13" s="91">
        <v>2</v>
      </c>
      <c r="AE13" s="103" t="s">
        <v>1837</v>
      </c>
      <c r="AF13">
        <f t="shared" si="2"/>
        <v>0</v>
      </c>
      <c r="AG13">
        <f t="shared" si="1"/>
        <v>0</v>
      </c>
    </row>
    <row r="14" spans="1:33" x14ac:dyDescent="0.3">
      <c r="A14" s="84" t="s">
        <v>1045</v>
      </c>
      <c r="B14" s="93" t="s">
        <v>25</v>
      </c>
      <c r="C14" s="93" t="s">
        <v>1777</v>
      </c>
      <c r="D14" s="33" t="s">
        <v>1775</v>
      </c>
      <c r="E14" s="34" t="s">
        <v>1046</v>
      </c>
      <c r="F14" s="34" t="s">
        <v>1047</v>
      </c>
      <c r="G14" s="34" t="s">
        <v>111</v>
      </c>
      <c r="H14" s="37">
        <v>1</v>
      </c>
      <c r="I14" s="34" t="s">
        <v>112</v>
      </c>
      <c r="J14" s="34" t="s">
        <v>31</v>
      </c>
      <c r="K14" s="34" t="s">
        <v>32</v>
      </c>
      <c r="L14" s="34" t="s">
        <v>1755</v>
      </c>
      <c r="M14" s="34" t="s">
        <v>33</v>
      </c>
      <c r="N14" s="47">
        <v>20</v>
      </c>
      <c r="O14" s="48">
        <v>7</v>
      </c>
      <c r="P14" s="49">
        <v>125</v>
      </c>
      <c r="Q14" s="50">
        <v>19.419660100000002</v>
      </c>
      <c r="R14" s="50">
        <v>-98.975180100000003</v>
      </c>
      <c r="S14" s="66" t="s">
        <v>34</v>
      </c>
      <c r="T14" s="66" t="s">
        <v>175</v>
      </c>
      <c r="U14" s="66" t="s">
        <v>35</v>
      </c>
      <c r="V14" s="66" t="s">
        <v>35</v>
      </c>
      <c r="W14" s="66" t="s">
        <v>35</v>
      </c>
      <c r="X14" s="66" t="s">
        <v>35</v>
      </c>
      <c r="Y14" s="66" t="s">
        <v>1799</v>
      </c>
      <c r="Z14" s="66" t="s">
        <v>74</v>
      </c>
      <c r="AA14" s="66" t="s">
        <v>74</v>
      </c>
      <c r="AB14" s="67" t="s">
        <v>1806</v>
      </c>
      <c r="AC14" s="87">
        <f t="shared" si="0"/>
        <v>0.66666666666666663</v>
      </c>
      <c r="AD14" s="91">
        <v>2</v>
      </c>
      <c r="AE14" s="103" t="s">
        <v>1837</v>
      </c>
      <c r="AF14">
        <f t="shared" si="2"/>
        <v>0</v>
      </c>
      <c r="AG14">
        <f t="shared" si="1"/>
        <v>0</v>
      </c>
    </row>
    <row r="15" spans="1:33" x14ac:dyDescent="0.3">
      <c r="A15" s="84" t="s">
        <v>375</v>
      </c>
      <c r="B15" s="93" t="s">
        <v>25</v>
      </c>
      <c r="C15" s="93" t="s">
        <v>1777</v>
      </c>
      <c r="D15" s="33" t="s">
        <v>1775</v>
      </c>
      <c r="E15" s="34" t="s">
        <v>376</v>
      </c>
      <c r="F15" s="34" t="s">
        <v>377</v>
      </c>
      <c r="G15" s="34" t="s">
        <v>29</v>
      </c>
      <c r="H15" s="37">
        <v>1</v>
      </c>
      <c r="I15" s="34" t="s">
        <v>30</v>
      </c>
      <c r="J15" s="34" t="s">
        <v>31</v>
      </c>
      <c r="K15" s="34" t="s">
        <v>32</v>
      </c>
      <c r="L15" s="34" t="s">
        <v>1755</v>
      </c>
      <c r="M15" s="34" t="s">
        <v>84</v>
      </c>
      <c r="N15" s="47">
        <v>6</v>
      </c>
      <c r="O15" s="48">
        <v>0</v>
      </c>
      <c r="P15" s="49">
        <v>37</v>
      </c>
      <c r="Q15" s="50">
        <v>19.746403000000001</v>
      </c>
      <c r="R15" s="50">
        <v>-98.971474999999998</v>
      </c>
      <c r="S15" s="66" t="s">
        <v>34</v>
      </c>
      <c r="T15" s="66" t="s">
        <v>175</v>
      </c>
      <c r="U15" s="66" t="s">
        <v>35</v>
      </c>
      <c r="V15" s="66" t="s">
        <v>35</v>
      </c>
      <c r="W15" s="66" t="s">
        <v>35</v>
      </c>
      <c r="X15" s="66" t="s">
        <v>35</v>
      </c>
      <c r="Y15" s="66" t="s">
        <v>1799</v>
      </c>
      <c r="Z15" s="66" t="s">
        <v>74</v>
      </c>
      <c r="AA15" s="66" t="s">
        <v>74</v>
      </c>
      <c r="AB15" s="67" t="s">
        <v>1807</v>
      </c>
      <c r="AC15" s="87">
        <f t="shared" si="0"/>
        <v>0.66666666666666663</v>
      </c>
      <c r="AD15" s="91">
        <v>2</v>
      </c>
      <c r="AE15" s="103" t="s">
        <v>1837</v>
      </c>
      <c r="AF15">
        <f t="shared" si="2"/>
        <v>0</v>
      </c>
      <c r="AG15">
        <f t="shared" si="1"/>
        <v>0</v>
      </c>
    </row>
    <row r="16" spans="1:33" x14ac:dyDescent="0.3">
      <c r="A16" s="84" t="s">
        <v>1686</v>
      </c>
      <c r="B16" s="93" t="s">
        <v>25</v>
      </c>
      <c r="C16" s="93" t="s">
        <v>1777</v>
      </c>
      <c r="D16" s="33" t="s">
        <v>1775</v>
      </c>
      <c r="E16" s="34" t="s">
        <v>1034</v>
      </c>
      <c r="F16" s="114" t="s">
        <v>1687</v>
      </c>
      <c r="G16" s="34" t="s">
        <v>169</v>
      </c>
      <c r="H16" s="37">
        <v>2</v>
      </c>
      <c r="I16" s="34" t="s">
        <v>170</v>
      </c>
      <c r="J16" s="34" t="s">
        <v>31</v>
      </c>
      <c r="K16" s="34" t="s">
        <v>32</v>
      </c>
      <c r="L16" s="34" t="s">
        <v>1755</v>
      </c>
      <c r="M16" s="34" t="s">
        <v>33</v>
      </c>
      <c r="N16" s="47">
        <v>15</v>
      </c>
      <c r="O16" s="48">
        <v>0</v>
      </c>
      <c r="P16" s="49">
        <v>237</v>
      </c>
      <c r="Q16" s="50">
        <v>19.611996399999999</v>
      </c>
      <c r="R16" s="50">
        <v>-98.951946899999996</v>
      </c>
      <c r="S16" s="66" t="s">
        <v>34</v>
      </c>
      <c r="T16" s="66" t="s">
        <v>175</v>
      </c>
      <c r="U16" s="66" t="s">
        <v>35</v>
      </c>
      <c r="V16" s="66" t="s">
        <v>35</v>
      </c>
      <c r="W16" s="66" t="s">
        <v>35</v>
      </c>
      <c r="X16" s="66" t="s">
        <v>35</v>
      </c>
      <c r="Y16" s="66" t="s">
        <v>1799</v>
      </c>
      <c r="Z16" s="66" t="s">
        <v>74</v>
      </c>
      <c r="AA16" s="66" t="s">
        <v>74</v>
      </c>
      <c r="AB16" s="67" t="s">
        <v>1865</v>
      </c>
      <c r="AC16" s="87">
        <f t="shared" si="0"/>
        <v>0.66666666666666663</v>
      </c>
      <c r="AD16" s="91">
        <v>9</v>
      </c>
      <c r="AE16" s="103" t="s">
        <v>1836</v>
      </c>
      <c r="AF16">
        <f t="shared" si="2"/>
        <v>0</v>
      </c>
      <c r="AG16">
        <f t="shared" si="1"/>
        <v>0</v>
      </c>
    </row>
    <row r="17" spans="1:33" x14ac:dyDescent="0.3">
      <c r="A17" s="84" t="s">
        <v>1688</v>
      </c>
      <c r="B17" s="93" t="s">
        <v>25</v>
      </c>
      <c r="C17" s="93" t="s">
        <v>1777</v>
      </c>
      <c r="D17" s="33" t="s">
        <v>1775</v>
      </c>
      <c r="E17" s="34" t="s">
        <v>1034</v>
      </c>
      <c r="F17" s="114" t="s">
        <v>1689</v>
      </c>
      <c r="G17" s="34" t="s">
        <v>169</v>
      </c>
      <c r="H17" s="37">
        <v>2</v>
      </c>
      <c r="I17" s="34" t="s">
        <v>170</v>
      </c>
      <c r="J17" s="34" t="s">
        <v>31</v>
      </c>
      <c r="K17" s="34" t="s">
        <v>32</v>
      </c>
      <c r="L17" s="34" t="s">
        <v>1755</v>
      </c>
      <c r="M17" s="34" t="s">
        <v>33</v>
      </c>
      <c r="N17" s="47">
        <v>17</v>
      </c>
      <c r="O17" s="48">
        <v>0</v>
      </c>
      <c r="P17" s="49">
        <v>213</v>
      </c>
      <c r="Q17" s="50">
        <v>19.611483</v>
      </c>
      <c r="R17" s="50">
        <v>-98.944547999999998</v>
      </c>
      <c r="S17" s="66" t="s">
        <v>34</v>
      </c>
      <c r="T17" s="66" t="s">
        <v>175</v>
      </c>
      <c r="U17" s="66" t="s">
        <v>35</v>
      </c>
      <c r="V17" s="66" t="s">
        <v>35</v>
      </c>
      <c r="W17" s="66" t="s">
        <v>35</v>
      </c>
      <c r="X17" s="66" t="s">
        <v>35</v>
      </c>
      <c r="Y17" s="66" t="s">
        <v>1799</v>
      </c>
      <c r="Z17" s="66" t="s">
        <v>74</v>
      </c>
      <c r="AA17" s="66" t="s">
        <v>74</v>
      </c>
      <c r="AB17" s="67" t="s">
        <v>1865</v>
      </c>
      <c r="AC17" s="87">
        <f t="shared" si="0"/>
        <v>0.66666666666666663</v>
      </c>
      <c r="AD17" s="91">
        <v>9</v>
      </c>
      <c r="AE17" s="103" t="s">
        <v>1836</v>
      </c>
      <c r="AF17">
        <f t="shared" si="2"/>
        <v>0</v>
      </c>
      <c r="AG17">
        <f t="shared" si="1"/>
        <v>0</v>
      </c>
    </row>
    <row r="18" spans="1:33" ht="15" x14ac:dyDescent="0.3">
      <c r="A18" s="84" t="s">
        <v>1690</v>
      </c>
      <c r="B18" s="93" t="s">
        <v>25</v>
      </c>
      <c r="C18" s="93" t="s">
        <v>1777</v>
      </c>
      <c r="D18" s="33" t="s">
        <v>1775</v>
      </c>
      <c r="E18" s="34" t="s">
        <v>400</v>
      </c>
      <c r="F18" s="62" t="s">
        <v>1691</v>
      </c>
      <c r="G18" s="34" t="s">
        <v>169</v>
      </c>
      <c r="H18" s="37">
        <v>2</v>
      </c>
      <c r="I18" s="34" t="s">
        <v>170</v>
      </c>
      <c r="J18" s="34" t="s">
        <v>31</v>
      </c>
      <c r="K18" s="34" t="s">
        <v>32</v>
      </c>
      <c r="L18" s="34" t="s">
        <v>1755</v>
      </c>
      <c r="M18" s="34" t="s">
        <v>84</v>
      </c>
      <c r="N18" s="47">
        <v>29</v>
      </c>
      <c r="O18" s="48">
        <v>0</v>
      </c>
      <c r="P18" s="49">
        <v>161</v>
      </c>
      <c r="Q18" s="50">
        <v>19.316490600000002</v>
      </c>
      <c r="R18" s="50">
        <v>-98.854220699999999</v>
      </c>
      <c r="S18" s="66" t="s">
        <v>34</v>
      </c>
      <c r="T18" s="66" t="s">
        <v>175</v>
      </c>
      <c r="U18" s="66" t="s">
        <v>35</v>
      </c>
      <c r="V18" s="66" t="s">
        <v>35</v>
      </c>
      <c r="W18" s="66" t="s">
        <v>35</v>
      </c>
      <c r="X18" s="66" t="s">
        <v>35</v>
      </c>
      <c r="Y18" s="66" t="s">
        <v>1799</v>
      </c>
      <c r="Z18" s="66" t="s">
        <v>74</v>
      </c>
      <c r="AA18" s="66" t="s">
        <v>74</v>
      </c>
      <c r="AB18" s="67" t="s">
        <v>1865</v>
      </c>
      <c r="AC18" s="87">
        <f t="shared" si="0"/>
        <v>0.66666666666666663</v>
      </c>
      <c r="AD18" s="91">
        <v>9</v>
      </c>
      <c r="AE18" s="103" t="s">
        <v>1836</v>
      </c>
      <c r="AF18">
        <f t="shared" si="2"/>
        <v>0</v>
      </c>
      <c r="AG18">
        <f t="shared" si="1"/>
        <v>0</v>
      </c>
    </row>
    <row r="19" spans="1:33" x14ac:dyDescent="0.3">
      <c r="A19" s="84" t="s">
        <v>1059</v>
      </c>
      <c r="B19" s="93" t="s">
        <v>25</v>
      </c>
      <c r="C19" s="93" t="s">
        <v>1777</v>
      </c>
      <c r="D19" s="33" t="s">
        <v>1775</v>
      </c>
      <c r="E19" s="34" t="s">
        <v>1060</v>
      </c>
      <c r="F19" s="34" t="s">
        <v>1061</v>
      </c>
      <c r="G19" s="34" t="s">
        <v>111</v>
      </c>
      <c r="H19" s="37">
        <v>1</v>
      </c>
      <c r="I19" s="34" t="s">
        <v>112</v>
      </c>
      <c r="J19" s="34" t="s">
        <v>31</v>
      </c>
      <c r="K19" s="34" t="s">
        <v>32</v>
      </c>
      <c r="L19" s="34" t="s">
        <v>1755</v>
      </c>
      <c r="M19" s="34" t="s">
        <v>33</v>
      </c>
      <c r="N19" s="47">
        <v>20</v>
      </c>
      <c r="O19" s="48">
        <v>4</v>
      </c>
      <c r="P19" s="49">
        <v>184</v>
      </c>
      <c r="Q19" s="50">
        <v>19.422298000000001</v>
      </c>
      <c r="R19" s="50">
        <v>-99.014920099999998</v>
      </c>
      <c r="S19" s="66" t="s">
        <v>34</v>
      </c>
      <c r="T19" s="66" t="s">
        <v>175</v>
      </c>
      <c r="U19" s="66" t="s">
        <v>35</v>
      </c>
      <c r="V19" s="66" t="s">
        <v>35</v>
      </c>
      <c r="W19" s="66" t="s">
        <v>35</v>
      </c>
      <c r="X19" s="66" t="s">
        <v>35</v>
      </c>
      <c r="Y19" s="66" t="s">
        <v>1799</v>
      </c>
      <c r="Z19" s="66" t="s">
        <v>74</v>
      </c>
      <c r="AA19" s="66" t="s">
        <v>74</v>
      </c>
      <c r="AB19" s="67" t="s">
        <v>1865</v>
      </c>
      <c r="AC19" s="87">
        <f t="shared" si="0"/>
        <v>0.66666666666666663</v>
      </c>
      <c r="AD19" s="91">
        <v>9</v>
      </c>
      <c r="AE19" s="103" t="s">
        <v>1836</v>
      </c>
      <c r="AF19">
        <f t="shared" si="2"/>
        <v>0</v>
      </c>
      <c r="AG19">
        <f t="shared" si="1"/>
        <v>0</v>
      </c>
    </row>
    <row r="20" spans="1:33" x14ac:dyDescent="0.3">
      <c r="A20" s="84" t="s">
        <v>1633</v>
      </c>
      <c r="B20" s="93" t="s">
        <v>25</v>
      </c>
      <c r="C20" s="93" t="s">
        <v>1777</v>
      </c>
      <c r="D20" s="33" t="s">
        <v>1775</v>
      </c>
      <c r="E20" s="34" t="s">
        <v>1046</v>
      </c>
      <c r="F20" s="114" t="s">
        <v>1634</v>
      </c>
      <c r="G20" s="34" t="s">
        <v>164</v>
      </c>
      <c r="H20" s="37">
        <v>2</v>
      </c>
      <c r="I20" s="34" t="s">
        <v>155</v>
      </c>
      <c r="J20" s="34" t="s">
        <v>31</v>
      </c>
      <c r="K20" s="34" t="s">
        <v>32</v>
      </c>
      <c r="L20" s="34" t="s">
        <v>1756</v>
      </c>
      <c r="M20" s="34" t="s">
        <v>33</v>
      </c>
      <c r="N20" s="47">
        <v>6</v>
      </c>
      <c r="O20" s="48">
        <v>4</v>
      </c>
      <c r="P20" s="49">
        <v>112</v>
      </c>
      <c r="Q20" s="50">
        <v>19.4422201</v>
      </c>
      <c r="R20" s="50">
        <v>-98.972637500000005</v>
      </c>
      <c r="S20" s="66" t="s">
        <v>34</v>
      </c>
      <c r="T20" s="66" t="s">
        <v>175</v>
      </c>
      <c r="U20" s="66" t="s">
        <v>35</v>
      </c>
      <c r="V20" s="66" t="s">
        <v>35</v>
      </c>
      <c r="W20" s="66" t="s">
        <v>35</v>
      </c>
      <c r="X20" s="66" t="s">
        <v>35</v>
      </c>
      <c r="Y20" s="66" t="s">
        <v>1799</v>
      </c>
      <c r="Z20" s="66" t="s">
        <v>74</v>
      </c>
      <c r="AA20" s="66" t="s">
        <v>74</v>
      </c>
      <c r="AB20" s="67" t="s">
        <v>1865</v>
      </c>
      <c r="AC20" s="87">
        <f t="shared" si="0"/>
        <v>0.66666666666666663</v>
      </c>
      <c r="AD20" s="91">
        <v>9</v>
      </c>
      <c r="AE20" s="103" t="s">
        <v>1836</v>
      </c>
      <c r="AF20">
        <f t="shared" si="2"/>
        <v>0</v>
      </c>
      <c r="AG20">
        <f t="shared" si="1"/>
        <v>0</v>
      </c>
    </row>
    <row r="21" spans="1:33" x14ac:dyDescent="0.3">
      <c r="A21" s="84" t="s">
        <v>38</v>
      </c>
      <c r="B21" s="93" t="s">
        <v>25</v>
      </c>
      <c r="C21" s="93" t="s">
        <v>26</v>
      </c>
      <c r="D21" s="33" t="s">
        <v>1775</v>
      </c>
      <c r="E21" s="34" t="s">
        <v>39</v>
      </c>
      <c r="F21" s="34" t="s">
        <v>40</v>
      </c>
      <c r="G21" s="34" t="s">
        <v>29</v>
      </c>
      <c r="H21" s="37">
        <v>1</v>
      </c>
      <c r="I21" s="34" t="s">
        <v>30</v>
      </c>
      <c r="J21" s="34" t="s">
        <v>31</v>
      </c>
      <c r="K21" s="34" t="s">
        <v>32</v>
      </c>
      <c r="L21" s="34" t="s">
        <v>1755</v>
      </c>
      <c r="M21" s="34" t="s">
        <v>33</v>
      </c>
      <c r="N21" s="47">
        <v>3</v>
      </c>
      <c r="O21" s="48">
        <v>2</v>
      </c>
      <c r="P21" s="49">
        <v>19</v>
      </c>
      <c r="Q21" s="50">
        <v>15.872464000000001</v>
      </c>
      <c r="R21" s="50">
        <v>-92.716949999999997</v>
      </c>
      <c r="S21" s="66" t="s">
        <v>34</v>
      </c>
      <c r="T21" s="66" t="s">
        <v>35</v>
      </c>
      <c r="U21" s="66" t="s">
        <v>35</v>
      </c>
      <c r="V21" s="66" t="s">
        <v>35</v>
      </c>
      <c r="W21" s="66" t="s">
        <v>35</v>
      </c>
      <c r="X21" s="66" t="s">
        <v>35</v>
      </c>
      <c r="Y21" s="66" t="s">
        <v>36</v>
      </c>
      <c r="Z21" s="66" t="s">
        <v>37</v>
      </c>
      <c r="AA21" s="66" t="s">
        <v>37</v>
      </c>
      <c r="AB21" s="67"/>
      <c r="AC21" s="87">
        <f t="shared" si="0"/>
        <v>1</v>
      </c>
      <c r="AD21" s="91">
        <v>9</v>
      </c>
      <c r="AE21" s="105" t="s">
        <v>1842</v>
      </c>
      <c r="AF21">
        <f t="shared" si="2"/>
        <v>0</v>
      </c>
      <c r="AG21">
        <f t="shared" si="1"/>
        <v>1</v>
      </c>
    </row>
    <row r="22" spans="1:33" x14ac:dyDescent="0.3">
      <c r="A22" s="84" t="s">
        <v>108</v>
      </c>
      <c r="B22" s="93" t="s">
        <v>25</v>
      </c>
      <c r="C22" s="93" t="s">
        <v>26</v>
      </c>
      <c r="D22" s="33" t="s">
        <v>1775</v>
      </c>
      <c r="E22" s="34" t="s">
        <v>109</v>
      </c>
      <c r="F22" s="34" t="s">
        <v>110</v>
      </c>
      <c r="G22" s="34" t="s">
        <v>111</v>
      </c>
      <c r="H22" s="37">
        <v>1</v>
      </c>
      <c r="I22" s="34" t="s">
        <v>112</v>
      </c>
      <c r="J22" s="34" t="s">
        <v>31</v>
      </c>
      <c r="K22" s="34" t="s">
        <v>32</v>
      </c>
      <c r="L22" s="34" t="s">
        <v>1755</v>
      </c>
      <c r="M22" s="34" t="s">
        <v>33</v>
      </c>
      <c r="N22" s="47">
        <v>11</v>
      </c>
      <c r="O22" s="48">
        <v>2</v>
      </c>
      <c r="P22" s="49">
        <v>40</v>
      </c>
      <c r="Q22" s="50">
        <v>16.241557</v>
      </c>
      <c r="R22" s="50">
        <v>-93.887718000000007</v>
      </c>
      <c r="S22" s="66" t="s">
        <v>34</v>
      </c>
      <c r="T22" s="66" t="s">
        <v>35</v>
      </c>
      <c r="U22" s="66" t="s">
        <v>35</v>
      </c>
      <c r="V22" s="66" t="s">
        <v>35</v>
      </c>
      <c r="W22" s="66" t="s">
        <v>35</v>
      </c>
      <c r="X22" s="66" t="s">
        <v>35</v>
      </c>
      <c r="Y22" s="66" t="s">
        <v>36</v>
      </c>
      <c r="Z22" s="66" t="s">
        <v>37</v>
      </c>
      <c r="AA22" s="66" t="s">
        <v>37</v>
      </c>
      <c r="AB22" s="67"/>
      <c r="AC22" s="87">
        <f t="shared" si="0"/>
        <v>1</v>
      </c>
      <c r="AD22" s="91">
        <v>9</v>
      </c>
      <c r="AE22" s="105" t="s">
        <v>1842</v>
      </c>
      <c r="AF22">
        <f t="shared" si="2"/>
        <v>0</v>
      </c>
      <c r="AG22">
        <f t="shared" si="1"/>
        <v>1</v>
      </c>
    </row>
    <row r="23" spans="1:33" x14ac:dyDescent="0.3">
      <c r="A23" s="84" t="s">
        <v>41</v>
      </c>
      <c r="B23" s="93" t="s">
        <v>25</v>
      </c>
      <c r="C23" s="93" t="s">
        <v>26</v>
      </c>
      <c r="D23" s="33" t="s">
        <v>1775</v>
      </c>
      <c r="E23" s="34" t="s">
        <v>42</v>
      </c>
      <c r="F23" s="34" t="s">
        <v>43</v>
      </c>
      <c r="G23" s="34" t="s">
        <v>29</v>
      </c>
      <c r="H23" s="37">
        <v>1</v>
      </c>
      <c r="I23" s="34" t="s">
        <v>30</v>
      </c>
      <c r="J23" s="34" t="s">
        <v>31</v>
      </c>
      <c r="K23" s="34" t="s">
        <v>32</v>
      </c>
      <c r="L23" s="34" t="s">
        <v>1755</v>
      </c>
      <c r="M23" s="34" t="s">
        <v>33</v>
      </c>
      <c r="N23" s="47">
        <v>11</v>
      </c>
      <c r="O23" s="48">
        <v>2</v>
      </c>
      <c r="P23" s="49">
        <v>20</v>
      </c>
      <c r="Q23" s="50">
        <v>16.681322999999999</v>
      </c>
      <c r="R23" s="50">
        <v>-93.730085000000003</v>
      </c>
      <c r="S23" s="66" t="s">
        <v>34</v>
      </c>
      <c r="T23" s="66" t="s">
        <v>35</v>
      </c>
      <c r="U23" s="66" t="s">
        <v>35</v>
      </c>
      <c r="V23" s="66" t="s">
        <v>35</v>
      </c>
      <c r="W23" s="66" t="s">
        <v>35</v>
      </c>
      <c r="X23" s="66" t="s">
        <v>35</v>
      </c>
      <c r="Y23" s="66" t="s">
        <v>36</v>
      </c>
      <c r="Z23" s="66" t="s">
        <v>37</v>
      </c>
      <c r="AA23" s="66" t="s">
        <v>37</v>
      </c>
      <c r="AB23" s="67"/>
      <c r="AC23" s="87">
        <f t="shared" si="0"/>
        <v>1</v>
      </c>
      <c r="AD23" s="91">
        <v>9</v>
      </c>
      <c r="AE23" s="105" t="s">
        <v>1842</v>
      </c>
      <c r="AF23">
        <f t="shared" si="2"/>
        <v>0</v>
      </c>
      <c r="AG23">
        <f t="shared" si="1"/>
        <v>1</v>
      </c>
    </row>
    <row r="24" spans="1:33" x14ac:dyDescent="0.3">
      <c r="A24" s="84" t="s">
        <v>113</v>
      </c>
      <c r="B24" s="93" t="s">
        <v>25</v>
      </c>
      <c r="C24" s="93" t="s">
        <v>26</v>
      </c>
      <c r="D24" s="33" t="s">
        <v>1775</v>
      </c>
      <c r="E24" s="34" t="s">
        <v>114</v>
      </c>
      <c r="F24" s="34" t="s">
        <v>115</v>
      </c>
      <c r="G24" s="34" t="s">
        <v>111</v>
      </c>
      <c r="H24" s="37">
        <v>1</v>
      </c>
      <c r="I24" s="34" t="s">
        <v>112</v>
      </c>
      <c r="J24" s="34" t="s">
        <v>31</v>
      </c>
      <c r="K24" s="34" t="s">
        <v>32</v>
      </c>
      <c r="L24" s="34" t="s">
        <v>1755</v>
      </c>
      <c r="M24" s="34" t="s">
        <v>33</v>
      </c>
      <c r="N24" s="47">
        <v>10</v>
      </c>
      <c r="O24" s="48">
        <v>5</v>
      </c>
      <c r="P24" s="49">
        <v>105</v>
      </c>
      <c r="Q24" s="50">
        <v>16.246123999999998</v>
      </c>
      <c r="R24" s="50">
        <v>-92.129626999999999</v>
      </c>
      <c r="S24" s="66" t="s">
        <v>34</v>
      </c>
      <c r="T24" s="66" t="s">
        <v>35</v>
      </c>
      <c r="U24" s="66" t="s">
        <v>35</v>
      </c>
      <c r="V24" s="66" t="s">
        <v>35</v>
      </c>
      <c r="W24" s="66" t="s">
        <v>35</v>
      </c>
      <c r="X24" s="66" t="s">
        <v>35</v>
      </c>
      <c r="Y24" s="66" t="s">
        <v>36</v>
      </c>
      <c r="Z24" s="66" t="s">
        <v>37</v>
      </c>
      <c r="AA24" s="66" t="s">
        <v>37</v>
      </c>
      <c r="AB24" s="67"/>
      <c r="AC24" s="87">
        <f t="shared" si="0"/>
        <v>1</v>
      </c>
      <c r="AD24" s="91">
        <v>9</v>
      </c>
      <c r="AE24" s="105" t="s">
        <v>1842</v>
      </c>
      <c r="AF24">
        <f t="shared" si="2"/>
        <v>0</v>
      </c>
      <c r="AG24">
        <f t="shared" si="1"/>
        <v>1</v>
      </c>
    </row>
    <row r="25" spans="1:33" x14ac:dyDescent="0.3">
      <c r="A25" s="84" t="s">
        <v>116</v>
      </c>
      <c r="B25" s="93" t="s">
        <v>25</v>
      </c>
      <c r="C25" s="93" t="s">
        <v>26</v>
      </c>
      <c r="D25" s="33" t="s">
        <v>1775</v>
      </c>
      <c r="E25" s="34" t="s">
        <v>117</v>
      </c>
      <c r="F25" s="34" t="s">
        <v>118</v>
      </c>
      <c r="G25" s="34" t="s">
        <v>111</v>
      </c>
      <c r="H25" s="37">
        <v>1</v>
      </c>
      <c r="I25" s="34" t="s">
        <v>112</v>
      </c>
      <c r="J25" s="34" t="s">
        <v>31</v>
      </c>
      <c r="K25" s="34" t="s">
        <v>32</v>
      </c>
      <c r="L25" s="34" t="s">
        <v>1755</v>
      </c>
      <c r="M25" s="34" t="s">
        <v>33</v>
      </c>
      <c r="N25" s="47">
        <v>9</v>
      </c>
      <c r="O25" s="48">
        <v>3</v>
      </c>
      <c r="P25" s="49">
        <v>68</v>
      </c>
      <c r="Q25" s="50">
        <v>15.145903000000001</v>
      </c>
      <c r="R25" s="50">
        <v>-92.457536000000005</v>
      </c>
      <c r="S25" s="66" t="s">
        <v>34</v>
      </c>
      <c r="T25" s="66" t="s">
        <v>35</v>
      </c>
      <c r="U25" s="66" t="s">
        <v>35</v>
      </c>
      <c r="V25" s="66" t="s">
        <v>35</v>
      </c>
      <c r="W25" s="66" t="s">
        <v>35</v>
      </c>
      <c r="X25" s="66" t="s">
        <v>35</v>
      </c>
      <c r="Y25" s="66" t="s">
        <v>36</v>
      </c>
      <c r="Z25" s="66" t="s">
        <v>37</v>
      </c>
      <c r="AA25" s="66" t="s">
        <v>37</v>
      </c>
      <c r="AB25" s="67"/>
      <c r="AC25" s="87">
        <f t="shared" si="0"/>
        <v>1</v>
      </c>
      <c r="AD25" s="91">
        <v>9</v>
      </c>
      <c r="AE25" s="105" t="s">
        <v>1842</v>
      </c>
      <c r="AF25">
        <f t="shared" si="2"/>
        <v>0</v>
      </c>
      <c r="AG25">
        <f t="shared" si="1"/>
        <v>1</v>
      </c>
    </row>
    <row r="26" spans="1:33" x14ac:dyDescent="0.3">
      <c r="A26" s="84" t="s">
        <v>44</v>
      </c>
      <c r="B26" s="93" t="s">
        <v>25</v>
      </c>
      <c r="C26" s="93" t="s">
        <v>26</v>
      </c>
      <c r="D26" s="33" t="s">
        <v>1775</v>
      </c>
      <c r="E26" s="34" t="s">
        <v>45</v>
      </c>
      <c r="F26" s="34" t="s">
        <v>46</v>
      </c>
      <c r="G26" s="34" t="s">
        <v>29</v>
      </c>
      <c r="H26" s="37">
        <v>1</v>
      </c>
      <c r="I26" s="34" t="s">
        <v>30</v>
      </c>
      <c r="J26" s="34" t="s">
        <v>31</v>
      </c>
      <c r="K26" s="34" t="s">
        <v>32</v>
      </c>
      <c r="L26" s="34" t="s">
        <v>1755</v>
      </c>
      <c r="M26" s="34" t="s">
        <v>33</v>
      </c>
      <c r="N26" s="47">
        <v>11</v>
      </c>
      <c r="O26" s="48">
        <v>1</v>
      </c>
      <c r="P26" s="49">
        <v>9</v>
      </c>
      <c r="Q26" s="50">
        <v>16.320459</v>
      </c>
      <c r="R26" s="50">
        <v>-91.977010000000007</v>
      </c>
      <c r="S26" s="66" t="s">
        <v>34</v>
      </c>
      <c r="T26" s="66" t="s">
        <v>35</v>
      </c>
      <c r="U26" s="66" t="s">
        <v>35</v>
      </c>
      <c r="V26" s="66" t="s">
        <v>35</v>
      </c>
      <c r="W26" s="66" t="s">
        <v>35</v>
      </c>
      <c r="X26" s="66" t="s">
        <v>35</v>
      </c>
      <c r="Y26" s="66" t="s">
        <v>36</v>
      </c>
      <c r="Z26" s="66" t="s">
        <v>37</v>
      </c>
      <c r="AA26" s="66" t="s">
        <v>37</v>
      </c>
      <c r="AB26" s="67"/>
      <c r="AC26" s="87">
        <f t="shared" si="0"/>
        <v>1</v>
      </c>
      <c r="AD26" s="91">
        <v>9</v>
      </c>
      <c r="AE26" s="105" t="s">
        <v>1842</v>
      </c>
      <c r="AF26">
        <f t="shared" si="2"/>
        <v>0</v>
      </c>
      <c r="AG26">
        <f t="shared" si="1"/>
        <v>1</v>
      </c>
    </row>
    <row r="27" spans="1:33" x14ac:dyDescent="0.3">
      <c r="A27" s="84" t="s">
        <v>119</v>
      </c>
      <c r="B27" s="93" t="s">
        <v>25</v>
      </c>
      <c r="C27" s="93" t="s">
        <v>26</v>
      </c>
      <c r="D27" s="33" t="s">
        <v>1775</v>
      </c>
      <c r="E27" s="34" t="s">
        <v>120</v>
      </c>
      <c r="F27" s="34" t="s">
        <v>121</v>
      </c>
      <c r="G27" s="34" t="s">
        <v>111</v>
      </c>
      <c r="H27" s="37">
        <v>1</v>
      </c>
      <c r="I27" s="34" t="s">
        <v>112</v>
      </c>
      <c r="J27" s="34" t="s">
        <v>31</v>
      </c>
      <c r="K27" s="34" t="s">
        <v>32</v>
      </c>
      <c r="L27" s="34" t="s">
        <v>1755</v>
      </c>
      <c r="M27" s="34" t="s">
        <v>33</v>
      </c>
      <c r="N27" s="47">
        <v>17</v>
      </c>
      <c r="O27" s="48">
        <v>3</v>
      </c>
      <c r="P27" s="49">
        <v>90</v>
      </c>
      <c r="Q27" s="50">
        <v>17.507697</v>
      </c>
      <c r="R27" s="50">
        <v>-91.988442000000006</v>
      </c>
      <c r="S27" s="66" t="s">
        <v>34</v>
      </c>
      <c r="T27" s="66" t="s">
        <v>35</v>
      </c>
      <c r="U27" s="66" t="s">
        <v>35</v>
      </c>
      <c r="V27" s="66" t="s">
        <v>35</v>
      </c>
      <c r="W27" s="66" t="s">
        <v>35</v>
      </c>
      <c r="X27" s="66" t="s">
        <v>35</v>
      </c>
      <c r="Y27" s="66" t="s">
        <v>36</v>
      </c>
      <c r="Z27" s="66" t="s">
        <v>37</v>
      </c>
      <c r="AA27" s="66" t="s">
        <v>37</v>
      </c>
      <c r="AB27" s="67"/>
      <c r="AC27" s="87">
        <f t="shared" si="0"/>
        <v>1</v>
      </c>
      <c r="AD27" s="91">
        <v>9</v>
      </c>
      <c r="AE27" s="105" t="s">
        <v>1842</v>
      </c>
      <c r="AF27">
        <f t="shared" si="2"/>
        <v>0</v>
      </c>
      <c r="AG27">
        <f t="shared" si="1"/>
        <v>1</v>
      </c>
    </row>
    <row r="28" spans="1:33" x14ac:dyDescent="0.3">
      <c r="A28" s="84" t="s">
        <v>122</v>
      </c>
      <c r="B28" s="93" t="s">
        <v>25</v>
      </c>
      <c r="C28" s="93" t="s">
        <v>26</v>
      </c>
      <c r="D28" s="33" t="s">
        <v>1775</v>
      </c>
      <c r="E28" s="34" t="s">
        <v>123</v>
      </c>
      <c r="F28" s="34" t="s">
        <v>124</v>
      </c>
      <c r="G28" s="34" t="s">
        <v>111</v>
      </c>
      <c r="H28" s="37">
        <v>1</v>
      </c>
      <c r="I28" s="34" t="s">
        <v>112</v>
      </c>
      <c r="J28" s="34" t="s">
        <v>31</v>
      </c>
      <c r="K28" s="34" t="s">
        <v>32</v>
      </c>
      <c r="L28" s="34" t="s">
        <v>1755</v>
      </c>
      <c r="M28" s="34" t="s">
        <v>33</v>
      </c>
      <c r="N28" s="47">
        <v>14</v>
      </c>
      <c r="O28" s="48">
        <v>3</v>
      </c>
      <c r="P28" s="49">
        <v>33</v>
      </c>
      <c r="Q28" s="50">
        <v>17.513850000000001</v>
      </c>
      <c r="R28" s="50">
        <v>-93.120507000000003</v>
      </c>
      <c r="S28" s="66" t="s">
        <v>34</v>
      </c>
      <c r="T28" s="66" t="s">
        <v>35</v>
      </c>
      <c r="U28" s="66" t="s">
        <v>35</v>
      </c>
      <c r="V28" s="66" t="s">
        <v>35</v>
      </c>
      <c r="W28" s="66" t="s">
        <v>35</v>
      </c>
      <c r="X28" s="66" t="s">
        <v>35</v>
      </c>
      <c r="Y28" s="66" t="s">
        <v>36</v>
      </c>
      <c r="Z28" s="66" t="s">
        <v>37</v>
      </c>
      <c r="AA28" s="66" t="s">
        <v>37</v>
      </c>
      <c r="AB28" s="70" t="s">
        <v>1814</v>
      </c>
      <c r="AC28" s="87">
        <f t="shared" si="0"/>
        <v>1</v>
      </c>
      <c r="AD28" s="91">
        <v>3</v>
      </c>
      <c r="AE28" s="105" t="s">
        <v>1835</v>
      </c>
      <c r="AF28">
        <f t="shared" si="2"/>
        <v>0</v>
      </c>
      <c r="AG28">
        <f t="shared" si="1"/>
        <v>1</v>
      </c>
    </row>
    <row r="29" spans="1:33" x14ac:dyDescent="0.3">
      <c r="A29" s="97" t="s">
        <v>1642</v>
      </c>
      <c r="B29" s="98" t="s">
        <v>25</v>
      </c>
      <c r="C29" s="98" t="s">
        <v>477</v>
      </c>
      <c r="D29" s="33" t="s">
        <v>1775</v>
      </c>
      <c r="E29" s="38" t="s">
        <v>1551</v>
      </c>
      <c r="F29" s="38" t="s">
        <v>1643</v>
      </c>
      <c r="G29" s="61" t="s">
        <v>941</v>
      </c>
      <c r="H29" s="49">
        <v>2</v>
      </c>
      <c r="I29" s="61" t="s">
        <v>155</v>
      </c>
      <c r="J29" s="61" t="s">
        <v>31</v>
      </c>
      <c r="K29" s="61" t="s">
        <v>32</v>
      </c>
      <c r="L29" s="61" t="s">
        <v>1756</v>
      </c>
      <c r="M29" s="61" t="s">
        <v>33</v>
      </c>
      <c r="N29" s="49">
        <v>25</v>
      </c>
      <c r="O29" s="49">
        <v>4</v>
      </c>
      <c r="P29" s="49">
        <v>110</v>
      </c>
      <c r="Q29" s="75">
        <v>16.9465851</v>
      </c>
      <c r="R29" s="75">
        <v>-96.710920000000002</v>
      </c>
      <c r="S29" s="69" t="s">
        <v>34</v>
      </c>
      <c r="T29" s="69"/>
      <c r="U29" s="66" t="s">
        <v>35</v>
      </c>
      <c r="V29" s="66" t="s">
        <v>35</v>
      </c>
      <c r="W29" s="66" t="s">
        <v>35</v>
      </c>
      <c r="X29" s="66" t="s">
        <v>35</v>
      </c>
      <c r="Y29" s="69" t="s">
        <v>36</v>
      </c>
      <c r="Z29" s="66" t="s">
        <v>74</v>
      </c>
      <c r="AA29" s="66" t="s">
        <v>74</v>
      </c>
      <c r="AB29" s="70"/>
      <c r="AC29" s="87">
        <f t="shared" si="0"/>
        <v>0.66666666666666663</v>
      </c>
      <c r="AD29" s="91">
        <v>3</v>
      </c>
      <c r="AE29" s="105" t="s">
        <v>1783</v>
      </c>
      <c r="AF29">
        <f t="shared" si="2"/>
        <v>0</v>
      </c>
      <c r="AG29">
        <f t="shared" si="1"/>
        <v>0</v>
      </c>
    </row>
    <row r="30" spans="1:33" x14ac:dyDescent="0.3">
      <c r="A30" s="84" t="s">
        <v>1289</v>
      </c>
      <c r="B30" s="93" t="s">
        <v>25</v>
      </c>
      <c r="C30" s="93" t="s">
        <v>628</v>
      </c>
      <c r="D30" s="33" t="s">
        <v>1775</v>
      </c>
      <c r="E30" s="34" t="s">
        <v>1290</v>
      </c>
      <c r="F30" s="34" t="s">
        <v>1291</v>
      </c>
      <c r="G30" s="34" t="s">
        <v>111</v>
      </c>
      <c r="H30" s="37">
        <v>1</v>
      </c>
      <c r="I30" s="34" t="s">
        <v>112</v>
      </c>
      <c r="J30" s="34" t="s">
        <v>31</v>
      </c>
      <c r="K30" s="34" t="s">
        <v>32</v>
      </c>
      <c r="L30" s="34" t="s">
        <v>1755</v>
      </c>
      <c r="M30" s="34" t="s">
        <v>33</v>
      </c>
      <c r="N30" s="47">
        <v>7</v>
      </c>
      <c r="O30" s="48">
        <v>3</v>
      </c>
      <c r="P30" s="49">
        <v>84</v>
      </c>
      <c r="Q30" s="50">
        <v>20.501746199999999</v>
      </c>
      <c r="R30" s="50">
        <v>-86.953448800000004</v>
      </c>
      <c r="S30" s="66" t="s">
        <v>34</v>
      </c>
      <c r="T30" s="66" t="s">
        <v>175</v>
      </c>
      <c r="U30" s="66" t="s">
        <v>35</v>
      </c>
      <c r="V30" s="66" t="s">
        <v>35</v>
      </c>
      <c r="W30" s="66" t="s">
        <v>175</v>
      </c>
      <c r="X30" s="66" t="s">
        <v>35</v>
      </c>
      <c r="Y30" s="66"/>
      <c r="Z30" s="66" t="s">
        <v>74</v>
      </c>
      <c r="AA30" s="66" t="s">
        <v>74</v>
      </c>
      <c r="AB30" s="67"/>
      <c r="AC30" s="87">
        <f t="shared" si="0"/>
        <v>0.55555555555555558</v>
      </c>
      <c r="AD30" s="91">
        <v>9</v>
      </c>
      <c r="AE30" s="105" t="s">
        <v>1788</v>
      </c>
      <c r="AF30">
        <f t="shared" si="2"/>
        <v>0</v>
      </c>
      <c r="AG30">
        <f t="shared" si="1"/>
        <v>0</v>
      </c>
    </row>
    <row r="31" spans="1:33" x14ac:dyDescent="0.3">
      <c r="A31" s="84" t="s">
        <v>1292</v>
      </c>
      <c r="B31" s="93" t="s">
        <v>25</v>
      </c>
      <c r="C31" s="93" t="s">
        <v>628</v>
      </c>
      <c r="D31" s="33" t="s">
        <v>1775</v>
      </c>
      <c r="E31" s="34" t="s">
        <v>1293</v>
      </c>
      <c r="F31" s="34" t="s">
        <v>1294</v>
      </c>
      <c r="G31" s="34" t="s">
        <v>111</v>
      </c>
      <c r="H31" s="37">
        <v>1</v>
      </c>
      <c r="I31" s="34" t="s">
        <v>112</v>
      </c>
      <c r="J31" s="34" t="s">
        <v>31</v>
      </c>
      <c r="K31" s="34" t="s">
        <v>32</v>
      </c>
      <c r="L31" s="34" t="s">
        <v>1755</v>
      </c>
      <c r="M31" s="34" t="s">
        <v>33</v>
      </c>
      <c r="N31" s="47">
        <v>9</v>
      </c>
      <c r="O31" s="48">
        <v>2</v>
      </c>
      <c r="P31" s="49">
        <v>51</v>
      </c>
      <c r="Q31" s="50">
        <v>19.571196</v>
      </c>
      <c r="R31" s="50">
        <v>-88.045705799999993</v>
      </c>
      <c r="S31" s="66" t="s">
        <v>34</v>
      </c>
      <c r="T31" s="66" t="s">
        <v>175</v>
      </c>
      <c r="U31" s="66" t="s">
        <v>35</v>
      </c>
      <c r="V31" s="66" t="s">
        <v>35</v>
      </c>
      <c r="W31" s="66" t="s">
        <v>35</v>
      </c>
      <c r="X31" s="66" t="s">
        <v>35</v>
      </c>
      <c r="Y31" s="66"/>
      <c r="Z31" s="66" t="s">
        <v>74</v>
      </c>
      <c r="AA31" s="66" t="s">
        <v>74</v>
      </c>
      <c r="AB31" s="67"/>
      <c r="AC31" s="87">
        <f t="shared" si="0"/>
        <v>0.61111111111111116</v>
      </c>
      <c r="AD31" s="91">
        <v>9</v>
      </c>
      <c r="AE31" s="105" t="s">
        <v>1788</v>
      </c>
      <c r="AF31">
        <f t="shared" si="2"/>
        <v>0</v>
      </c>
      <c r="AG31">
        <f t="shared" si="1"/>
        <v>0</v>
      </c>
    </row>
    <row r="32" spans="1:33" x14ac:dyDescent="0.3">
      <c r="A32" s="84" t="s">
        <v>1629</v>
      </c>
      <c r="B32" s="93" t="s">
        <v>25</v>
      </c>
      <c r="C32" s="93" t="s">
        <v>628</v>
      </c>
      <c r="D32" s="34" t="s">
        <v>1775</v>
      </c>
      <c r="E32" s="34" t="s">
        <v>641</v>
      </c>
      <c r="F32" s="34" t="s">
        <v>1630</v>
      </c>
      <c r="G32" s="34" t="s">
        <v>164</v>
      </c>
      <c r="H32" s="37">
        <v>2</v>
      </c>
      <c r="I32" s="34" t="s">
        <v>155</v>
      </c>
      <c r="J32" s="34" t="s">
        <v>31</v>
      </c>
      <c r="K32" s="34" t="s">
        <v>32</v>
      </c>
      <c r="L32" s="34" t="s">
        <v>1755</v>
      </c>
      <c r="M32" s="34" t="s">
        <v>33</v>
      </c>
      <c r="N32" s="47">
        <v>8</v>
      </c>
      <c r="O32" s="48">
        <v>3</v>
      </c>
      <c r="P32" s="49">
        <v>60</v>
      </c>
      <c r="Q32" s="50">
        <v>18.502268999999998</v>
      </c>
      <c r="R32" s="50">
        <v>-88.298130999999998</v>
      </c>
      <c r="S32" s="66" t="s">
        <v>34</v>
      </c>
      <c r="T32" s="66" t="s">
        <v>175</v>
      </c>
      <c r="U32" s="66" t="s">
        <v>35</v>
      </c>
      <c r="V32" s="66" t="s">
        <v>35</v>
      </c>
      <c r="W32" s="66" t="s">
        <v>35</v>
      </c>
      <c r="X32" s="66" t="s">
        <v>35</v>
      </c>
      <c r="Y32" s="66"/>
      <c r="Z32" s="66" t="s">
        <v>74</v>
      </c>
      <c r="AA32" s="66" t="s">
        <v>74</v>
      </c>
      <c r="AB32" s="67"/>
      <c r="AC32" s="87">
        <f t="shared" si="0"/>
        <v>0.61111111111111116</v>
      </c>
      <c r="AD32" s="91">
        <v>9</v>
      </c>
      <c r="AE32" s="105" t="s">
        <v>1788</v>
      </c>
      <c r="AF32">
        <f t="shared" si="2"/>
        <v>0</v>
      </c>
      <c r="AG32">
        <f t="shared" si="1"/>
        <v>0</v>
      </c>
    </row>
    <row r="33" spans="1:33" x14ac:dyDescent="0.3">
      <c r="A33" s="84" t="s">
        <v>1295</v>
      </c>
      <c r="B33" s="93" t="s">
        <v>25</v>
      </c>
      <c r="C33" s="93" t="s">
        <v>628</v>
      </c>
      <c r="D33" s="34" t="s">
        <v>1775</v>
      </c>
      <c r="E33" s="34" t="s">
        <v>641</v>
      </c>
      <c r="F33" s="34" t="s">
        <v>1296</v>
      </c>
      <c r="G33" s="34" t="s">
        <v>111</v>
      </c>
      <c r="H33" s="37">
        <v>1</v>
      </c>
      <c r="I33" s="34" t="s">
        <v>112</v>
      </c>
      <c r="J33" s="34" t="s">
        <v>31</v>
      </c>
      <c r="K33" s="34" t="s">
        <v>32</v>
      </c>
      <c r="L33" s="34" t="s">
        <v>1755</v>
      </c>
      <c r="M33" s="34" t="s">
        <v>33</v>
      </c>
      <c r="N33" s="47">
        <v>12</v>
      </c>
      <c r="O33" s="48">
        <v>2</v>
      </c>
      <c r="P33" s="49">
        <v>128</v>
      </c>
      <c r="Q33" s="50">
        <v>18.516999999999999</v>
      </c>
      <c r="R33" s="50">
        <v>-88.304000000000002</v>
      </c>
      <c r="S33" s="66" t="s">
        <v>34</v>
      </c>
      <c r="T33" s="66" t="s">
        <v>175</v>
      </c>
      <c r="U33" s="66" t="s">
        <v>35</v>
      </c>
      <c r="V33" s="66" t="s">
        <v>35</v>
      </c>
      <c r="W33" s="66" t="s">
        <v>35</v>
      </c>
      <c r="X33" s="66" t="s">
        <v>35</v>
      </c>
      <c r="Y33" s="66"/>
      <c r="Z33" s="66" t="s">
        <v>74</v>
      </c>
      <c r="AA33" s="66" t="s">
        <v>74</v>
      </c>
      <c r="AB33" s="67"/>
      <c r="AC33" s="87">
        <f t="shared" si="0"/>
        <v>0.61111111111111116</v>
      </c>
      <c r="AD33" s="91">
        <v>9</v>
      </c>
      <c r="AE33" s="105" t="s">
        <v>1788</v>
      </c>
      <c r="AF33">
        <f t="shared" si="2"/>
        <v>0</v>
      </c>
      <c r="AG33">
        <f t="shared" si="1"/>
        <v>0</v>
      </c>
    </row>
    <row r="34" spans="1:33" x14ac:dyDescent="0.3">
      <c r="A34" s="84" t="s">
        <v>627</v>
      </c>
      <c r="B34" s="93" t="s">
        <v>25</v>
      </c>
      <c r="C34" s="93" t="s">
        <v>628</v>
      </c>
      <c r="D34" s="33" t="s">
        <v>1775</v>
      </c>
      <c r="E34" s="34" t="s">
        <v>629</v>
      </c>
      <c r="F34" s="34" t="s">
        <v>630</v>
      </c>
      <c r="G34" s="34" t="s">
        <v>29</v>
      </c>
      <c r="H34" s="37">
        <v>1</v>
      </c>
      <c r="I34" s="34" t="s">
        <v>30</v>
      </c>
      <c r="J34" s="34" t="s">
        <v>31</v>
      </c>
      <c r="K34" s="34" t="s">
        <v>32</v>
      </c>
      <c r="L34" s="34" t="s">
        <v>1755</v>
      </c>
      <c r="M34" s="34" t="s">
        <v>33</v>
      </c>
      <c r="N34" s="47">
        <v>6</v>
      </c>
      <c r="O34" s="48">
        <v>2</v>
      </c>
      <c r="P34" s="49">
        <v>21</v>
      </c>
      <c r="Q34" s="50">
        <v>18.6783936</v>
      </c>
      <c r="R34" s="50">
        <v>-88.388762999999997</v>
      </c>
      <c r="S34" s="66" t="s">
        <v>34</v>
      </c>
      <c r="T34" s="66" t="s">
        <v>175</v>
      </c>
      <c r="U34" s="66" t="s">
        <v>35</v>
      </c>
      <c r="V34" s="66" t="s">
        <v>35</v>
      </c>
      <c r="W34" s="66" t="s">
        <v>35</v>
      </c>
      <c r="X34" s="66" t="s">
        <v>35</v>
      </c>
      <c r="Y34" s="66"/>
      <c r="Z34" s="66" t="s">
        <v>74</v>
      </c>
      <c r="AA34" s="66" t="s">
        <v>74</v>
      </c>
      <c r="AB34" s="67"/>
      <c r="AC34" s="87">
        <f t="shared" si="0"/>
        <v>0.61111111111111116</v>
      </c>
      <c r="AD34" s="91">
        <v>9</v>
      </c>
      <c r="AE34" s="118" t="s">
        <v>1788</v>
      </c>
      <c r="AF34">
        <f t="shared" si="2"/>
        <v>0</v>
      </c>
      <c r="AG34">
        <f t="shared" si="1"/>
        <v>0</v>
      </c>
    </row>
    <row r="35" spans="1:33" x14ac:dyDescent="0.3">
      <c r="A35" s="84" t="s">
        <v>631</v>
      </c>
      <c r="B35" s="93" t="s">
        <v>25</v>
      </c>
      <c r="C35" s="93" t="s">
        <v>628</v>
      </c>
      <c r="D35" s="33" t="s">
        <v>1775</v>
      </c>
      <c r="E35" s="34" t="s">
        <v>632</v>
      </c>
      <c r="F35" s="34" t="s">
        <v>633</v>
      </c>
      <c r="G35" s="34" t="s">
        <v>29</v>
      </c>
      <c r="H35" s="37">
        <v>1</v>
      </c>
      <c r="I35" s="34" t="s">
        <v>30</v>
      </c>
      <c r="J35" s="34" t="s">
        <v>31</v>
      </c>
      <c r="K35" s="34" t="s">
        <v>32</v>
      </c>
      <c r="L35" s="34" t="s">
        <v>1755</v>
      </c>
      <c r="M35" s="34" t="s">
        <v>33</v>
      </c>
      <c r="N35" s="47">
        <v>10</v>
      </c>
      <c r="O35" s="48">
        <v>1</v>
      </c>
      <c r="P35" s="49">
        <v>21</v>
      </c>
      <c r="Q35" s="50">
        <v>19.7463701</v>
      </c>
      <c r="R35" s="50">
        <v>-88.705877900000004</v>
      </c>
      <c r="S35" s="66" t="s">
        <v>34</v>
      </c>
      <c r="T35" s="66" t="s">
        <v>175</v>
      </c>
      <c r="U35" s="66" t="s">
        <v>35</v>
      </c>
      <c r="V35" s="66" t="s">
        <v>35</v>
      </c>
      <c r="W35" s="66" t="s">
        <v>35</v>
      </c>
      <c r="X35" s="66" t="s">
        <v>35</v>
      </c>
      <c r="Y35" s="66"/>
      <c r="Z35" s="66" t="s">
        <v>74</v>
      </c>
      <c r="AA35" s="66" t="s">
        <v>74</v>
      </c>
      <c r="AB35" s="67"/>
      <c r="AC35" s="87">
        <f t="shared" si="0"/>
        <v>0.61111111111111116</v>
      </c>
      <c r="AD35" s="91">
        <v>9</v>
      </c>
      <c r="AE35" s="105" t="s">
        <v>1788</v>
      </c>
      <c r="AF35">
        <f t="shared" si="2"/>
        <v>0</v>
      </c>
      <c r="AG35">
        <f t="shared" si="1"/>
        <v>0</v>
      </c>
    </row>
    <row r="36" spans="1:33" x14ac:dyDescent="0.3">
      <c r="A36" s="84" t="s">
        <v>634</v>
      </c>
      <c r="B36" s="93" t="s">
        <v>25</v>
      </c>
      <c r="C36" s="93" t="s">
        <v>628</v>
      </c>
      <c r="D36" s="33" t="s">
        <v>1775</v>
      </c>
      <c r="E36" s="34" t="s">
        <v>635</v>
      </c>
      <c r="F36" s="34" t="s">
        <v>636</v>
      </c>
      <c r="G36" s="34" t="s">
        <v>29</v>
      </c>
      <c r="H36" s="37">
        <v>1</v>
      </c>
      <c r="I36" s="34" t="s">
        <v>30</v>
      </c>
      <c r="J36" s="34" t="s">
        <v>31</v>
      </c>
      <c r="K36" s="34" t="s">
        <v>32</v>
      </c>
      <c r="L36" s="34" t="s">
        <v>1755</v>
      </c>
      <c r="M36" s="34" t="s">
        <v>33</v>
      </c>
      <c r="N36" s="47">
        <v>6</v>
      </c>
      <c r="O36" s="48">
        <v>1</v>
      </c>
      <c r="P36" s="49">
        <v>17</v>
      </c>
      <c r="Q36" s="50">
        <v>21.105785999999998</v>
      </c>
      <c r="R36" s="50">
        <v>-87.486121900000001</v>
      </c>
      <c r="S36" s="66" t="s">
        <v>34</v>
      </c>
      <c r="T36" s="66" t="s">
        <v>175</v>
      </c>
      <c r="U36" s="66" t="s">
        <v>35</v>
      </c>
      <c r="V36" s="66" t="s">
        <v>35</v>
      </c>
      <c r="W36" s="66" t="s">
        <v>35</v>
      </c>
      <c r="X36" s="66" t="s">
        <v>35</v>
      </c>
      <c r="Y36" s="66"/>
      <c r="Z36" s="66" t="s">
        <v>74</v>
      </c>
      <c r="AA36" s="66" t="s">
        <v>74</v>
      </c>
      <c r="AB36" s="67"/>
      <c r="AC36" s="87">
        <f t="shared" si="0"/>
        <v>0.61111111111111116</v>
      </c>
      <c r="AD36" s="91">
        <v>9</v>
      </c>
      <c r="AE36" s="105" t="s">
        <v>1788</v>
      </c>
      <c r="AF36">
        <f t="shared" si="2"/>
        <v>0</v>
      </c>
      <c r="AG36">
        <f t="shared" si="1"/>
        <v>0</v>
      </c>
    </row>
    <row r="37" spans="1:33" x14ac:dyDescent="0.3">
      <c r="A37" s="84" t="s">
        <v>637</v>
      </c>
      <c r="B37" s="93" t="s">
        <v>25</v>
      </c>
      <c r="C37" s="93" t="s">
        <v>628</v>
      </c>
      <c r="D37" s="33" t="s">
        <v>1775</v>
      </c>
      <c r="E37" s="34" t="s">
        <v>638</v>
      </c>
      <c r="F37" s="34" t="s">
        <v>639</v>
      </c>
      <c r="G37" s="34" t="s">
        <v>29</v>
      </c>
      <c r="H37" s="37">
        <v>1</v>
      </c>
      <c r="I37" s="34" t="s">
        <v>30</v>
      </c>
      <c r="J37" s="34" t="s">
        <v>31</v>
      </c>
      <c r="K37" s="34" t="s">
        <v>32</v>
      </c>
      <c r="L37" s="34" t="s">
        <v>1755</v>
      </c>
      <c r="M37" s="34" t="s">
        <v>33</v>
      </c>
      <c r="N37" s="47">
        <v>9</v>
      </c>
      <c r="O37" s="48">
        <v>3</v>
      </c>
      <c r="P37" s="49">
        <v>30</v>
      </c>
      <c r="Q37" s="50">
        <v>21.220455000000001</v>
      </c>
      <c r="R37" s="50">
        <v>-86.727023000000003</v>
      </c>
      <c r="S37" s="66" t="s">
        <v>34</v>
      </c>
      <c r="T37" s="66" t="s">
        <v>175</v>
      </c>
      <c r="U37" s="66" t="s">
        <v>35</v>
      </c>
      <c r="V37" s="66" t="s">
        <v>35</v>
      </c>
      <c r="W37" s="66" t="s">
        <v>35</v>
      </c>
      <c r="X37" s="66" t="s">
        <v>35</v>
      </c>
      <c r="Y37" s="66"/>
      <c r="Z37" s="66" t="s">
        <v>74</v>
      </c>
      <c r="AA37" s="66" t="s">
        <v>74</v>
      </c>
      <c r="AB37" s="67"/>
      <c r="AC37" s="87">
        <f t="shared" si="0"/>
        <v>0.61111111111111116</v>
      </c>
      <c r="AD37" s="91">
        <v>9</v>
      </c>
      <c r="AE37" s="105" t="s">
        <v>1788</v>
      </c>
      <c r="AF37">
        <f t="shared" si="2"/>
        <v>0</v>
      </c>
      <c r="AG37">
        <f t="shared" si="1"/>
        <v>0</v>
      </c>
    </row>
    <row r="38" spans="1:33" x14ac:dyDescent="0.3">
      <c r="A38" s="84" t="s">
        <v>1297</v>
      </c>
      <c r="B38" s="93" t="s">
        <v>25</v>
      </c>
      <c r="C38" s="93" t="s">
        <v>628</v>
      </c>
      <c r="D38" s="33" t="s">
        <v>1775</v>
      </c>
      <c r="E38" s="34" t="s">
        <v>641</v>
      </c>
      <c r="F38" s="34" t="s">
        <v>1298</v>
      </c>
      <c r="G38" s="34" t="s">
        <v>111</v>
      </c>
      <c r="H38" s="37">
        <v>1</v>
      </c>
      <c r="I38" s="34" t="s">
        <v>155</v>
      </c>
      <c r="J38" s="34" t="s">
        <v>31</v>
      </c>
      <c r="K38" s="34" t="s">
        <v>32</v>
      </c>
      <c r="L38" s="34" t="s">
        <v>1755</v>
      </c>
      <c r="M38" s="34" t="s">
        <v>33</v>
      </c>
      <c r="N38" s="47">
        <v>13</v>
      </c>
      <c r="O38" s="48">
        <v>2</v>
      </c>
      <c r="P38" s="49">
        <v>45</v>
      </c>
      <c r="Q38" s="50">
        <v>18.5077</v>
      </c>
      <c r="R38" s="50">
        <v>-88.347432999999995</v>
      </c>
      <c r="S38" s="66" t="s">
        <v>34</v>
      </c>
      <c r="T38" s="66" t="s">
        <v>175</v>
      </c>
      <c r="U38" s="66" t="s">
        <v>35</v>
      </c>
      <c r="V38" s="66" t="s">
        <v>35</v>
      </c>
      <c r="W38" s="66" t="s">
        <v>175</v>
      </c>
      <c r="X38" s="66" t="s">
        <v>35</v>
      </c>
      <c r="Y38" s="66"/>
      <c r="Z38" s="66" t="s">
        <v>74</v>
      </c>
      <c r="AA38" s="66" t="s">
        <v>74</v>
      </c>
      <c r="AB38" s="67"/>
      <c r="AC38" s="87">
        <f t="shared" si="0"/>
        <v>0.55555555555555558</v>
      </c>
      <c r="AD38" s="91">
        <v>9</v>
      </c>
      <c r="AE38" s="118" t="s">
        <v>1788</v>
      </c>
      <c r="AF38">
        <f t="shared" si="2"/>
        <v>0</v>
      </c>
      <c r="AG38">
        <f t="shared" si="1"/>
        <v>0</v>
      </c>
    </row>
    <row r="39" spans="1:33" x14ac:dyDescent="0.3">
      <c r="A39" s="84" t="s">
        <v>640</v>
      </c>
      <c r="B39" s="93" t="s">
        <v>25</v>
      </c>
      <c r="C39" s="93" t="s">
        <v>628</v>
      </c>
      <c r="D39" s="33" t="s">
        <v>1775</v>
      </c>
      <c r="E39" s="34" t="s">
        <v>641</v>
      </c>
      <c r="F39" s="34" t="s">
        <v>642</v>
      </c>
      <c r="G39" s="34" t="s">
        <v>29</v>
      </c>
      <c r="H39" s="37">
        <v>1</v>
      </c>
      <c r="I39" s="34" t="s">
        <v>30</v>
      </c>
      <c r="J39" s="34" t="s">
        <v>31</v>
      </c>
      <c r="K39" s="34" t="s">
        <v>32</v>
      </c>
      <c r="L39" s="34" t="s">
        <v>1755</v>
      </c>
      <c r="M39" s="34" t="s">
        <v>33</v>
      </c>
      <c r="N39" s="47">
        <v>4</v>
      </c>
      <c r="O39" s="48">
        <v>1</v>
      </c>
      <c r="P39" s="49">
        <v>8</v>
      </c>
      <c r="Q39" s="50">
        <v>18.453884800000001</v>
      </c>
      <c r="R39" s="50">
        <v>-88.932495700000004</v>
      </c>
      <c r="S39" s="66" t="s">
        <v>34</v>
      </c>
      <c r="T39" s="66" t="s">
        <v>175</v>
      </c>
      <c r="U39" s="66" t="s">
        <v>35</v>
      </c>
      <c r="V39" s="66" t="s">
        <v>35</v>
      </c>
      <c r="W39" s="66" t="s">
        <v>35</v>
      </c>
      <c r="X39" s="66" t="s">
        <v>35</v>
      </c>
      <c r="Y39" s="66"/>
      <c r="Z39" s="66" t="s">
        <v>74</v>
      </c>
      <c r="AA39" s="66" t="s">
        <v>74</v>
      </c>
      <c r="AB39" s="67"/>
      <c r="AC39" s="87">
        <f t="shared" si="0"/>
        <v>0.61111111111111116</v>
      </c>
      <c r="AD39" s="91">
        <v>9</v>
      </c>
      <c r="AE39" s="118" t="s">
        <v>1788</v>
      </c>
      <c r="AF39">
        <f t="shared" si="2"/>
        <v>0</v>
      </c>
      <c r="AG39">
        <f t="shared" si="1"/>
        <v>0</v>
      </c>
    </row>
    <row r="40" spans="1:33" x14ac:dyDescent="0.3">
      <c r="A40" s="84" t="s">
        <v>643</v>
      </c>
      <c r="B40" s="93" t="s">
        <v>25</v>
      </c>
      <c r="C40" s="93" t="s">
        <v>628</v>
      </c>
      <c r="D40" s="33" t="s">
        <v>1775</v>
      </c>
      <c r="E40" s="34" t="s">
        <v>644</v>
      </c>
      <c r="F40" s="34" t="s">
        <v>645</v>
      </c>
      <c r="G40" s="34" t="s">
        <v>29</v>
      </c>
      <c r="H40" s="37">
        <v>1</v>
      </c>
      <c r="I40" s="34" t="s">
        <v>30</v>
      </c>
      <c r="J40" s="34" t="s">
        <v>31</v>
      </c>
      <c r="K40" s="34" t="s">
        <v>32</v>
      </c>
      <c r="L40" s="34" t="s">
        <v>1755</v>
      </c>
      <c r="M40" s="34" t="s">
        <v>33</v>
      </c>
      <c r="N40" s="47">
        <v>6</v>
      </c>
      <c r="O40" s="48">
        <v>0</v>
      </c>
      <c r="P40" s="49">
        <v>13</v>
      </c>
      <c r="Q40" s="50">
        <v>20.206857899999999</v>
      </c>
      <c r="R40" s="50">
        <v>-87.470106799999996</v>
      </c>
      <c r="S40" s="66" t="s">
        <v>34</v>
      </c>
      <c r="T40" s="66" t="s">
        <v>175</v>
      </c>
      <c r="U40" s="66" t="s">
        <v>35</v>
      </c>
      <c r="V40" s="66" t="s">
        <v>35</v>
      </c>
      <c r="W40" s="66" t="s">
        <v>35</v>
      </c>
      <c r="X40" s="66" t="s">
        <v>35</v>
      </c>
      <c r="Y40" s="66"/>
      <c r="Z40" s="66" t="s">
        <v>74</v>
      </c>
      <c r="AA40" s="66" t="s">
        <v>74</v>
      </c>
      <c r="AB40" s="67"/>
      <c r="AC40" s="87">
        <f t="shared" si="0"/>
        <v>0.61111111111111116</v>
      </c>
      <c r="AD40" s="91">
        <v>9</v>
      </c>
      <c r="AE40" s="105" t="s">
        <v>1788</v>
      </c>
      <c r="AF40">
        <f t="shared" si="2"/>
        <v>0</v>
      </c>
      <c r="AG40">
        <f t="shared" si="1"/>
        <v>0</v>
      </c>
    </row>
    <row r="41" spans="1:33" x14ac:dyDescent="0.3">
      <c r="A41" s="84" t="s">
        <v>1299</v>
      </c>
      <c r="B41" s="93" t="s">
        <v>25</v>
      </c>
      <c r="C41" s="93" t="s">
        <v>628</v>
      </c>
      <c r="D41" s="33" t="s">
        <v>1775</v>
      </c>
      <c r="E41" s="34" t="s">
        <v>1300</v>
      </c>
      <c r="F41" s="34" t="s">
        <v>1301</v>
      </c>
      <c r="G41" s="34" t="s">
        <v>111</v>
      </c>
      <c r="H41" s="37">
        <v>1</v>
      </c>
      <c r="I41" s="34" t="s">
        <v>112</v>
      </c>
      <c r="J41" s="34" t="s">
        <v>31</v>
      </c>
      <c r="K41" s="34" t="s">
        <v>32</v>
      </c>
      <c r="L41" s="34" t="s">
        <v>1755</v>
      </c>
      <c r="M41" s="34" t="s">
        <v>33</v>
      </c>
      <c r="N41" s="47">
        <v>15</v>
      </c>
      <c r="O41" s="48">
        <v>3</v>
      </c>
      <c r="P41" s="49">
        <v>73</v>
      </c>
      <c r="Q41" s="50">
        <v>20.644802500000001</v>
      </c>
      <c r="R41" s="50">
        <v>-87.094999400000006</v>
      </c>
      <c r="S41" s="66" t="s">
        <v>34</v>
      </c>
      <c r="T41" s="66" t="s">
        <v>175</v>
      </c>
      <c r="U41" s="66" t="s">
        <v>35</v>
      </c>
      <c r="V41" s="66" t="s">
        <v>35</v>
      </c>
      <c r="W41" s="66" t="s">
        <v>35</v>
      </c>
      <c r="X41" s="66" t="s">
        <v>175</v>
      </c>
      <c r="Y41" s="66"/>
      <c r="Z41" s="66" t="s">
        <v>74</v>
      </c>
      <c r="AA41" s="66" t="s">
        <v>74</v>
      </c>
      <c r="AB41" s="67"/>
      <c r="AC41" s="87">
        <f t="shared" si="0"/>
        <v>0.55555555555555558</v>
      </c>
      <c r="AD41" s="91">
        <v>9</v>
      </c>
      <c r="AE41" s="105" t="s">
        <v>1788</v>
      </c>
      <c r="AF41">
        <f t="shared" si="2"/>
        <v>0</v>
      </c>
      <c r="AG41">
        <f t="shared" si="1"/>
        <v>0</v>
      </c>
    </row>
    <row r="42" spans="1:33" x14ac:dyDescent="0.3">
      <c r="A42" s="84" t="s">
        <v>1302</v>
      </c>
      <c r="B42" s="93" t="s">
        <v>25</v>
      </c>
      <c r="C42" s="93" t="s">
        <v>628</v>
      </c>
      <c r="D42" s="33" t="s">
        <v>1775</v>
      </c>
      <c r="E42" s="34" t="s">
        <v>226</v>
      </c>
      <c r="F42" s="34" t="s">
        <v>1303</v>
      </c>
      <c r="G42" s="34" t="s">
        <v>111</v>
      </c>
      <c r="H42" s="37">
        <v>1</v>
      </c>
      <c r="I42" s="34" t="s">
        <v>112</v>
      </c>
      <c r="J42" s="34" t="s">
        <v>31</v>
      </c>
      <c r="K42" s="34" t="s">
        <v>32</v>
      </c>
      <c r="L42" s="34" t="s">
        <v>1755</v>
      </c>
      <c r="M42" s="34" t="s">
        <v>33</v>
      </c>
      <c r="N42" s="47">
        <v>33</v>
      </c>
      <c r="O42" s="48">
        <v>6</v>
      </c>
      <c r="P42" s="49">
        <v>273</v>
      </c>
      <c r="Q42" s="50">
        <v>21.195309999999999</v>
      </c>
      <c r="R42" s="50">
        <v>-86.876869999999997</v>
      </c>
      <c r="S42" s="66" t="s">
        <v>34</v>
      </c>
      <c r="T42" s="66" t="s">
        <v>175</v>
      </c>
      <c r="U42" s="66" t="s">
        <v>35</v>
      </c>
      <c r="V42" s="66" t="s">
        <v>35</v>
      </c>
      <c r="W42" s="66" t="s">
        <v>175</v>
      </c>
      <c r="X42" s="66" t="s">
        <v>175</v>
      </c>
      <c r="Y42" s="66"/>
      <c r="Z42" s="66" t="s">
        <v>74</v>
      </c>
      <c r="AA42" s="66" t="s">
        <v>74</v>
      </c>
      <c r="AB42" s="67"/>
      <c r="AC42" s="87">
        <f t="shared" si="0"/>
        <v>0.5</v>
      </c>
      <c r="AD42" s="91">
        <v>9</v>
      </c>
      <c r="AE42" s="118" t="s">
        <v>1788</v>
      </c>
      <c r="AF42">
        <f t="shared" si="2"/>
        <v>0</v>
      </c>
      <c r="AG42">
        <f t="shared" si="1"/>
        <v>0</v>
      </c>
    </row>
    <row r="43" spans="1:33" x14ac:dyDescent="0.3">
      <c r="A43" s="84" t="s">
        <v>1703</v>
      </c>
      <c r="B43" s="93" t="s">
        <v>25</v>
      </c>
      <c r="C43" s="93" t="s">
        <v>954</v>
      </c>
      <c r="D43" s="33" t="s">
        <v>1775</v>
      </c>
      <c r="E43" s="34" t="s">
        <v>1350</v>
      </c>
      <c r="F43" s="38" t="s">
        <v>1704</v>
      </c>
      <c r="G43" s="34" t="s">
        <v>169</v>
      </c>
      <c r="H43" s="37">
        <v>2</v>
      </c>
      <c r="I43" s="34" t="s">
        <v>170</v>
      </c>
      <c r="J43" s="34" t="s">
        <v>31</v>
      </c>
      <c r="K43" s="34" t="s">
        <v>32</v>
      </c>
      <c r="L43" s="34" t="s">
        <v>1755</v>
      </c>
      <c r="M43" s="34" t="s">
        <v>33</v>
      </c>
      <c r="N43" s="47">
        <v>24</v>
      </c>
      <c r="O43" s="48">
        <v>0</v>
      </c>
      <c r="P43" s="49">
        <v>0</v>
      </c>
      <c r="Q43" s="50">
        <v>29.071741599999999</v>
      </c>
      <c r="R43" s="50">
        <v>-110.955854</v>
      </c>
      <c r="S43" s="66" t="s">
        <v>34</v>
      </c>
      <c r="T43" s="66" t="s">
        <v>35</v>
      </c>
      <c r="U43" s="66" t="s">
        <v>35</v>
      </c>
      <c r="V43" s="66" t="s">
        <v>35</v>
      </c>
      <c r="W43" s="66" t="s">
        <v>35</v>
      </c>
      <c r="X43" s="66" t="s">
        <v>35</v>
      </c>
      <c r="Y43" s="66" t="s">
        <v>36</v>
      </c>
      <c r="Z43" s="66" t="s">
        <v>74</v>
      </c>
      <c r="AA43" s="66" t="s">
        <v>74</v>
      </c>
      <c r="AB43" s="67" t="s">
        <v>1868</v>
      </c>
      <c r="AC43" s="87">
        <f t="shared" si="0"/>
        <v>0.77777777777777779</v>
      </c>
      <c r="AD43" s="91">
        <v>5</v>
      </c>
      <c r="AE43" s="118" t="s">
        <v>1846</v>
      </c>
      <c r="AF43">
        <f t="shared" si="2"/>
        <v>0</v>
      </c>
      <c r="AG43">
        <f t="shared" si="1"/>
        <v>0</v>
      </c>
    </row>
    <row r="44" spans="1:33" x14ac:dyDescent="0.3">
      <c r="A44" s="84" t="s">
        <v>47</v>
      </c>
      <c r="B44" s="93" t="s">
        <v>25</v>
      </c>
      <c r="C44" s="93" t="s">
        <v>26</v>
      </c>
      <c r="D44" s="33" t="s">
        <v>1775</v>
      </c>
      <c r="E44" s="34" t="s">
        <v>48</v>
      </c>
      <c r="F44" s="34" t="s">
        <v>49</v>
      </c>
      <c r="G44" s="34" t="s">
        <v>29</v>
      </c>
      <c r="H44" s="37">
        <v>1</v>
      </c>
      <c r="I44" s="34" t="s">
        <v>30</v>
      </c>
      <c r="J44" s="34" t="s">
        <v>31</v>
      </c>
      <c r="K44" s="34" t="s">
        <v>32</v>
      </c>
      <c r="L44" s="34" t="s">
        <v>1755</v>
      </c>
      <c r="M44" s="34" t="s">
        <v>33</v>
      </c>
      <c r="N44" s="47">
        <v>9</v>
      </c>
      <c r="O44" s="48">
        <v>1</v>
      </c>
      <c r="P44" s="49">
        <v>22</v>
      </c>
      <c r="Q44" s="50">
        <v>17.552807000000001</v>
      </c>
      <c r="R44" s="50">
        <v>-92.338727000000006</v>
      </c>
      <c r="S44" s="66" t="s">
        <v>34</v>
      </c>
      <c r="T44" s="66" t="s">
        <v>35</v>
      </c>
      <c r="U44" s="66" t="s">
        <v>35</v>
      </c>
      <c r="V44" s="66" t="s">
        <v>35</v>
      </c>
      <c r="W44" s="66" t="s">
        <v>35</v>
      </c>
      <c r="X44" s="66" t="s">
        <v>35</v>
      </c>
      <c r="Y44" s="66" t="s">
        <v>36</v>
      </c>
      <c r="Z44" s="66" t="s">
        <v>37</v>
      </c>
      <c r="AA44" s="66" t="s">
        <v>37</v>
      </c>
      <c r="AB44" s="67"/>
      <c r="AC44" s="87">
        <f t="shared" si="0"/>
        <v>1</v>
      </c>
      <c r="AD44" s="91">
        <v>5</v>
      </c>
      <c r="AE44" s="118" t="s">
        <v>1846</v>
      </c>
      <c r="AF44">
        <f t="shared" si="2"/>
        <v>0</v>
      </c>
      <c r="AG44">
        <f t="shared" si="1"/>
        <v>1</v>
      </c>
    </row>
    <row r="45" spans="1:33" x14ac:dyDescent="0.3">
      <c r="A45" s="84" t="s">
        <v>1452</v>
      </c>
      <c r="B45" s="93" t="s">
        <v>25</v>
      </c>
      <c r="C45" s="93" t="s">
        <v>1510</v>
      </c>
      <c r="D45" s="33" t="s">
        <v>1775</v>
      </c>
      <c r="E45" s="34" t="s">
        <v>1453</v>
      </c>
      <c r="F45" s="34" t="s">
        <v>1454</v>
      </c>
      <c r="G45" s="34" t="s">
        <v>111</v>
      </c>
      <c r="H45" s="37">
        <v>1</v>
      </c>
      <c r="I45" s="34" t="s">
        <v>112</v>
      </c>
      <c r="J45" s="34" t="s">
        <v>31</v>
      </c>
      <c r="K45" s="34" t="s">
        <v>32</v>
      </c>
      <c r="L45" s="34" t="s">
        <v>1755</v>
      </c>
      <c r="M45" s="34" t="s">
        <v>33</v>
      </c>
      <c r="N45" s="47">
        <v>10</v>
      </c>
      <c r="O45" s="48">
        <v>2</v>
      </c>
      <c r="P45" s="49">
        <v>50</v>
      </c>
      <c r="Q45" s="50">
        <v>19.76972</v>
      </c>
      <c r="R45" s="50">
        <v>-97.248090000000005</v>
      </c>
      <c r="S45" s="66" t="s">
        <v>34</v>
      </c>
      <c r="T45" s="66" t="s">
        <v>175</v>
      </c>
      <c r="U45" s="66" t="s">
        <v>176</v>
      </c>
      <c r="V45" s="66" t="s">
        <v>176</v>
      </c>
      <c r="W45" s="66"/>
      <c r="X45" s="66"/>
      <c r="Y45" s="66"/>
      <c r="Z45" s="66" t="s">
        <v>74</v>
      </c>
      <c r="AA45" s="66" t="s">
        <v>74</v>
      </c>
      <c r="AB45" s="67"/>
      <c r="AC45" s="87">
        <f t="shared" si="0"/>
        <v>0.24074074074074073</v>
      </c>
      <c r="AD45" s="91">
        <v>9</v>
      </c>
      <c r="AE45" s="103" t="s">
        <v>1849</v>
      </c>
      <c r="AF45">
        <f t="shared" si="2"/>
        <v>0</v>
      </c>
      <c r="AG45">
        <f t="shared" si="1"/>
        <v>0</v>
      </c>
    </row>
    <row r="46" spans="1:33" x14ac:dyDescent="0.3">
      <c r="A46" s="84" t="s">
        <v>773</v>
      </c>
      <c r="B46" s="93" t="s">
        <v>25</v>
      </c>
      <c r="C46" s="93" t="s">
        <v>1510</v>
      </c>
      <c r="D46" s="33" t="s">
        <v>1775</v>
      </c>
      <c r="E46" s="34" t="s">
        <v>774</v>
      </c>
      <c r="F46" s="34" t="s">
        <v>775</v>
      </c>
      <c r="G46" s="34" t="s">
        <v>29</v>
      </c>
      <c r="H46" s="37">
        <v>1</v>
      </c>
      <c r="I46" s="34" t="s">
        <v>30</v>
      </c>
      <c r="J46" s="34" t="s">
        <v>31</v>
      </c>
      <c r="K46" s="34" t="s">
        <v>32</v>
      </c>
      <c r="L46" s="34" t="s">
        <v>1755</v>
      </c>
      <c r="M46" s="34" t="s">
        <v>33</v>
      </c>
      <c r="N46" s="47">
        <v>14</v>
      </c>
      <c r="O46" s="48">
        <v>2</v>
      </c>
      <c r="P46" s="49">
        <v>36</v>
      </c>
      <c r="Q46" s="50">
        <v>19.449100999999999</v>
      </c>
      <c r="R46" s="50">
        <v>-96.959187</v>
      </c>
      <c r="S46" s="66" t="s">
        <v>34</v>
      </c>
      <c r="T46" s="66" t="s">
        <v>175</v>
      </c>
      <c r="U46" s="66" t="s">
        <v>176</v>
      </c>
      <c r="V46" s="66" t="s">
        <v>176</v>
      </c>
      <c r="W46" s="66"/>
      <c r="X46" s="66"/>
      <c r="Y46" s="66"/>
      <c r="Z46" s="66" t="s">
        <v>74</v>
      </c>
      <c r="AA46" s="66" t="s">
        <v>74</v>
      </c>
      <c r="AB46" s="67"/>
      <c r="AC46" s="87">
        <f t="shared" si="0"/>
        <v>0.24074074074074073</v>
      </c>
      <c r="AD46" s="91">
        <v>9</v>
      </c>
      <c r="AE46" s="103" t="s">
        <v>1849</v>
      </c>
      <c r="AF46">
        <f t="shared" si="2"/>
        <v>0</v>
      </c>
      <c r="AG46">
        <f t="shared" si="1"/>
        <v>0</v>
      </c>
    </row>
    <row r="47" spans="1:33" x14ac:dyDescent="0.3">
      <c r="A47" s="84" t="s">
        <v>776</v>
      </c>
      <c r="B47" s="93" t="s">
        <v>25</v>
      </c>
      <c r="C47" s="93" t="s">
        <v>1510</v>
      </c>
      <c r="D47" s="33" t="s">
        <v>1775</v>
      </c>
      <c r="E47" s="64" t="s">
        <v>777</v>
      </c>
      <c r="F47" s="34" t="s">
        <v>778</v>
      </c>
      <c r="G47" s="34" t="s">
        <v>29</v>
      </c>
      <c r="H47" s="37">
        <v>1</v>
      </c>
      <c r="I47" s="34" t="s">
        <v>30</v>
      </c>
      <c r="J47" s="34" t="s">
        <v>31</v>
      </c>
      <c r="K47" s="34" t="s">
        <v>32</v>
      </c>
      <c r="L47" s="34" t="s">
        <v>1755</v>
      </c>
      <c r="M47" s="34" t="s">
        <v>33</v>
      </c>
      <c r="N47" s="47">
        <v>7</v>
      </c>
      <c r="O47" s="48">
        <v>2</v>
      </c>
      <c r="P47" s="49">
        <v>24</v>
      </c>
      <c r="Q47" s="50">
        <v>20.457380000000001</v>
      </c>
      <c r="R47" s="71">
        <v>-97.087199999999996</v>
      </c>
      <c r="S47" s="66" t="s">
        <v>34</v>
      </c>
      <c r="T47" s="66" t="s">
        <v>175</v>
      </c>
      <c r="U47" s="66" t="s">
        <v>176</v>
      </c>
      <c r="V47" s="66" t="s">
        <v>176</v>
      </c>
      <c r="W47" s="66"/>
      <c r="X47" s="66"/>
      <c r="Y47" s="66"/>
      <c r="Z47" s="66" t="s">
        <v>74</v>
      </c>
      <c r="AA47" s="66" t="s">
        <v>74</v>
      </c>
      <c r="AB47" s="67"/>
      <c r="AC47" s="87">
        <f t="shared" si="0"/>
        <v>0.24074074074074073</v>
      </c>
      <c r="AD47" s="91">
        <v>9</v>
      </c>
      <c r="AE47" s="103" t="s">
        <v>1849</v>
      </c>
      <c r="AF47">
        <f t="shared" si="2"/>
        <v>0</v>
      </c>
      <c r="AG47">
        <f t="shared" si="1"/>
        <v>0</v>
      </c>
    </row>
    <row r="48" spans="1:33" x14ac:dyDescent="0.3">
      <c r="A48" s="84" t="s">
        <v>1464</v>
      </c>
      <c r="B48" s="93" t="s">
        <v>25</v>
      </c>
      <c r="C48" s="93" t="s">
        <v>1510</v>
      </c>
      <c r="D48" s="33" t="s">
        <v>1775</v>
      </c>
      <c r="E48" s="34" t="s">
        <v>1465</v>
      </c>
      <c r="F48" s="34" t="s">
        <v>1466</v>
      </c>
      <c r="G48" s="54" t="s">
        <v>111</v>
      </c>
      <c r="H48" s="37">
        <v>1</v>
      </c>
      <c r="I48" s="54" t="s">
        <v>112</v>
      </c>
      <c r="J48" s="54" t="s">
        <v>31</v>
      </c>
      <c r="K48" s="54" t="s">
        <v>32</v>
      </c>
      <c r="L48" s="54" t="s">
        <v>1755</v>
      </c>
      <c r="M48" s="54" t="s">
        <v>33</v>
      </c>
      <c r="N48" s="47">
        <v>13</v>
      </c>
      <c r="O48" s="48">
        <v>3</v>
      </c>
      <c r="P48" s="49">
        <v>42</v>
      </c>
      <c r="Q48" s="77">
        <v>19.151869999999999</v>
      </c>
      <c r="R48" s="78">
        <v>-96.968900000000005</v>
      </c>
      <c r="S48" s="66" t="s">
        <v>34</v>
      </c>
      <c r="T48" s="66" t="s">
        <v>175</v>
      </c>
      <c r="U48" s="66" t="s">
        <v>176</v>
      </c>
      <c r="V48" s="66" t="s">
        <v>176</v>
      </c>
      <c r="W48" s="66"/>
      <c r="X48" s="66"/>
      <c r="Y48" s="66"/>
      <c r="Z48" s="66" t="s">
        <v>74</v>
      </c>
      <c r="AA48" s="66" t="s">
        <v>74</v>
      </c>
      <c r="AB48" s="67"/>
      <c r="AC48" s="87">
        <f t="shared" si="0"/>
        <v>0.24074074074074073</v>
      </c>
      <c r="AD48" s="91">
        <v>9</v>
      </c>
      <c r="AE48" s="103" t="s">
        <v>1849</v>
      </c>
      <c r="AF48">
        <f t="shared" si="2"/>
        <v>0</v>
      </c>
      <c r="AG48">
        <f t="shared" si="1"/>
        <v>0</v>
      </c>
    </row>
    <row r="49" spans="1:33" x14ac:dyDescent="0.3">
      <c r="A49" s="84" t="s">
        <v>1467</v>
      </c>
      <c r="B49" s="93" t="s">
        <v>25</v>
      </c>
      <c r="C49" s="93" t="s">
        <v>1510</v>
      </c>
      <c r="D49" s="33" t="s">
        <v>1775</v>
      </c>
      <c r="E49" s="34" t="s">
        <v>1468</v>
      </c>
      <c r="F49" s="34" t="s">
        <v>1469</v>
      </c>
      <c r="G49" s="34" t="s">
        <v>111</v>
      </c>
      <c r="H49" s="37">
        <v>1</v>
      </c>
      <c r="I49" s="34" t="s">
        <v>155</v>
      </c>
      <c r="J49" s="34" t="s">
        <v>31</v>
      </c>
      <c r="K49" s="34" t="s">
        <v>32</v>
      </c>
      <c r="L49" s="34" t="s">
        <v>1756</v>
      </c>
      <c r="M49" s="34" t="s">
        <v>33</v>
      </c>
      <c r="N49" s="47">
        <v>19</v>
      </c>
      <c r="O49" s="48">
        <v>4</v>
      </c>
      <c r="P49" s="49">
        <v>110</v>
      </c>
      <c r="Q49" s="50">
        <v>19.544702000000001</v>
      </c>
      <c r="R49" s="50">
        <v>-96.923411000000002</v>
      </c>
      <c r="S49" s="66" t="s">
        <v>34</v>
      </c>
      <c r="T49" s="66" t="s">
        <v>175</v>
      </c>
      <c r="U49" s="66" t="s">
        <v>176</v>
      </c>
      <c r="V49" s="66" t="s">
        <v>176</v>
      </c>
      <c r="W49" s="66"/>
      <c r="X49" s="66"/>
      <c r="Y49" s="66"/>
      <c r="Z49" s="66" t="s">
        <v>74</v>
      </c>
      <c r="AA49" s="66" t="s">
        <v>74</v>
      </c>
      <c r="AB49" s="67"/>
      <c r="AC49" s="87">
        <f t="shared" si="0"/>
        <v>0.24074074074074073</v>
      </c>
      <c r="AD49" s="91">
        <v>9</v>
      </c>
      <c r="AE49" s="103" t="s">
        <v>1849</v>
      </c>
      <c r="AF49">
        <f t="shared" si="2"/>
        <v>0</v>
      </c>
      <c r="AG49">
        <f t="shared" si="1"/>
        <v>0</v>
      </c>
    </row>
    <row r="50" spans="1:33" x14ac:dyDescent="0.3">
      <c r="A50" s="84" t="s">
        <v>1470</v>
      </c>
      <c r="B50" s="93" t="s">
        <v>25</v>
      </c>
      <c r="C50" s="93" t="s">
        <v>1510</v>
      </c>
      <c r="D50" s="33" t="s">
        <v>1775</v>
      </c>
      <c r="E50" s="34" t="s">
        <v>1468</v>
      </c>
      <c r="F50" s="34" t="s">
        <v>1471</v>
      </c>
      <c r="G50" s="34" t="s">
        <v>111</v>
      </c>
      <c r="H50" s="37">
        <v>1</v>
      </c>
      <c r="I50" s="34" t="s">
        <v>155</v>
      </c>
      <c r="J50" s="34" t="s">
        <v>31</v>
      </c>
      <c r="K50" s="34" t="s">
        <v>32</v>
      </c>
      <c r="L50" s="34" t="s">
        <v>1756</v>
      </c>
      <c r="M50" s="34" t="s">
        <v>33</v>
      </c>
      <c r="N50" s="47">
        <v>32</v>
      </c>
      <c r="O50" s="48">
        <v>10</v>
      </c>
      <c r="P50" s="49">
        <v>292</v>
      </c>
      <c r="Q50" s="50">
        <v>19.551728000000001</v>
      </c>
      <c r="R50" s="50">
        <v>-96.935888000000006</v>
      </c>
      <c r="S50" s="66" t="s">
        <v>34</v>
      </c>
      <c r="T50" s="66" t="s">
        <v>175</v>
      </c>
      <c r="U50" s="66" t="s">
        <v>176</v>
      </c>
      <c r="V50" s="66" t="s">
        <v>176</v>
      </c>
      <c r="W50" s="66"/>
      <c r="X50" s="66"/>
      <c r="Y50" s="66"/>
      <c r="Z50" s="66" t="s">
        <v>74</v>
      </c>
      <c r="AA50" s="66" t="s">
        <v>74</v>
      </c>
      <c r="AB50" s="67"/>
      <c r="AC50" s="87">
        <f t="shared" si="0"/>
        <v>0.24074074074074073</v>
      </c>
      <c r="AD50" s="91">
        <v>9</v>
      </c>
      <c r="AE50" s="103" t="s">
        <v>1849</v>
      </c>
      <c r="AF50">
        <f t="shared" si="2"/>
        <v>0</v>
      </c>
      <c r="AG50">
        <f t="shared" si="1"/>
        <v>0</v>
      </c>
    </row>
    <row r="51" spans="1:33" x14ac:dyDescent="0.3">
      <c r="A51" s="84" t="s">
        <v>1472</v>
      </c>
      <c r="B51" s="93" t="s">
        <v>25</v>
      </c>
      <c r="C51" s="93" t="s">
        <v>1510</v>
      </c>
      <c r="D51" s="33" t="s">
        <v>1775</v>
      </c>
      <c r="E51" s="34" t="s">
        <v>1468</v>
      </c>
      <c r="F51" s="34" t="s">
        <v>1473</v>
      </c>
      <c r="G51" s="34" t="s">
        <v>111</v>
      </c>
      <c r="H51" s="37">
        <v>1</v>
      </c>
      <c r="I51" s="34" t="s">
        <v>112</v>
      </c>
      <c r="J51" s="34" t="s">
        <v>31</v>
      </c>
      <c r="K51" s="34" t="s">
        <v>32</v>
      </c>
      <c r="L51" s="34" t="s">
        <v>1755</v>
      </c>
      <c r="M51" s="34" t="s">
        <v>33</v>
      </c>
      <c r="N51" s="47">
        <v>27</v>
      </c>
      <c r="O51" s="48">
        <v>7</v>
      </c>
      <c r="P51" s="49">
        <v>188</v>
      </c>
      <c r="Q51" s="50">
        <v>19.525544</v>
      </c>
      <c r="R51" s="50">
        <v>-96.921020999999996</v>
      </c>
      <c r="S51" s="66" t="s">
        <v>34</v>
      </c>
      <c r="T51" s="66" t="s">
        <v>175</v>
      </c>
      <c r="U51" s="66" t="s">
        <v>176</v>
      </c>
      <c r="V51" s="66" t="s">
        <v>176</v>
      </c>
      <c r="W51" s="66"/>
      <c r="X51" s="66"/>
      <c r="Y51" s="66"/>
      <c r="Z51" s="66" t="s">
        <v>74</v>
      </c>
      <c r="AA51" s="66" t="s">
        <v>74</v>
      </c>
      <c r="AB51" s="67"/>
      <c r="AC51" s="87">
        <f t="shared" si="0"/>
        <v>0.24074074074074073</v>
      </c>
      <c r="AD51" s="91">
        <v>9</v>
      </c>
      <c r="AE51" s="103" t="s">
        <v>1849</v>
      </c>
      <c r="AF51">
        <f t="shared" si="2"/>
        <v>0</v>
      </c>
      <c r="AG51">
        <f t="shared" si="1"/>
        <v>0</v>
      </c>
    </row>
    <row r="52" spans="1:33" x14ac:dyDescent="0.3">
      <c r="A52" s="84" t="s">
        <v>1709</v>
      </c>
      <c r="B52" s="93" t="s">
        <v>25</v>
      </c>
      <c r="C52" s="93" t="s">
        <v>1510</v>
      </c>
      <c r="D52" s="33" t="s">
        <v>1775</v>
      </c>
      <c r="E52" s="34" t="s">
        <v>1468</v>
      </c>
      <c r="F52" s="34" t="s">
        <v>1710</v>
      </c>
      <c r="G52" s="34" t="s">
        <v>169</v>
      </c>
      <c r="H52" s="37">
        <v>2</v>
      </c>
      <c r="I52" s="34" t="s">
        <v>170</v>
      </c>
      <c r="J52" s="34" t="s">
        <v>31</v>
      </c>
      <c r="K52" s="34" t="s">
        <v>32</v>
      </c>
      <c r="L52" s="34" t="s">
        <v>1755</v>
      </c>
      <c r="M52" s="34" t="s">
        <v>33</v>
      </c>
      <c r="N52" s="47">
        <v>17</v>
      </c>
      <c r="O52" s="48">
        <v>0</v>
      </c>
      <c r="P52" s="49">
        <v>71</v>
      </c>
      <c r="Q52" s="50">
        <v>19.545672700000001</v>
      </c>
      <c r="R52" s="50">
        <v>-96.923429200000001</v>
      </c>
      <c r="S52" s="66" t="s">
        <v>34</v>
      </c>
      <c r="T52" s="66" t="s">
        <v>175</v>
      </c>
      <c r="U52" s="66" t="s">
        <v>176</v>
      </c>
      <c r="V52" s="66" t="s">
        <v>176</v>
      </c>
      <c r="W52" s="66"/>
      <c r="X52" s="66"/>
      <c r="Y52" s="66"/>
      <c r="Z52" s="66" t="s">
        <v>74</v>
      </c>
      <c r="AA52" s="66" t="s">
        <v>74</v>
      </c>
      <c r="AB52" s="67"/>
      <c r="AC52" s="87">
        <f t="shared" si="0"/>
        <v>0.24074074074074073</v>
      </c>
      <c r="AD52" s="91">
        <v>9</v>
      </c>
      <c r="AE52" s="103" t="s">
        <v>1849</v>
      </c>
      <c r="AF52">
        <f t="shared" si="2"/>
        <v>0</v>
      </c>
      <c r="AG52">
        <f t="shared" si="1"/>
        <v>0</v>
      </c>
    </row>
    <row r="53" spans="1:33" x14ac:dyDescent="0.3">
      <c r="A53" s="84" t="s">
        <v>1474</v>
      </c>
      <c r="B53" s="93" t="s">
        <v>25</v>
      </c>
      <c r="C53" s="93" t="s">
        <v>1510</v>
      </c>
      <c r="D53" s="33" t="s">
        <v>1775</v>
      </c>
      <c r="E53" s="34" t="s">
        <v>1475</v>
      </c>
      <c r="F53" s="34" t="s">
        <v>1476</v>
      </c>
      <c r="G53" s="34" t="s">
        <v>111</v>
      </c>
      <c r="H53" s="37">
        <v>1</v>
      </c>
      <c r="I53" s="34" t="s">
        <v>112</v>
      </c>
      <c r="J53" s="34" t="s">
        <v>31</v>
      </c>
      <c r="K53" s="34" t="s">
        <v>32</v>
      </c>
      <c r="L53" s="34" t="s">
        <v>1755</v>
      </c>
      <c r="M53" s="34" t="s">
        <v>33</v>
      </c>
      <c r="N53" s="47">
        <v>10</v>
      </c>
      <c r="O53" s="48">
        <v>3</v>
      </c>
      <c r="P53" s="49">
        <v>69</v>
      </c>
      <c r="Q53" s="50">
        <v>20.08089</v>
      </c>
      <c r="R53" s="50">
        <v>-97.048100000000005</v>
      </c>
      <c r="S53" s="66" t="s">
        <v>34</v>
      </c>
      <c r="T53" s="66" t="s">
        <v>175</v>
      </c>
      <c r="U53" s="66" t="s">
        <v>176</v>
      </c>
      <c r="V53" s="66" t="s">
        <v>176</v>
      </c>
      <c r="W53" s="66"/>
      <c r="X53" s="66"/>
      <c r="Y53" s="66"/>
      <c r="Z53" s="66" t="s">
        <v>74</v>
      </c>
      <c r="AA53" s="66" t="s">
        <v>74</v>
      </c>
      <c r="AB53" s="67"/>
      <c r="AC53" s="87">
        <f t="shared" si="0"/>
        <v>0.24074074074074073</v>
      </c>
      <c r="AD53" s="91">
        <v>9</v>
      </c>
      <c r="AE53" s="103" t="s">
        <v>1849</v>
      </c>
      <c r="AF53">
        <f t="shared" si="2"/>
        <v>0</v>
      </c>
      <c r="AG53">
        <f t="shared" si="1"/>
        <v>0</v>
      </c>
    </row>
    <row r="54" spans="1:33" x14ac:dyDescent="0.3">
      <c r="A54" s="84" t="s">
        <v>1480</v>
      </c>
      <c r="B54" s="93" t="s">
        <v>25</v>
      </c>
      <c r="C54" s="93" t="s">
        <v>1510</v>
      </c>
      <c r="D54" s="34" t="s">
        <v>1775</v>
      </c>
      <c r="E54" s="34" t="s">
        <v>1481</v>
      </c>
      <c r="F54" s="34" t="s">
        <v>1482</v>
      </c>
      <c r="G54" s="34" t="s">
        <v>111</v>
      </c>
      <c r="H54" s="37">
        <v>1</v>
      </c>
      <c r="I54" s="34" t="s">
        <v>112</v>
      </c>
      <c r="J54" s="34" t="s">
        <v>31</v>
      </c>
      <c r="K54" s="34" t="s">
        <v>32</v>
      </c>
      <c r="L54" s="34" t="s">
        <v>1755</v>
      </c>
      <c r="M54" s="34" t="s">
        <v>33</v>
      </c>
      <c r="N54" s="47">
        <v>8</v>
      </c>
      <c r="O54" s="48">
        <v>2</v>
      </c>
      <c r="P54" s="49">
        <v>45</v>
      </c>
      <c r="Q54" s="50">
        <v>19.922930000000001</v>
      </c>
      <c r="R54" s="50">
        <v>-96.851500000000001</v>
      </c>
      <c r="S54" s="66" t="s">
        <v>34</v>
      </c>
      <c r="T54" s="66" t="s">
        <v>175</v>
      </c>
      <c r="U54" s="66" t="s">
        <v>176</v>
      </c>
      <c r="V54" s="66" t="s">
        <v>176</v>
      </c>
      <c r="W54" s="66"/>
      <c r="X54" s="66"/>
      <c r="Y54" s="66"/>
      <c r="Z54" s="66" t="s">
        <v>74</v>
      </c>
      <c r="AA54" s="66" t="s">
        <v>74</v>
      </c>
      <c r="AB54" s="67"/>
      <c r="AC54" s="87">
        <f t="shared" si="0"/>
        <v>0.24074074074074073</v>
      </c>
      <c r="AD54" s="91">
        <v>9</v>
      </c>
      <c r="AE54" s="103" t="s">
        <v>1849</v>
      </c>
      <c r="AF54">
        <f t="shared" si="2"/>
        <v>0</v>
      </c>
      <c r="AG54">
        <f t="shared" si="1"/>
        <v>0</v>
      </c>
    </row>
    <row r="55" spans="1:33" x14ac:dyDescent="0.3">
      <c r="A55" s="84" t="s">
        <v>1486</v>
      </c>
      <c r="B55" s="93" t="s">
        <v>25</v>
      </c>
      <c r="C55" s="93" t="s">
        <v>1510</v>
      </c>
      <c r="D55" s="34" t="s">
        <v>1775</v>
      </c>
      <c r="E55" s="34" t="s">
        <v>1487</v>
      </c>
      <c r="F55" s="34" t="s">
        <v>1488</v>
      </c>
      <c r="G55" s="34" t="s">
        <v>111</v>
      </c>
      <c r="H55" s="37">
        <v>1</v>
      </c>
      <c r="I55" s="34" t="s">
        <v>112</v>
      </c>
      <c r="J55" s="34" t="s">
        <v>31</v>
      </c>
      <c r="K55" s="34" t="s">
        <v>32</v>
      </c>
      <c r="L55" s="34" t="s">
        <v>1755</v>
      </c>
      <c r="M55" s="34" t="s">
        <v>33</v>
      </c>
      <c r="N55" s="47">
        <v>10</v>
      </c>
      <c r="O55" s="48">
        <v>1</v>
      </c>
      <c r="P55" s="49">
        <v>60</v>
      </c>
      <c r="Q55" s="50">
        <v>20.450330000000001</v>
      </c>
      <c r="R55" s="50">
        <v>-97.329043100000007</v>
      </c>
      <c r="S55" s="66" t="s">
        <v>34</v>
      </c>
      <c r="T55" s="66" t="s">
        <v>175</v>
      </c>
      <c r="U55" s="66" t="s">
        <v>176</v>
      </c>
      <c r="V55" s="66" t="s">
        <v>176</v>
      </c>
      <c r="W55" s="66"/>
      <c r="X55" s="66"/>
      <c r="Y55" s="66"/>
      <c r="Z55" s="66" t="s">
        <v>74</v>
      </c>
      <c r="AA55" s="66" t="s">
        <v>74</v>
      </c>
      <c r="AB55" s="67"/>
      <c r="AC55" s="87">
        <f t="shared" si="0"/>
        <v>0.24074074074074073</v>
      </c>
      <c r="AD55" s="91">
        <v>9</v>
      </c>
      <c r="AE55" s="103" t="s">
        <v>1849</v>
      </c>
      <c r="AF55">
        <f t="shared" si="2"/>
        <v>0</v>
      </c>
      <c r="AG55">
        <f t="shared" si="1"/>
        <v>0</v>
      </c>
    </row>
    <row r="56" spans="1:33" x14ac:dyDescent="0.3">
      <c r="A56" s="84" t="s">
        <v>797</v>
      </c>
      <c r="B56" s="93" t="s">
        <v>25</v>
      </c>
      <c r="C56" s="93" t="s">
        <v>1510</v>
      </c>
      <c r="D56" s="33" t="s">
        <v>1775</v>
      </c>
      <c r="E56" s="34" t="s">
        <v>798</v>
      </c>
      <c r="F56" s="34" t="s">
        <v>799</v>
      </c>
      <c r="G56" s="34" t="s">
        <v>29</v>
      </c>
      <c r="H56" s="37">
        <v>1</v>
      </c>
      <c r="I56" s="34" t="s">
        <v>30</v>
      </c>
      <c r="J56" s="34" t="s">
        <v>31</v>
      </c>
      <c r="K56" s="34" t="s">
        <v>32</v>
      </c>
      <c r="L56" s="34" t="s">
        <v>1755</v>
      </c>
      <c r="M56" s="34" t="s">
        <v>33</v>
      </c>
      <c r="N56" s="47">
        <v>10</v>
      </c>
      <c r="O56" s="48">
        <v>1</v>
      </c>
      <c r="P56" s="49">
        <v>16</v>
      </c>
      <c r="Q56" s="50">
        <v>19.38645</v>
      </c>
      <c r="R56" s="50">
        <v>-96.973200000000006</v>
      </c>
      <c r="S56" s="66" t="s">
        <v>34</v>
      </c>
      <c r="T56" s="66" t="s">
        <v>175</v>
      </c>
      <c r="U56" s="66" t="s">
        <v>176</v>
      </c>
      <c r="V56" s="66" t="s">
        <v>176</v>
      </c>
      <c r="W56" s="66"/>
      <c r="X56" s="66"/>
      <c r="Y56" s="66"/>
      <c r="Z56" s="66" t="s">
        <v>74</v>
      </c>
      <c r="AA56" s="66" t="s">
        <v>74</v>
      </c>
      <c r="AB56" s="67"/>
      <c r="AC56" s="87">
        <f t="shared" si="0"/>
        <v>0.24074074074074073</v>
      </c>
      <c r="AD56" s="91">
        <v>9</v>
      </c>
      <c r="AE56" s="103" t="s">
        <v>1849</v>
      </c>
      <c r="AF56">
        <f t="shared" si="2"/>
        <v>0</v>
      </c>
      <c r="AG56">
        <f t="shared" si="1"/>
        <v>0</v>
      </c>
    </row>
    <row r="57" spans="1:33" x14ac:dyDescent="0.3">
      <c r="A57" s="84" t="s">
        <v>803</v>
      </c>
      <c r="B57" s="93" t="s">
        <v>25</v>
      </c>
      <c r="C57" s="93" t="s">
        <v>1510</v>
      </c>
      <c r="D57" s="33" t="s">
        <v>1775</v>
      </c>
      <c r="E57" s="34" t="s">
        <v>804</v>
      </c>
      <c r="F57" s="34" t="s">
        <v>805</v>
      </c>
      <c r="G57" s="34" t="s">
        <v>29</v>
      </c>
      <c r="H57" s="37">
        <v>1</v>
      </c>
      <c r="I57" s="34" t="s">
        <v>30</v>
      </c>
      <c r="J57" s="34" t="s">
        <v>31</v>
      </c>
      <c r="K57" s="34" t="s">
        <v>32</v>
      </c>
      <c r="L57" s="34" t="s">
        <v>1755</v>
      </c>
      <c r="M57" s="34" t="s">
        <v>33</v>
      </c>
      <c r="N57" s="47">
        <v>6</v>
      </c>
      <c r="O57" s="48">
        <v>2</v>
      </c>
      <c r="P57" s="49">
        <v>25</v>
      </c>
      <c r="Q57" s="50">
        <v>19.963850000000001</v>
      </c>
      <c r="R57" s="50">
        <v>-97.218900000000005</v>
      </c>
      <c r="S57" s="66" t="s">
        <v>34</v>
      </c>
      <c r="T57" s="66" t="s">
        <v>175</v>
      </c>
      <c r="U57" s="66" t="s">
        <v>176</v>
      </c>
      <c r="V57" s="66" t="s">
        <v>176</v>
      </c>
      <c r="W57" s="66"/>
      <c r="X57" s="66"/>
      <c r="Y57" s="66"/>
      <c r="Z57" s="66" t="s">
        <v>74</v>
      </c>
      <c r="AA57" s="66" t="s">
        <v>74</v>
      </c>
      <c r="AB57" s="67"/>
      <c r="AC57" s="87">
        <f t="shared" si="0"/>
        <v>0.24074074074074073</v>
      </c>
      <c r="AD57" s="91">
        <v>9</v>
      </c>
      <c r="AE57" s="103" t="s">
        <v>1849</v>
      </c>
      <c r="AF57">
        <f t="shared" si="2"/>
        <v>0</v>
      </c>
      <c r="AG57">
        <f t="shared" si="1"/>
        <v>0</v>
      </c>
    </row>
    <row r="58" spans="1:33" x14ac:dyDescent="0.3">
      <c r="A58" s="84" t="s">
        <v>821</v>
      </c>
      <c r="B58" s="93" t="s">
        <v>25</v>
      </c>
      <c r="C58" s="93" t="s">
        <v>1510</v>
      </c>
      <c r="D58" s="33" t="s">
        <v>1775</v>
      </c>
      <c r="E58" s="34" t="s">
        <v>822</v>
      </c>
      <c r="F58" s="34" t="s">
        <v>823</v>
      </c>
      <c r="G58" s="34" t="s">
        <v>29</v>
      </c>
      <c r="H58" s="37">
        <v>1</v>
      </c>
      <c r="I58" s="34" t="s">
        <v>30</v>
      </c>
      <c r="J58" s="34" t="s">
        <v>31</v>
      </c>
      <c r="K58" s="34" t="s">
        <v>32</v>
      </c>
      <c r="L58" s="34" t="s">
        <v>1755</v>
      </c>
      <c r="M58" s="34" t="s">
        <v>33</v>
      </c>
      <c r="N58" s="47">
        <v>11</v>
      </c>
      <c r="O58" s="48">
        <v>2</v>
      </c>
      <c r="P58" s="49">
        <v>30</v>
      </c>
      <c r="Q58" s="50">
        <v>20.277149999999999</v>
      </c>
      <c r="R58" s="50">
        <v>-97.548199999999994</v>
      </c>
      <c r="S58" s="66" t="s">
        <v>34</v>
      </c>
      <c r="T58" s="66" t="s">
        <v>175</v>
      </c>
      <c r="U58" s="66" t="s">
        <v>176</v>
      </c>
      <c r="V58" s="66" t="s">
        <v>176</v>
      </c>
      <c r="W58" s="66"/>
      <c r="X58" s="66"/>
      <c r="Y58" s="66"/>
      <c r="Z58" s="66" t="s">
        <v>74</v>
      </c>
      <c r="AA58" s="66" t="s">
        <v>74</v>
      </c>
      <c r="AB58" s="67"/>
      <c r="AC58" s="87">
        <f t="shared" si="0"/>
        <v>0.24074074074074073</v>
      </c>
      <c r="AD58" s="91">
        <v>9</v>
      </c>
      <c r="AE58" s="103" t="s">
        <v>1849</v>
      </c>
      <c r="AF58">
        <f t="shared" si="2"/>
        <v>0</v>
      </c>
      <c r="AG58">
        <f t="shared" si="1"/>
        <v>0</v>
      </c>
    </row>
    <row r="59" spans="1:33" x14ac:dyDescent="0.3">
      <c r="A59" s="84" t="s">
        <v>1523</v>
      </c>
      <c r="B59" s="93" t="s">
        <v>25</v>
      </c>
      <c r="C59" s="93" t="s">
        <v>1510</v>
      </c>
      <c r="D59" s="34" t="s">
        <v>1775</v>
      </c>
      <c r="E59" s="34" t="s">
        <v>1524</v>
      </c>
      <c r="F59" s="34" t="s">
        <v>1525</v>
      </c>
      <c r="G59" s="34" t="s">
        <v>111</v>
      </c>
      <c r="H59" s="37">
        <v>1</v>
      </c>
      <c r="I59" s="34" t="s">
        <v>112</v>
      </c>
      <c r="J59" s="34" t="s">
        <v>31</v>
      </c>
      <c r="K59" s="34" t="s">
        <v>32</v>
      </c>
      <c r="L59" s="34" t="s">
        <v>1755</v>
      </c>
      <c r="M59" s="34" t="s">
        <v>33</v>
      </c>
      <c r="N59" s="47">
        <v>11</v>
      </c>
      <c r="O59" s="48">
        <v>3</v>
      </c>
      <c r="P59" s="49">
        <v>53</v>
      </c>
      <c r="Q59" s="50">
        <v>19.5784667</v>
      </c>
      <c r="R59" s="50">
        <v>-97.242171099999993</v>
      </c>
      <c r="S59" s="66" t="s">
        <v>34</v>
      </c>
      <c r="T59" s="66" t="s">
        <v>175</v>
      </c>
      <c r="U59" s="66" t="s">
        <v>176</v>
      </c>
      <c r="V59" s="66" t="s">
        <v>176</v>
      </c>
      <c r="W59" s="66"/>
      <c r="X59" s="66"/>
      <c r="Y59" s="66"/>
      <c r="Z59" s="66" t="s">
        <v>74</v>
      </c>
      <c r="AA59" s="66" t="s">
        <v>74</v>
      </c>
      <c r="AB59" s="67"/>
      <c r="AC59" s="87">
        <f t="shared" si="0"/>
        <v>0.24074074074074073</v>
      </c>
      <c r="AD59" s="91">
        <v>9</v>
      </c>
      <c r="AE59" s="103" t="s">
        <v>1849</v>
      </c>
      <c r="AF59">
        <f t="shared" si="2"/>
        <v>0</v>
      </c>
      <c r="AG59">
        <f t="shared" si="1"/>
        <v>0</v>
      </c>
    </row>
    <row r="60" spans="1:33" x14ac:dyDescent="0.3">
      <c r="A60" s="84" t="s">
        <v>830</v>
      </c>
      <c r="B60" s="93" t="s">
        <v>25</v>
      </c>
      <c r="C60" s="93" t="s">
        <v>1510</v>
      </c>
      <c r="D60" s="34" t="s">
        <v>1775</v>
      </c>
      <c r="E60" s="34" t="s">
        <v>831</v>
      </c>
      <c r="F60" s="34" t="s">
        <v>832</v>
      </c>
      <c r="G60" s="34" t="s">
        <v>29</v>
      </c>
      <c r="H60" s="37">
        <v>1</v>
      </c>
      <c r="I60" s="34" t="s">
        <v>30</v>
      </c>
      <c r="J60" s="34" t="s">
        <v>31</v>
      </c>
      <c r="K60" s="34" t="s">
        <v>32</v>
      </c>
      <c r="L60" s="34" t="s">
        <v>1755</v>
      </c>
      <c r="M60" s="34" t="s">
        <v>33</v>
      </c>
      <c r="N60" s="47">
        <v>9</v>
      </c>
      <c r="O60" s="48">
        <v>2</v>
      </c>
      <c r="P60" s="49">
        <v>27</v>
      </c>
      <c r="Q60" s="50">
        <v>19.662520000000001</v>
      </c>
      <c r="R60" s="50">
        <v>-96.868399999999994</v>
      </c>
      <c r="S60" s="66" t="s">
        <v>34</v>
      </c>
      <c r="T60" s="66" t="s">
        <v>175</v>
      </c>
      <c r="U60" s="66" t="s">
        <v>176</v>
      </c>
      <c r="V60" s="66" t="s">
        <v>176</v>
      </c>
      <c r="W60" s="66"/>
      <c r="X60" s="66"/>
      <c r="Y60" s="66"/>
      <c r="Z60" s="66" t="s">
        <v>74</v>
      </c>
      <c r="AA60" s="66" t="s">
        <v>74</v>
      </c>
      <c r="AB60" s="67"/>
      <c r="AC60" s="87">
        <f t="shared" si="0"/>
        <v>0.24074074074074073</v>
      </c>
      <c r="AD60" s="91">
        <v>9</v>
      </c>
      <c r="AE60" s="103" t="s">
        <v>1849</v>
      </c>
      <c r="AF60">
        <f t="shared" si="2"/>
        <v>0</v>
      </c>
      <c r="AG60">
        <f t="shared" si="1"/>
        <v>0</v>
      </c>
    </row>
    <row r="61" spans="1:33" x14ac:dyDescent="0.3">
      <c r="A61" s="101" t="s">
        <v>1680</v>
      </c>
      <c r="B61" s="93" t="s">
        <v>25</v>
      </c>
      <c r="C61" s="93" t="s">
        <v>1510</v>
      </c>
      <c r="D61" s="33" t="s">
        <v>1775</v>
      </c>
      <c r="E61" s="34" t="s">
        <v>1681</v>
      </c>
      <c r="F61" s="34" t="s">
        <v>1682</v>
      </c>
      <c r="G61" s="34" t="s">
        <v>169</v>
      </c>
      <c r="H61" s="37">
        <v>2</v>
      </c>
      <c r="I61" s="34" t="s">
        <v>170</v>
      </c>
      <c r="J61" s="34" t="s">
        <v>31</v>
      </c>
      <c r="K61" s="34" t="s">
        <v>32</v>
      </c>
      <c r="L61" s="34" t="s">
        <v>1755</v>
      </c>
      <c r="M61" s="34" t="s">
        <v>33</v>
      </c>
      <c r="N61" s="47">
        <v>13</v>
      </c>
      <c r="O61" s="48">
        <v>0</v>
      </c>
      <c r="P61" s="49">
        <v>120</v>
      </c>
      <c r="Q61" s="50">
        <v>20.197225400000001</v>
      </c>
      <c r="R61" s="50">
        <v>-96.758920000000003</v>
      </c>
      <c r="S61" s="66" t="s">
        <v>34</v>
      </c>
      <c r="T61" s="66" t="s">
        <v>175</v>
      </c>
      <c r="U61" s="66" t="s">
        <v>176</v>
      </c>
      <c r="V61" s="66" t="s">
        <v>176</v>
      </c>
      <c r="W61" s="66"/>
      <c r="X61" s="66"/>
      <c r="Y61" s="66"/>
      <c r="Z61" s="66" t="s">
        <v>74</v>
      </c>
      <c r="AA61" s="66" t="s">
        <v>74</v>
      </c>
      <c r="AB61" s="67"/>
      <c r="AC61" s="87">
        <f t="shared" si="0"/>
        <v>0.24074074074074073</v>
      </c>
      <c r="AD61" s="91">
        <v>9</v>
      </c>
      <c r="AE61" s="103" t="s">
        <v>1849</v>
      </c>
      <c r="AF61">
        <f t="shared" si="2"/>
        <v>0</v>
      </c>
      <c r="AG61">
        <f t="shared" si="1"/>
        <v>0</v>
      </c>
    </row>
    <row r="62" spans="1:33" x14ac:dyDescent="0.3">
      <c r="A62" s="84" t="s">
        <v>165</v>
      </c>
      <c r="B62" s="93" t="s">
        <v>25</v>
      </c>
      <c r="C62" s="93" t="s">
        <v>26</v>
      </c>
      <c r="D62" s="33" t="s">
        <v>1775</v>
      </c>
      <c r="E62" s="34" t="s">
        <v>141</v>
      </c>
      <c r="F62" s="34" t="s">
        <v>166</v>
      </c>
      <c r="G62" s="34" t="s">
        <v>164</v>
      </c>
      <c r="H62" s="37">
        <v>2</v>
      </c>
      <c r="I62" s="34" t="s">
        <v>112</v>
      </c>
      <c r="J62" s="34" t="s">
        <v>31</v>
      </c>
      <c r="K62" s="34" t="s">
        <v>32</v>
      </c>
      <c r="L62" s="34" t="s">
        <v>1755</v>
      </c>
      <c r="M62" s="34" t="s">
        <v>33</v>
      </c>
      <c r="N62" s="47">
        <v>9</v>
      </c>
      <c r="O62" s="48">
        <v>3</v>
      </c>
      <c r="P62" s="49">
        <v>81</v>
      </c>
      <c r="Q62" s="50">
        <v>16.733135999999998</v>
      </c>
      <c r="R62" s="50">
        <v>-92.636848999999998</v>
      </c>
      <c r="S62" s="66" t="s">
        <v>34</v>
      </c>
      <c r="T62" s="66" t="s">
        <v>35</v>
      </c>
      <c r="U62" s="66" t="s">
        <v>35</v>
      </c>
      <c r="V62" s="66" t="s">
        <v>35</v>
      </c>
      <c r="W62" s="66" t="s">
        <v>35</v>
      </c>
      <c r="X62" s="66" t="s">
        <v>35</v>
      </c>
      <c r="Y62" s="66" t="s">
        <v>36</v>
      </c>
      <c r="Z62" s="66" t="s">
        <v>37</v>
      </c>
      <c r="AA62" s="66" t="s">
        <v>37</v>
      </c>
      <c r="AB62" s="67"/>
      <c r="AC62" s="87">
        <f t="shared" si="0"/>
        <v>1</v>
      </c>
      <c r="AD62" s="91">
        <v>4</v>
      </c>
      <c r="AE62" s="64" t="s">
        <v>1786</v>
      </c>
      <c r="AF62">
        <f t="shared" si="2"/>
        <v>0</v>
      </c>
      <c r="AG62">
        <f t="shared" si="1"/>
        <v>1</v>
      </c>
    </row>
    <row r="63" spans="1:33" x14ac:dyDescent="0.3">
      <c r="A63" s="84" t="s">
        <v>1541</v>
      </c>
      <c r="B63" s="93" t="s">
        <v>25</v>
      </c>
      <c r="C63" s="93" t="s">
        <v>837</v>
      </c>
      <c r="D63" s="33" t="s">
        <v>1775</v>
      </c>
      <c r="E63" s="34" t="s">
        <v>1542</v>
      </c>
      <c r="F63" s="34" t="s">
        <v>1543</v>
      </c>
      <c r="G63" s="34" t="s">
        <v>111</v>
      </c>
      <c r="H63" s="37">
        <v>1</v>
      </c>
      <c r="I63" s="34" t="s">
        <v>112</v>
      </c>
      <c r="J63" s="34" t="s">
        <v>31</v>
      </c>
      <c r="K63" s="34" t="s">
        <v>32</v>
      </c>
      <c r="L63" s="34" t="s">
        <v>1755</v>
      </c>
      <c r="M63" s="34" t="s">
        <v>33</v>
      </c>
      <c r="N63" s="47">
        <v>11</v>
      </c>
      <c r="O63" s="48">
        <v>3</v>
      </c>
      <c r="P63" s="49">
        <v>50</v>
      </c>
      <c r="Q63" s="50">
        <v>22.639379999999999</v>
      </c>
      <c r="R63" s="50">
        <v>-102.996528</v>
      </c>
      <c r="S63" s="66" t="s">
        <v>34</v>
      </c>
      <c r="T63" s="66" t="s">
        <v>35</v>
      </c>
      <c r="U63" s="66" t="s">
        <v>35</v>
      </c>
      <c r="V63" s="66" t="s">
        <v>35</v>
      </c>
      <c r="W63" s="66" t="s">
        <v>35</v>
      </c>
      <c r="X63" s="66" t="s">
        <v>35</v>
      </c>
      <c r="Y63" s="66" t="s">
        <v>36</v>
      </c>
      <c r="Z63" s="66" t="s">
        <v>74</v>
      </c>
      <c r="AA63" s="66" t="s">
        <v>74</v>
      </c>
      <c r="AB63" s="67"/>
      <c r="AC63" s="87">
        <f t="shared" si="0"/>
        <v>0.77777777777777779</v>
      </c>
      <c r="AD63" s="91">
        <v>4</v>
      </c>
      <c r="AE63" s="64" t="s">
        <v>1786</v>
      </c>
      <c r="AF63">
        <f t="shared" si="2"/>
        <v>0</v>
      </c>
      <c r="AG63">
        <f t="shared" si="1"/>
        <v>0</v>
      </c>
    </row>
    <row r="64" spans="1:33" x14ac:dyDescent="0.3">
      <c r="A64" s="84" t="s">
        <v>860</v>
      </c>
      <c r="B64" s="93" t="s">
        <v>25</v>
      </c>
      <c r="C64" s="93" t="s">
        <v>837</v>
      </c>
      <c r="D64" s="33" t="s">
        <v>1775</v>
      </c>
      <c r="E64" s="34" t="s">
        <v>861</v>
      </c>
      <c r="F64" s="34" t="s">
        <v>862</v>
      </c>
      <c r="G64" s="34" t="s">
        <v>29</v>
      </c>
      <c r="H64" s="37">
        <v>1</v>
      </c>
      <c r="I64" s="34" t="s">
        <v>30</v>
      </c>
      <c r="J64" s="34" t="s">
        <v>31</v>
      </c>
      <c r="K64" s="34" t="s">
        <v>32</v>
      </c>
      <c r="L64" s="34" t="s">
        <v>1755</v>
      </c>
      <c r="M64" s="34" t="s">
        <v>33</v>
      </c>
      <c r="N64" s="47">
        <v>9</v>
      </c>
      <c r="O64" s="48">
        <v>2</v>
      </c>
      <c r="P64" s="49">
        <v>21</v>
      </c>
      <c r="Q64" s="50">
        <v>22.936183</v>
      </c>
      <c r="R64" s="50">
        <v>-102.695306</v>
      </c>
      <c r="S64" s="66" t="s">
        <v>34</v>
      </c>
      <c r="T64" s="66" t="s">
        <v>35</v>
      </c>
      <c r="U64" s="66" t="s">
        <v>35</v>
      </c>
      <c r="V64" s="66" t="s">
        <v>35</v>
      </c>
      <c r="W64" s="66" t="s">
        <v>35</v>
      </c>
      <c r="X64" s="66" t="s">
        <v>35</v>
      </c>
      <c r="Y64" s="66" t="s">
        <v>36</v>
      </c>
      <c r="Z64" s="66" t="s">
        <v>37</v>
      </c>
      <c r="AA64" s="66" t="s">
        <v>37</v>
      </c>
      <c r="AB64" s="67"/>
      <c r="AC64" s="87">
        <f t="shared" si="0"/>
        <v>1</v>
      </c>
      <c r="AD64" s="91">
        <v>4</v>
      </c>
      <c r="AE64" s="64" t="s">
        <v>1786</v>
      </c>
      <c r="AF64">
        <f t="shared" si="2"/>
        <v>0</v>
      </c>
      <c r="AG64">
        <f t="shared" si="1"/>
        <v>1</v>
      </c>
    </row>
    <row r="65" spans="1:33" x14ac:dyDescent="0.3">
      <c r="A65" s="84" t="s">
        <v>863</v>
      </c>
      <c r="B65" s="93" t="s">
        <v>25</v>
      </c>
      <c r="C65" s="93" t="s">
        <v>837</v>
      </c>
      <c r="D65" s="33" t="s">
        <v>1775</v>
      </c>
      <c r="E65" s="34" t="s">
        <v>864</v>
      </c>
      <c r="F65" s="34" t="s">
        <v>865</v>
      </c>
      <c r="G65" s="34" t="s">
        <v>29</v>
      </c>
      <c r="H65" s="37">
        <v>1</v>
      </c>
      <c r="I65" s="34" t="s">
        <v>30</v>
      </c>
      <c r="J65" s="34" t="s">
        <v>31</v>
      </c>
      <c r="K65" s="34" t="s">
        <v>32</v>
      </c>
      <c r="L65" s="34" t="s">
        <v>1755</v>
      </c>
      <c r="M65" s="34" t="s">
        <v>33</v>
      </c>
      <c r="N65" s="47">
        <v>9</v>
      </c>
      <c r="O65" s="48">
        <v>2</v>
      </c>
      <c r="P65" s="49">
        <v>17</v>
      </c>
      <c r="Q65" s="50">
        <v>23.282257000000001</v>
      </c>
      <c r="R65" s="50">
        <v>-102.341605</v>
      </c>
      <c r="S65" s="66" t="s">
        <v>34</v>
      </c>
      <c r="T65" s="66" t="s">
        <v>35</v>
      </c>
      <c r="U65" s="66" t="s">
        <v>35</v>
      </c>
      <c r="V65" s="66" t="s">
        <v>35</v>
      </c>
      <c r="W65" s="66" t="s">
        <v>35</v>
      </c>
      <c r="X65" s="66" t="s">
        <v>35</v>
      </c>
      <c r="Y65" s="66" t="s">
        <v>36</v>
      </c>
      <c r="Z65" s="66" t="s">
        <v>74</v>
      </c>
      <c r="AA65" s="66" t="s">
        <v>74</v>
      </c>
      <c r="AB65" s="67"/>
      <c r="AC65" s="87">
        <f t="shared" si="0"/>
        <v>0.77777777777777779</v>
      </c>
      <c r="AD65" s="91">
        <v>4</v>
      </c>
      <c r="AE65" s="64" t="s">
        <v>1786</v>
      </c>
      <c r="AF65">
        <f t="shared" si="2"/>
        <v>0</v>
      </c>
      <c r="AG65">
        <f t="shared" si="1"/>
        <v>0</v>
      </c>
    </row>
    <row r="66" spans="1:33" x14ac:dyDescent="0.3">
      <c r="A66" s="84" t="s">
        <v>50</v>
      </c>
      <c r="B66" s="93" t="s">
        <v>25</v>
      </c>
      <c r="C66" s="96" t="s">
        <v>26</v>
      </c>
      <c r="D66" s="33" t="s">
        <v>1775</v>
      </c>
      <c r="E66" s="34" t="s">
        <v>51</v>
      </c>
      <c r="F66" s="34" t="s">
        <v>52</v>
      </c>
      <c r="G66" s="34" t="s">
        <v>29</v>
      </c>
      <c r="H66" s="37">
        <v>1</v>
      </c>
      <c r="I66" s="34" t="s">
        <v>30</v>
      </c>
      <c r="J66" s="34" t="s">
        <v>31</v>
      </c>
      <c r="K66" s="34" t="s">
        <v>32</v>
      </c>
      <c r="L66" s="34" t="s">
        <v>1755</v>
      </c>
      <c r="M66" s="34" t="s">
        <v>33</v>
      </c>
      <c r="N66" s="47">
        <v>7</v>
      </c>
      <c r="O66" s="48">
        <v>1</v>
      </c>
      <c r="P66" s="49">
        <v>28</v>
      </c>
      <c r="Q66" s="50">
        <v>17.313151000000001</v>
      </c>
      <c r="R66" s="50">
        <v>-92.428340000000006</v>
      </c>
      <c r="S66" s="66" t="s">
        <v>34</v>
      </c>
      <c r="T66" s="66" t="s">
        <v>35</v>
      </c>
      <c r="U66" s="66" t="s">
        <v>35</v>
      </c>
      <c r="V66" s="66" t="s">
        <v>35</v>
      </c>
      <c r="W66" s="66" t="s">
        <v>35</v>
      </c>
      <c r="X66" s="66" t="s">
        <v>35</v>
      </c>
      <c r="Y66" s="66" t="s">
        <v>36</v>
      </c>
      <c r="Z66" s="66" t="s">
        <v>37</v>
      </c>
      <c r="AA66" s="66" t="s">
        <v>37</v>
      </c>
      <c r="AB66" s="67"/>
      <c r="AC66" s="87">
        <f t="shared" ref="AC66:AC129" si="3">(
IF(S66="ENVIADO A LA CE/UM",1/3,IF(S66="ENTREGADO/REVISIÓN",2/3,IF(S66="ENVIADO A TICS",1,0)))+
IF(T66="EN PROCESO",1/2,IF(T66="CONCLUIDO",1,0))+
IF(OR(U66="CONCLUIDO",U66="NO APLICA"),1,IF(U66="EN REVISIÓN CENTRAL",2/3,IF(U66="ENVIADO A LA CE/UM",1/3,0)))+
IF(OR(V66="CONCLUIDO",V66="NO APLICA"),1,IF(V66="EN REVISIÓN CENTRAL",2/3,IF(V66="ENVIADO A LA CE/UM",1/3,0)))+                                                                                                                                                                                                                                                         IF(OR(W66="CONCLUIDO",W66="NO APLICA"),1,IF(W66="EN PROCESO",0.5,0))+
IF(OR(X66="CONCLUIDO",X66="NO APLICA"),1,IF(X66="EN PROCESO",0.5,0))+
IF(Y66="PROGRAMADAS",1/2,IF(Y66="CONCLUIDAS",1,0))+
IF(OR(Z66="SI",Z66="NO APLICA"),1,0)+
IF(OR(AA66="SI",AA66="NO APLICA"),1,0)
)/9</f>
        <v>1</v>
      </c>
      <c r="AD66" s="91">
        <v>4</v>
      </c>
      <c r="AE66" s="64" t="s">
        <v>1786</v>
      </c>
      <c r="AF66">
        <f t="shared" si="2"/>
        <v>0</v>
      </c>
      <c r="AG66">
        <f t="shared" ref="AG66:AG129" si="4">IF(AND(OR(Z66="SI",Z66="NO APLICA"),OR(AA66="SI",AA66="NO APLICA")),1,0)</f>
        <v>1</v>
      </c>
    </row>
    <row r="67" spans="1:33" x14ac:dyDescent="0.3">
      <c r="A67" s="84" t="s">
        <v>836</v>
      </c>
      <c r="B67" s="93" t="s">
        <v>25</v>
      </c>
      <c r="C67" s="93" t="s">
        <v>837</v>
      </c>
      <c r="D67" s="33" t="s">
        <v>1775</v>
      </c>
      <c r="E67" s="34" t="s">
        <v>838</v>
      </c>
      <c r="F67" s="34" t="s">
        <v>839</v>
      </c>
      <c r="G67" s="34" t="s">
        <v>29</v>
      </c>
      <c r="H67" s="37">
        <v>1</v>
      </c>
      <c r="I67" s="34" t="s">
        <v>30</v>
      </c>
      <c r="J67" s="34" t="s">
        <v>31</v>
      </c>
      <c r="K67" s="34" t="s">
        <v>32</v>
      </c>
      <c r="L67" s="34" t="s">
        <v>1755</v>
      </c>
      <c r="M67" s="34" t="s">
        <v>33</v>
      </c>
      <c r="N67" s="47">
        <v>10</v>
      </c>
      <c r="O67" s="48">
        <v>2</v>
      </c>
      <c r="P67" s="49">
        <v>19</v>
      </c>
      <c r="Q67" s="50">
        <v>21.651710000000001</v>
      </c>
      <c r="R67" s="50">
        <v>-102.971898</v>
      </c>
      <c r="S67" s="66" t="s">
        <v>34</v>
      </c>
      <c r="T67" s="66" t="s">
        <v>35</v>
      </c>
      <c r="U67" s="66" t="s">
        <v>35</v>
      </c>
      <c r="V67" s="66" t="s">
        <v>35</v>
      </c>
      <c r="W67" s="66" t="s">
        <v>35</v>
      </c>
      <c r="X67" s="66" t="s">
        <v>35</v>
      </c>
      <c r="Y67" s="66" t="s">
        <v>36</v>
      </c>
      <c r="Z67" s="66" t="s">
        <v>74</v>
      </c>
      <c r="AA67" s="66" t="s">
        <v>74</v>
      </c>
      <c r="AB67" s="67"/>
      <c r="AC67" s="87">
        <f t="shared" si="3"/>
        <v>0.77777777777777779</v>
      </c>
      <c r="AD67" s="91">
        <v>4</v>
      </c>
      <c r="AE67" s="64" t="s">
        <v>1786</v>
      </c>
      <c r="AF67">
        <f t="shared" ref="AF67:AF130" si="5">IF(OR(AND(Z67="SI",AA67="NO"),AND(Z67="NO",AA67="SI")),1,0)</f>
        <v>0</v>
      </c>
      <c r="AG67">
        <f t="shared" si="4"/>
        <v>0</v>
      </c>
    </row>
    <row r="68" spans="1:33" x14ac:dyDescent="0.3">
      <c r="A68" s="84" t="s">
        <v>840</v>
      </c>
      <c r="B68" s="93" t="s">
        <v>25</v>
      </c>
      <c r="C68" s="93" t="s">
        <v>837</v>
      </c>
      <c r="D68" s="33" t="s">
        <v>1775</v>
      </c>
      <c r="E68" s="34" t="s">
        <v>841</v>
      </c>
      <c r="F68" s="34" t="s">
        <v>842</v>
      </c>
      <c r="G68" s="34" t="s">
        <v>29</v>
      </c>
      <c r="H68" s="37">
        <v>1</v>
      </c>
      <c r="I68" s="34" t="s">
        <v>30</v>
      </c>
      <c r="J68" s="34" t="s">
        <v>31</v>
      </c>
      <c r="K68" s="34" t="s">
        <v>32</v>
      </c>
      <c r="L68" s="34" t="s">
        <v>1755</v>
      </c>
      <c r="M68" s="34" t="s">
        <v>33</v>
      </c>
      <c r="N68" s="47">
        <v>10</v>
      </c>
      <c r="O68" s="48">
        <v>2</v>
      </c>
      <c r="P68" s="49">
        <v>19</v>
      </c>
      <c r="Q68" s="50">
        <v>24.291384000000001</v>
      </c>
      <c r="R68" s="50">
        <v>-103.402573</v>
      </c>
      <c r="S68" s="66" t="s">
        <v>34</v>
      </c>
      <c r="T68" s="66" t="s">
        <v>35</v>
      </c>
      <c r="U68" s="66" t="s">
        <v>35</v>
      </c>
      <c r="V68" s="66" t="s">
        <v>35</v>
      </c>
      <c r="W68" s="66" t="s">
        <v>35</v>
      </c>
      <c r="X68" s="66" t="s">
        <v>35</v>
      </c>
      <c r="Y68" s="66" t="s">
        <v>36</v>
      </c>
      <c r="Z68" s="66" t="s">
        <v>74</v>
      </c>
      <c r="AA68" s="66" t="s">
        <v>74</v>
      </c>
      <c r="AB68" s="67"/>
      <c r="AC68" s="87">
        <f t="shared" si="3"/>
        <v>0.77777777777777779</v>
      </c>
      <c r="AD68" s="91">
        <v>4</v>
      </c>
      <c r="AE68" s="64" t="s">
        <v>1786</v>
      </c>
      <c r="AF68">
        <f t="shared" si="5"/>
        <v>0</v>
      </c>
      <c r="AG68">
        <f t="shared" si="4"/>
        <v>0</v>
      </c>
    </row>
    <row r="69" spans="1:33" x14ac:dyDescent="0.3">
      <c r="A69" s="84" t="s">
        <v>843</v>
      </c>
      <c r="B69" s="93" t="s">
        <v>25</v>
      </c>
      <c r="C69" s="93" t="s">
        <v>837</v>
      </c>
      <c r="D69" s="33" t="s">
        <v>1775</v>
      </c>
      <c r="E69" s="34" t="s">
        <v>844</v>
      </c>
      <c r="F69" s="34" t="s">
        <v>845</v>
      </c>
      <c r="G69" s="34" t="s">
        <v>29</v>
      </c>
      <c r="H69" s="37">
        <v>1</v>
      </c>
      <c r="I69" s="34" t="s">
        <v>30</v>
      </c>
      <c r="J69" s="34" t="s">
        <v>31</v>
      </c>
      <c r="K69" s="34" t="s">
        <v>32</v>
      </c>
      <c r="L69" s="34" t="s">
        <v>1755</v>
      </c>
      <c r="M69" s="34" t="s">
        <v>84</v>
      </c>
      <c r="N69" s="47">
        <v>10</v>
      </c>
      <c r="O69" s="48">
        <v>2</v>
      </c>
      <c r="P69" s="49">
        <v>22</v>
      </c>
      <c r="Q69" s="50">
        <v>21.389230999999999</v>
      </c>
      <c r="R69" s="50">
        <v>-103.12244099999999</v>
      </c>
      <c r="S69" s="66" t="s">
        <v>34</v>
      </c>
      <c r="T69" s="66" t="s">
        <v>35</v>
      </c>
      <c r="U69" s="66" t="s">
        <v>35</v>
      </c>
      <c r="V69" s="66" t="s">
        <v>35</v>
      </c>
      <c r="W69" s="66" t="s">
        <v>35</v>
      </c>
      <c r="X69" s="66" t="s">
        <v>35</v>
      </c>
      <c r="Y69" s="66" t="s">
        <v>36</v>
      </c>
      <c r="Z69" s="66" t="s">
        <v>37</v>
      </c>
      <c r="AA69" s="66" t="s">
        <v>37</v>
      </c>
      <c r="AB69" s="67"/>
      <c r="AC69" s="87">
        <f t="shared" si="3"/>
        <v>1</v>
      </c>
      <c r="AD69" s="91">
        <v>4</v>
      </c>
      <c r="AE69" s="64" t="s">
        <v>1786</v>
      </c>
      <c r="AF69">
        <f t="shared" si="5"/>
        <v>0</v>
      </c>
      <c r="AG69">
        <f t="shared" si="4"/>
        <v>1</v>
      </c>
    </row>
    <row r="70" spans="1:33" x14ac:dyDescent="0.3">
      <c r="A70" s="84" t="s">
        <v>846</v>
      </c>
      <c r="B70" s="93" t="s">
        <v>25</v>
      </c>
      <c r="C70" s="93" t="s">
        <v>837</v>
      </c>
      <c r="D70" s="33" t="s">
        <v>1775</v>
      </c>
      <c r="E70" s="34" t="s">
        <v>847</v>
      </c>
      <c r="F70" s="34" t="s">
        <v>848</v>
      </c>
      <c r="G70" s="34" t="s">
        <v>29</v>
      </c>
      <c r="H70" s="37">
        <v>1</v>
      </c>
      <c r="I70" s="34" t="s">
        <v>30</v>
      </c>
      <c r="J70" s="34" t="s">
        <v>31</v>
      </c>
      <c r="K70" s="34" t="s">
        <v>32</v>
      </c>
      <c r="L70" s="34" t="s">
        <v>1755</v>
      </c>
      <c r="M70" s="34" t="s">
        <v>33</v>
      </c>
      <c r="N70" s="47">
        <v>10</v>
      </c>
      <c r="O70" s="48">
        <v>2</v>
      </c>
      <c r="P70" s="49">
        <v>19</v>
      </c>
      <c r="Q70" s="50">
        <v>21.364122999999999</v>
      </c>
      <c r="R70" s="50">
        <v>-102.823375</v>
      </c>
      <c r="S70" s="66" t="s">
        <v>34</v>
      </c>
      <c r="T70" s="66" t="s">
        <v>35</v>
      </c>
      <c r="U70" s="66" t="s">
        <v>35</v>
      </c>
      <c r="V70" s="66" t="s">
        <v>35</v>
      </c>
      <c r="W70" s="66" t="s">
        <v>35</v>
      </c>
      <c r="X70" s="66" t="s">
        <v>35</v>
      </c>
      <c r="Y70" s="66" t="s">
        <v>36</v>
      </c>
      <c r="Z70" s="66" t="s">
        <v>74</v>
      </c>
      <c r="AA70" s="66" t="s">
        <v>74</v>
      </c>
      <c r="AB70" s="67"/>
      <c r="AC70" s="87">
        <f t="shared" si="3"/>
        <v>0.77777777777777779</v>
      </c>
      <c r="AD70" s="91">
        <v>4</v>
      </c>
      <c r="AE70" s="64" t="s">
        <v>1786</v>
      </c>
      <c r="AF70">
        <f t="shared" si="5"/>
        <v>0</v>
      </c>
      <c r="AG70">
        <f t="shared" si="4"/>
        <v>0</v>
      </c>
    </row>
    <row r="71" spans="1:33" x14ac:dyDescent="0.3">
      <c r="A71" s="84" t="s">
        <v>849</v>
      </c>
      <c r="B71" s="93" t="s">
        <v>25</v>
      </c>
      <c r="C71" s="93" t="s">
        <v>837</v>
      </c>
      <c r="D71" s="33" t="s">
        <v>1775</v>
      </c>
      <c r="E71" s="34" t="s">
        <v>850</v>
      </c>
      <c r="F71" s="34" t="s">
        <v>851</v>
      </c>
      <c r="G71" s="34" t="s">
        <v>29</v>
      </c>
      <c r="H71" s="37">
        <v>1</v>
      </c>
      <c r="I71" s="34" t="s">
        <v>30</v>
      </c>
      <c r="J71" s="34" t="s">
        <v>31</v>
      </c>
      <c r="K71" s="34" t="s">
        <v>32</v>
      </c>
      <c r="L71" s="34" t="s">
        <v>1755</v>
      </c>
      <c r="M71" s="34" t="s">
        <v>33</v>
      </c>
      <c r="N71" s="47">
        <v>14</v>
      </c>
      <c r="O71" s="48">
        <v>2</v>
      </c>
      <c r="P71" s="49">
        <v>19</v>
      </c>
      <c r="Q71" s="50">
        <v>22.584627000000001</v>
      </c>
      <c r="R71" s="50">
        <v>-102.239395</v>
      </c>
      <c r="S71" s="66" t="s">
        <v>34</v>
      </c>
      <c r="T71" s="66" t="s">
        <v>35</v>
      </c>
      <c r="U71" s="66" t="s">
        <v>35</v>
      </c>
      <c r="V71" s="66" t="s">
        <v>35</v>
      </c>
      <c r="W71" s="66" t="s">
        <v>35</v>
      </c>
      <c r="X71" s="66" t="s">
        <v>35</v>
      </c>
      <c r="Y71" s="66" t="s">
        <v>36</v>
      </c>
      <c r="Z71" s="66" t="s">
        <v>37</v>
      </c>
      <c r="AA71" s="66" t="s">
        <v>37</v>
      </c>
      <c r="AB71" s="67"/>
      <c r="AC71" s="87">
        <f t="shared" si="3"/>
        <v>1</v>
      </c>
      <c r="AD71" s="91">
        <v>4</v>
      </c>
      <c r="AE71" s="64" t="s">
        <v>1786</v>
      </c>
      <c r="AF71">
        <f t="shared" si="5"/>
        <v>0</v>
      </c>
      <c r="AG71">
        <f t="shared" si="4"/>
        <v>1</v>
      </c>
    </row>
    <row r="72" spans="1:33" x14ac:dyDescent="0.3">
      <c r="A72" s="84" t="s">
        <v>852</v>
      </c>
      <c r="B72" s="93" t="s">
        <v>25</v>
      </c>
      <c r="C72" s="93" t="s">
        <v>837</v>
      </c>
      <c r="D72" s="33" t="s">
        <v>1775</v>
      </c>
      <c r="E72" s="34" t="s">
        <v>724</v>
      </c>
      <c r="F72" s="34" t="s">
        <v>853</v>
      </c>
      <c r="G72" s="34" t="s">
        <v>29</v>
      </c>
      <c r="H72" s="37">
        <v>1</v>
      </c>
      <c r="I72" s="34" t="s">
        <v>30</v>
      </c>
      <c r="J72" s="34" t="s">
        <v>31</v>
      </c>
      <c r="K72" s="34" t="s">
        <v>32</v>
      </c>
      <c r="L72" s="34" t="s">
        <v>1755</v>
      </c>
      <c r="M72" s="34" t="s">
        <v>33</v>
      </c>
      <c r="N72" s="47">
        <v>11</v>
      </c>
      <c r="O72" s="48">
        <v>2</v>
      </c>
      <c r="P72" s="49">
        <v>15</v>
      </c>
      <c r="Q72" s="50">
        <v>21.863109999999999</v>
      </c>
      <c r="R72" s="50">
        <v>-102.91135300000001</v>
      </c>
      <c r="S72" s="66" t="s">
        <v>34</v>
      </c>
      <c r="T72" s="66" t="s">
        <v>35</v>
      </c>
      <c r="U72" s="66" t="s">
        <v>35</v>
      </c>
      <c r="V72" s="66" t="s">
        <v>35</v>
      </c>
      <c r="W72" s="66" t="s">
        <v>35</v>
      </c>
      <c r="X72" s="66" t="s">
        <v>35</v>
      </c>
      <c r="Y72" s="66" t="s">
        <v>36</v>
      </c>
      <c r="Z72" s="66" t="s">
        <v>37</v>
      </c>
      <c r="AA72" s="66" t="s">
        <v>37</v>
      </c>
      <c r="AB72" s="67"/>
      <c r="AC72" s="87">
        <f t="shared" si="3"/>
        <v>1</v>
      </c>
      <c r="AD72" s="91">
        <v>4</v>
      </c>
      <c r="AE72" s="64" t="s">
        <v>1786</v>
      </c>
      <c r="AF72">
        <f t="shared" si="5"/>
        <v>0</v>
      </c>
      <c r="AG72">
        <f t="shared" si="4"/>
        <v>1</v>
      </c>
    </row>
    <row r="73" spans="1:33" x14ac:dyDescent="0.3">
      <c r="A73" s="84" t="s">
        <v>854</v>
      </c>
      <c r="B73" s="93" t="s">
        <v>25</v>
      </c>
      <c r="C73" s="93" t="s">
        <v>837</v>
      </c>
      <c r="D73" s="33" t="s">
        <v>1775</v>
      </c>
      <c r="E73" s="34" t="s">
        <v>855</v>
      </c>
      <c r="F73" s="34" t="s">
        <v>856</v>
      </c>
      <c r="G73" s="34" t="s">
        <v>29</v>
      </c>
      <c r="H73" s="37">
        <v>1</v>
      </c>
      <c r="I73" s="34" t="s">
        <v>30</v>
      </c>
      <c r="J73" s="34" t="s">
        <v>31</v>
      </c>
      <c r="K73" s="34" t="s">
        <v>32</v>
      </c>
      <c r="L73" s="34" t="s">
        <v>1755</v>
      </c>
      <c r="M73" s="34" t="s">
        <v>33</v>
      </c>
      <c r="N73" s="47">
        <v>11</v>
      </c>
      <c r="O73" s="48">
        <v>2</v>
      </c>
      <c r="P73" s="49">
        <v>17</v>
      </c>
      <c r="Q73" s="50">
        <v>22.775388</v>
      </c>
      <c r="R73" s="50">
        <v>-103.58240499999999</v>
      </c>
      <c r="S73" s="66" t="s">
        <v>34</v>
      </c>
      <c r="T73" s="66" t="s">
        <v>35</v>
      </c>
      <c r="U73" s="66" t="s">
        <v>35</v>
      </c>
      <c r="V73" s="66" t="s">
        <v>35</v>
      </c>
      <c r="W73" s="66" t="s">
        <v>35</v>
      </c>
      <c r="X73" s="66" t="s">
        <v>35</v>
      </c>
      <c r="Y73" s="66" t="s">
        <v>36</v>
      </c>
      <c r="Z73" s="66" t="s">
        <v>74</v>
      </c>
      <c r="AA73" s="66" t="s">
        <v>74</v>
      </c>
      <c r="AB73" s="67"/>
      <c r="AC73" s="87">
        <f t="shared" si="3"/>
        <v>0.77777777777777779</v>
      </c>
      <c r="AD73" s="91">
        <v>4</v>
      </c>
      <c r="AE73" s="64" t="s">
        <v>1786</v>
      </c>
      <c r="AF73">
        <f t="shared" si="5"/>
        <v>0</v>
      </c>
      <c r="AG73">
        <f t="shared" si="4"/>
        <v>0</v>
      </c>
    </row>
    <row r="74" spans="1:33" x14ac:dyDescent="0.3">
      <c r="A74" s="84" t="s">
        <v>857</v>
      </c>
      <c r="B74" s="93" t="s">
        <v>25</v>
      </c>
      <c r="C74" s="93" t="s">
        <v>837</v>
      </c>
      <c r="D74" s="33" t="s">
        <v>1775</v>
      </c>
      <c r="E74" s="34" t="s">
        <v>858</v>
      </c>
      <c r="F74" s="34" t="s">
        <v>859</v>
      </c>
      <c r="G74" s="34" t="s">
        <v>29</v>
      </c>
      <c r="H74" s="37">
        <v>1</v>
      </c>
      <c r="I74" s="34" t="s">
        <v>30</v>
      </c>
      <c r="J74" s="34" t="s">
        <v>31</v>
      </c>
      <c r="K74" s="34" t="s">
        <v>32</v>
      </c>
      <c r="L74" s="34" t="s">
        <v>1755</v>
      </c>
      <c r="M74" s="34" t="s">
        <v>33</v>
      </c>
      <c r="N74" s="47">
        <v>13</v>
      </c>
      <c r="O74" s="48">
        <v>2</v>
      </c>
      <c r="P74" s="49">
        <v>17</v>
      </c>
      <c r="Q74" s="50">
        <v>22.733816000000001</v>
      </c>
      <c r="R74" s="50">
        <v>-102.36467500000001</v>
      </c>
      <c r="S74" s="66" t="s">
        <v>34</v>
      </c>
      <c r="T74" s="66" t="s">
        <v>35</v>
      </c>
      <c r="U74" s="66" t="s">
        <v>35</v>
      </c>
      <c r="V74" s="66" t="s">
        <v>35</v>
      </c>
      <c r="W74" s="66" t="s">
        <v>35</v>
      </c>
      <c r="X74" s="66" t="s">
        <v>35</v>
      </c>
      <c r="Y74" s="66" t="s">
        <v>36</v>
      </c>
      <c r="Z74" s="66" t="s">
        <v>37</v>
      </c>
      <c r="AA74" s="66" t="s">
        <v>37</v>
      </c>
      <c r="AB74" s="67"/>
      <c r="AC74" s="87">
        <f t="shared" si="3"/>
        <v>1</v>
      </c>
      <c r="AD74" s="91">
        <v>4</v>
      </c>
      <c r="AE74" s="64" t="s">
        <v>1786</v>
      </c>
      <c r="AF74">
        <f t="shared" si="5"/>
        <v>0</v>
      </c>
      <c r="AG74">
        <f t="shared" si="4"/>
        <v>1</v>
      </c>
    </row>
    <row r="75" spans="1:33" x14ac:dyDescent="0.3">
      <c r="A75" s="84" t="s">
        <v>866</v>
      </c>
      <c r="B75" s="93" t="s">
        <v>25</v>
      </c>
      <c r="C75" s="93" t="s">
        <v>837</v>
      </c>
      <c r="D75" s="33" t="s">
        <v>1775</v>
      </c>
      <c r="E75" s="34" t="s">
        <v>867</v>
      </c>
      <c r="F75" s="34" t="s">
        <v>868</v>
      </c>
      <c r="G75" s="34" t="s">
        <v>29</v>
      </c>
      <c r="H75" s="37">
        <v>1</v>
      </c>
      <c r="I75" s="34" t="s">
        <v>30</v>
      </c>
      <c r="J75" s="34" t="s">
        <v>31</v>
      </c>
      <c r="K75" s="34" t="s">
        <v>32</v>
      </c>
      <c r="L75" s="34" t="s">
        <v>1755</v>
      </c>
      <c r="M75" s="34" t="s">
        <v>33</v>
      </c>
      <c r="N75" s="47">
        <v>14</v>
      </c>
      <c r="O75" s="48">
        <v>1</v>
      </c>
      <c r="P75" s="49">
        <v>20</v>
      </c>
      <c r="Q75" s="50">
        <v>23.648572000000001</v>
      </c>
      <c r="R75" s="50">
        <v>-103.65657</v>
      </c>
      <c r="S75" s="66" t="s">
        <v>34</v>
      </c>
      <c r="T75" s="66" t="s">
        <v>35</v>
      </c>
      <c r="U75" s="66" t="s">
        <v>35</v>
      </c>
      <c r="V75" s="66" t="s">
        <v>35</v>
      </c>
      <c r="W75" s="66" t="s">
        <v>35</v>
      </c>
      <c r="X75" s="66" t="s">
        <v>35</v>
      </c>
      <c r="Y75" s="66" t="s">
        <v>36</v>
      </c>
      <c r="Z75" s="66" t="s">
        <v>37</v>
      </c>
      <c r="AA75" s="66" t="s">
        <v>37</v>
      </c>
      <c r="AB75" s="67"/>
      <c r="AC75" s="87">
        <f t="shared" si="3"/>
        <v>1</v>
      </c>
      <c r="AD75" s="91">
        <v>4</v>
      </c>
      <c r="AE75" s="64" t="s">
        <v>1786</v>
      </c>
      <c r="AF75">
        <f t="shared" si="5"/>
        <v>0</v>
      </c>
      <c r="AG75">
        <f t="shared" si="4"/>
        <v>1</v>
      </c>
    </row>
    <row r="76" spans="1:33" x14ac:dyDescent="0.3">
      <c r="A76" s="84" t="s">
        <v>125</v>
      </c>
      <c r="B76" s="93" t="s">
        <v>25</v>
      </c>
      <c r="C76" s="93" t="s">
        <v>26</v>
      </c>
      <c r="D76" s="33" t="s">
        <v>1775</v>
      </c>
      <c r="E76" s="34" t="s">
        <v>126</v>
      </c>
      <c r="F76" s="34" t="s">
        <v>127</v>
      </c>
      <c r="G76" s="34" t="s">
        <v>111</v>
      </c>
      <c r="H76" s="37">
        <v>1</v>
      </c>
      <c r="I76" s="34" t="s">
        <v>112</v>
      </c>
      <c r="J76" s="34" t="s">
        <v>31</v>
      </c>
      <c r="K76" s="34" t="s">
        <v>32</v>
      </c>
      <c r="L76" s="34" t="s">
        <v>1755</v>
      </c>
      <c r="M76" s="34" t="s">
        <v>33</v>
      </c>
      <c r="N76" s="47">
        <v>10</v>
      </c>
      <c r="O76" s="48">
        <v>2</v>
      </c>
      <c r="P76" s="49">
        <v>47</v>
      </c>
      <c r="Q76" s="50">
        <v>16.090009999999999</v>
      </c>
      <c r="R76" s="50">
        <v>-93.744799999999998</v>
      </c>
      <c r="S76" s="66" t="s">
        <v>34</v>
      </c>
      <c r="T76" s="66" t="s">
        <v>35</v>
      </c>
      <c r="U76" s="66" t="s">
        <v>35</v>
      </c>
      <c r="V76" s="66" t="s">
        <v>35</v>
      </c>
      <c r="W76" s="66" t="s">
        <v>35</v>
      </c>
      <c r="X76" s="66" t="s">
        <v>35</v>
      </c>
      <c r="Y76" s="66" t="s">
        <v>36</v>
      </c>
      <c r="Z76" s="66" t="s">
        <v>37</v>
      </c>
      <c r="AA76" s="66" t="s">
        <v>37</v>
      </c>
      <c r="AB76" s="67"/>
      <c r="AC76" s="87">
        <f t="shared" si="3"/>
        <v>1</v>
      </c>
      <c r="AD76" s="91">
        <v>4</v>
      </c>
      <c r="AE76" s="64" t="s">
        <v>1786</v>
      </c>
      <c r="AF76">
        <f t="shared" si="5"/>
        <v>0</v>
      </c>
      <c r="AG76">
        <f t="shared" si="4"/>
        <v>1</v>
      </c>
    </row>
    <row r="77" spans="1:33" x14ac:dyDescent="0.3">
      <c r="A77" s="84" t="s">
        <v>128</v>
      </c>
      <c r="B77" s="93" t="s">
        <v>25</v>
      </c>
      <c r="C77" s="93" t="s">
        <v>26</v>
      </c>
      <c r="D77" s="33" t="s">
        <v>1775</v>
      </c>
      <c r="E77" s="34" t="s">
        <v>129</v>
      </c>
      <c r="F77" s="34" t="s">
        <v>130</v>
      </c>
      <c r="G77" s="34" t="s">
        <v>111</v>
      </c>
      <c r="H77" s="37">
        <v>1</v>
      </c>
      <c r="I77" s="34" t="s">
        <v>112</v>
      </c>
      <c r="J77" s="34" t="s">
        <v>31</v>
      </c>
      <c r="K77" s="34" t="s">
        <v>32</v>
      </c>
      <c r="L77" s="34" t="s">
        <v>1755</v>
      </c>
      <c r="M77" s="34" t="s">
        <v>33</v>
      </c>
      <c r="N77" s="47">
        <v>23</v>
      </c>
      <c r="O77" s="48">
        <v>9</v>
      </c>
      <c r="P77" s="49">
        <v>94</v>
      </c>
      <c r="Q77" s="50">
        <v>16.745825</v>
      </c>
      <c r="R77" s="50">
        <v>-93.116883999999999</v>
      </c>
      <c r="S77" s="66" t="s">
        <v>34</v>
      </c>
      <c r="T77" s="66" t="s">
        <v>35</v>
      </c>
      <c r="U77" s="66" t="s">
        <v>35</v>
      </c>
      <c r="V77" s="66" t="s">
        <v>35</v>
      </c>
      <c r="W77" s="66" t="s">
        <v>35</v>
      </c>
      <c r="X77" s="66" t="s">
        <v>35</v>
      </c>
      <c r="Y77" s="66" t="s">
        <v>36</v>
      </c>
      <c r="Z77" s="66" t="s">
        <v>37</v>
      </c>
      <c r="AA77" s="66" t="s">
        <v>37</v>
      </c>
      <c r="AB77" s="67"/>
      <c r="AC77" s="87">
        <f t="shared" si="3"/>
        <v>1</v>
      </c>
      <c r="AD77" s="91">
        <v>4</v>
      </c>
      <c r="AE77" s="64" t="s">
        <v>1786</v>
      </c>
      <c r="AF77">
        <f t="shared" si="5"/>
        <v>0</v>
      </c>
      <c r="AG77">
        <f t="shared" si="4"/>
        <v>1</v>
      </c>
    </row>
    <row r="78" spans="1:33" x14ac:dyDescent="0.3">
      <c r="A78" s="84" t="s">
        <v>1546</v>
      </c>
      <c r="B78" s="93" t="s">
        <v>25</v>
      </c>
      <c r="C78" s="93" t="s">
        <v>837</v>
      </c>
      <c r="D78" s="33" t="s">
        <v>1775</v>
      </c>
      <c r="E78" s="34" t="s">
        <v>837</v>
      </c>
      <c r="F78" s="34" t="s">
        <v>1547</v>
      </c>
      <c r="G78" s="34" t="s">
        <v>111</v>
      </c>
      <c r="H78" s="37">
        <v>1</v>
      </c>
      <c r="I78" s="34" t="s">
        <v>112</v>
      </c>
      <c r="J78" s="34" t="s">
        <v>31</v>
      </c>
      <c r="K78" s="34" t="s">
        <v>32</v>
      </c>
      <c r="L78" s="34" t="s">
        <v>1755</v>
      </c>
      <c r="M78" s="34" t="s">
        <v>33</v>
      </c>
      <c r="N78" s="47">
        <v>32</v>
      </c>
      <c r="O78" s="48">
        <v>6</v>
      </c>
      <c r="P78" s="49">
        <v>183</v>
      </c>
      <c r="Q78" s="50">
        <v>22.778268000000001</v>
      </c>
      <c r="R78" s="50">
        <v>-102.619871</v>
      </c>
      <c r="S78" s="66" t="s">
        <v>34</v>
      </c>
      <c r="T78" s="66" t="s">
        <v>35</v>
      </c>
      <c r="U78" s="66" t="s">
        <v>35</v>
      </c>
      <c r="V78" s="66" t="s">
        <v>35</v>
      </c>
      <c r="W78" s="66" t="s">
        <v>35</v>
      </c>
      <c r="X78" s="66" t="s">
        <v>35</v>
      </c>
      <c r="Y78" s="66" t="s">
        <v>36</v>
      </c>
      <c r="Z78" s="66" t="s">
        <v>74</v>
      </c>
      <c r="AA78" s="66" t="s">
        <v>74</v>
      </c>
      <c r="AB78" s="67"/>
      <c r="AC78" s="87">
        <f t="shared" si="3"/>
        <v>0.77777777777777779</v>
      </c>
      <c r="AD78" s="91">
        <v>4</v>
      </c>
      <c r="AE78" s="64" t="s">
        <v>1786</v>
      </c>
      <c r="AF78">
        <f t="shared" si="5"/>
        <v>0</v>
      </c>
      <c r="AG78">
        <f t="shared" si="4"/>
        <v>0</v>
      </c>
    </row>
    <row r="79" spans="1:33" x14ac:dyDescent="0.3">
      <c r="A79" s="94" t="s">
        <v>1742</v>
      </c>
      <c r="B79" s="95" t="s">
        <v>25</v>
      </c>
      <c r="C79" s="95" t="s">
        <v>837</v>
      </c>
      <c r="D79" s="33" t="s">
        <v>1775</v>
      </c>
      <c r="E79" s="35" t="s">
        <v>1572</v>
      </c>
      <c r="F79" s="35" t="s">
        <v>1743</v>
      </c>
      <c r="G79" s="35" t="s">
        <v>180</v>
      </c>
      <c r="H79" s="39">
        <v>3</v>
      </c>
      <c r="I79" s="35" t="s">
        <v>181</v>
      </c>
      <c r="J79" s="35" t="s">
        <v>182</v>
      </c>
      <c r="K79" s="35" t="s">
        <v>32</v>
      </c>
      <c r="L79" s="35" t="s">
        <v>1755</v>
      </c>
      <c r="M79" s="35" t="s">
        <v>33</v>
      </c>
      <c r="N79" s="39">
        <v>5</v>
      </c>
      <c r="O79" s="39">
        <v>0</v>
      </c>
      <c r="P79" s="39">
        <v>2</v>
      </c>
      <c r="Q79" s="40">
        <v>22.752110999999999</v>
      </c>
      <c r="R79" s="40">
        <v>-102.502348</v>
      </c>
      <c r="S79" s="66" t="s">
        <v>34</v>
      </c>
      <c r="T79" s="66" t="s">
        <v>35</v>
      </c>
      <c r="U79" s="66" t="s">
        <v>35</v>
      </c>
      <c r="V79" s="66" t="s">
        <v>35</v>
      </c>
      <c r="W79" s="66" t="s">
        <v>35</v>
      </c>
      <c r="X79" s="66" t="s">
        <v>35</v>
      </c>
      <c r="Y79" s="66" t="s">
        <v>36</v>
      </c>
      <c r="Z79" s="66" t="s">
        <v>37</v>
      </c>
      <c r="AA79" s="66" t="s">
        <v>37</v>
      </c>
      <c r="AB79" s="67"/>
      <c r="AC79" s="87">
        <f t="shared" si="3"/>
        <v>1</v>
      </c>
      <c r="AD79" s="91">
        <v>4</v>
      </c>
      <c r="AE79" s="64" t="s">
        <v>1786</v>
      </c>
      <c r="AF79">
        <f t="shared" si="5"/>
        <v>0</v>
      </c>
      <c r="AG79">
        <f t="shared" si="4"/>
        <v>1</v>
      </c>
    </row>
    <row r="80" spans="1:33" x14ac:dyDescent="0.3">
      <c r="A80" s="84" t="s">
        <v>152</v>
      </c>
      <c r="B80" s="93" t="s">
        <v>25</v>
      </c>
      <c r="C80" s="93" t="s">
        <v>1771</v>
      </c>
      <c r="D80" s="98" t="s">
        <v>1771</v>
      </c>
      <c r="E80" s="34" t="s">
        <v>138</v>
      </c>
      <c r="F80" s="34" t="s">
        <v>153</v>
      </c>
      <c r="G80" s="34" t="s">
        <v>154</v>
      </c>
      <c r="H80" s="37">
        <v>1</v>
      </c>
      <c r="I80" s="34" t="s">
        <v>155</v>
      </c>
      <c r="J80" s="34" t="s">
        <v>31</v>
      </c>
      <c r="K80" s="34" t="s">
        <v>32</v>
      </c>
      <c r="L80" s="34" t="s">
        <v>1756</v>
      </c>
      <c r="M80" s="34" t="s">
        <v>33</v>
      </c>
      <c r="N80" s="47">
        <v>36</v>
      </c>
      <c r="O80" s="48">
        <v>5</v>
      </c>
      <c r="P80" s="49">
        <v>137</v>
      </c>
      <c r="Q80" s="50">
        <v>14.809310999999999</v>
      </c>
      <c r="R80" s="50">
        <v>-92.345595000000003</v>
      </c>
      <c r="S80" s="66" t="s">
        <v>34</v>
      </c>
      <c r="T80" s="66" t="s">
        <v>35</v>
      </c>
      <c r="U80" s="66" t="s">
        <v>35</v>
      </c>
      <c r="V80" s="66" t="s">
        <v>35</v>
      </c>
      <c r="W80" s="66" t="s">
        <v>35</v>
      </c>
      <c r="X80" s="66" t="s">
        <v>35</v>
      </c>
      <c r="Y80" s="66" t="s">
        <v>36</v>
      </c>
      <c r="Z80" s="66" t="s">
        <v>37</v>
      </c>
      <c r="AA80" s="66" t="s">
        <v>37</v>
      </c>
      <c r="AB80" s="73" t="s">
        <v>1864</v>
      </c>
      <c r="AC80" s="87">
        <f t="shared" si="3"/>
        <v>1</v>
      </c>
      <c r="AD80" s="91">
        <v>2</v>
      </c>
      <c r="AE80" s="103" t="s">
        <v>1829</v>
      </c>
      <c r="AF80">
        <f t="shared" si="5"/>
        <v>0</v>
      </c>
      <c r="AG80">
        <f t="shared" si="4"/>
        <v>1</v>
      </c>
    </row>
    <row r="81" spans="1:33" x14ac:dyDescent="0.3">
      <c r="A81" s="84" t="s">
        <v>156</v>
      </c>
      <c r="B81" s="93" t="s">
        <v>25</v>
      </c>
      <c r="C81" s="93" t="s">
        <v>1771</v>
      </c>
      <c r="D81" s="98" t="s">
        <v>1771</v>
      </c>
      <c r="E81" s="34" t="s">
        <v>129</v>
      </c>
      <c r="F81" s="34" t="s">
        <v>157</v>
      </c>
      <c r="G81" s="34" t="s">
        <v>154</v>
      </c>
      <c r="H81" s="37">
        <v>1</v>
      </c>
      <c r="I81" s="34" t="s">
        <v>155</v>
      </c>
      <c r="J81" s="34" t="s">
        <v>31</v>
      </c>
      <c r="K81" s="34" t="s">
        <v>32</v>
      </c>
      <c r="L81" s="34" t="s">
        <v>1756</v>
      </c>
      <c r="M81" s="34" t="s">
        <v>33</v>
      </c>
      <c r="N81" s="47">
        <v>24</v>
      </c>
      <c r="O81" s="48">
        <v>4</v>
      </c>
      <c r="P81" s="49">
        <v>106</v>
      </c>
      <c r="Q81" s="50">
        <v>16.750662999999999</v>
      </c>
      <c r="R81" s="50">
        <v>-93.078046999999998</v>
      </c>
      <c r="S81" s="66" t="s">
        <v>34</v>
      </c>
      <c r="T81" s="66" t="s">
        <v>35</v>
      </c>
      <c r="U81" s="66" t="s">
        <v>35</v>
      </c>
      <c r="V81" s="66" t="s">
        <v>35</v>
      </c>
      <c r="W81" s="66" t="s">
        <v>35</v>
      </c>
      <c r="X81" s="66" t="s">
        <v>35</v>
      </c>
      <c r="Y81" s="66" t="s">
        <v>36</v>
      </c>
      <c r="Z81" s="66" t="s">
        <v>37</v>
      </c>
      <c r="AA81" s="66" t="s">
        <v>37</v>
      </c>
      <c r="AB81" s="73" t="s">
        <v>1864</v>
      </c>
      <c r="AC81" s="87">
        <f t="shared" si="3"/>
        <v>1</v>
      </c>
      <c r="AD81" s="91">
        <v>2</v>
      </c>
      <c r="AE81" s="103" t="s">
        <v>1829</v>
      </c>
      <c r="AF81">
        <f t="shared" si="5"/>
        <v>0</v>
      </c>
      <c r="AG81">
        <f t="shared" si="4"/>
        <v>1</v>
      </c>
    </row>
    <row r="82" spans="1:33" x14ac:dyDescent="0.3">
      <c r="A82" s="84" t="s">
        <v>167</v>
      </c>
      <c r="B82" s="93" t="s">
        <v>25</v>
      </c>
      <c r="C82" s="93" t="s">
        <v>26</v>
      </c>
      <c r="D82" s="33" t="s">
        <v>1775</v>
      </c>
      <c r="E82" s="34" t="s">
        <v>129</v>
      </c>
      <c r="F82" s="34" t="s">
        <v>168</v>
      </c>
      <c r="G82" s="34" t="s">
        <v>169</v>
      </c>
      <c r="H82" s="37">
        <v>2</v>
      </c>
      <c r="I82" s="34" t="s">
        <v>170</v>
      </c>
      <c r="J82" s="34" t="s">
        <v>31</v>
      </c>
      <c r="K82" s="34" t="s">
        <v>32</v>
      </c>
      <c r="L82" s="34" t="s">
        <v>1755</v>
      </c>
      <c r="M82" s="34" t="s">
        <v>33</v>
      </c>
      <c r="N82" s="47">
        <v>7</v>
      </c>
      <c r="O82" s="48">
        <v>0</v>
      </c>
      <c r="P82" s="49">
        <v>32</v>
      </c>
      <c r="Q82" s="50">
        <v>16.682003000000002</v>
      </c>
      <c r="R82" s="50">
        <v>-93.103123999999994</v>
      </c>
      <c r="S82" s="66" t="s">
        <v>34</v>
      </c>
      <c r="T82" s="66" t="s">
        <v>35</v>
      </c>
      <c r="U82" s="66" t="s">
        <v>35</v>
      </c>
      <c r="V82" s="66" t="s">
        <v>35</v>
      </c>
      <c r="W82" s="66" t="s">
        <v>35</v>
      </c>
      <c r="X82" s="66" t="s">
        <v>35</v>
      </c>
      <c r="Y82" s="66" t="s">
        <v>36</v>
      </c>
      <c r="Z82" s="66" t="s">
        <v>37</v>
      </c>
      <c r="AA82" s="66" t="s">
        <v>37</v>
      </c>
      <c r="AB82" s="67"/>
      <c r="AC82" s="87">
        <f t="shared" si="3"/>
        <v>1</v>
      </c>
      <c r="AD82" s="92" t="s">
        <v>1825</v>
      </c>
      <c r="AE82" s="64"/>
      <c r="AF82">
        <f t="shared" si="5"/>
        <v>0</v>
      </c>
      <c r="AG82">
        <f t="shared" si="4"/>
        <v>1</v>
      </c>
    </row>
    <row r="83" spans="1:33" x14ac:dyDescent="0.3">
      <c r="A83" s="84" t="s">
        <v>131</v>
      </c>
      <c r="B83" s="93" t="s">
        <v>25</v>
      </c>
      <c r="C83" s="93" t="s">
        <v>26</v>
      </c>
      <c r="D83" s="33" t="s">
        <v>1775</v>
      </c>
      <c r="E83" s="34" t="s">
        <v>132</v>
      </c>
      <c r="F83" s="34" t="s">
        <v>133</v>
      </c>
      <c r="G83" s="34" t="s">
        <v>111</v>
      </c>
      <c r="H83" s="37">
        <v>1</v>
      </c>
      <c r="I83" s="34" t="s">
        <v>112</v>
      </c>
      <c r="J83" s="34" t="s">
        <v>31</v>
      </c>
      <c r="K83" s="34" t="s">
        <v>32</v>
      </c>
      <c r="L83" s="34" t="s">
        <v>1755</v>
      </c>
      <c r="M83" s="34" t="s">
        <v>33</v>
      </c>
      <c r="N83" s="47">
        <v>8</v>
      </c>
      <c r="O83" s="48">
        <v>3</v>
      </c>
      <c r="P83" s="49">
        <v>55</v>
      </c>
      <c r="Q83" s="50">
        <v>17.853377999999999</v>
      </c>
      <c r="R83" s="50">
        <v>-93.157189000000002</v>
      </c>
      <c r="S83" s="66" t="s">
        <v>34</v>
      </c>
      <c r="T83" s="66" t="s">
        <v>35</v>
      </c>
      <c r="U83" s="66" t="s">
        <v>35</v>
      </c>
      <c r="V83" s="66" t="s">
        <v>35</v>
      </c>
      <c r="W83" s="66" t="s">
        <v>35</v>
      </c>
      <c r="X83" s="66" t="s">
        <v>35</v>
      </c>
      <c r="Y83" s="66" t="s">
        <v>36</v>
      </c>
      <c r="Z83" s="66" t="s">
        <v>37</v>
      </c>
      <c r="AA83" s="66" t="s">
        <v>37</v>
      </c>
      <c r="AB83" s="67"/>
      <c r="AC83" s="87">
        <f t="shared" si="3"/>
        <v>1</v>
      </c>
      <c r="AD83" s="92" t="s">
        <v>1825</v>
      </c>
      <c r="AE83" s="64"/>
      <c r="AF83">
        <f t="shared" si="5"/>
        <v>0</v>
      </c>
      <c r="AG83">
        <f t="shared" si="4"/>
        <v>1</v>
      </c>
    </row>
    <row r="84" spans="1:33" x14ac:dyDescent="0.3">
      <c r="A84" s="84" t="s">
        <v>53</v>
      </c>
      <c r="B84" s="93" t="s">
        <v>25</v>
      </c>
      <c r="C84" s="93" t="s">
        <v>26</v>
      </c>
      <c r="D84" s="33" t="s">
        <v>1775</v>
      </c>
      <c r="E84" s="34" t="s">
        <v>54</v>
      </c>
      <c r="F84" s="34" t="s">
        <v>55</v>
      </c>
      <c r="G84" s="34" t="s">
        <v>29</v>
      </c>
      <c r="H84" s="37">
        <v>1</v>
      </c>
      <c r="I84" s="34" t="s">
        <v>30</v>
      </c>
      <c r="J84" s="34" t="s">
        <v>31</v>
      </c>
      <c r="K84" s="34" t="s">
        <v>32</v>
      </c>
      <c r="L84" s="34" t="s">
        <v>1755</v>
      </c>
      <c r="M84" s="34" t="s">
        <v>33</v>
      </c>
      <c r="N84" s="47">
        <v>10</v>
      </c>
      <c r="O84" s="48">
        <v>2</v>
      </c>
      <c r="P84" s="49">
        <v>21</v>
      </c>
      <c r="Q84" s="50">
        <v>16.807812999999999</v>
      </c>
      <c r="R84" s="50">
        <v>-93.279999000000004</v>
      </c>
      <c r="S84" s="66" t="s">
        <v>34</v>
      </c>
      <c r="T84" s="66" t="s">
        <v>35</v>
      </c>
      <c r="U84" s="66" t="s">
        <v>35</v>
      </c>
      <c r="V84" s="66" t="s">
        <v>35</v>
      </c>
      <c r="W84" s="66" t="s">
        <v>35</v>
      </c>
      <c r="X84" s="66" t="s">
        <v>35</v>
      </c>
      <c r="Y84" s="66" t="s">
        <v>36</v>
      </c>
      <c r="Z84" s="66" t="s">
        <v>37</v>
      </c>
      <c r="AA84" s="66" t="s">
        <v>37</v>
      </c>
      <c r="AB84" s="67"/>
      <c r="AC84" s="87">
        <f t="shared" si="3"/>
        <v>1</v>
      </c>
      <c r="AD84" s="92" t="s">
        <v>1825</v>
      </c>
      <c r="AE84" s="64"/>
      <c r="AF84">
        <f t="shared" si="5"/>
        <v>0</v>
      </c>
      <c r="AG84">
        <f t="shared" si="4"/>
        <v>1</v>
      </c>
    </row>
    <row r="85" spans="1:33" x14ac:dyDescent="0.3">
      <c r="A85" s="84" t="s">
        <v>134</v>
      </c>
      <c r="B85" s="93" t="s">
        <v>25</v>
      </c>
      <c r="C85" s="96" t="s">
        <v>26</v>
      </c>
      <c r="D85" s="33" t="s">
        <v>1775</v>
      </c>
      <c r="E85" s="34" t="s">
        <v>135</v>
      </c>
      <c r="F85" s="34" t="s">
        <v>136</v>
      </c>
      <c r="G85" s="34" t="s">
        <v>111</v>
      </c>
      <c r="H85" s="37">
        <v>1</v>
      </c>
      <c r="I85" s="34" t="s">
        <v>112</v>
      </c>
      <c r="J85" s="34" t="s">
        <v>31</v>
      </c>
      <c r="K85" s="34" t="s">
        <v>32</v>
      </c>
      <c r="L85" s="34" t="s">
        <v>1755</v>
      </c>
      <c r="M85" s="34" t="s">
        <v>33</v>
      </c>
      <c r="N85" s="47">
        <v>6</v>
      </c>
      <c r="O85" s="48">
        <v>2</v>
      </c>
      <c r="P85" s="49">
        <v>63</v>
      </c>
      <c r="Q85" s="50">
        <v>17.178397</v>
      </c>
      <c r="R85" s="50">
        <v>-92.338070000000002</v>
      </c>
      <c r="S85" s="66" t="s">
        <v>34</v>
      </c>
      <c r="T85" s="66" t="s">
        <v>35</v>
      </c>
      <c r="U85" s="66" t="s">
        <v>35</v>
      </c>
      <c r="V85" s="66" t="s">
        <v>35</v>
      </c>
      <c r="W85" s="66" t="s">
        <v>35</v>
      </c>
      <c r="X85" s="66" t="s">
        <v>35</v>
      </c>
      <c r="Y85" s="66" t="s">
        <v>36</v>
      </c>
      <c r="Z85" s="66" t="s">
        <v>37</v>
      </c>
      <c r="AA85" s="66" t="s">
        <v>37</v>
      </c>
      <c r="AB85" s="67"/>
      <c r="AC85" s="87">
        <f t="shared" si="3"/>
        <v>1</v>
      </c>
      <c r="AD85" s="92" t="s">
        <v>1825</v>
      </c>
      <c r="AE85" s="64"/>
      <c r="AF85">
        <f t="shared" si="5"/>
        <v>0</v>
      </c>
      <c r="AG85">
        <f t="shared" si="4"/>
        <v>1</v>
      </c>
    </row>
    <row r="86" spans="1:33" x14ac:dyDescent="0.3">
      <c r="A86" s="84" t="s">
        <v>137</v>
      </c>
      <c r="B86" s="93" t="s">
        <v>25</v>
      </c>
      <c r="C86" s="96" t="s">
        <v>26</v>
      </c>
      <c r="D86" s="33" t="s">
        <v>1775</v>
      </c>
      <c r="E86" s="34" t="s">
        <v>138</v>
      </c>
      <c r="F86" s="34" t="s">
        <v>139</v>
      </c>
      <c r="G86" s="34" t="s">
        <v>111</v>
      </c>
      <c r="H86" s="37">
        <v>1</v>
      </c>
      <c r="I86" s="34" t="s">
        <v>112</v>
      </c>
      <c r="J86" s="34" t="s">
        <v>31</v>
      </c>
      <c r="K86" s="34" t="s">
        <v>32</v>
      </c>
      <c r="L86" s="34" t="s">
        <v>1755</v>
      </c>
      <c r="M86" s="34" t="s">
        <v>33</v>
      </c>
      <c r="N86" s="47">
        <v>29</v>
      </c>
      <c r="O86" s="48">
        <v>6</v>
      </c>
      <c r="P86" s="49">
        <v>205</v>
      </c>
      <c r="Q86" s="50">
        <v>14.842518500000001</v>
      </c>
      <c r="R86" s="50">
        <v>-92.318376099999995</v>
      </c>
      <c r="S86" s="66" t="s">
        <v>34</v>
      </c>
      <c r="T86" s="66" t="s">
        <v>35</v>
      </c>
      <c r="U86" s="66" t="s">
        <v>35</v>
      </c>
      <c r="V86" s="66" t="s">
        <v>35</v>
      </c>
      <c r="W86" s="66" t="s">
        <v>35</v>
      </c>
      <c r="X86" s="66" t="s">
        <v>35</v>
      </c>
      <c r="Y86" s="66" t="s">
        <v>36</v>
      </c>
      <c r="Z86" s="66" t="s">
        <v>37</v>
      </c>
      <c r="AA86" s="66" t="s">
        <v>37</v>
      </c>
      <c r="AB86" s="67"/>
      <c r="AC86" s="87">
        <f t="shared" si="3"/>
        <v>1</v>
      </c>
      <c r="AD86" s="92" t="s">
        <v>1825</v>
      </c>
      <c r="AE86" s="64"/>
      <c r="AF86">
        <f t="shared" si="5"/>
        <v>0</v>
      </c>
      <c r="AG86">
        <f t="shared" si="4"/>
        <v>1</v>
      </c>
    </row>
    <row r="87" spans="1:33" x14ac:dyDescent="0.3">
      <c r="A87" s="84" t="s">
        <v>56</v>
      </c>
      <c r="B87" s="93" t="s">
        <v>25</v>
      </c>
      <c r="C87" s="93" t="s">
        <v>26</v>
      </c>
      <c r="D87" s="33" t="s">
        <v>1775</v>
      </c>
      <c r="E87" s="34" t="s">
        <v>57</v>
      </c>
      <c r="F87" s="34" t="s">
        <v>58</v>
      </c>
      <c r="G87" s="46" t="s">
        <v>29</v>
      </c>
      <c r="H87" s="37">
        <v>1</v>
      </c>
      <c r="I87" s="34" t="s">
        <v>30</v>
      </c>
      <c r="J87" s="34" t="s">
        <v>31</v>
      </c>
      <c r="K87" s="34" t="s">
        <v>32</v>
      </c>
      <c r="L87" s="34" t="s">
        <v>1755</v>
      </c>
      <c r="M87" s="34" t="s">
        <v>33</v>
      </c>
      <c r="N87" s="47">
        <v>7</v>
      </c>
      <c r="O87" s="48">
        <v>0</v>
      </c>
      <c r="P87" s="49">
        <v>20</v>
      </c>
      <c r="Q87" s="50">
        <v>17.134391999999998</v>
      </c>
      <c r="R87" s="50">
        <v>-92.719601999999995</v>
      </c>
      <c r="S87" s="66" t="s">
        <v>34</v>
      </c>
      <c r="T87" s="66" t="s">
        <v>35</v>
      </c>
      <c r="U87" s="66" t="s">
        <v>35</v>
      </c>
      <c r="V87" s="66" t="s">
        <v>35</v>
      </c>
      <c r="W87" s="66" t="s">
        <v>35</v>
      </c>
      <c r="X87" s="66" t="s">
        <v>35</v>
      </c>
      <c r="Y87" s="66" t="s">
        <v>36</v>
      </c>
      <c r="Z87" s="66" t="s">
        <v>37</v>
      </c>
      <c r="AA87" s="66" t="s">
        <v>37</v>
      </c>
      <c r="AB87" s="67"/>
      <c r="AC87" s="87">
        <f t="shared" si="3"/>
        <v>1</v>
      </c>
      <c r="AD87" s="92" t="s">
        <v>1825</v>
      </c>
      <c r="AE87" s="64"/>
      <c r="AF87">
        <f t="shared" si="5"/>
        <v>0</v>
      </c>
      <c r="AG87">
        <f t="shared" si="4"/>
        <v>1</v>
      </c>
    </row>
    <row r="88" spans="1:33" x14ac:dyDescent="0.3">
      <c r="A88" s="84" t="s">
        <v>59</v>
      </c>
      <c r="B88" s="93" t="s">
        <v>25</v>
      </c>
      <c r="C88" s="93" t="s">
        <v>26</v>
      </c>
      <c r="D88" s="33" t="s">
        <v>1775</v>
      </c>
      <c r="E88" s="34" t="s">
        <v>60</v>
      </c>
      <c r="F88" s="34" t="s">
        <v>61</v>
      </c>
      <c r="G88" s="46" t="s">
        <v>29</v>
      </c>
      <c r="H88" s="37">
        <v>1</v>
      </c>
      <c r="I88" s="34" t="s">
        <v>30</v>
      </c>
      <c r="J88" s="34" t="s">
        <v>31</v>
      </c>
      <c r="K88" s="34" t="s">
        <v>32</v>
      </c>
      <c r="L88" s="34" t="s">
        <v>1755</v>
      </c>
      <c r="M88" s="34" t="s">
        <v>33</v>
      </c>
      <c r="N88" s="47">
        <v>10</v>
      </c>
      <c r="O88" s="48">
        <v>2</v>
      </c>
      <c r="P88" s="49">
        <v>27</v>
      </c>
      <c r="Q88" s="50">
        <v>16.365531000000001</v>
      </c>
      <c r="R88" s="50">
        <v>-92.377345000000005</v>
      </c>
      <c r="S88" s="66" t="s">
        <v>34</v>
      </c>
      <c r="T88" s="66" t="s">
        <v>35</v>
      </c>
      <c r="U88" s="66" t="s">
        <v>35</v>
      </c>
      <c r="V88" s="66" t="s">
        <v>35</v>
      </c>
      <c r="W88" s="66" t="s">
        <v>35</v>
      </c>
      <c r="X88" s="66" t="s">
        <v>35</v>
      </c>
      <c r="Y88" s="66" t="s">
        <v>36</v>
      </c>
      <c r="Z88" s="66" t="s">
        <v>37</v>
      </c>
      <c r="AA88" s="66" t="s">
        <v>37</v>
      </c>
      <c r="AB88" s="67"/>
      <c r="AC88" s="87">
        <f t="shared" si="3"/>
        <v>1</v>
      </c>
      <c r="AD88" s="92" t="s">
        <v>1825</v>
      </c>
      <c r="AE88" s="64"/>
      <c r="AF88">
        <f t="shared" si="5"/>
        <v>0</v>
      </c>
      <c r="AG88">
        <f t="shared" si="4"/>
        <v>1</v>
      </c>
    </row>
    <row r="89" spans="1:33" x14ac:dyDescent="0.3">
      <c r="A89" s="84" t="s">
        <v>62</v>
      </c>
      <c r="B89" s="93" t="s">
        <v>25</v>
      </c>
      <c r="C89" s="93" t="s">
        <v>26</v>
      </c>
      <c r="D89" s="33" t="s">
        <v>1775</v>
      </c>
      <c r="E89" s="34" t="s">
        <v>63</v>
      </c>
      <c r="F89" s="34" t="s">
        <v>64</v>
      </c>
      <c r="G89" s="46" t="s">
        <v>29</v>
      </c>
      <c r="H89" s="37">
        <v>1</v>
      </c>
      <c r="I89" s="34" t="s">
        <v>30</v>
      </c>
      <c r="J89" s="34" t="s">
        <v>31</v>
      </c>
      <c r="K89" s="34" t="s">
        <v>32</v>
      </c>
      <c r="L89" s="34" t="s">
        <v>1755</v>
      </c>
      <c r="M89" s="34" t="s">
        <v>33</v>
      </c>
      <c r="N89" s="47">
        <v>10</v>
      </c>
      <c r="O89" s="48">
        <v>2</v>
      </c>
      <c r="P89" s="49">
        <v>24</v>
      </c>
      <c r="Q89" s="50">
        <v>16.720224999999999</v>
      </c>
      <c r="R89" s="50">
        <v>-93.012051</v>
      </c>
      <c r="S89" s="66" t="s">
        <v>34</v>
      </c>
      <c r="T89" s="66" t="s">
        <v>35</v>
      </c>
      <c r="U89" s="66" t="s">
        <v>35</v>
      </c>
      <c r="V89" s="66" t="s">
        <v>35</v>
      </c>
      <c r="W89" s="66" t="s">
        <v>35</v>
      </c>
      <c r="X89" s="66" t="s">
        <v>35</v>
      </c>
      <c r="Y89" s="66" t="s">
        <v>36</v>
      </c>
      <c r="Z89" s="66" t="s">
        <v>37</v>
      </c>
      <c r="AA89" s="66" t="s">
        <v>37</v>
      </c>
      <c r="AB89" s="67"/>
      <c r="AC89" s="87">
        <f t="shared" si="3"/>
        <v>1</v>
      </c>
      <c r="AD89" s="92" t="s">
        <v>1825</v>
      </c>
      <c r="AE89" s="64"/>
      <c r="AF89">
        <f t="shared" si="5"/>
        <v>0</v>
      </c>
      <c r="AG89">
        <f t="shared" si="4"/>
        <v>1</v>
      </c>
    </row>
    <row r="90" spans="1:33" x14ac:dyDescent="0.3">
      <c r="A90" s="84" t="s">
        <v>65</v>
      </c>
      <c r="B90" s="93" t="s">
        <v>25</v>
      </c>
      <c r="C90" s="93" t="s">
        <v>26</v>
      </c>
      <c r="D90" s="33" t="s">
        <v>1775</v>
      </c>
      <c r="E90" s="34" t="s">
        <v>66</v>
      </c>
      <c r="F90" s="34" t="s">
        <v>67</v>
      </c>
      <c r="G90" s="46" t="s">
        <v>29</v>
      </c>
      <c r="H90" s="37">
        <v>1</v>
      </c>
      <c r="I90" s="34" t="s">
        <v>30</v>
      </c>
      <c r="J90" s="34" t="s">
        <v>31</v>
      </c>
      <c r="K90" s="34" t="s">
        <v>32</v>
      </c>
      <c r="L90" s="34" t="s">
        <v>1755</v>
      </c>
      <c r="M90" s="34" t="s">
        <v>33</v>
      </c>
      <c r="N90" s="47">
        <v>8</v>
      </c>
      <c r="O90" s="48">
        <v>1</v>
      </c>
      <c r="P90" s="49">
        <v>17</v>
      </c>
      <c r="Q90" s="50">
        <v>17.377960000000002</v>
      </c>
      <c r="R90" s="50">
        <v>-92.811238000000003</v>
      </c>
      <c r="S90" s="66" t="s">
        <v>34</v>
      </c>
      <c r="T90" s="66" t="s">
        <v>35</v>
      </c>
      <c r="U90" s="66" t="s">
        <v>35</v>
      </c>
      <c r="V90" s="66" t="s">
        <v>35</v>
      </c>
      <c r="W90" s="66" t="s">
        <v>35</v>
      </c>
      <c r="X90" s="66" t="s">
        <v>35</v>
      </c>
      <c r="Y90" s="66" t="s">
        <v>36</v>
      </c>
      <c r="Z90" s="66" t="s">
        <v>37</v>
      </c>
      <c r="AA90" s="66" t="s">
        <v>37</v>
      </c>
      <c r="AB90" s="67"/>
      <c r="AC90" s="87">
        <f t="shared" si="3"/>
        <v>1</v>
      </c>
      <c r="AD90" s="92" t="s">
        <v>1825</v>
      </c>
      <c r="AE90" s="64"/>
      <c r="AF90">
        <f t="shared" si="5"/>
        <v>0</v>
      </c>
      <c r="AG90">
        <f t="shared" si="4"/>
        <v>1</v>
      </c>
    </row>
    <row r="91" spans="1:33" x14ac:dyDescent="0.3">
      <c r="A91" s="84" t="s">
        <v>68</v>
      </c>
      <c r="B91" s="93" t="s">
        <v>25</v>
      </c>
      <c r="C91" s="93" t="s">
        <v>26</v>
      </c>
      <c r="D91" s="33" t="s">
        <v>1775</v>
      </c>
      <c r="E91" s="34" t="s">
        <v>69</v>
      </c>
      <c r="F91" s="34" t="s">
        <v>70</v>
      </c>
      <c r="G91" s="34" t="s">
        <v>29</v>
      </c>
      <c r="H91" s="37">
        <v>1</v>
      </c>
      <c r="I91" s="34" t="s">
        <v>30</v>
      </c>
      <c r="J91" s="34" t="s">
        <v>31</v>
      </c>
      <c r="K91" s="34" t="s">
        <v>32</v>
      </c>
      <c r="L91" s="34" t="s">
        <v>1755</v>
      </c>
      <c r="M91" s="34" t="s">
        <v>33</v>
      </c>
      <c r="N91" s="47">
        <v>6</v>
      </c>
      <c r="O91" s="48">
        <v>2</v>
      </c>
      <c r="P91" s="49">
        <v>17</v>
      </c>
      <c r="Q91" s="50">
        <v>15.453841000000001</v>
      </c>
      <c r="R91" s="50">
        <v>-92.276784000000006</v>
      </c>
      <c r="S91" s="66" t="s">
        <v>34</v>
      </c>
      <c r="T91" s="66" t="s">
        <v>35</v>
      </c>
      <c r="U91" s="66" t="s">
        <v>35</v>
      </c>
      <c r="V91" s="66" t="s">
        <v>35</v>
      </c>
      <c r="W91" s="66" t="s">
        <v>35</v>
      </c>
      <c r="X91" s="66" t="s">
        <v>35</v>
      </c>
      <c r="Y91" s="66" t="s">
        <v>36</v>
      </c>
      <c r="Z91" s="66" t="s">
        <v>37</v>
      </c>
      <c r="AA91" s="66" t="s">
        <v>37</v>
      </c>
      <c r="AB91" s="67"/>
      <c r="AC91" s="87">
        <f t="shared" si="3"/>
        <v>1</v>
      </c>
      <c r="AD91" s="92" t="s">
        <v>1825</v>
      </c>
      <c r="AE91" s="64"/>
      <c r="AF91">
        <f t="shared" si="5"/>
        <v>0</v>
      </c>
      <c r="AG91">
        <f t="shared" si="4"/>
        <v>1</v>
      </c>
    </row>
    <row r="92" spans="1:33" x14ac:dyDescent="0.3">
      <c r="A92" s="84" t="s">
        <v>71</v>
      </c>
      <c r="B92" s="93" t="s">
        <v>25</v>
      </c>
      <c r="C92" s="96" t="s">
        <v>26</v>
      </c>
      <c r="D92" s="33" t="s">
        <v>1775</v>
      </c>
      <c r="E92" s="34" t="s">
        <v>72</v>
      </c>
      <c r="F92" s="34" t="s">
        <v>73</v>
      </c>
      <c r="G92" s="34" t="s">
        <v>29</v>
      </c>
      <c r="H92" s="37">
        <v>1</v>
      </c>
      <c r="I92" s="34" t="s">
        <v>30</v>
      </c>
      <c r="J92" s="34" t="s">
        <v>31</v>
      </c>
      <c r="K92" s="34" t="s">
        <v>32</v>
      </c>
      <c r="L92" s="34" t="s">
        <v>1755</v>
      </c>
      <c r="M92" s="34" t="s">
        <v>33</v>
      </c>
      <c r="N92" s="47">
        <v>10</v>
      </c>
      <c r="O92" s="48">
        <v>2</v>
      </c>
      <c r="P92" s="49">
        <v>31</v>
      </c>
      <c r="Q92" s="50">
        <v>16.166713000000001</v>
      </c>
      <c r="R92" s="50">
        <v>-93.079977</v>
      </c>
      <c r="S92" s="66" t="s">
        <v>34</v>
      </c>
      <c r="T92" s="66" t="s">
        <v>35</v>
      </c>
      <c r="U92" s="66" t="s">
        <v>35</v>
      </c>
      <c r="V92" s="66" t="s">
        <v>35</v>
      </c>
      <c r="W92" s="66" t="s">
        <v>35</v>
      </c>
      <c r="X92" s="66" t="s">
        <v>35</v>
      </c>
      <c r="Y92" s="66" t="s">
        <v>36</v>
      </c>
      <c r="Z92" s="66" t="s">
        <v>37</v>
      </c>
      <c r="AA92" s="66" t="s">
        <v>37</v>
      </c>
      <c r="AB92" s="67"/>
      <c r="AC92" s="87">
        <f t="shared" si="3"/>
        <v>1</v>
      </c>
      <c r="AD92" s="92" t="s">
        <v>1825</v>
      </c>
      <c r="AE92" s="64"/>
      <c r="AF92">
        <f t="shared" si="5"/>
        <v>0</v>
      </c>
      <c r="AG92">
        <f t="shared" si="4"/>
        <v>1</v>
      </c>
    </row>
    <row r="93" spans="1:33" x14ac:dyDescent="0.3">
      <c r="A93" s="84" t="s">
        <v>75</v>
      </c>
      <c r="B93" s="93" t="s">
        <v>25</v>
      </c>
      <c r="C93" s="93" t="s">
        <v>26</v>
      </c>
      <c r="D93" s="33" t="s">
        <v>1775</v>
      </c>
      <c r="E93" s="34" t="s">
        <v>76</v>
      </c>
      <c r="F93" s="34" t="s">
        <v>77</v>
      </c>
      <c r="G93" s="34" t="s">
        <v>29</v>
      </c>
      <c r="H93" s="37">
        <v>1</v>
      </c>
      <c r="I93" s="34" t="s">
        <v>30</v>
      </c>
      <c r="J93" s="34" t="s">
        <v>31</v>
      </c>
      <c r="K93" s="34" t="s">
        <v>32</v>
      </c>
      <c r="L93" s="34" t="s">
        <v>1755</v>
      </c>
      <c r="M93" s="34" t="s">
        <v>33</v>
      </c>
      <c r="N93" s="47">
        <v>8</v>
      </c>
      <c r="O93" s="48">
        <v>0</v>
      </c>
      <c r="P93" s="49">
        <v>23</v>
      </c>
      <c r="Q93" s="50">
        <v>17.255877999999999</v>
      </c>
      <c r="R93" s="50">
        <v>-93.017016999999996</v>
      </c>
      <c r="S93" s="66" t="s">
        <v>34</v>
      </c>
      <c r="T93" s="66" t="s">
        <v>35</v>
      </c>
      <c r="U93" s="66" t="s">
        <v>35</v>
      </c>
      <c r="V93" s="66" t="s">
        <v>35</v>
      </c>
      <c r="W93" s="66" t="s">
        <v>35</v>
      </c>
      <c r="X93" s="66" t="s">
        <v>35</v>
      </c>
      <c r="Y93" s="66" t="s">
        <v>36</v>
      </c>
      <c r="Z93" s="66" t="s">
        <v>37</v>
      </c>
      <c r="AA93" s="66" t="s">
        <v>37</v>
      </c>
      <c r="AB93" s="67"/>
      <c r="AC93" s="87">
        <f t="shared" si="3"/>
        <v>1</v>
      </c>
      <c r="AD93" s="92" t="s">
        <v>1825</v>
      </c>
      <c r="AE93" s="64"/>
      <c r="AF93">
        <f t="shared" si="5"/>
        <v>0</v>
      </c>
      <c r="AG93">
        <f t="shared" si="4"/>
        <v>1</v>
      </c>
    </row>
    <row r="94" spans="1:33" x14ac:dyDescent="0.3">
      <c r="A94" s="84" t="s">
        <v>78</v>
      </c>
      <c r="B94" s="93" t="s">
        <v>25</v>
      </c>
      <c r="C94" s="93" t="s">
        <v>26</v>
      </c>
      <c r="D94" s="33" t="s">
        <v>1775</v>
      </c>
      <c r="E94" s="34" t="s">
        <v>79</v>
      </c>
      <c r="F94" s="34" t="s">
        <v>80</v>
      </c>
      <c r="G94" s="34" t="s">
        <v>29</v>
      </c>
      <c r="H94" s="37">
        <v>1</v>
      </c>
      <c r="I94" s="34" t="s">
        <v>30</v>
      </c>
      <c r="J94" s="34" t="s">
        <v>31</v>
      </c>
      <c r="K94" s="34" t="s">
        <v>32</v>
      </c>
      <c r="L94" s="34" t="s">
        <v>1755</v>
      </c>
      <c r="M94" s="34" t="s">
        <v>33</v>
      </c>
      <c r="N94" s="47">
        <v>8</v>
      </c>
      <c r="O94" s="48">
        <v>2</v>
      </c>
      <c r="P94" s="49">
        <v>21</v>
      </c>
      <c r="Q94" s="50">
        <v>16.879071</v>
      </c>
      <c r="R94" s="50">
        <v>-92.714877999999999</v>
      </c>
      <c r="S94" s="66" t="s">
        <v>34</v>
      </c>
      <c r="T94" s="66" t="s">
        <v>35</v>
      </c>
      <c r="U94" s="66" t="s">
        <v>35</v>
      </c>
      <c r="V94" s="66" t="s">
        <v>35</v>
      </c>
      <c r="W94" s="66" t="s">
        <v>35</v>
      </c>
      <c r="X94" s="66" t="s">
        <v>35</v>
      </c>
      <c r="Y94" s="66" t="s">
        <v>36</v>
      </c>
      <c r="Z94" s="66" t="s">
        <v>37</v>
      </c>
      <c r="AA94" s="66" t="s">
        <v>37</v>
      </c>
      <c r="AB94" s="67"/>
      <c r="AC94" s="87">
        <f t="shared" si="3"/>
        <v>1</v>
      </c>
      <c r="AD94" s="92" t="s">
        <v>1825</v>
      </c>
      <c r="AE94" s="64"/>
      <c r="AF94">
        <f t="shared" si="5"/>
        <v>0</v>
      </c>
      <c r="AG94">
        <f t="shared" si="4"/>
        <v>1</v>
      </c>
    </row>
    <row r="95" spans="1:33" x14ac:dyDescent="0.3">
      <c r="A95" s="84" t="s">
        <v>81</v>
      </c>
      <c r="B95" s="93" t="s">
        <v>25</v>
      </c>
      <c r="C95" s="93" t="s">
        <v>26</v>
      </c>
      <c r="D95" s="33" t="s">
        <v>1775</v>
      </c>
      <c r="E95" s="34" t="s">
        <v>82</v>
      </c>
      <c r="F95" s="34" t="s">
        <v>83</v>
      </c>
      <c r="G95" s="34" t="s">
        <v>29</v>
      </c>
      <c r="H95" s="37">
        <v>1</v>
      </c>
      <c r="I95" s="34" t="s">
        <v>30</v>
      </c>
      <c r="J95" s="34" t="s">
        <v>31</v>
      </c>
      <c r="K95" s="34" t="s">
        <v>32</v>
      </c>
      <c r="L95" s="34" t="s">
        <v>1755</v>
      </c>
      <c r="M95" s="34" t="s">
        <v>84</v>
      </c>
      <c r="N95" s="47">
        <v>9</v>
      </c>
      <c r="O95" s="48">
        <v>2</v>
      </c>
      <c r="P95" s="49">
        <v>21</v>
      </c>
      <c r="Q95" s="50">
        <v>17.023199999999999</v>
      </c>
      <c r="R95" s="50">
        <v>-91.419499999999999</v>
      </c>
      <c r="S95" s="66" t="s">
        <v>34</v>
      </c>
      <c r="T95" s="66" t="s">
        <v>35</v>
      </c>
      <c r="U95" s="66" t="s">
        <v>35</v>
      </c>
      <c r="V95" s="66" t="s">
        <v>35</v>
      </c>
      <c r="W95" s="66" t="s">
        <v>35</v>
      </c>
      <c r="X95" s="66" t="s">
        <v>35</v>
      </c>
      <c r="Y95" s="66" t="s">
        <v>36</v>
      </c>
      <c r="Z95" s="66" t="s">
        <v>37</v>
      </c>
      <c r="AA95" s="66" t="s">
        <v>37</v>
      </c>
      <c r="AB95" s="67"/>
      <c r="AC95" s="87">
        <f t="shared" si="3"/>
        <v>1</v>
      </c>
      <c r="AD95" s="92" t="s">
        <v>1825</v>
      </c>
      <c r="AE95" s="64"/>
      <c r="AF95">
        <f t="shared" si="5"/>
        <v>0</v>
      </c>
      <c r="AG95">
        <f t="shared" si="4"/>
        <v>1</v>
      </c>
    </row>
    <row r="96" spans="1:33" x14ac:dyDescent="0.3">
      <c r="A96" s="84" t="s">
        <v>85</v>
      </c>
      <c r="B96" s="93" t="s">
        <v>25</v>
      </c>
      <c r="C96" s="93" t="s">
        <v>26</v>
      </c>
      <c r="D96" s="33" t="s">
        <v>1775</v>
      </c>
      <c r="E96" s="34" t="s">
        <v>86</v>
      </c>
      <c r="F96" s="34" t="s">
        <v>87</v>
      </c>
      <c r="G96" s="34" t="s">
        <v>29</v>
      </c>
      <c r="H96" s="37">
        <v>1</v>
      </c>
      <c r="I96" s="34" t="s">
        <v>30</v>
      </c>
      <c r="J96" s="34" t="s">
        <v>31</v>
      </c>
      <c r="K96" s="34" t="s">
        <v>32</v>
      </c>
      <c r="L96" s="34" t="s">
        <v>1755</v>
      </c>
      <c r="M96" s="34" t="s">
        <v>33</v>
      </c>
      <c r="N96" s="47">
        <v>9</v>
      </c>
      <c r="O96" s="48">
        <v>2</v>
      </c>
      <c r="P96" s="49">
        <v>22</v>
      </c>
      <c r="Q96" s="50">
        <v>15.671072199999999</v>
      </c>
      <c r="R96" s="50">
        <v>-93.211713599999996</v>
      </c>
      <c r="S96" s="66" t="s">
        <v>34</v>
      </c>
      <c r="T96" s="66" t="s">
        <v>35</v>
      </c>
      <c r="U96" s="66" t="s">
        <v>35</v>
      </c>
      <c r="V96" s="66" t="s">
        <v>35</v>
      </c>
      <c r="W96" s="66" t="s">
        <v>35</v>
      </c>
      <c r="X96" s="66" t="s">
        <v>35</v>
      </c>
      <c r="Y96" s="66" t="s">
        <v>36</v>
      </c>
      <c r="Z96" s="66" t="s">
        <v>37</v>
      </c>
      <c r="AA96" s="66" t="s">
        <v>37</v>
      </c>
      <c r="AB96" s="67"/>
      <c r="AC96" s="87">
        <f t="shared" si="3"/>
        <v>1</v>
      </c>
      <c r="AD96" s="92" t="s">
        <v>1825</v>
      </c>
      <c r="AE96" s="64"/>
      <c r="AF96">
        <f t="shared" si="5"/>
        <v>0</v>
      </c>
      <c r="AG96">
        <f t="shared" si="4"/>
        <v>1</v>
      </c>
    </row>
    <row r="97" spans="1:33" x14ac:dyDescent="0.3">
      <c r="A97" s="84" t="s">
        <v>88</v>
      </c>
      <c r="B97" s="93" t="s">
        <v>25</v>
      </c>
      <c r="C97" s="93" t="s">
        <v>26</v>
      </c>
      <c r="D97" s="33" t="s">
        <v>1775</v>
      </c>
      <c r="E97" s="34" t="s">
        <v>89</v>
      </c>
      <c r="F97" s="34" t="s">
        <v>90</v>
      </c>
      <c r="G97" s="34" t="s">
        <v>29</v>
      </c>
      <c r="H97" s="37">
        <v>1</v>
      </c>
      <c r="I97" s="34" t="s">
        <v>30</v>
      </c>
      <c r="J97" s="34" t="s">
        <v>31</v>
      </c>
      <c r="K97" s="34" t="s">
        <v>32</v>
      </c>
      <c r="L97" s="34" t="s">
        <v>1755</v>
      </c>
      <c r="M97" s="34" t="s">
        <v>33</v>
      </c>
      <c r="N97" s="47">
        <v>9</v>
      </c>
      <c r="O97" s="48">
        <v>2</v>
      </c>
      <c r="P97" s="49">
        <v>16</v>
      </c>
      <c r="Q97" s="50">
        <v>16.554808000000001</v>
      </c>
      <c r="R97" s="50">
        <v>-92.475661000000002</v>
      </c>
      <c r="S97" s="66" t="s">
        <v>34</v>
      </c>
      <c r="T97" s="66" t="s">
        <v>35</v>
      </c>
      <c r="U97" s="66" t="s">
        <v>35</v>
      </c>
      <c r="V97" s="66" t="s">
        <v>35</v>
      </c>
      <c r="W97" s="66" t="s">
        <v>35</v>
      </c>
      <c r="X97" s="66" t="s">
        <v>35</v>
      </c>
      <c r="Y97" s="66" t="s">
        <v>36</v>
      </c>
      <c r="Z97" s="66" t="s">
        <v>37</v>
      </c>
      <c r="AA97" s="66" t="s">
        <v>37</v>
      </c>
      <c r="AB97" s="67"/>
      <c r="AC97" s="87">
        <f t="shared" si="3"/>
        <v>1</v>
      </c>
      <c r="AD97" s="92" t="s">
        <v>1825</v>
      </c>
      <c r="AE97" s="64"/>
      <c r="AF97">
        <f t="shared" si="5"/>
        <v>0</v>
      </c>
      <c r="AG97">
        <f t="shared" si="4"/>
        <v>1</v>
      </c>
    </row>
    <row r="98" spans="1:33" x14ac:dyDescent="0.3">
      <c r="A98" s="84" t="s">
        <v>140</v>
      </c>
      <c r="B98" s="93" t="s">
        <v>25</v>
      </c>
      <c r="C98" s="93" t="s">
        <v>26</v>
      </c>
      <c r="D98" s="33" t="s">
        <v>1775</v>
      </c>
      <c r="E98" s="34" t="s">
        <v>141</v>
      </c>
      <c r="F98" s="34" t="s">
        <v>142</v>
      </c>
      <c r="G98" s="34" t="s">
        <v>111</v>
      </c>
      <c r="H98" s="37">
        <v>1</v>
      </c>
      <c r="I98" s="34" t="s">
        <v>112</v>
      </c>
      <c r="J98" s="34" t="s">
        <v>31</v>
      </c>
      <c r="K98" s="34" t="s">
        <v>32</v>
      </c>
      <c r="L98" s="34" t="s">
        <v>1755</v>
      </c>
      <c r="M98" s="34" t="s">
        <v>33</v>
      </c>
      <c r="N98" s="47">
        <v>13</v>
      </c>
      <c r="O98" s="48">
        <v>3</v>
      </c>
      <c r="P98" s="49">
        <v>116</v>
      </c>
      <c r="Q98" s="50">
        <v>16.723703</v>
      </c>
      <c r="R98" s="50">
        <v>-92.652269000000004</v>
      </c>
      <c r="S98" s="66" t="s">
        <v>34</v>
      </c>
      <c r="T98" s="66" t="s">
        <v>35</v>
      </c>
      <c r="U98" s="66" t="s">
        <v>35</v>
      </c>
      <c r="V98" s="66" t="s">
        <v>35</v>
      </c>
      <c r="W98" s="66" t="s">
        <v>35</v>
      </c>
      <c r="X98" s="66" t="s">
        <v>35</v>
      </c>
      <c r="Y98" s="66" t="s">
        <v>36</v>
      </c>
      <c r="Z98" s="66" t="s">
        <v>37</v>
      </c>
      <c r="AA98" s="66" t="s">
        <v>37</v>
      </c>
      <c r="AB98" s="67"/>
      <c r="AC98" s="87">
        <f t="shared" si="3"/>
        <v>1</v>
      </c>
      <c r="AD98" s="92" t="s">
        <v>1825</v>
      </c>
      <c r="AE98" s="64"/>
      <c r="AF98">
        <f t="shared" si="5"/>
        <v>0</v>
      </c>
      <c r="AG98">
        <f t="shared" si="4"/>
        <v>1</v>
      </c>
    </row>
    <row r="99" spans="1:33" x14ac:dyDescent="0.3">
      <c r="A99" s="84" t="s">
        <v>162</v>
      </c>
      <c r="B99" s="93" t="s">
        <v>25</v>
      </c>
      <c r="C99" s="93" t="s">
        <v>26</v>
      </c>
      <c r="D99" s="33" t="s">
        <v>1775</v>
      </c>
      <c r="E99" s="34" t="s">
        <v>114</v>
      </c>
      <c r="F99" s="34" t="s">
        <v>163</v>
      </c>
      <c r="G99" s="34" t="s">
        <v>164</v>
      </c>
      <c r="H99" s="37">
        <v>2</v>
      </c>
      <c r="I99" s="34" t="s">
        <v>112</v>
      </c>
      <c r="J99" s="34" t="s">
        <v>31</v>
      </c>
      <c r="K99" s="34" t="s">
        <v>32</v>
      </c>
      <c r="L99" s="34" t="s">
        <v>1755</v>
      </c>
      <c r="M99" s="34" t="s">
        <v>33</v>
      </c>
      <c r="N99" s="47">
        <v>11</v>
      </c>
      <c r="O99" s="48">
        <v>5</v>
      </c>
      <c r="P99" s="49">
        <v>106</v>
      </c>
      <c r="Q99" s="50">
        <v>16.207545</v>
      </c>
      <c r="R99" s="50">
        <v>-92.106986000000006</v>
      </c>
      <c r="S99" s="66" t="s">
        <v>34</v>
      </c>
      <c r="T99" s="66" t="s">
        <v>35</v>
      </c>
      <c r="U99" s="66" t="s">
        <v>35</v>
      </c>
      <c r="V99" s="66" t="s">
        <v>35</v>
      </c>
      <c r="W99" s="66" t="s">
        <v>35</v>
      </c>
      <c r="X99" s="66" t="s">
        <v>35</v>
      </c>
      <c r="Y99" s="66" t="s">
        <v>36</v>
      </c>
      <c r="Z99" s="66" t="s">
        <v>37</v>
      </c>
      <c r="AA99" s="66" t="s">
        <v>37</v>
      </c>
      <c r="AB99" s="67"/>
      <c r="AC99" s="87">
        <f t="shared" si="3"/>
        <v>1</v>
      </c>
      <c r="AD99" s="92" t="s">
        <v>1825</v>
      </c>
      <c r="AE99" s="64"/>
      <c r="AF99">
        <f t="shared" si="5"/>
        <v>0</v>
      </c>
      <c r="AG99">
        <f t="shared" si="4"/>
        <v>1</v>
      </c>
    </row>
    <row r="100" spans="1:33" x14ac:dyDescent="0.3">
      <c r="A100" s="84" t="s">
        <v>91</v>
      </c>
      <c r="B100" s="93" t="s">
        <v>25</v>
      </c>
      <c r="C100" s="93" t="s">
        <v>26</v>
      </c>
      <c r="D100" s="33" t="s">
        <v>1775</v>
      </c>
      <c r="E100" s="34" t="s">
        <v>92</v>
      </c>
      <c r="F100" s="34" t="s">
        <v>93</v>
      </c>
      <c r="G100" s="34" t="s">
        <v>29</v>
      </c>
      <c r="H100" s="37">
        <v>1</v>
      </c>
      <c r="I100" s="34" t="s">
        <v>30</v>
      </c>
      <c r="J100" s="34" t="s">
        <v>31</v>
      </c>
      <c r="K100" s="34" t="s">
        <v>32</v>
      </c>
      <c r="L100" s="34" t="s">
        <v>1755</v>
      </c>
      <c r="M100" s="34" t="s">
        <v>33</v>
      </c>
      <c r="N100" s="47">
        <v>8</v>
      </c>
      <c r="O100" s="48">
        <v>2</v>
      </c>
      <c r="P100" s="49">
        <v>29</v>
      </c>
      <c r="Q100" s="50">
        <v>15.667289</v>
      </c>
      <c r="R100" s="50">
        <v>-92.132599999999996</v>
      </c>
      <c r="S100" s="66" t="s">
        <v>34</v>
      </c>
      <c r="T100" s="66" t="s">
        <v>35</v>
      </c>
      <c r="U100" s="66" t="s">
        <v>35</v>
      </c>
      <c r="V100" s="66" t="s">
        <v>35</v>
      </c>
      <c r="W100" s="66" t="s">
        <v>35</v>
      </c>
      <c r="X100" s="66" t="s">
        <v>35</v>
      </c>
      <c r="Y100" s="66" t="s">
        <v>36</v>
      </c>
      <c r="Z100" s="66" t="s">
        <v>37</v>
      </c>
      <c r="AA100" s="66" t="s">
        <v>37</v>
      </c>
      <c r="AB100" s="67"/>
      <c r="AC100" s="87">
        <f t="shared" si="3"/>
        <v>1</v>
      </c>
      <c r="AD100" s="92" t="s">
        <v>1825</v>
      </c>
      <c r="AE100" s="64"/>
      <c r="AF100">
        <f t="shared" si="5"/>
        <v>0</v>
      </c>
      <c r="AG100">
        <f t="shared" si="4"/>
        <v>1</v>
      </c>
    </row>
    <row r="101" spans="1:33" x14ac:dyDescent="0.3">
      <c r="A101" s="84" t="s">
        <v>94</v>
      </c>
      <c r="B101" s="93" t="s">
        <v>25</v>
      </c>
      <c r="C101" s="93" t="s">
        <v>26</v>
      </c>
      <c r="D101" s="33" t="s">
        <v>1775</v>
      </c>
      <c r="E101" s="34" t="s">
        <v>95</v>
      </c>
      <c r="F101" s="34" t="s">
        <v>96</v>
      </c>
      <c r="G101" s="34" t="s">
        <v>29</v>
      </c>
      <c r="H101" s="37">
        <v>1</v>
      </c>
      <c r="I101" s="34" t="s">
        <v>30</v>
      </c>
      <c r="J101" s="34" t="s">
        <v>31</v>
      </c>
      <c r="K101" s="34" t="s">
        <v>32</v>
      </c>
      <c r="L101" s="34" t="s">
        <v>1755</v>
      </c>
      <c r="M101" s="34" t="s">
        <v>33</v>
      </c>
      <c r="N101" s="47">
        <v>7</v>
      </c>
      <c r="O101" s="48">
        <v>1</v>
      </c>
      <c r="P101" s="49">
        <v>9</v>
      </c>
      <c r="Q101" s="50">
        <v>16.957888000000001</v>
      </c>
      <c r="R101" s="50">
        <v>-92.619906999999998</v>
      </c>
      <c r="S101" s="66" t="s">
        <v>34</v>
      </c>
      <c r="T101" s="66" t="s">
        <v>35</v>
      </c>
      <c r="U101" s="66" t="s">
        <v>35</v>
      </c>
      <c r="V101" s="66" t="s">
        <v>35</v>
      </c>
      <c r="W101" s="66" t="s">
        <v>35</v>
      </c>
      <c r="X101" s="66" t="s">
        <v>35</v>
      </c>
      <c r="Y101" s="66" t="s">
        <v>36</v>
      </c>
      <c r="Z101" s="66" t="s">
        <v>37</v>
      </c>
      <c r="AA101" s="66" t="s">
        <v>37</v>
      </c>
      <c r="AB101" s="67"/>
      <c r="AC101" s="87">
        <f t="shared" si="3"/>
        <v>1</v>
      </c>
      <c r="AD101" s="92" t="s">
        <v>1825</v>
      </c>
      <c r="AE101" s="64"/>
      <c r="AF101">
        <f t="shared" si="5"/>
        <v>0</v>
      </c>
      <c r="AG101">
        <f t="shared" si="4"/>
        <v>1</v>
      </c>
    </row>
    <row r="102" spans="1:33" x14ac:dyDescent="0.3">
      <c r="A102" s="84" t="s">
        <v>143</v>
      </c>
      <c r="B102" s="93" t="s">
        <v>25</v>
      </c>
      <c r="C102" s="93" t="s">
        <v>26</v>
      </c>
      <c r="D102" s="33" t="s">
        <v>1775</v>
      </c>
      <c r="E102" s="34" t="s">
        <v>144</v>
      </c>
      <c r="F102" s="34" t="s">
        <v>145</v>
      </c>
      <c r="G102" s="34" t="s">
        <v>111</v>
      </c>
      <c r="H102" s="37">
        <v>1</v>
      </c>
      <c r="I102" s="34" t="s">
        <v>112</v>
      </c>
      <c r="J102" s="34" t="s">
        <v>31</v>
      </c>
      <c r="K102" s="34" t="s">
        <v>32</v>
      </c>
      <c r="L102" s="34" t="s">
        <v>1755</v>
      </c>
      <c r="M102" s="34" t="s">
        <v>33</v>
      </c>
      <c r="N102" s="47">
        <v>9</v>
      </c>
      <c r="O102" s="48">
        <v>6</v>
      </c>
      <c r="P102" s="49">
        <v>98</v>
      </c>
      <c r="Q102" s="50">
        <v>16.258402</v>
      </c>
      <c r="R102" s="50">
        <v>-93.265141</v>
      </c>
      <c r="S102" s="66" t="s">
        <v>34</v>
      </c>
      <c r="T102" s="66" t="s">
        <v>35</v>
      </c>
      <c r="U102" s="66" t="s">
        <v>35</v>
      </c>
      <c r="V102" s="66" t="s">
        <v>35</v>
      </c>
      <c r="W102" s="66" t="s">
        <v>35</v>
      </c>
      <c r="X102" s="66" t="s">
        <v>35</v>
      </c>
      <c r="Y102" s="66" t="s">
        <v>36</v>
      </c>
      <c r="Z102" s="66" t="s">
        <v>37</v>
      </c>
      <c r="AA102" s="66" t="s">
        <v>37</v>
      </c>
      <c r="AB102" s="67"/>
      <c r="AC102" s="87">
        <f t="shared" si="3"/>
        <v>1</v>
      </c>
      <c r="AD102" s="92" t="s">
        <v>1825</v>
      </c>
      <c r="AE102" s="64"/>
      <c r="AF102">
        <f t="shared" si="5"/>
        <v>0</v>
      </c>
      <c r="AG102">
        <f t="shared" si="4"/>
        <v>1</v>
      </c>
    </row>
    <row r="103" spans="1:33" x14ac:dyDescent="0.3">
      <c r="A103" s="84" t="s">
        <v>97</v>
      </c>
      <c r="B103" s="93" t="s">
        <v>25</v>
      </c>
      <c r="C103" s="96" t="s">
        <v>26</v>
      </c>
      <c r="D103" s="33" t="s">
        <v>1775</v>
      </c>
      <c r="E103" s="34" t="s">
        <v>98</v>
      </c>
      <c r="F103" s="34" t="s">
        <v>99</v>
      </c>
      <c r="G103" s="46" t="s">
        <v>29</v>
      </c>
      <c r="H103" s="37">
        <v>1</v>
      </c>
      <c r="I103" s="34" t="s">
        <v>30</v>
      </c>
      <c r="J103" s="34" t="s">
        <v>31</v>
      </c>
      <c r="K103" s="34" t="s">
        <v>32</v>
      </c>
      <c r="L103" s="34" t="s">
        <v>1755</v>
      </c>
      <c r="M103" s="34" t="s">
        <v>33</v>
      </c>
      <c r="N103" s="47">
        <v>9</v>
      </c>
      <c r="O103" s="48">
        <v>2</v>
      </c>
      <c r="P103" s="49">
        <v>8</v>
      </c>
      <c r="Q103" s="50">
        <v>17.407516000000001</v>
      </c>
      <c r="R103" s="50">
        <v>-93.335205000000002</v>
      </c>
      <c r="S103" s="66" t="s">
        <v>34</v>
      </c>
      <c r="T103" s="66" t="s">
        <v>35</v>
      </c>
      <c r="U103" s="66" t="s">
        <v>35</v>
      </c>
      <c r="V103" s="66" t="s">
        <v>35</v>
      </c>
      <c r="W103" s="66" t="s">
        <v>35</v>
      </c>
      <c r="X103" s="66" t="s">
        <v>35</v>
      </c>
      <c r="Y103" s="66" t="s">
        <v>36</v>
      </c>
      <c r="Z103" s="66" t="s">
        <v>74</v>
      </c>
      <c r="AA103" s="66" t="s">
        <v>37</v>
      </c>
      <c r="AB103" s="67"/>
      <c r="AC103" s="87">
        <f t="shared" si="3"/>
        <v>0.88888888888888884</v>
      </c>
      <c r="AD103" s="92" t="s">
        <v>1825</v>
      </c>
      <c r="AE103" s="64"/>
      <c r="AF103">
        <f t="shared" si="5"/>
        <v>1</v>
      </c>
      <c r="AG103">
        <f t="shared" si="4"/>
        <v>0</v>
      </c>
    </row>
    <row r="104" spans="1:33" x14ac:dyDescent="0.3">
      <c r="A104" s="84" t="s">
        <v>100</v>
      </c>
      <c r="B104" s="93" t="s">
        <v>25</v>
      </c>
      <c r="C104" s="96" t="s">
        <v>26</v>
      </c>
      <c r="D104" s="33" t="s">
        <v>1775</v>
      </c>
      <c r="E104" s="34" t="s">
        <v>101</v>
      </c>
      <c r="F104" s="34" t="s">
        <v>102</v>
      </c>
      <c r="G104" s="46" t="s">
        <v>29</v>
      </c>
      <c r="H104" s="37">
        <v>1</v>
      </c>
      <c r="I104" s="34" t="s">
        <v>30</v>
      </c>
      <c r="J104" s="34" t="s">
        <v>31</v>
      </c>
      <c r="K104" s="34" t="s">
        <v>32</v>
      </c>
      <c r="L104" s="34" t="s">
        <v>1755</v>
      </c>
      <c r="M104" s="34" t="s">
        <v>33</v>
      </c>
      <c r="N104" s="47">
        <v>7</v>
      </c>
      <c r="O104" s="48">
        <v>2</v>
      </c>
      <c r="P104" s="49">
        <v>8</v>
      </c>
      <c r="Q104" s="50">
        <v>16.790454</v>
      </c>
      <c r="R104" s="50">
        <v>-92.343530999999999</v>
      </c>
      <c r="S104" s="66" t="s">
        <v>34</v>
      </c>
      <c r="T104" s="66" t="s">
        <v>35</v>
      </c>
      <c r="U104" s="66" t="s">
        <v>35</v>
      </c>
      <c r="V104" s="66" t="s">
        <v>35</v>
      </c>
      <c r="W104" s="66" t="s">
        <v>35</v>
      </c>
      <c r="X104" s="66" t="s">
        <v>35</v>
      </c>
      <c r="Y104" s="66" t="s">
        <v>36</v>
      </c>
      <c r="Z104" s="66" t="s">
        <v>37</v>
      </c>
      <c r="AA104" s="66" t="s">
        <v>37</v>
      </c>
      <c r="AB104" s="67"/>
      <c r="AC104" s="87">
        <f t="shared" si="3"/>
        <v>1</v>
      </c>
      <c r="AD104" s="92" t="s">
        <v>1825</v>
      </c>
      <c r="AE104" s="64"/>
      <c r="AF104">
        <f t="shared" si="5"/>
        <v>0</v>
      </c>
      <c r="AG104">
        <f t="shared" si="4"/>
        <v>1</v>
      </c>
    </row>
    <row r="105" spans="1:33" x14ac:dyDescent="0.3">
      <c r="A105" s="84" t="s">
        <v>103</v>
      </c>
      <c r="B105" s="93" t="s">
        <v>25</v>
      </c>
      <c r="C105" s="93" t="s">
        <v>26</v>
      </c>
      <c r="D105" s="33" t="s">
        <v>1775</v>
      </c>
      <c r="E105" s="34" t="s">
        <v>104</v>
      </c>
      <c r="F105" s="34" t="s">
        <v>105</v>
      </c>
      <c r="G105" s="46" t="s">
        <v>29</v>
      </c>
      <c r="H105" s="37">
        <v>1</v>
      </c>
      <c r="I105" s="34" t="s">
        <v>30</v>
      </c>
      <c r="J105" s="34" t="s">
        <v>31</v>
      </c>
      <c r="K105" s="34" t="s">
        <v>32</v>
      </c>
      <c r="L105" s="34" t="s">
        <v>1755</v>
      </c>
      <c r="M105" s="34" t="s">
        <v>33</v>
      </c>
      <c r="N105" s="47">
        <v>9</v>
      </c>
      <c r="O105" s="48">
        <v>2</v>
      </c>
      <c r="P105" s="49">
        <v>20</v>
      </c>
      <c r="Q105" s="50">
        <v>16.782468000000001</v>
      </c>
      <c r="R105" s="50">
        <v>-92.696190000000001</v>
      </c>
      <c r="S105" s="66" t="s">
        <v>34</v>
      </c>
      <c r="T105" s="66" t="s">
        <v>35</v>
      </c>
      <c r="U105" s="66" t="s">
        <v>35</v>
      </c>
      <c r="V105" s="66" t="s">
        <v>35</v>
      </c>
      <c r="W105" s="66" t="s">
        <v>35</v>
      </c>
      <c r="X105" s="66" t="s">
        <v>35</v>
      </c>
      <c r="Y105" s="66" t="s">
        <v>36</v>
      </c>
      <c r="Z105" s="66" t="s">
        <v>37</v>
      </c>
      <c r="AA105" s="66" t="s">
        <v>37</v>
      </c>
      <c r="AB105" s="67"/>
      <c r="AC105" s="87">
        <f t="shared" si="3"/>
        <v>1</v>
      </c>
      <c r="AD105" s="92" t="s">
        <v>1825</v>
      </c>
      <c r="AE105" s="64"/>
      <c r="AF105">
        <f t="shared" si="5"/>
        <v>0</v>
      </c>
      <c r="AG105">
        <f t="shared" si="4"/>
        <v>1</v>
      </c>
    </row>
    <row r="106" spans="1:33" x14ac:dyDescent="0.3">
      <c r="A106" s="84" t="s">
        <v>106</v>
      </c>
      <c r="B106" s="93" t="s">
        <v>25</v>
      </c>
      <c r="C106" s="93" t="s">
        <v>26</v>
      </c>
      <c r="D106" s="33" t="s">
        <v>1775</v>
      </c>
      <c r="E106" s="34" t="s">
        <v>82</v>
      </c>
      <c r="F106" s="34" t="s">
        <v>107</v>
      </c>
      <c r="G106" s="46" t="s">
        <v>29</v>
      </c>
      <c r="H106" s="37">
        <v>1</v>
      </c>
      <c r="I106" s="34" t="s">
        <v>30</v>
      </c>
      <c r="J106" s="34" t="s">
        <v>31</v>
      </c>
      <c r="K106" s="34" t="s">
        <v>32</v>
      </c>
      <c r="L106" s="34" t="s">
        <v>1755</v>
      </c>
      <c r="M106" s="34" t="s">
        <v>33</v>
      </c>
      <c r="N106" s="47">
        <v>9</v>
      </c>
      <c r="O106" s="48">
        <v>2</v>
      </c>
      <c r="P106" s="49">
        <v>34</v>
      </c>
      <c r="Q106" s="50">
        <v>16.896882999999999</v>
      </c>
      <c r="R106" s="50">
        <v>-92.063021000000006</v>
      </c>
      <c r="S106" s="66" t="s">
        <v>34</v>
      </c>
      <c r="T106" s="66" t="s">
        <v>35</v>
      </c>
      <c r="U106" s="66" t="s">
        <v>35</v>
      </c>
      <c r="V106" s="66" t="s">
        <v>35</v>
      </c>
      <c r="W106" s="66" t="s">
        <v>35</v>
      </c>
      <c r="X106" s="66" t="s">
        <v>35</v>
      </c>
      <c r="Y106" s="66" t="s">
        <v>36</v>
      </c>
      <c r="Z106" s="66" t="s">
        <v>37</v>
      </c>
      <c r="AA106" s="66" t="s">
        <v>37</v>
      </c>
      <c r="AB106" s="67"/>
      <c r="AC106" s="87">
        <f t="shared" si="3"/>
        <v>1</v>
      </c>
      <c r="AD106" s="92" t="s">
        <v>1825</v>
      </c>
      <c r="AE106" s="64"/>
      <c r="AF106">
        <f t="shared" si="5"/>
        <v>0</v>
      </c>
      <c r="AG106">
        <f t="shared" si="4"/>
        <v>1</v>
      </c>
    </row>
    <row r="107" spans="1:33" x14ac:dyDescent="0.3">
      <c r="A107" s="84" t="s">
        <v>146</v>
      </c>
      <c r="B107" s="93" t="s">
        <v>25</v>
      </c>
      <c r="C107" s="93" t="s">
        <v>26</v>
      </c>
      <c r="D107" s="33" t="s">
        <v>1775</v>
      </c>
      <c r="E107" s="34" t="s">
        <v>129</v>
      </c>
      <c r="F107" s="34" t="s">
        <v>147</v>
      </c>
      <c r="G107" s="34" t="s">
        <v>111</v>
      </c>
      <c r="H107" s="37">
        <v>1</v>
      </c>
      <c r="I107" s="34" t="s">
        <v>112</v>
      </c>
      <c r="J107" s="34" t="s">
        <v>31</v>
      </c>
      <c r="K107" s="34" t="s">
        <v>32</v>
      </c>
      <c r="L107" s="34" t="s">
        <v>1756</v>
      </c>
      <c r="M107" s="34" t="s">
        <v>33</v>
      </c>
      <c r="N107" s="47">
        <v>39</v>
      </c>
      <c r="O107" s="48">
        <v>6</v>
      </c>
      <c r="P107" s="49">
        <v>222</v>
      </c>
      <c r="Q107" s="50">
        <v>16.748459700000002</v>
      </c>
      <c r="R107" s="50">
        <v>-93.072799500000002</v>
      </c>
      <c r="S107" s="66" t="s">
        <v>34</v>
      </c>
      <c r="T107" s="66" t="s">
        <v>35</v>
      </c>
      <c r="U107" s="66" t="s">
        <v>35</v>
      </c>
      <c r="V107" s="66" t="s">
        <v>35</v>
      </c>
      <c r="W107" s="66" t="s">
        <v>35</v>
      </c>
      <c r="X107" s="66" t="s">
        <v>35</v>
      </c>
      <c r="Y107" s="66" t="s">
        <v>36</v>
      </c>
      <c r="Z107" s="66" t="s">
        <v>37</v>
      </c>
      <c r="AA107" s="66" t="s">
        <v>37</v>
      </c>
      <c r="AB107" s="67"/>
      <c r="AC107" s="87">
        <f t="shared" si="3"/>
        <v>1</v>
      </c>
      <c r="AD107" s="92" t="s">
        <v>1825</v>
      </c>
      <c r="AE107" s="64"/>
      <c r="AF107">
        <f t="shared" si="5"/>
        <v>0</v>
      </c>
      <c r="AG107">
        <f t="shared" si="4"/>
        <v>1</v>
      </c>
    </row>
    <row r="108" spans="1:33" x14ac:dyDescent="0.3">
      <c r="A108" s="97" t="s">
        <v>1666</v>
      </c>
      <c r="B108" s="98" t="s">
        <v>25</v>
      </c>
      <c r="C108" s="98" t="s">
        <v>1776</v>
      </c>
      <c r="D108" s="33" t="s">
        <v>1775</v>
      </c>
      <c r="E108" s="38" t="s">
        <v>1662</v>
      </c>
      <c r="F108" s="34" t="s">
        <v>1667</v>
      </c>
      <c r="G108" s="38" t="s">
        <v>941</v>
      </c>
      <c r="H108" s="57">
        <v>2</v>
      </c>
      <c r="I108" s="38" t="s">
        <v>155</v>
      </c>
      <c r="J108" s="38" t="s">
        <v>31</v>
      </c>
      <c r="K108" s="38" t="s">
        <v>32</v>
      </c>
      <c r="L108" s="38" t="s">
        <v>1756</v>
      </c>
      <c r="M108" s="38" t="s">
        <v>33</v>
      </c>
      <c r="N108" s="57">
        <v>13</v>
      </c>
      <c r="O108" s="57">
        <v>1</v>
      </c>
      <c r="P108" s="57">
        <v>27</v>
      </c>
      <c r="Q108" s="68">
        <v>19.484406799999999</v>
      </c>
      <c r="R108" s="68">
        <v>-99.185474999999997</v>
      </c>
      <c r="S108" s="69" t="s">
        <v>34</v>
      </c>
      <c r="T108" s="66" t="s">
        <v>35</v>
      </c>
      <c r="U108" s="66" t="s">
        <v>35</v>
      </c>
      <c r="V108" s="66" t="s">
        <v>35</v>
      </c>
      <c r="W108" s="66" t="s">
        <v>35</v>
      </c>
      <c r="X108" s="66" t="s">
        <v>35</v>
      </c>
      <c r="Y108" s="69" t="s">
        <v>36</v>
      </c>
      <c r="Z108" s="66" t="s">
        <v>37</v>
      </c>
      <c r="AA108" s="66" t="s">
        <v>37</v>
      </c>
      <c r="AB108" s="67"/>
      <c r="AC108" s="87">
        <f t="shared" si="3"/>
        <v>1</v>
      </c>
      <c r="AD108" s="92" t="s">
        <v>1825</v>
      </c>
      <c r="AE108" s="64"/>
      <c r="AF108">
        <f t="shared" si="5"/>
        <v>0</v>
      </c>
      <c r="AG108">
        <f t="shared" si="4"/>
        <v>1</v>
      </c>
    </row>
    <row r="109" spans="1:33" x14ac:dyDescent="0.3">
      <c r="A109" s="84" t="s">
        <v>1605</v>
      </c>
      <c r="B109" s="93" t="s">
        <v>25</v>
      </c>
      <c r="C109" s="93" t="s">
        <v>1776</v>
      </c>
      <c r="D109" s="33" t="s">
        <v>1775</v>
      </c>
      <c r="E109" s="34" t="s">
        <v>1606</v>
      </c>
      <c r="F109" s="34" t="s">
        <v>1607</v>
      </c>
      <c r="G109" s="34" t="s">
        <v>941</v>
      </c>
      <c r="H109" s="37">
        <v>2</v>
      </c>
      <c r="I109" s="34" t="s">
        <v>155</v>
      </c>
      <c r="J109" s="34" t="s">
        <v>31</v>
      </c>
      <c r="K109" s="34" t="s">
        <v>32</v>
      </c>
      <c r="L109" s="34" t="s">
        <v>1756</v>
      </c>
      <c r="M109" s="34" t="s">
        <v>33</v>
      </c>
      <c r="N109" s="47">
        <v>15</v>
      </c>
      <c r="O109" s="48">
        <v>2</v>
      </c>
      <c r="P109" s="49">
        <v>84</v>
      </c>
      <c r="Q109" s="50">
        <v>19.345625999999999</v>
      </c>
      <c r="R109" s="50">
        <v>-99.167851200000001</v>
      </c>
      <c r="S109" s="66" t="s">
        <v>34</v>
      </c>
      <c r="T109" s="66" t="s">
        <v>35</v>
      </c>
      <c r="U109" s="66" t="s">
        <v>35</v>
      </c>
      <c r="V109" s="66" t="s">
        <v>35</v>
      </c>
      <c r="W109" s="66" t="s">
        <v>35</v>
      </c>
      <c r="X109" s="66" t="s">
        <v>35</v>
      </c>
      <c r="Y109" s="66" t="s">
        <v>36</v>
      </c>
      <c r="Z109" s="66" t="s">
        <v>37</v>
      </c>
      <c r="AA109" s="66" t="s">
        <v>37</v>
      </c>
      <c r="AB109" s="67"/>
      <c r="AC109" s="87">
        <f t="shared" si="3"/>
        <v>1</v>
      </c>
      <c r="AD109" s="92" t="s">
        <v>1825</v>
      </c>
      <c r="AE109" s="64"/>
      <c r="AF109">
        <f t="shared" si="5"/>
        <v>0</v>
      </c>
      <c r="AG109">
        <f t="shared" si="4"/>
        <v>1</v>
      </c>
    </row>
    <row r="110" spans="1:33" x14ac:dyDescent="0.3">
      <c r="A110" s="135" t="s">
        <v>1625</v>
      </c>
      <c r="B110" s="98" t="s">
        <v>25</v>
      </c>
      <c r="C110" s="98" t="s">
        <v>1776</v>
      </c>
      <c r="D110" s="33" t="s">
        <v>1775</v>
      </c>
      <c r="E110" s="38" t="s">
        <v>921</v>
      </c>
      <c r="F110" s="34" t="s">
        <v>1626</v>
      </c>
      <c r="G110" s="38" t="s">
        <v>941</v>
      </c>
      <c r="H110" s="57">
        <v>2</v>
      </c>
      <c r="I110" s="38" t="s">
        <v>155</v>
      </c>
      <c r="J110" s="38" t="s">
        <v>31</v>
      </c>
      <c r="K110" s="38" t="s">
        <v>32</v>
      </c>
      <c r="L110" s="38" t="s">
        <v>1756</v>
      </c>
      <c r="M110" s="38" t="s">
        <v>33</v>
      </c>
      <c r="N110" s="57">
        <v>23</v>
      </c>
      <c r="O110" s="57">
        <v>2</v>
      </c>
      <c r="P110" s="57">
        <v>70</v>
      </c>
      <c r="Q110" s="68">
        <v>19.458006999999998</v>
      </c>
      <c r="R110" s="68">
        <v>-99.092431899999994</v>
      </c>
      <c r="S110" s="69" t="s">
        <v>34</v>
      </c>
      <c r="T110" s="69" t="s">
        <v>175</v>
      </c>
      <c r="U110" s="66" t="s">
        <v>35</v>
      </c>
      <c r="V110" s="66" t="s">
        <v>35</v>
      </c>
      <c r="W110" s="66" t="s">
        <v>35</v>
      </c>
      <c r="X110" s="66" t="s">
        <v>35</v>
      </c>
      <c r="Y110" s="69" t="s">
        <v>36</v>
      </c>
      <c r="Z110" s="66" t="s">
        <v>37</v>
      </c>
      <c r="AA110" s="66" t="s">
        <v>37</v>
      </c>
      <c r="AB110" s="67"/>
      <c r="AC110" s="87">
        <f t="shared" si="3"/>
        <v>0.94444444444444442</v>
      </c>
      <c r="AD110" s="92" t="s">
        <v>1825</v>
      </c>
      <c r="AE110" s="64"/>
      <c r="AF110">
        <f t="shared" si="5"/>
        <v>0</v>
      </c>
      <c r="AG110">
        <f t="shared" si="4"/>
        <v>1</v>
      </c>
    </row>
    <row r="111" spans="1:33" x14ac:dyDescent="0.3">
      <c r="A111" s="136" t="s">
        <v>920</v>
      </c>
      <c r="B111" s="93" t="s">
        <v>25</v>
      </c>
      <c r="C111" s="93" t="s">
        <v>1776</v>
      </c>
      <c r="D111" s="33" t="s">
        <v>1775</v>
      </c>
      <c r="E111" s="34" t="s">
        <v>921</v>
      </c>
      <c r="F111" s="34" t="s">
        <v>922</v>
      </c>
      <c r="G111" s="34" t="s">
        <v>111</v>
      </c>
      <c r="H111" s="37">
        <v>1</v>
      </c>
      <c r="I111" s="34" t="s">
        <v>112</v>
      </c>
      <c r="J111" s="34" t="s">
        <v>31</v>
      </c>
      <c r="K111" s="34" t="s">
        <v>32</v>
      </c>
      <c r="L111" s="34" t="s">
        <v>1755</v>
      </c>
      <c r="M111" s="34" t="s">
        <v>33</v>
      </c>
      <c r="N111" s="47">
        <v>25</v>
      </c>
      <c r="O111" s="48">
        <v>8</v>
      </c>
      <c r="P111" s="49">
        <v>184</v>
      </c>
      <c r="Q111" s="50">
        <v>19.480621599999999</v>
      </c>
      <c r="R111" s="50">
        <v>-99.103144700000001</v>
      </c>
      <c r="S111" s="66" t="s">
        <v>34</v>
      </c>
      <c r="T111" s="66" t="s">
        <v>175</v>
      </c>
      <c r="U111" s="66" t="s">
        <v>35</v>
      </c>
      <c r="V111" s="66" t="s">
        <v>35</v>
      </c>
      <c r="W111" s="66" t="s">
        <v>35</v>
      </c>
      <c r="X111" s="66" t="s">
        <v>35</v>
      </c>
      <c r="Y111" s="66" t="s">
        <v>36</v>
      </c>
      <c r="Z111" s="66" t="s">
        <v>37</v>
      </c>
      <c r="AA111" s="66" t="s">
        <v>37</v>
      </c>
      <c r="AB111" s="67"/>
      <c r="AC111" s="87">
        <f t="shared" si="3"/>
        <v>0.94444444444444442</v>
      </c>
      <c r="AD111" s="92" t="s">
        <v>1825</v>
      </c>
      <c r="AE111" s="64"/>
      <c r="AF111">
        <f t="shared" si="5"/>
        <v>0</v>
      </c>
      <c r="AG111">
        <f t="shared" si="4"/>
        <v>1</v>
      </c>
    </row>
    <row r="112" spans="1:33" x14ac:dyDescent="0.3">
      <c r="A112" s="136" t="s">
        <v>911</v>
      </c>
      <c r="B112" s="93" t="s">
        <v>25</v>
      </c>
      <c r="C112" s="93" t="s">
        <v>1776</v>
      </c>
      <c r="D112" s="33" t="s">
        <v>1775</v>
      </c>
      <c r="E112" s="34" t="s">
        <v>912</v>
      </c>
      <c r="F112" s="34" t="s">
        <v>913</v>
      </c>
      <c r="G112" s="34" t="s">
        <v>111</v>
      </c>
      <c r="H112" s="37">
        <v>1</v>
      </c>
      <c r="I112" s="34" t="s">
        <v>112</v>
      </c>
      <c r="J112" s="34" t="s">
        <v>31</v>
      </c>
      <c r="K112" s="34" t="s">
        <v>32</v>
      </c>
      <c r="L112" s="34" t="s">
        <v>1755</v>
      </c>
      <c r="M112" s="34" t="s">
        <v>33</v>
      </c>
      <c r="N112" s="47">
        <v>26</v>
      </c>
      <c r="O112" s="48">
        <v>9</v>
      </c>
      <c r="P112" s="49">
        <v>200</v>
      </c>
      <c r="Q112" s="50">
        <v>19.344315300000002</v>
      </c>
      <c r="R112" s="50">
        <v>-99.027428599999993</v>
      </c>
      <c r="S112" s="66" t="s">
        <v>34</v>
      </c>
      <c r="T112" s="66" t="s">
        <v>175</v>
      </c>
      <c r="U112" s="66" t="s">
        <v>35</v>
      </c>
      <c r="V112" s="66" t="s">
        <v>35</v>
      </c>
      <c r="W112" s="66" t="s">
        <v>35</v>
      </c>
      <c r="X112" s="66" t="s">
        <v>35</v>
      </c>
      <c r="Y112" s="66" t="s">
        <v>36</v>
      </c>
      <c r="Z112" s="66" t="s">
        <v>74</v>
      </c>
      <c r="AA112" s="66" t="s">
        <v>37</v>
      </c>
      <c r="AB112" s="67"/>
      <c r="AC112" s="87">
        <f t="shared" si="3"/>
        <v>0.83333333333333337</v>
      </c>
      <c r="AD112" s="92" t="s">
        <v>1825</v>
      </c>
      <c r="AE112" s="64"/>
      <c r="AF112">
        <f t="shared" si="5"/>
        <v>1</v>
      </c>
      <c r="AG112">
        <f t="shared" si="4"/>
        <v>0</v>
      </c>
    </row>
    <row r="113" spans="1:33" x14ac:dyDescent="0.3">
      <c r="A113" s="84" t="s">
        <v>1656</v>
      </c>
      <c r="B113" s="93" t="s">
        <v>25</v>
      </c>
      <c r="C113" s="93" t="s">
        <v>1776</v>
      </c>
      <c r="D113" s="33" t="s">
        <v>1775</v>
      </c>
      <c r="E113" s="34" t="s">
        <v>915</v>
      </c>
      <c r="F113" s="38" t="s">
        <v>1657</v>
      </c>
      <c r="G113" s="34" t="s">
        <v>164</v>
      </c>
      <c r="H113" s="37">
        <v>2</v>
      </c>
      <c r="I113" s="34" t="s">
        <v>155</v>
      </c>
      <c r="J113" s="34" t="s">
        <v>31</v>
      </c>
      <c r="K113" s="34" t="s">
        <v>32</v>
      </c>
      <c r="L113" s="34" t="s">
        <v>1755</v>
      </c>
      <c r="M113" s="34" t="s">
        <v>33</v>
      </c>
      <c r="N113" s="47">
        <v>9</v>
      </c>
      <c r="O113" s="48">
        <v>2</v>
      </c>
      <c r="P113" s="49">
        <v>56</v>
      </c>
      <c r="Q113" s="50">
        <v>19.2652517</v>
      </c>
      <c r="R113" s="50">
        <v>-98.998098900000002</v>
      </c>
      <c r="S113" s="66" t="s">
        <v>34</v>
      </c>
      <c r="T113" s="66" t="s">
        <v>35</v>
      </c>
      <c r="U113" s="66" t="s">
        <v>35</v>
      </c>
      <c r="V113" s="66" t="s">
        <v>35</v>
      </c>
      <c r="W113" s="66" t="s">
        <v>35</v>
      </c>
      <c r="X113" s="66" t="s">
        <v>35</v>
      </c>
      <c r="Y113" s="66" t="s">
        <v>36</v>
      </c>
      <c r="Z113" s="66" t="s">
        <v>37</v>
      </c>
      <c r="AA113" s="66" t="s">
        <v>37</v>
      </c>
      <c r="AB113" s="67"/>
      <c r="AC113" s="87">
        <f t="shared" si="3"/>
        <v>1</v>
      </c>
      <c r="AD113" s="92" t="s">
        <v>1825</v>
      </c>
      <c r="AE113" s="64"/>
      <c r="AF113">
        <f t="shared" si="5"/>
        <v>0</v>
      </c>
      <c r="AG113">
        <f t="shared" si="4"/>
        <v>1</v>
      </c>
    </row>
    <row r="114" spans="1:33" x14ac:dyDescent="0.3">
      <c r="A114" s="84" t="s">
        <v>928</v>
      </c>
      <c r="B114" s="93" t="s">
        <v>25</v>
      </c>
      <c r="C114" s="93" t="s">
        <v>1776</v>
      </c>
      <c r="D114" s="33" t="s">
        <v>1775</v>
      </c>
      <c r="E114" s="34" t="s">
        <v>929</v>
      </c>
      <c r="F114" s="34" t="s">
        <v>930</v>
      </c>
      <c r="G114" s="34" t="s">
        <v>164</v>
      </c>
      <c r="H114" s="37">
        <v>2</v>
      </c>
      <c r="I114" s="34" t="s">
        <v>155</v>
      </c>
      <c r="J114" s="34" t="s">
        <v>31</v>
      </c>
      <c r="K114" s="34" t="s">
        <v>32</v>
      </c>
      <c r="L114" s="34" t="s">
        <v>1755</v>
      </c>
      <c r="M114" s="34" t="s">
        <v>33</v>
      </c>
      <c r="N114" s="47">
        <v>21</v>
      </c>
      <c r="O114" s="48">
        <v>3</v>
      </c>
      <c r="P114" s="49">
        <v>110</v>
      </c>
      <c r="Q114" s="50">
        <v>19.254965899999998</v>
      </c>
      <c r="R114" s="50">
        <v>-99.104500000000002</v>
      </c>
      <c r="S114" s="66" t="s">
        <v>34</v>
      </c>
      <c r="T114" s="66" t="s">
        <v>35</v>
      </c>
      <c r="U114" s="66" t="s">
        <v>35</v>
      </c>
      <c r="V114" s="66" t="s">
        <v>35</v>
      </c>
      <c r="W114" s="66" t="s">
        <v>35</v>
      </c>
      <c r="X114" s="66" t="s">
        <v>35</v>
      </c>
      <c r="Y114" s="66" t="s">
        <v>36</v>
      </c>
      <c r="Z114" s="66" t="s">
        <v>37</v>
      </c>
      <c r="AA114" s="66" t="s">
        <v>37</v>
      </c>
      <c r="AB114" s="67"/>
      <c r="AC114" s="87">
        <f t="shared" si="3"/>
        <v>1</v>
      </c>
      <c r="AD114" s="92" t="s">
        <v>1825</v>
      </c>
      <c r="AE114" s="64"/>
      <c r="AF114">
        <f t="shared" si="5"/>
        <v>0</v>
      </c>
      <c r="AG114">
        <f t="shared" si="4"/>
        <v>1</v>
      </c>
    </row>
    <row r="115" spans="1:33" x14ac:dyDescent="0.3">
      <c r="A115" s="84" t="s">
        <v>224</v>
      </c>
      <c r="B115" s="93" t="s">
        <v>25</v>
      </c>
      <c r="C115" s="93" t="s">
        <v>1776</v>
      </c>
      <c r="D115" s="33" t="s">
        <v>1775</v>
      </c>
      <c r="E115" s="34" t="s">
        <v>226</v>
      </c>
      <c r="F115" s="34" t="s">
        <v>227</v>
      </c>
      <c r="G115" s="34" t="s">
        <v>111</v>
      </c>
      <c r="H115" s="37">
        <v>1</v>
      </c>
      <c r="I115" s="34" t="s">
        <v>112</v>
      </c>
      <c r="J115" s="34" t="s">
        <v>31</v>
      </c>
      <c r="K115" s="34" t="s">
        <v>32</v>
      </c>
      <c r="L115" s="34" t="s">
        <v>1756</v>
      </c>
      <c r="M115" s="34" t="s">
        <v>33</v>
      </c>
      <c r="N115" s="47">
        <v>29</v>
      </c>
      <c r="O115" s="48">
        <v>8</v>
      </c>
      <c r="P115" s="49">
        <v>253</v>
      </c>
      <c r="Q115" s="50">
        <v>19.359813599999999</v>
      </c>
      <c r="R115" s="50">
        <v>-99.163239399999995</v>
      </c>
      <c r="S115" s="66" t="s">
        <v>34</v>
      </c>
      <c r="T115" s="66" t="s">
        <v>35</v>
      </c>
      <c r="U115" s="66" t="s">
        <v>35</v>
      </c>
      <c r="V115" s="66" t="s">
        <v>35</v>
      </c>
      <c r="W115" s="66" t="s">
        <v>35</v>
      </c>
      <c r="X115" s="66" t="s">
        <v>35</v>
      </c>
      <c r="Y115" s="66" t="s">
        <v>36</v>
      </c>
      <c r="Z115" s="66" t="s">
        <v>37</v>
      </c>
      <c r="AA115" s="66" t="s">
        <v>37</v>
      </c>
      <c r="AB115" s="67"/>
      <c r="AC115" s="87">
        <f t="shared" si="3"/>
        <v>1</v>
      </c>
      <c r="AD115" s="92" t="s">
        <v>1825</v>
      </c>
      <c r="AE115" s="64"/>
      <c r="AF115">
        <f t="shared" si="5"/>
        <v>0</v>
      </c>
      <c r="AG115">
        <f t="shared" si="4"/>
        <v>1</v>
      </c>
    </row>
    <row r="116" spans="1:33" x14ac:dyDescent="0.3">
      <c r="A116" s="97" t="s">
        <v>938</v>
      </c>
      <c r="B116" s="98" t="s">
        <v>25</v>
      </c>
      <c r="C116" s="98" t="s">
        <v>1776</v>
      </c>
      <c r="D116" s="33" t="s">
        <v>1775</v>
      </c>
      <c r="E116" s="38" t="s">
        <v>939</v>
      </c>
      <c r="F116" s="34" t="s">
        <v>940</v>
      </c>
      <c r="G116" s="38" t="s">
        <v>941</v>
      </c>
      <c r="H116" s="57">
        <v>2</v>
      </c>
      <c r="I116" s="38" t="s">
        <v>155</v>
      </c>
      <c r="J116" s="38" t="s">
        <v>31</v>
      </c>
      <c r="K116" s="38" t="s">
        <v>32</v>
      </c>
      <c r="L116" s="38" t="s">
        <v>1756</v>
      </c>
      <c r="M116" s="38" t="s">
        <v>33</v>
      </c>
      <c r="N116" s="57">
        <v>22</v>
      </c>
      <c r="O116" s="57">
        <v>2</v>
      </c>
      <c r="P116" s="57">
        <v>105</v>
      </c>
      <c r="Q116" s="68">
        <v>19.459708500000001</v>
      </c>
      <c r="R116" s="68">
        <v>-99.141313400000001</v>
      </c>
      <c r="S116" s="69" t="s">
        <v>34</v>
      </c>
      <c r="T116" s="66" t="s">
        <v>35</v>
      </c>
      <c r="U116" s="66" t="s">
        <v>35</v>
      </c>
      <c r="V116" s="66" t="s">
        <v>35</v>
      </c>
      <c r="W116" s="66" t="s">
        <v>35</v>
      </c>
      <c r="X116" s="66" t="s">
        <v>35</v>
      </c>
      <c r="Y116" s="69" t="s">
        <v>36</v>
      </c>
      <c r="Z116" s="66" t="s">
        <v>37</v>
      </c>
      <c r="AA116" s="66" t="s">
        <v>37</v>
      </c>
      <c r="AB116" s="67"/>
      <c r="AC116" s="87">
        <f t="shared" si="3"/>
        <v>1</v>
      </c>
      <c r="AD116" s="92" t="s">
        <v>1825</v>
      </c>
      <c r="AE116" s="64"/>
      <c r="AF116">
        <f t="shared" si="5"/>
        <v>0</v>
      </c>
      <c r="AG116">
        <f t="shared" si="4"/>
        <v>1</v>
      </c>
    </row>
    <row r="117" spans="1:33" x14ac:dyDescent="0.3">
      <c r="A117" s="135" t="s">
        <v>944</v>
      </c>
      <c r="B117" s="98" t="s">
        <v>25</v>
      </c>
      <c r="C117" s="98" t="s">
        <v>1776</v>
      </c>
      <c r="D117" s="33" t="s">
        <v>1775</v>
      </c>
      <c r="E117" s="38" t="s">
        <v>926</v>
      </c>
      <c r="F117" s="34" t="s">
        <v>945</v>
      </c>
      <c r="G117" s="38" t="s">
        <v>941</v>
      </c>
      <c r="H117" s="57">
        <v>2</v>
      </c>
      <c r="I117" s="38" t="s">
        <v>155</v>
      </c>
      <c r="J117" s="38" t="s">
        <v>31</v>
      </c>
      <c r="K117" s="38" t="s">
        <v>32</v>
      </c>
      <c r="L117" s="38" t="s">
        <v>1756</v>
      </c>
      <c r="M117" s="38" t="s">
        <v>33</v>
      </c>
      <c r="N117" s="57">
        <v>21</v>
      </c>
      <c r="O117" s="57">
        <v>3</v>
      </c>
      <c r="P117" s="57">
        <v>99</v>
      </c>
      <c r="Q117" s="68">
        <v>19.402548299999999</v>
      </c>
      <c r="R117" s="68">
        <v>-99.190810900000002</v>
      </c>
      <c r="S117" s="69" t="s">
        <v>34</v>
      </c>
      <c r="T117" s="66" t="s">
        <v>35</v>
      </c>
      <c r="U117" s="66" t="s">
        <v>35</v>
      </c>
      <c r="V117" s="66" t="s">
        <v>35</v>
      </c>
      <c r="W117" s="66" t="s">
        <v>35</v>
      </c>
      <c r="X117" s="66" t="s">
        <v>35</v>
      </c>
      <c r="Y117" s="69" t="s">
        <v>36</v>
      </c>
      <c r="Z117" s="66" t="s">
        <v>37</v>
      </c>
      <c r="AA117" s="66" t="s">
        <v>37</v>
      </c>
      <c r="AB117" s="67"/>
      <c r="AC117" s="87">
        <f t="shared" si="3"/>
        <v>1</v>
      </c>
      <c r="AD117" s="92" t="s">
        <v>1825</v>
      </c>
      <c r="AE117" s="64"/>
      <c r="AF117">
        <f t="shared" si="5"/>
        <v>0</v>
      </c>
      <c r="AG117">
        <f t="shared" si="4"/>
        <v>1</v>
      </c>
    </row>
    <row r="118" spans="1:33" x14ac:dyDescent="0.3">
      <c r="A118" s="135" t="s">
        <v>1615</v>
      </c>
      <c r="B118" s="98" t="s">
        <v>25</v>
      </c>
      <c r="C118" s="98" t="s">
        <v>1776</v>
      </c>
      <c r="D118" s="33" t="s">
        <v>1775</v>
      </c>
      <c r="E118" s="38" t="s">
        <v>926</v>
      </c>
      <c r="F118" s="38" t="s">
        <v>1616</v>
      </c>
      <c r="G118" s="38" t="s">
        <v>941</v>
      </c>
      <c r="H118" s="57">
        <v>2</v>
      </c>
      <c r="I118" s="38" t="s">
        <v>155</v>
      </c>
      <c r="J118" s="38" t="s">
        <v>31</v>
      </c>
      <c r="K118" s="38" t="s">
        <v>32</v>
      </c>
      <c r="L118" s="38" t="s">
        <v>1756</v>
      </c>
      <c r="M118" s="38" t="s">
        <v>33</v>
      </c>
      <c r="N118" s="57">
        <v>27</v>
      </c>
      <c r="O118" s="57">
        <v>2</v>
      </c>
      <c r="P118" s="57">
        <v>82</v>
      </c>
      <c r="Q118" s="68">
        <v>19.4507251</v>
      </c>
      <c r="R118" s="68">
        <v>-99.202854099999996</v>
      </c>
      <c r="S118" s="69" t="s">
        <v>34</v>
      </c>
      <c r="T118" s="66" t="s">
        <v>35</v>
      </c>
      <c r="U118" s="66" t="s">
        <v>35</v>
      </c>
      <c r="V118" s="66" t="s">
        <v>35</v>
      </c>
      <c r="W118" s="66" t="s">
        <v>35</v>
      </c>
      <c r="X118" s="66" t="s">
        <v>35</v>
      </c>
      <c r="Y118" s="69" t="s">
        <v>36</v>
      </c>
      <c r="Z118" s="66" t="s">
        <v>37</v>
      </c>
      <c r="AA118" s="66" t="s">
        <v>37</v>
      </c>
      <c r="AB118" s="67"/>
      <c r="AC118" s="87">
        <f t="shared" si="3"/>
        <v>1</v>
      </c>
      <c r="AD118" s="92" t="s">
        <v>1825</v>
      </c>
      <c r="AE118" s="64"/>
      <c r="AF118">
        <f t="shared" si="5"/>
        <v>0</v>
      </c>
      <c r="AG118">
        <f t="shared" si="4"/>
        <v>1</v>
      </c>
    </row>
    <row r="119" spans="1:33" x14ac:dyDescent="0.3">
      <c r="A119" s="135" t="s">
        <v>925</v>
      </c>
      <c r="B119" s="98" t="s">
        <v>25</v>
      </c>
      <c r="C119" s="98" t="s">
        <v>1776</v>
      </c>
      <c r="D119" s="33" t="s">
        <v>1775</v>
      </c>
      <c r="E119" s="38" t="s">
        <v>926</v>
      </c>
      <c r="F119" s="34" t="s">
        <v>927</v>
      </c>
      <c r="G119" s="38" t="s">
        <v>111</v>
      </c>
      <c r="H119" s="57">
        <v>1</v>
      </c>
      <c r="I119" s="38" t="s">
        <v>112</v>
      </c>
      <c r="J119" s="38" t="s">
        <v>31</v>
      </c>
      <c r="K119" s="38" t="s">
        <v>32</v>
      </c>
      <c r="L119" s="38" t="s">
        <v>1755</v>
      </c>
      <c r="M119" s="38" t="s">
        <v>33</v>
      </c>
      <c r="N119" s="57">
        <v>27</v>
      </c>
      <c r="O119" s="57">
        <v>9</v>
      </c>
      <c r="P119" s="57">
        <v>173</v>
      </c>
      <c r="Q119" s="68">
        <v>19.45112</v>
      </c>
      <c r="R119" s="68">
        <v>-99.169314999999997</v>
      </c>
      <c r="S119" s="69" t="s">
        <v>34</v>
      </c>
      <c r="T119" s="69" t="s">
        <v>175</v>
      </c>
      <c r="U119" s="66" t="s">
        <v>35</v>
      </c>
      <c r="V119" s="66" t="s">
        <v>35</v>
      </c>
      <c r="W119" s="66" t="s">
        <v>35</v>
      </c>
      <c r="X119" s="66" t="s">
        <v>35</v>
      </c>
      <c r="Y119" s="69" t="s">
        <v>36</v>
      </c>
      <c r="Z119" s="66" t="s">
        <v>37</v>
      </c>
      <c r="AA119" s="66" t="s">
        <v>37</v>
      </c>
      <c r="AB119" s="67"/>
      <c r="AC119" s="87">
        <f t="shared" si="3"/>
        <v>0.94444444444444442</v>
      </c>
      <c r="AD119" s="92" t="s">
        <v>1825</v>
      </c>
      <c r="AE119" s="64"/>
      <c r="AF119">
        <f t="shared" si="5"/>
        <v>0</v>
      </c>
      <c r="AG119">
        <f t="shared" si="4"/>
        <v>1</v>
      </c>
    </row>
    <row r="120" spans="1:33" x14ac:dyDescent="0.3">
      <c r="A120" s="84" t="s">
        <v>942</v>
      </c>
      <c r="B120" s="93" t="s">
        <v>25</v>
      </c>
      <c r="C120" s="93" t="s">
        <v>1776</v>
      </c>
      <c r="D120" s="33" t="s">
        <v>1775</v>
      </c>
      <c r="E120" s="34" t="s">
        <v>625</v>
      </c>
      <c r="F120" s="34" t="s">
        <v>943</v>
      </c>
      <c r="G120" s="34" t="s">
        <v>164</v>
      </c>
      <c r="H120" s="37">
        <v>2</v>
      </c>
      <c r="I120" s="34" t="s">
        <v>155</v>
      </c>
      <c r="J120" s="34" t="s">
        <v>31</v>
      </c>
      <c r="K120" s="34" t="s">
        <v>32</v>
      </c>
      <c r="L120" s="34" t="s">
        <v>1756</v>
      </c>
      <c r="M120" s="34" t="s">
        <v>33</v>
      </c>
      <c r="N120" s="47">
        <v>21</v>
      </c>
      <c r="O120" s="48">
        <v>5</v>
      </c>
      <c r="P120" s="49">
        <v>99</v>
      </c>
      <c r="Q120" s="50">
        <v>19.480653799999999</v>
      </c>
      <c r="R120" s="50">
        <v>-99.124137099999999</v>
      </c>
      <c r="S120" s="66" t="s">
        <v>34</v>
      </c>
      <c r="T120" s="66" t="s">
        <v>35</v>
      </c>
      <c r="U120" s="66" t="s">
        <v>35</v>
      </c>
      <c r="V120" s="66" t="s">
        <v>35</v>
      </c>
      <c r="W120" s="66" t="s">
        <v>35</v>
      </c>
      <c r="X120" s="66" t="s">
        <v>35</v>
      </c>
      <c r="Y120" s="66" t="s">
        <v>36</v>
      </c>
      <c r="Z120" s="66" t="s">
        <v>74</v>
      </c>
      <c r="AA120" s="66" t="s">
        <v>74</v>
      </c>
      <c r="AB120" s="67"/>
      <c r="AC120" s="87">
        <f t="shared" si="3"/>
        <v>0.77777777777777779</v>
      </c>
      <c r="AD120" s="92" t="s">
        <v>1825</v>
      </c>
      <c r="AE120" s="64"/>
      <c r="AF120">
        <f t="shared" si="5"/>
        <v>0</v>
      </c>
      <c r="AG120">
        <f t="shared" si="4"/>
        <v>0</v>
      </c>
    </row>
    <row r="121" spans="1:33" x14ac:dyDescent="0.3">
      <c r="A121" s="135" t="s">
        <v>906</v>
      </c>
      <c r="B121" s="98" t="s">
        <v>25</v>
      </c>
      <c r="C121" s="98" t="s">
        <v>1776</v>
      </c>
      <c r="D121" s="33" t="s">
        <v>1775</v>
      </c>
      <c r="E121" s="38" t="s">
        <v>625</v>
      </c>
      <c r="F121" s="38" t="s">
        <v>907</v>
      </c>
      <c r="G121" s="38" t="s">
        <v>111</v>
      </c>
      <c r="H121" s="57">
        <v>1</v>
      </c>
      <c r="I121" s="38" t="s">
        <v>112</v>
      </c>
      <c r="J121" s="38" t="s">
        <v>31</v>
      </c>
      <c r="K121" s="38" t="s">
        <v>32</v>
      </c>
      <c r="L121" s="38" t="s">
        <v>1755</v>
      </c>
      <c r="M121" s="38" t="s">
        <v>33</v>
      </c>
      <c r="N121" s="57">
        <v>23</v>
      </c>
      <c r="O121" s="57">
        <v>7</v>
      </c>
      <c r="P121" s="57">
        <v>218</v>
      </c>
      <c r="Q121" s="68">
        <v>19.424221800000002</v>
      </c>
      <c r="R121" s="68">
        <v>-99.117046400000007</v>
      </c>
      <c r="S121" s="69" t="s">
        <v>34</v>
      </c>
      <c r="T121" s="66" t="s">
        <v>175</v>
      </c>
      <c r="U121" s="66" t="s">
        <v>35</v>
      </c>
      <c r="V121" s="66" t="s">
        <v>35</v>
      </c>
      <c r="W121" s="66" t="s">
        <v>35</v>
      </c>
      <c r="X121" s="66" t="s">
        <v>35</v>
      </c>
      <c r="Y121" s="69" t="s">
        <v>36</v>
      </c>
      <c r="Z121" s="66" t="s">
        <v>37</v>
      </c>
      <c r="AA121" s="66" t="s">
        <v>37</v>
      </c>
      <c r="AB121" s="67"/>
      <c r="AC121" s="87">
        <f t="shared" si="3"/>
        <v>0.94444444444444442</v>
      </c>
      <c r="AD121" s="92" t="s">
        <v>1825</v>
      </c>
      <c r="AE121" s="64"/>
      <c r="AF121">
        <f t="shared" si="5"/>
        <v>0</v>
      </c>
      <c r="AG121">
        <f t="shared" si="4"/>
        <v>1</v>
      </c>
    </row>
    <row r="122" spans="1:33" x14ac:dyDescent="0.3">
      <c r="A122" s="136" t="s">
        <v>923</v>
      </c>
      <c r="B122" s="93" t="s">
        <v>25</v>
      </c>
      <c r="C122" s="93" t="s">
        <v>1776</v>
      </c>
      <c r="D122" s="33" t="s">
        <v>1775</v>
      </c>
      <c r="E122" s="34" t="s">
        <v>912</v>
      </c>
      <c r="F122" s="38" t="s">
        <v>924</v>
      </c>
      <c r="G122" s="34" t="s">
        <v>111</v>
      </c>
      <c r="H122" s="37">
        <v>1</v>
      </c>
      <c r="I122" s="34" t="s">
        <v>155</v>
      </c>
      <c r="J122" s="34" t="s">
        <v>31</v>
      </c>
      <c r="K122" s="34" t="s">
        <v>32</v>
      </c>
      <c r="L122" s="34" t="s">
        <v>1756</v>
      </c>
      <c r="M122" s="34" t="s">
        <v>33</v>
      </c>
      <c r="N122" s="47">
        <v>30</v>
      </c>
      <c r="O122" s="48">
        <v>7</v>
      </c>
      <c r="P122" s="49">
        <v>182</v>
      </c>
      <c r="Q122" s="50">
        <v>19.3066411</v>
      </c>
      <c r="R122" s="50">
        <v>-99.066098400000001</v>
      </c>
      <c r="S122" s="66" t="s">
        <v>34</v>
      </c>
      <c r="T122" s="66" t="s">
        <v>35</v>
      </c>
      <c r="U122" s="66" t="s">
        <v>35</v>
      </c>
      <c r="V122" s="66" t="s">
        <v>35</v>
      </c>
      <c r="W122" s="66" t="s">
        <v>35</v>
      </c>
      <c r="X122" s="66" t="s">
        <v>35</v>
      </c>
      <c r="Y122" s="66" t="s">
        <v>36</v>
      </c>
      <c r="Z122" s="66" t="s">
        <v>37</v>
      </c>
      <c r="AA122" s="66" t="s">
        <v>37</v>
      </c>
      <c r="AB122" s="67" t="s">
        <v>1795</v>
      </c>
      <c r="AC122" s="87">
        <f t="shared" si="3"/>
        <v>1</v>
      </c>
      <c r="AD122" s="91">
        <v>7</v>
      </c>
      <c r="AE122" s="103" t="s">
        <v>1830</v>
      </c>
      <c r="AF122">
        <f t="shared" si="5"/>
        <v>0</v>
      </c>
      <c r="AG122">
        <f t="shared" si="4"/>
        <v>1</v>
      </c>
    </row>
    <row r="123" spans="1:33" x14ac:dyDescent="0.3">
      <c r="A123" s="84" t="s">
        <v>934</v>
      </c>
      <c r="B123" s="93" t="s">
        <v>25</v>
      </c>
      <c r="C123" s="93" t="s">
        <v>1776</v>
      </c>
      <c r="D123" s="33" t="s">
        <v>1775</v>
      </c>
      <c r="E123" s="34" t="s">
        <v>909</v>
      </c>
      <c r="F123" s="34" t="s">
        <v>935</v>
      </c>
      <c r="G123" s="34" t="s">
        <v>111</v>
      </c>
      <c r="H123" s="37">
        <v>1</v>
      </c>
      <c r="I123" s="34" t="s">
        <v>112</v>
      </c>
      <c r="J123" s="34" t="s">
        <v>31</v>
      </c>
      <c r="K123" s="34" t="s">
        <v>32</v>
      </c>
      <c r="L123" s="34" t="s">
        <v>1755</v>
      </c>
      <c r="M123" s="34" t="s">
        <v>33</v>
      </c>
      <c r="N123" s="47">
        <v>18</v>
      </c>
      <c r="O123" s="48">
        <v>5</v>
      </c>
      <c r="P123" s="49">
        <v>109</v>
      </c>
      <c r="Q123" s="50">
        <v>19.199019400000001</v>
      </c>
      <c r="R123" s="50">
        <v>-99.141540300000003</v>
      </c>
      <c r="S123" s="66" t="s">
        <v>34</v>
      </c>
      <c r="T123" s="66" t="s">
        <v>35</v>
      </c>
      <c r="U123" s="66" t="s">
        <v>35</v>
      </c>
      <c r="V123" s="66" t="s">
        <v>35</v>
      </c>
      <c r="W123" s="66" t="s">
        <v>35</v>
      </c>
      <c r="X123" s="66" t="s">
        <v>35</v>
      </c>
      <c r="Y123" s="66" t="s">
        <v>36</v>
      </c>
      <c r="Z123" s="66" t="s">
        <v>37</v>
      </c>
      <c r="AA123" s="66" t="s">
        <v>37</v>
      </c>
      <c r="AB123" s="67" t="s">
        <v>1795</v>
      </c>
      <c r="AC123" s="87">
        <f t="shared" si="3"/>
        <v>1</v>
      </c>
      <c r="AD123" s="91">
        <v>7</v>
      </c>
      <c r="AE123" s="103" t="s">
        <v>1830</v>
      </c>
      <c r="AF123">
        <f t="shared" si="5"/>
        <v>0</v>
      </c>
      <c r="AG123">
        <f t="shared" si="4"/>
        <v>1</v>
      </c>
    </row>
    <row r="124" spans="1:33" x14ac:dyDescent="0.3">
      <c r="A124" s="84" t="s">
        <v>1670</v>
      </c>
      <c r="B124" s="93" t="s">
        <v>25</v>
      </c>
      <c r="C124" s="93" t="s">
        <v>1776</v>
      </c>
      <c r="D124" s="33" t="s">
        <v>1775</v>
      </c>
      <c r="E124" s="34" t="s">
        <v>921</v>
      </c>
      <c r="F124" s="34" t="s">
        <v>1671</v>
      </c>
      <c r="G124" s="34" t="s">
        <v>111</v>
      </c>
      <c r="H124" s="37">
        <v>1</v>
      </c>
      <c r="I124" s="34" t="s">
        <v>112</v>
      </c>
      <c r="J124" s="34" t="s">
        <v>31</v>
      </c>
      <c r="K124" s="34" t="s">
        <v>32</v>
      </c>
      <c r="L124" s="34" t="s">
        <v>1755</v>
      </c>
      <c r="M124" s="34" t="s">
        <v>33</v>
      </c>
      <c r="N124" s="47">
        <v>6</v>
      </c>
      <c r="O124" s="48">
        <v>0</v>
      </c>
      <c r="P124" s="49">
        <v>15</v>
      </c>
      <c r="Q124" s="50">
        <v>19.524347599999999</v>
      </c>
      <c r="R124" s="50">
        <v>-99.140138399999998</v>
      </c>
      <c r="S124" s="66" t="s">
        <v>34</v>
      </c>
      <c r="T124" s="66" t="s">
        <v>35</v>
      </c>
      <c r="U124" s="66" t="s">
        <v>35</v>
      </c>
      <c r="V124" s="66" t="s">
        <v>35</v>
      </c>
      <c r="W124" s="66" t="s">
        <v>35</v>
      </c>
      <c r="X124" s="66" t="s">
        <v>35</v>
      </c>
      <c r="Y124" s="66" t="s">
        <v>36</v>
      </c>
      <c r="Z124" s="66" t="s">
        <v>37</v>
      </c>
      <c r="AA124" s="66" t="s">
        <v>37</v>
      </c>
      <c r="AB124" s="67"/>
      <c r="AC124" s="87">
        <f t="shared" si="3"/>
        <v>1</v>
      </c>
      <c r="AD124" s="91" t="s">
        <v>1825</v>
      </c>
      <c r="AE124" s="64" t="s">
        <v>1831</v>
      </c>
      <c r="AF124">
        <f t="shared" si="5"/>
        <v>0</v>
      </c>
      <c r="AG124">
        <f t="shared" si="4"/>
        <v>1</v>
      </c>
    </row>
    <row r="125" spans="1:33" x14ac:dyDescent="0.3">
      <c r="A125" s="136" t="s">
        <v>914</v>
      </c>
      <c r="B125" s="93" t="s">
        <v>25</v>
      </c>
      <c r="C125" s="93" t="s">
        <v>1776</v>
      </c>
      <c r="D125" s="34" t="s">
        <v>1775</v>
      </c>
      <c r="E125" s="34" t="s">
        <v>915</v>
      </c>
      <c r="F125" s="34" t="s">
        <v>916</v>
      </c>
      <c r="G125" s="34" t="s">
        <v>111</v>
      </c>
      <c r="H125" s="37">
        <v>1</v>
      </c>
      <c r="I125" s="34" t="s">
        <v>112</v>
      </c>
      <c r="J125" s="34" t="s">
        <v>31</v>
      </c>
      <c r="K125" s="34" t="s">
        <v>32</v>
      </c>
      <c r="L125" s="34" t="s">
        <v>1755</v>
      </c>
      <c r="M125" s="34" t="s">
        <v>33</v>
      </c>
      <c r="N125" s="47">
        <v>26</v>
      </c>
      <c r="O125" s="48">
        <v>7</v>
      </c>
      <c r="P125" s="49">
        <v>200</v>
      </c>
      <c r="Q125" s="50">
        <v>19.287391</v>
      </c>
      <c r="R125" s="50">
        <v>-99.052743000000007</v>
      </c>
      <c r="S125" s="66" t="s">
        <v>34</v>
      </c>
      <c r="T125" s="66" t="s">
        <v>175</v>
      </c>
      <c r="U125" s="66" t="s">
        <v>35</v>
      </c>
      <c r="V125" s="66" t="s">
        <v>35</v>
      </c>
      <c r="W125" s="66" t="s">
        <v>35</v>
      </c>
      <c r="X125" s="66" t="s">
        <v>35</v>
      </c>
      <c r="Y125" s="66" t="s">
        <v>36</v>
      </c>
      <c r="Z125" s="66" t="s">
        <v>37</v>
      </c>
      <c r="AA125" s="66" t="s">
        <v>37</v>
      </c>
      <c r="AB125" s="67" t="s">
        <v>1795</v>
      </c>
      <c r="AC125" s="87">
        <f t="shared" si="3"/>
        <v>0.94444444444444442</v>
      </c>
      <c r="AD125" s="91">
        <v>7</v>
      </c>
      <c r="AE125" s="103" t="s">
        <v>1830</v>
      </c>
      <c r="AF125">
        <f t="shared" si="5"/>
        <v>0</v>
      </c>
      <c r="AG125">
        <f t="shared" si="4"/>
        <v>1</v>
      </c>
    </row>
    <row r="126" spans="1:33" x14ac:dyDescent="0.3">
      <c r="A126" s="136" t="s">
        <v>908</v>
      </c>
      <c r="B126" s="93" t="s">
        <v>25</v>
      </c>
      <c r="C126" s="93" t="s">
        <v>1776</v>
      </c>
      <c r="D126" s="33" t="s">
        <v>1775</v>
      </c>
      <c r="E126" s="34" t="s">
        <v>909</v>
      </c>
      <c r="F126" s="34" t="s">
        <v>910</v>
      </c>
      <c r="G126" s="34" t="s">
        <v>111</v>
      </c>
      <c r="H126" s="37">
        <v>1</v>
      </c>
      <c r="I126" s="34" t="s">
        <v>112</v>
      </c>
      <c r="J126" s="34" t="s">
        <v>31</v>
      </c>
      <c r="K126" s="34" t="s">
        <v>32</v>
      </c>
      <c r="L126" s="34" t="s">
        <v>1755</v>
      </c>
      <c r="M126" s="34" t="s">
        <v>33</v>
      </c>
      <c r="N126" s="47">
        <v>21</v>
      </c>
      <c r="O126" s="48">
        <v>8</v>
      </c>
      <c r="P126" s="49">
        <v>203</v>
      </c>
      <c r="Q126" s="50">
        <v>19.271812400000002</v>
      </c>
      <c r="R126" s="50">
        <v>-99.207489600000002</v>
      </c>
      <c r="S126" s="66" t="s">
        <v>34</v>
      </c>
      <c r="T126" s="66" t="s">
        <v>175</v>
      </c>
      <c r="U126" s="66" t="s">
        <v>35</v>
      </c>
      <c r="V126" s="66" t="s">
        <v>35</v>
      </c>
      <c r="W126" s="66" t="s">
        <v>35</v>
      </c>
      <c r="X126" s="66" t="s">
        <v>35</v>
      </c>
      <c r="Y126" s="66" t="s">
        <v>36</v>
      </c>
      <c r="Z126" s="66" t="s">
        <v>37</v>
      </c>
      <c r="AA126" s="66" t="s">
        <v>37</v>
      </c>
      <c r="AB126" s="67" t="s">
        <v>1795</v>
      </c>
      <c r="AC126" s="87">
        <f t="shared" si="3"/>
        <v>0.94444444444444442</v>
      </c>
      <c r="AD126" s="91">
        <v>7</v>
      </c>
      <c r="AE126" s="103" t="s">
        <v>1830</v>
      </c>
      <c r="AF126">
        <f t="shared" si="5"/>
        <v>0</v>
      </c>
      <c r="AG126">
        <f t="shared" si="4"/>
        <v>1</v>
      </c>
    </row>
    <row r="127" spans="1:33" x14ac:dyDescent="0.3">
      <c r="A127" s="84" t="s">
        <v>1759</v>
      </c>
      <c r="B127" s="93" t="s">
        <v>25</v>
      </c>
      <c r="C127" s="93" t="s">
        <v>1716</v>
      </c>
      <c r="D127" s="33" t="s">
        <v>1775</v>
      </c>
      <c r="E127" s="34" t="s">
        <v>1752</v>
      </c>
      <c r="F127" s="34" t="s">
        <v>1753</v>
      </c>
      <c r="G127" s="34" t="s">
        <v>164</v>
      </c>
      <c r="H127" s="37">
        <v>2</v>
      </c>
      <c r="I127" s="80" t="s">
        <v>1722</v>
      </c>
      <c r="J127" s="34" t="s">
        <v>31</v>
      </c>
      <c r="K127" s="34" t="s">
        <v>32</v>
      </c>
      <c r="L127" s="34" t="s">
        <v>1755</v>
      </c>
      <c r="M127" s="34" t="s">
        <v>33</v>
      </c>
      <c r="N127" s="47"/>
      <c r="O127" s="48"/>
      <c r="P127" s="49"/>
      <c r="Q127" s="81">
        <v>209183611</v>
      </c>
      <c r="R127" s="81">
        <v>-1007520958</v>
      </c>
      <c r="S127" s="66" t="s">
        <v>34</v>
      </c>
      <c r="T127" s="66" t="s">
        <v>35</v>
      </c>
      <c r="U127" s="66" t="s">
        <v>35</v>
      </c>
      <c r="V127" s="66" t="s">
        <v>35</v>
      </c>
      <c r="W127" s="66" t="s">
        <v>35</v>
      </c>
      <c r="X127" s="66" t="s">
        <v>35</v>
      </c>
      <c r="Y127" s="66" t="s">
        <v>36</v>
      </c>
      <c r="Z127" s="66" t="s">
        <v>37</v>
      </c>
      <c r="AA127" s="66" t="s">
        <v>37</v>
      </c>
      <c r="AB127" s="70" t="s">
        <v>1795</v>
      </c>
      <c r="AC127" s="87">
        <f t="shared" si="3"/>
        <v>1</v>
      </c>
      <c r="AD127" s="91">
        <v>8</v>
      </c>
      <c r="AE127" s="103" t="s">
        <v>1830</v>
      </c>
      <c r="AF127">
        <f t="shared" si="5"/>
        <v>0</v>
      </c>
      <c r="AG127">
        <f t="shared" si="4"/>
        <v>1</v>
      </c>
    </row>
    <row r="128" spans="1:33" x14ac:dyDescent="0.3">
      <c r="A128" s="84" t="s">
        <v>1013</v>
      </c>
      <c r="B128" s="93" t="s">
        <v>25</v>
      </c>
      <c r="C128" s="93" t="s">
        <v>305</v>
      </c>
      <c r="D128" s="33" t="s">
        <v>1775</v>
      </c>
      <c r="E128" s="34" t="s">
        <v>1014</v>
      </c>
      <c r="F128" s="34" t="s">
        <v>1015</v>
      </c>
      <c r="G128" s="34" t="s">
        <v>111</v>
      </c>
      <c r="H128" s="37">
        <v>1</v>
      </c>
      <c r="I128" s="34" t="s">
        <v>112</v>
      </c>
      <c r="J128" s="34" t="s">
        <v>31</v>
      </c>
      <c r="K128" s="34" t="s">
        <v>32</v>
      </c>
      <c r="L128" s="34" t="s">
        <v>1755</v>
      </c>
      <c r="M128" s="34" t="s">
        <v>33</v>
      </c>
      <c r="N128" s="47">
        <v>8</v>
      </c>
      <c r="O128" s="48">
        <v>2</v>
      </c>
      <c r="P128" s="49">
        <v>48</v>
      </c>
      <c r="Q128" s="33">
        <v>20.262789000000001</v>
      </c>
      <c r="R128" s="33">
        <v>-98.939826999999994</v>
      </c>
      <c r="S128" s="66" t="s">
        <v>34</v>
      </c>
      <c r="T128" s="66" t="s">
        <v>35</v>
      </c>
      <c r="U128" s="66" t="s">
        <v>35</v>
      </c>
      <c r="V128" s="66" t="s">
        <v>35</v>
      </c>
      <c r="W128" s="66" t="s">
        <v>35</v>
      </c>
      <c r="X128" s="66" t="s">
        <v>35</v>
      </c>
      <c r="Y128" s="66" t="s">
        <v>36</v>
      </c>
      <c r="Z128" s="66" t="s">
        <v>37</v>
      </c>
      <c r="AA128" s="66" t="s">
        <v>37</v>
      </c>
      <c r="AB128" s="70" t="s">
        <v>1795</v>
      </c>
      <c r="AC128" s="87">
        <f t="shared" si="3"/>
        <v>1</v>
      </c>
      <c r="AD128" s="91">
        <v>8</v>
      </c>
      <c r="AE128" s="103" t="s">
        <v>1830</v>
      </c>
      <c r="AF128">
        <f t="shared" si="5"/>
        <v>0</v>
      </c>
      <c r="AG128">
        <f t="shared" si="4"/>
        <v>1</v>
      </c>
    </row>
    <row r="129" spans="1:33" x14ac:dyDescent="0.3">
      <c r="A129" s="84" t="s">
        <v>317</v>
      </c>
      <c r="B129" s="93" t="s">
        <v>25</v>
      </c>
      <c r="C129" s="93" t="s">
        <v>305</v>
      </c>
      <c r="D129" s="33" t="s">
        <v>1775</v>
      </c>
      <c r="E129" s="34" t="s">
        <v>318</v>
      </c>
      <c r="F129" s="34" t="s">
        <v>319</v>
      </c>
      <c r="G129" s="34" t="s">
        <v>29</v>
      </c>
      <c r="H129" s="37">
        <v>1</v>
      </c>
      <c r="I129" s="34" t="s">
        <v>30</v>
      </c>
      <c r="J129" s="34" t="s">
        <v>31</v>
      </c>
      <c r="K129" s="34" t="s">
        <v>32</v>
      </c>
      <c r="L129" s="34" t="s">
        <v>1755</v>
      </c>
      <c r="M129" s="34" t="s">
        <v>33</v>
      </c>
      <c r="N129" s="47">
        <v>11</v>
      </c>
      <c r="O129" s="48">
        <v>2</v>
      </c>
      <c r="P129" s="49">
        <v>27</v>
      </c>
      <c r="Q129" s="50">
        <v>21.021042000000001</v>
      </c>
      <c r="R129" s="50">
        <v>-98.348585</v>
      </c>
      <c r="S129" s="66" t="s">
        <v>34</v>
      </c>
      <c r="T129" s="66" t="s">
        <v>35</v>
      </c>
      <c r="U129" s="66" t="s">
        <v>35</v>
      </c>
      <c r="V129" s="66" t="s">
        <v>35</v>
      </c>
      <c r="W129" s="66" t="s">
        <v>35</v>
      </c>
      <c r="X129" s="66" t="s">
        <v>35</v>
      </c>
      <c r="Y129" s="66" t="s">
        <v>36</v>
      </c>
      <c r="Z129" s="66" t="s">
        <v>37</v>
      </c>
      <c r="AA129" s="66" t="s">
        <v>37</v>
      </c>
      <c r="AB129" s="67" t="s">
        <v>1795</v>
      </c>
      <c r="AC129" s="87">
        <f t="shared" si="3"/>
        <v>1</v>
      </c>
      <c r="AD129" s="91">
        <v>8</v>
      </c>
      <c r="AE129" s="103" t="s">
        <v>1830</v>
      </c>
      <c r="AF129">
        <f t="shared" si="5"/>
        <v>0</v>
      </c>
      <c r="AG129">
        <f t="shared" si="4"/>
        <v>1</v>
      </c>
    </row>
    <row r="130" spans="1:33" x14ac:dyDescent="0.3">
      <c r="A130" s="84" t="s">
        <v>1030</v>
      </c>
      <c r="B130" s="93" t="s">
        <v>25</v>
      </c>
      <c r="C130" s="93" t="s">
        <v>305</v>
      </c>
      <c r="D130" s="33" t="s">
        <v>1775</v>
      </c>
      <c r="E130" s="34" t="s">
        <v>1031</v>
      </c>
      <c r="F130" s="34" t="s">
        <v>1032</v>
      </c>
      <c r="G130" s="34" t="s">
        <v>111</v>
      </c>
      <c r="H130" s="37">
        <v>1</v>
      </c>
      <c r="I130" s="34" t="s">
        <v>112</v>
      </c>
      <c r="J130" s="34" t="s">
        <v>31</v>
      </c>
      <c r="K130" s="34" t="s">
        <v>32</v>
      </c>
      <c r="L130" s="34" t="s">
        <v>1755</v>
      </c>
      <c r="M130" s="34" t="s">
        <v>33</v>
      </c>
      <c r="N130" s="47">
        <v>6</v>
      </c>
      <c r="O130" s="48">
        <v>3</v>
      </c>
      <c r="P130" s="49">
        <v>42</v>
      </c>
      <c r="Q130" s="50">
        <v>20.375712799999999</v>
      </c>
      <c r="R130" s="50">
        <v>-99.654173999999998</v>
      </c>
      <c r="S130" s="66" t="s">
        <v>34</v>
      </c>
      <c r="T130" s="66" t="s">
        <v>35</v>
      </c>
      <c r="U130" s="66" t="s">
        <v>35</v>
      </c>
      <c r="V130" s="66" t="s">
        <v>35</v>
      </c>
      <c r="W130" s="66" t="s">
        <v>35</v>
      </c>
      <c r="X130" s="66" t="s">
        <v>35</v>
      </c>
      <c r="Y130" s="66" t="s">
        <v>36</v>
      </c>
      <c r="Z130" s="66" t="s">
        <v>37</v>
      </c>
      <c r="AA130" s="66" t="s">
        <v>37</v>
      </c>
      <c r="AB130" s="72" t="s">
        <v>1822</v>
      </c>
      <c r="AC130" s="87">
        <f t="shared" ref="AC130:AC193" si="6">(
IF(S130="ENVIADO A LA CE/UM",1/3,IF(S130="ENTREGADO/REVISIÓN",2/3,IF(S130="ENVIADO A TICS",1,0)))+
IF(T130="EN PROCESO",1/2,IF(T130="CONCLUIDO",1,0))+
IF(OR(U130="CONCLUIDO",U130="NO APLICA"),1,IF(U130="EN REVISIÓN CENTRAL",2/3,IF(U130="ENVIADO A LA CE/UM",1/3,0)))+
IF(OR(V130="CONCLUIDO",V130="NO APLICA"),1,IF(V130="EN REVISIÓN CENTRAL",2/3,IF(V130="ENVIADO A LA CE/UM",1/3,0)))+                                                                                                                                                                                                                                                         IF(OR(W130="CONCLUIDO",W130="NO APLICA"),1,IF(W130="EN PROCESO",0.5,0))+
IF(OR(X130="CONCLUIDO",X130="NO APLICA"),1,IF(X130="EN PROCESO",0.5,0))+
IF(Y130="PROGRAMADAS",1/2,IF(Y130="CONCLUIDAS",1,0))+
IF(OR(Z130="SI",Z130="NO APLICA"),1,0)+
IF(OR(AA130="SI",AA130="NO APLICA"),1,0)
)/9</f>
        <v>1</v>
      </c>
      <c r="AD130" s="91">
        <v>7</v>
      </c>
      <c r="AE130" s="103" t="s">
        <v>1830</v>
      </c>
      <c r="AF130">
        <f t="shared" si="5"/>
        <v>0</v>
      </c>
      <c r="AG130">
        <f t="shared" ref="AG130:AG193" si="7">IF(AND(OR(Z130="SI",Z130="NO APLICA"),OR(AA130="SI",AA130="NO APLICA")),1,0)</f>
        <v>1</v>
      </c>
    </row>
    <row r="131" spans="1:33" x14ac:dyDescent="0.3">
      <c r="A131" s="84" t="s">
        <v>304</v>
      </c>
      <c r="B131" s="93" t="s">
        <v>25</v>
      </c>
      <c r="C131" s="93" t="s">
        <v>305</v>
      </c>
      <c r="D131" s="33" t="s">
        <v>1775</v>
      </c>
      <c r="E131" s="34" t="s">
        <v>306</v>
      </c>
      <c r="F131" s="34" t="s">
        <v>307</v>
      </c>
      <c r="G131" s="34" t="s">
        <v>111</v>
      </c>
      <c r="H131" s="37">
        <v>1</v>
      </c>
      <c r="I131" s="34" t="s">
        <v>112</v>
      </c>
      <c r="J131" s="34" t="s">
        <v>31</v>
      </c>
      <c r="K131" s="34" t="s">
        <v>32</v>
      </c>
      <c r="L131" s="34" t="s">
        <v>1755</v>
      </c>
      <c r="M131" s="34" t="s">
        <v>33</v>
      </c>
      <c r="N131" s="47">
        <v>12</v>
      </c>
      <c r="O131" s="48">
        <v>5</v>
      </c>
      <c r="P131" s="49">
        <v>105</v>
      </c>
      <c r="Q131" s="50">
        <v>20.433786999999999</v>
      </c>
      <c r="R131" s="50">
        <v>-99.155445999999998</v>
      </c>
      <c r="S131" s="66" t="s">
        <v>34</v>
      </c>
      <c r="T131" s="66" t="s">
        <v>35</v>
      </c>
      <c r="U131" s="66" t="s">
        <v>35</v>
      </c>
      <c r="V131" s="66" t="s">
        <v>35</v>
      </c>
      <c r="W131" s="66" t="s">
        <v>35</v>
      </c>
      <c r="X131" s="66" t="s">
        <v>35</v>
      </c>
      <c r="Y131" s="66" t="s">
        <v>36</v>
      </c>
      <c r="Z131" s="66" t="s">
        <v>37</v>
      </c>
      <c r="AA131" s="66" t="s">
        <v>37</v>
      </c>
      <c r="AB131" s="70" t="s">
        <v>1795</v>
      </c>
      <c r="AC131" s="87">
        <f t="shared" si="6"/>
        <v>1</v>
      </c>
      <c r="AD131" s="91">
        <v>8</v>
      </c>
      <c r="AE131" s="103" t="s">
        <v>1830</v>
      </c>
      <c r="AF131">
        <f t="shared" ref="AF131:AF194" si="8">IF(OR(AND(Z131="SI",AA131="NO"),AND(Z131="NO",AA131="SI")),1,0)</f>
        <v>0</v>
      </c>
      <c r="AG131">
        <f t="shared" si="7"/>
        <v>1</v>
      </c>
    </row>
    <row r="132" spans="1:33" x14ac:dyDescent="0.3">
      <c r="A132" s="84" t="s">
        <v>320</v>
      </c>
      <c r="B132" s="93" t="s">
        <v>25</v>
      </c>
      <c r="C132" s="93" t="s">
        <v>305</v>
      </c>
      <c r="D132" s="33" t="s">
        <v>1775</v>
      </c>
      <c r="E132" s="34" t="s">
        <v>321</v>
      </c>
      <c r="F132" s="34" t="s">
        <v>322</v>
      </c>
      <c r="G132" s="34" t="s">
        <v>29</v>
      </c>
      <c r="H132" s="37">
        <v>1</v>
      </c>
      <c r="I132" s="34" t="s">
        <v>30</v>
      </c>
      <c r="J132" s="34" t="s">
        <v>31</v>
      </c>
      <c r="K132" s="34" t="s">
        <v>32</v>
      </c>
      <c r="L132" s="34" t="s">
        <v>1755</v>
      </c>
      <c r="M132" s="34" t="s">
        <v>33</v>
      </c>
      <c r="N132" s="47">
        <v>6</v>
      </c>
      <c r="O132" s="48">
        <v>3</v>
      </c>
      <c r="P132" s="49">
        <v>26</v>
      </c>
      <c r="Q132" s="50">
        <v>21.010408000000002</v>
      </c>
      <c r="R132" s="50">
        <v>-99.194832000000005</v>
      </c>
      <c r="S132" s="66" t="s">
        <v>34</v>
      </c>
      <c r="T132" s="66" t="s">
        <v>35</v>
      </c>
      <c r="U132" s="66" t="s">
        <v>35</v>
      </c>
      <c r="V132" s="66" t="s">
        <v>35</v>
      </c>
      <c r="W132" s="66" t="s">
        <v>35</v>
      </c>
      <c r="X132" s="66" t="s">
        <v>35</v>
      </c>
      <c r="Y132" s="66" t="s">
        <v>36</v>
      </c>
      <c r="Z132" s="66" t="s">
        <v>37</v>
      </c>
      <c r="AA132" s="66" t="s">
        <v>37</v>
      </c>
      <c r="AB132" s="67" t="s">
        <v>1795</v>
      </c>
      <c r="AC132" s="87">
        <f t="shared" si="6"/>
        <v>1</v>
      </c>
      <c r="AD132" s="91">
        <v>7</v>
      </c>
      <c r="AE132" s="103" t="s">
        <v>1830</v>
      </c>
      <c r="AF132">
        <f t="shared" si="8"/>
        <v>0</v>
      </c>
      <c r="AG132">
        <f t="shared" si="7"/>
        <v>1</v>
      </c>
    </row>
    <row r="133" spans="1:33" x14ac:dyDescent="0.3">
      <c r="A133" s="84" t="s">
        <v>1027</v>
      </c>
      <c r="B133" s="93" t="s">
        <v>25</v>
      </c>
      <c r="C133" s="93" t="s">
        <v>305</v>
      </c>
      <c r="D133" s="33" t="s">
        <v>1775</v>
      </c>
      <c r="E133" s="34" t="s">
        <v>1028</v>
      </c>
      <c r="F133" s="34" t="s">
        <v>1029</v>
      </c>
      <c r="G133" s="34" t="s">
        <v>29</v>
      </c>
      <c r="H133" s="37">
        <v>1</v>
      </c>
      <c r="I133" s="34" t="s">
        <v>30</v>
      </c>
      <c r="J133" s="34" t="s">
        <v>31</v>
      </c>
      <c r="K133" s="34" t="s">
        <v>32</v>
      </c>
      <c r="L133" s="34" t="s">
        <v>1755</v>
      </c>
      <c r="M133" s="34" t="s">
        <v>84</v>
      </c>
      <c r="N133" s="47">
        <v>11</v>
      </c>
      <c r="O133" s="48">
        <v>2</v>
      </c>
      <c r="P133" s="49">
        <v>46</v>
      </c>
      <c r="Q133" s="50">
        <v>20.189067999999999</v>
      </c>
      <c r="R133" s="50">
        <v>-99.224940000000004</v>
      </c>
      <c r="S133" s="66" t="s">
        <v>34</v>
      </c>
      <c r="T133" s="66" t="s">
        <v>35</v>
      </c>
      <c r="U133" s="66" t="s">
        <v>35</v>
      </c>
      <c r="V133" s="66" t="s">
        <v>35</v>
      </c>
      <c r="W133" s="66" t="s">
        <v>35</v>
      </c>
      <c r="X133" s="66" t="s">
        <v>35</v>
      </c>
      <c r="Y133" s="66" t="s">
        <v>36</v>
      </c>
      <c r="Z133" s="66" t="s">
        <v>37</v>
      </c>
      <c r="AA133" s="66" t="s">
        <v>37</v>
      </c>
      <c r="AB133" s="72" t="s">
        <v>1820</v>
      </c>
      <c r="AC133" s="87">
        <f t="shared" si="6"/>
        <v>1</v>
      </c>
      <c r="AD133" s="91">
        <v>7</v>
      </c>
      <c r="AE133" s="103" t="s">
        <v>1830</v>
      </c>
      <c r="AF133">
        <f t="shared" si="8"/>
        <v>0</v>
      </c>
      <c r="AG133">
        <f t="shared" si="7"/>
        <v>1</v>
      </c>
    </row>
    <row r="134" spans="1:33" x14ac:dyDescent="0.3">
      <c r="A134" s="84" t="s">
        <v>1022</v>
      </c>
      <c r="B134" s="93" t="s">
        <v>25</v>
      </c>
      <c r="C134" s="93" t="s">
        <v>305</v>
      </c>
      <c r="D134" s="33" t="s">
        <v>1775</v>
      </c>
      <c r="E134" s="34" t="s">
        <v>315</v>
      </c>
      <c r="F134" s="34" t="s">
        <v>1023</v>
      </c>
      <c r="G134" s="54" t="s">
        <v>111</v>
      </c>
      <c r="H134" s="37">
        <v>1</v>
      </c>
      <c r="I134" s="32" t="s">
        <v>112</v>
      </c>
      <c r="J134" s="54" t="s">
        <v>31</v>
      </c>
      <c r="K134" s="54" t="s">
        <v>32</v>
      </c>
      <c r="L134" s="54" t="s">
        <v>1756</v>
      </c>
      <c r="M134" s="54" t="s">
        <v>33</v>
      </c>
      <c r="N134" s="47">
        <v>39</v>
      </c>
      <c r="O134" s="48">
        <v>10</v>
      </c>
      <c r="P134" s="49">
        <v>289</v>
      </c>
      <c r="Q134" s="33">
        <v>20.113759999999999</v>
      </c>
      <c r="R134" s="141">
        <v>-98.722854999999996</v>
      </c>
      <c r="S134" s="66" t="s">
        <v>34</v>
      </c>
      <c r="T134" s="66" t="s">
        <v>35</v>
      </c>
      <c r="U134" s="66" t="s">
        <v>35</v>
      </c>
      <c r="V134" s="66" t="s">
        <v>35</v>
      </c>
      <c r="W134" s="66" t="s">
        <v>35</v>
      </c>
      <c r="X134" s="66" t="s">
        <v>35</v>
      </c>
      <c r="Y134" s="66" t="s">
        <v>36</v>
      </c>
      <c r="Z134" s="66" t="s">
        <v>37</v>
      </c>
      <c r="AA134" s="66" t="s">
        <v>37</v>
      </c>
      <c r="AB134" s="67" t="s">
        <v>1795</v>
      </c>
      <c r="AC134" s="87">
        <f t="shared" si="6"/>
        <v>1</v>
      </c>
      <c r="AD134" s="91">
        <v>7</v>
      </c>
      <c r="AE134" s="103" t="s">
        <v>1830</v>
      </c>
      <c r="AF134">
        <f t="shared" si="8"/>
        <v>0</v>
      </c>
      <c r="AG134">
        <f t="shared" si="7"/>
        <v>1</v>
      </c>
    </row>
    <row r="135" spans="1:33" x14ac:dyDescent="0.3">
      <c r="A135" s="84" t="s">
        <v>1019</v>
      </c>
      <c r="B135" s="93" t="s">
        <v>25</v>
      </c>
      <c r="C135" s="93" t="s">
        <v>305</v>
      </c>
      <c r="D135" s="33" t="s">
        <v>1775</v>
      </c>
      <c r="E135" s="34" t="s">
        <v>1020</v>
      </c>
      <c r="F135" s="34" t="s">
        <v>1021</v>
      </c>
      <c r="G135" s="34" t="s">
        <v>29</v>
      </c>
      <c r="H135" s="37">
        <v>1</v>
      </c>
      <c r="I135" s="34" t="s">
        <v>30</v>
      </c>
      <c r="J135" s="34" t="s">
        <v>31</v>
      </c>
      <c r="K135" s="34" t="s">
        <v>32</v>
      </c>
      <c r="L135" s="34" t="s">
        <v>1755</v>
      </c>
      <c r="M135" s="34" t="s">
        <v>33</v>
      </c>
      <c r="N135" s="47">
        <v>8</v>
      </c>
      <c r="O135" s="48">
        <v>2</v>
      </c>
      <c r="P135" s="49">
        <v>33</v>
      </c>
      <c r="Q135" s="50">
        <v>20.395194</v>
      </c>
      <c r="R135" s="50">
        <v>-98.203421000000006</v>
      </c>
      <c r="S135" s="66" t="s">
        <v>34</v>
      </c>
      <c r="T135" s="66" t="s">
        <v>35</v>
      </c>
      <c r="U135" s="66" t="s">
        <v>35</v>
      </c>
      <c r="V135" s="66" t="s">
        <v>35</v>
      </c>
      <c r="W135" s="66" t="s">
        <v>35</v>
      </c>
      <c r="X135" s="66" t="s">
        <v>35</v>
      </c>
      <c r="Y135" s="66" t="s">
        <v>36</v>
      </c>
      <c r="Z135" s="66" t="s">
        <v>37</v>
      </c>
      <c r="AA135" s="66" t="s">
        <v>37</v>
      </c>
      <c r="AB135" s="67" t="s">
        <v>1795</v>
      </c>
      <c r="AC135" s="87">
        <f t="shared" si="6"/>
        <v>1</v>
      </c>
      <c r="AD135" s="91">
        <v>8</v>
      </c>
      <c r="AE135" s="103" t="s">
        <v>1830</v>
      </c>
      <c r="AF135">
        <f t="shared" si="8"/>
        <v>0</v>
      </c>
      <c r="AG135">
        <f t="shared" si="7"/>
        <v>1</v>
      </c>
    </row>
    <row r="136" spans="1:33" x14ac:dyDescent="0.3">
      <c r="A136" s="84" t="s">
        <v>323</v>
      </c>
      <c r="B136" s="93" t="s">
        <v>25</v>
      </c>
      <c r="C136" s="93" t="s">
        <v>305</v>
      </c>
      <c r="D136" s="33" t="s">
        <v>1775</v>
      </c>
      <c r="E136" s="34" t="s">
        <v>324</v>
      </c>
      <c r="F136" s="34" t="s">
        <v>325</v>
      </c>
      <c r="G136" s="34" t="s">
        <v>29</v>
      </c>
      <c r="H136" s="37">
        <v>1</v>
      </c>
      <c r="I136" s="34" t="s">
        <v>30</v>
      </c>
      <c r="J136" s="34" t="s">
        <v>31</v>
      </c>
      <c r="K136" s="34" t="s">
        <v>32</v>
      </c>
      <c r="L136" s="34" t="s">
        <v>1755</v>
      </c>
      <c r="M136" s="34" t="s">
        <v>84</v>
      </c>
      <c r="N136" s="47">
        <v>10</v>
      </c>
      <c r="O136" s="48">
        <v>3</v>
      </c>
      <c r="P136" s="49">
        <v>29</v>
      </c>
      <c r="Q136" s="50">
        <v>20.690989999999999</v>
      </c>
      <c r="R136" s="50">
        <v>-99.333370000000002</v>
      </c>
      <c r="S136" s="66" t="s">
        <v>34</v>
      </c>
      <c r="T136" s="66" t="s">
        <v>35</v>
      </c>
      <c r="U136" s="66" t="s">
        <v>35</v>
      </c>
      <c r="V136" s="66" t="s">
        <v>35</v>
      </c>
      <c r="W136" s="66" t="s">
        <v>35</v>
      </c>
      <c r="X136" s="66" t="s">
        <v>35</v>
      </c>
      <c r="Y136" s="66" t="s">
        <v>36</v>
      </c>
      <c r="Z136" s="66" t="s">
        <v>37</v>
      </c>
      <c r="AA136" s="66" t="s">
        <v>37</v>
      </c>
      <c r="AB136" s="70" t="s">
        <v>1795</v>
      </c>
      <c r="AC136" s="87">
        <f t="shared" si="6"/>
        <v>1</v>
      </c>
      <c r="AD136" s="91">
        <v>8</v>
      </c>
      <c r="AE136" s="103" t="s">
        <v>1830</v>
      </c>
      <c r="AF136">
        <f t="shared" si="8"/>
        <v>0</v>
      </c>
      <c r="AG136">
        <f t="shared" si="7"/>
        <v>1</v>
      </c>
    </row>
    <row r="137" spans="1:33" x14ac:dyDescent="0.3">
      <c r="A137" s="84" t="s">
        <v>314</v>
      </c>
      <c r="B137" s="93" t="s">
        <v>25</v>
      </c>
      <c r="C137" s="93" t="s">
        <v>305</v>
      </c>
      <c r="D137" s="33" t="s">
        <v>1775</v>
      </c>
      <c r="E137" s="34" t="s">
        <v>315</v>
      </c>
      <c r="F137" s="34" t="s">
        <v>316</v>
      </c>
      <c r="G137" s="34" t="s">
        <v>164</v>
      </c>
      <c r="H137" s="37">
        <v>2</v>
      </c>
      <c r="I137" s="34" t="s">
        <v>155</v>
      </c>
      <c r="J137" s="34" t="s">
        <v>31</v>
      </c>
      <c r="K137" s="34" t="s">
        <v>32</v>
      </c>
      <c r="L137" s="34" t="s">
        <v>1755</v>
      </c>
      <c r="M137" s="34" t="s">
        <v>33</v>
      </c>
      <c r="N137" s="47">
        <v>12</v>
      </c>
      <c r="O137" s="48">
        <v>3</v>
      </c>
      <c r="P137" s="49">
        <v>78</v>
      </c>
      <c r="Q137" s="33">
        <v>20.117775000000002</v>
      </c>
      <c r="R137" s="33">
        <v>-98.729855999999998</v>
      </c>
      <c r="S137" s="66" t="s">
        <v>34</v>
      </c>
      <c r="T137" s="66" t="s">
        <v>35</v>
      </c>
      <c r="U137" s="66" t="s">
        <v>35</v>
      </c>
      <c r="V137" s="66" t="s">
        <v>35</v>
      </c>
      <c r="W137" s="66" t="s">
        <v>35</v>
      </c>
      <c r="X137" s="66" t="s">
        <v>35</v>
      </c>
      <c r="Y137" s="66" t="s">
        <v>36</v>
      </c>
      <c r="Z137" s="66" t="s">
        <v>37</v>
      </c>
      <c r="AA137" s="66" t="s">
        <v>37</v>
      </c>
      <c r="AB137" s="70" t="s">
        <v>1795</v>
      </c>
      <c r="AC137" s="87">
        <f t="shared" si="6"/>
        <v>1</v>
      </c>
      <c r="AD137" s="91">
        <v>8</v>
      </c>
      <c r="AE137" s="103" t="s">
        <v>1830</v>
      </c>
      <c r="AF137">
        <f t="shared" si="8"/>
        <v>0</v>
      </c>
      <c r="AG137">
        <f t="shared" si="7"/>
        <v>1</v>
      </c>
    </row>
    <row r="138" spans="1:33" x14ac:dyDescent="0.3">
      <c r="A138" s="84" t="s">
        <v>1008</v>
      </c>
      <c r="B138" s="93" t="s">
        <v>25</v>
      </c>
      <c r="C138" s="93" t="s">
        <v>305</v>
      </c>
      <c r="D138" s="33" t="s">
        <v>1775</v>
      </c>
      <c r="E138" s="34" t="s">
        <v>1009</v>
      </c>
      <c r="F138" s="34" t="s">
        <v>1010</v>
      </c>
      <c r="G138" s="34" t="s">
        <v>29</v>
      </c>
      <c r="H138" s="37">
        <v>1</v>
      </c>
      <c r="I138" s="34" t="s">
        <v>30</v>
      </c>
      <c r="J138" s="34" t="s">
        <v>31</v>
      </c>
      <c r="K138" s="34" t="s">
        <v>32</v>
      </c>
      <c r="L138" s="34" t="s">
        <v>1755</v>
      </c>
      <c r="M138" s="34" t="s">
        <v>33</v>
      </c>
      <c r="N138" s="47">
        <v>11</v>
      </c>
      <c r="O138" s="48">
        <v>2</v>
      </c>
      <c r="P138" s="49">
        <v>28</v>
      </c>
      <c r="Q138" s="50">
        <v>20.998835</v>
      </c>
      <c r="R138" s="50">
        <v>-98.653301999999996</v>
      </c>
      <c r="S138" s="66" t="s">
        <v>34</v>
      </c>
      <c r="T138" s="66" t="s">
        <v>35</v>
      </c>
      <c r="U138" s="66" t="s">
        <v>35</v>
      </c>
      <c r="V138" s="66" t="s">
        <v>35</v>
      </c>
      <c r="W138" s="66" t="s">
        <v>35</v>
      </c>
      <c r="X138" s="66" t="s">
        <v>35</v>
      </c>
      <c r="Y138" s="66" t="s">
        <v>36</v>
      </c>
      <c r="Z138" s="66" t="s">
        <v>37</v>
      </c>
      <c r="AA138" s="66" t="s">
        <v>37</v>
      </c>
      <c r="AB138" s="72" t="s">
        <v>1821</v>
      </c>
      <c r="AC138" s="87">
        <f t="shared" si="6"/>
        <v>1</v>
      </c>
      <c r="AD138" s="91">
        <v>7</v>
      </c>
      <c r="AE138" s="103" t="s">
        <v>1830</v>
      </c>
      <c r="AF138">
        <f t="shared" si="8"/>
        <v>0</v>
      </c>
      <c r="AG138">
        <f t="shared" si="7"/>
        <v>1</v>
      </c>
    </row>
    <row r="139" spans="1:33" x14ac:dyDescent="0.3">
      <c r="A139" s="84" t="s">
        <v>308</v>
      </c>
      <c r="B139" s="93" t="s">
        <v>25</v>
      </c>
      <c r="C139" s="93" t="s">
        <v>305</v>
      </c>
      <c r="D139" s="33" t="s">
        <v>1775</v>
      </c>
      <c r="E139" s="34" t="s">
        <v>309</v>
      </c>
      <c r="F139" s="34" t="s">
        <v>310</v>
      </c>
      <c r="G139" s="34" t="s">
        <v>111</v>
      </c>
      <c r="H139" s="37">
        <v>1</v>
      </c>
      <c r="I139" s="34" t="s">
        <v>112</v>
      </c>
      <c r="J139" s="34" t="s">
        <v>31</v>
      </c>
      <c r="K139" s="34" t="s">
        <v>32</v>
      </c>
      <c r="L139" s="34" t="s">
        <v>1755</v>
      </c>
      <c r="M139" s="34" t="s">
        <v>33</v>
      </c>
      <c r="N139" s="47">
        <v>12</v>
      </c>
      <c r="O139" s="48">
        <v>4</v>
      </c>
      <c r="P139" s="49">
        <v>49</v>
      </c>
      <c r="Q139" s="33">
        <v>19.713632</v>
      </c>
      <c r="R139" s="33">
        <v>-98.465096000000003</v>
      </c>
      <c r="S139" s="66" t="s">
        <v>34</v>
      </c>
      <c r="T139" s="66" t="s">
        <v>35</v>
      </c>
      <c r="U139" s="66" t="s">
        <v>35</v>
      </c>
      <c r="V139" s="66" t="s">
        <v>35</v>
      </c>
      <c r="W139" s="66" t="s">
        <v>35</v>
      </c>
      <c r="X139" s="66" t="s">
        <v>35</v>
      </c>
      <c r="Y139" s="66" t="s">
        <v>36</v>
      </c>
      <c r="Z139" s="66" t="s">
        <v>37</v>
      </c>
      <c r="AA139" s="66" t="s">
        <v>37</v>
      </c>
      <c r="AB139" s="67"/>
      <c r="AC139" s="87">
        <f t="shared" si="6"/>
        <v>1</v>
      </c>
      <c r="AD139" s="91">
        <v>10</v>
      </c>
      <c r="AE139" s="104" t="s">
        <v>1780</v>
      </c>
      <c r="AF139">
        <f t="shared" si="8"/>
        <v>0</v>
      </c>
      <c r="AG139">
        <f t="shared" si="7"/>
        <v>1</v>
      </c>
    </row>
    <row r="140" spans="1:33" x14ac:dyDescent="0.3">
      <c r="A140" s="84" t="s">
        <v>1016</v>
      </c>
      <c r="B140" s="93" t="s">
        <v>25</v>
      </c>
      <c r="C140" s="93" t="s">
        <v>305</v>
      </c>
      <c r="D140" s="33" t="s">
        <v>1775</v>
      </c>
      <c r="E140" s="34" t="s">
        <v>1017</v>
      </c>
      <c r="F140" s="34" t="s">
        <v>1018</v>
      </c>
      <c r="G140" s="34" t="s">
        <v>111</v>
      </c>
      <c r="H140" s="37">
        <v>1</v>
      </c>
      <c r="I140" s="34" t="s">
        <v>112</v>
      </c>
      <c r="J140" s="34" t="s">
        <v>31</v>
      </c>
      <c r="K140" s="34" t="s">
        <v>32</v>
      </c>
      <c r="L140" s="34" t="s">
        <v>1755</v>
      </c>
      <c r="M140" s="34" t="s">
        <v>33</v>
      </c>
      <c r="N140" s="47">
        <v>12</v>
      </c>
      <c r="O140" s="48">
        <v>3</v>
      </c>
      <c r="P140" s="49">
        <v>58</v>
      </c>
      <c r="Q140" s="50">
        <v>21.104600000000001</v>
      </c>
      <c r="R140" s="50">
        <v>-98.423699999999997</v>
      </c>
      <c r="S140" s="66" t="s">
        <v>34</v>
      </c>
      <c r="T140" s="66" t="s">
        <v>35</v>
      </c>
      <c r="U140" s="66" t="s">
        <v>35</v>
      </c>
      <c r="V140" s="66" t="s">
        <v>35</v>
      </c>
      <c r="W140" s="66" t="s">
        <v>35</v>
      </c>
      <c r="X140" s="66" t="s">
        <v>35</v>
      </c>
      <c r="Y140" s="66" t="s">
        <v>36</v>
      </c>
      <c r="Z140" s="66" t="s">
        <v>37</v>
      </c>
      <c r="AA140" s="66" t="s">
        <v>37</v>
      </c>
      <c r="AB140" s="67"/>
      <c r="AC140" s="87">
        <f t="shared" si="6"/>
        <v>1</v>
      </c>
      <c r="AD140" s="91">
        <v>10</v>
      </c>
      <c r="AE140" s="104" t="s">
        <v>1780</v>
      </c>
      <c r="AF140">
        <f t="shared" si="8"/>
        <v>0</v>
      </c>
      <c r="AG140">
        <f t="shared" si="7"/>
        <v>1</v>
      </c>
    </row>
    <row r="141" spans="1:33" x14ac:dyDescent="0.3">
      <c r="A141" s="84" t="s">
        <v>1597</v>
      </c>
      <c r="B141" s="93" t="s">
        <v>25</v>
      </c>
      <c r="C141" s="93" t="s">
        <v>305</v>
      </c>
      <c r="D141" s="33" t="s">
        <v>1775</v>
      </c>
      <c r="E141" s="34" t="s">
        <v>1598</v>
      </c>
      <c r="F141" s="34" t="s">
        <v>1599</v>
      </c>
      <c r="G141" s="34" t="s">
        <v>111</v>
      </c>
      <c r="H141" s="37">
        <v>1</v>
      </c>
      <c r="I141" s="34" t="s">
        <v>112</v>
      </c>
      <c r="J141" s="34" t="s">
        <v>31</v>
      </c>
      <c r="K141" s="34" t="s">
        <v>32</v>
      </c>
      <c r="L141" s="34" t="s">
        <v>1755</v>
      </c>
      <c r="M141" s="34" t="s">
        <v>33</v>
      </c>
      <c r="N141" s="47">
        <v>13</v>
      </c>
      <c r="O141" s="48">
        <v>4</v>
      </c>
      <c r="P141" s="49">
        <v>91</v>
      </c>
      <c r="Q141" s="50">
        <v>20.040680999999999</v>
      </c>
      <c r="R141" s="50">
        <v>-99.342061000000001</v>
      </c>
      <c r="S141" s="66" t="s">
        <v>34</v>
      </c>
      <c r="T141" s="66" t="s">
        <v>35</v>
      </c>
      <c r="U141" s="66" t="s">
        <v>35</v>
      </c>
      <c r="V141" s="66" t="s">
        <v>35</v>
      </c>
      <c r="W141" s="66" t="s">
        <v>35</v>
      </c>
      <c r="X141" s="66" t="s">
        <v>35</v>
      </c>
      <c r="Y141" s="66" t="s">
        <v>36</v>
      </c>
      <c r="Z141" s="66" t="s">
        <v>37</v>
      </c>
      <c r="AA141" s="66" t="s">
        <v>37</v>
      </c>
      <c r="AB141" s="67"/>
      <c r="AC141" s="87">
        <f t="shared" si="6"/>
        <v>1</v>
      </c>
      <c r="AD141" s="91">
        <v>10</v>
      </c>
      <c r="AE141" s="104" t="s">
        <v>1780</v>
      </c>
      <c r="AF141">
        <f t="shared" si="8"/>
        <v>0</v>
      </c>
      <c r="AG141">
        <f t="shared" si="7"/>
        <v>1</v>
      </c>
    </row>
    <row r="142" spans="1:33" x14ac:dyDescent="0.3">
      <c r="A142" s="84" t="s">
        <v>1011</v>
      </c>
      <c r="B142" s="93" t="s">
        <v>25</v>
      </c>
      <c r="C142" s="93" t="s">
        <v>305</v>
      </c>
      <c r="D142" s="33" t="s">
        <v>1775</v>
      </c>
      <c r="E142" s="34" t="s">
        <v>548</v>
      </c>
      <c r="F142" s="34" t="s">
        <v>1012</v>
      </c>
      <c r="G142" s="34" t="s">
        <v>29</v>
      </c>
      <c r="H142" s="37">
        <v>1</v>
      </c>
      <c r="I142" s="34" t="s">
        <v>30</v>
      </c>
      <c r="J142" s="34" t="s">
        <v>31</v>
      </c>
      <c r="K142" s="34" t="s">
        <v>32</v>
      </c>
      <c r="L142" s="34" t="s">
        <v>1755</v>
      </c>
      <c r="M142" s="34" t="s">
        <v>84</v>
      </c>
      <c r="N142" s="47">
        <v>6</v>
      </c>
      <c r="O142" s="48">
        <v>0</v>
      </c>
      <c r="P142" s="49">
        <v>16</v>
      </c>
      <c r="Q142" s="50">
        <v>20.461625999999999</v>
      </c>
      <c r="R142" s="50">
        <v>-98.068826000000001</v>
      </c>
      <c r="S142" s="66" t="s">
        <v>34</v>
      </c>
      <c r="T142" s="66" t="s">
        <v>35</v>
      </c>
      <c r="U142" s="66" t="s">
        <v>35</v>
      </c>
      <c r="V142" s="66" t="s">
        <v>35</v>
      </c>
      <c r="W142" s="66" t="s">
        <v>35</v>
      </c>
      <c r="X142" s="66" t="s">
        <v>35</v>
      </c>
      <c r="Y142" s="66" t="s">
        <v>36</v>
      </c>
      <c r="Z142" s="66" t="s">
        <v>37</v>
      </c>
      <c r="AA142" s="66" t="s">
        <v>37</v>
      </c>
      <c r="AB142" s="67"/>
      <c r="AC142" s="87">
        <f t="shared" si="6"/>
        <v>1</v>
      </c>
      <c r="AD142" s="91">
        <v>4</v>
      </c>
      <c r="AE142" s="64" t="s">
        <v>1834</v>
      </c>
      <c r="AF142">
        <f t="shared" si="8"/>
        <v>0</v>
      </c>
      <c r="AG142">
        <f t="shared" si="7"/>
        <v>1</v>
      </c>
    </row>
    <row r="143" spans="1:33" x14ac:dyDescent="0.3">
      <c r="A143" s="84" t="s">
        <v>1683</v>
      </c>
      <c r="B143" s="93" t="s">
        <v>25</v>
      </c>
      <c r="C143" s="93" t="s">
        <v>305</v>
      </c>
      <c r="D143" s="33" t="s">
        <v>1775</v>
      </c>
      <c r="E143" s="34" t="s">
        <v>1684</v>
      </c>
      <c r="F143" s="34" t="s">
        <v>1685</v>
      </c>
      <c r="G143" s="34" t="s">
        <v>111</v>
      </c>
      <c r="H143" s="37">
        <v>1</v>
      </c>
      <c r="I143" s="34" t="s">
        <v>112</v>
      </c>
      <c r="J143" s="34" t="s">
        <v>31</v>
      </c>
      <c r="K143" s="34" t="s">
        <v>32</v>
      </c>
      <c r="L143" s="34" t="s">
        <v>1755</v>
      </c>
      <c r="M143" s="34" t="s">
        <v>33</v>
      </c>
      <c r="N143" s="47">
        <v>14</v>
      </c>
      <c r="O143" s="48">
        <v>7</v>
      </c>
      <c r="P143" s="49">
        <v>52</v>
      </c>
      <c r="Q143" s="50">
        <v>20.5901538</v>
      </c>
      <c r="R143" s="50">
        <v>-98.758901399999999</v>
      </c>
      <c r="S143" s="66" t="s">
        <v>34</v>
      </c>
      <c r="T143" s="66" t="s">
        <v>35</v>
      </c>
      <c r="U143" s="66" t="s">
        <v>35</v>
      </c>
      <c r="V143" s="66" t="s">
        <v>35</v>
      </c>
      <c r="W143" s="66" t="s">
        <v>35</v>
      </c>
      <c r="X143" s="66" t="s">
        <v>35</v>
      </c>
      <c r="Y143" s="66" t="s">
        <v>36</v>
      </c>
      <c r="Z143" s="66" t="s">
        <v>37</v>
      </c>
      <c r="AA143" s="66" t="s">
        <v>37</v>
      </c>
      <c r="AB143" s="67"/>
      <c r="AC143" s="87">
        <f t="shared" si="6"/>
        <v>1</v>
      </c>
      <c r="AD143" s="91">
        <v>4</v>
      </c>
      <c r="AE143" s="64" t="s">
        <v>1834</v>
      </c>
      <c r="AF143">
        <f t="shared" si="8"/>
        <v>0</v>
      </c>
      <c r="AG143">
        <f t="shared" si="7"/>
        <v>1</v>
      </c>
    </row>
    <row r="144" spans="1:33" x14ac:dyDescent="0.3">
      <c r="A144" s="84" t="s">
        <v>311</v>
      </c>
      <c r="B144" s="93" t="s">
        <v>25</v>
      </c>
      <c r="C144" s="93" t="s">
        <v>305</v>
      </c>
      <c r="D144" s="33" t="s">
        <v>1775</v>
      </c>
      <c r="E144" s="34" t="s">
        <v>312</v>
      </c>
      <c r="F144" s="34" t="s">
        <v>313</v>
      </c>
      <c r="G144" s="34" t="s">
        <v>111</v>
      </c>
      <c r="H144" s="37">
        <v>1</v>
      </c>
      <c r="I144" s="34" t="s">
        <v>112</v>
      </c>
      <c r="J144" s="34" t="s">
        <v>31</v>
      </c>
      <c r="K144" s="34" t="s">
        <v>32</v>
      </c>
      <c r="L144" s="34" t="s">
        <v>1755</v>
      </c>
      <c r="M144" s="34" t="s">
        <v>84</v>
      </c>
      <c r="N144" s="47">
        <v>37</v>
      </c>
      <c r="O144" s="48">
        <v>10</v>
      </c>
      <c r="P144" s="49">
        <v>207</v>
      </c>
      <c r="Q144" s="33">
        <v>20.062166000000001</v>
      </c>
      <c r="R144" s="33">
        <v>-98.440731</v>
      </c>
      <c r="S144" s="66" t="s">
        <v>34</v>
      </c>
      <c r="T144" s="66" t="s">
        <v>35</v>
      </c>
      <c r="U144" s="66" t="s">
        <v>35</v>
      </c>
      <c r="V144" s="66" t="s">
        <v>35</v>
      </c>
      <c r="W144" s="66" t="s">
        <v>35</v>
      </c>
      <c r="X144" s="66" t="s">
        <v>35</v>
      </c>
      <c r="Y144" s="66" t="s">
        <v>36</v>
      </c>
      <c r="Z144" s="66" t="s">
        <v>37</v>
      </c>
      <c r="AA144" s="66" t="s">
        <v>37</v>
      </c>
      <c r="AB144" s="67"/>
      <c r="AC144" s="87">
        <f t="shared" si="6"/>
        <v>1</v>
      </c>
      <c r="AD144" s="91">
        <v>4</v>
      </c>
      <c r="AE144" s="64" t="s">
        <v>1834</v>
      </c>
      <c r="AF144">
        <f t="shared" si="8"/>
        <v>0</v>
      </c>
      <c r="AG144">
        <f t="shared" si="7"/>
        <v>1</v>
      </c>
    </row>
    <row r="145" spans="1:33" x14ac:dyDescent="0.3">
      <c r="A145" s="84" t="s">
        <v>1024</v>
      </c>
      <c r="B145" s="93" t="s">
        <v>25</v>
      </c>
      <c r="C145" s="93" t="s">
        <v>305</v>
      </c>
      <c r="D145" s="33" t="s">
        <v>1775</v>
      </c>
      <c r="E145" s="34" t="s">
        <v>1025</v>
      </c>
      <c r="F145" s="34" t="s">
        <v>1026</v>
      </c>
      <c r="G145" s="34" t="s">
        <v>169</v>
      </c>
      <c r="H145" s="37">
        <v>2</v>
      </c>
      <c r="I145" s="34" t="s">
        <v>170</v>
      </c>
      <c r="J145" s="34" t="s">
        <v>31</v>
      </c>
      <c r="K145" s="34" t="s">
        <v>32</v>
      </c>
      <c r="L145" s="34" t="s">
        <v>1755</v>
      </c>
      <c r="M145" s="34" t="s">
        <v>84</v>
      </c>
      <c r="N145" s="47">
        <v>15</v>
      </c>
      <c r="O145" s="48">
        <v>0</v>
      </c>
      <c r="P145" s="49">
        <v>20</v>
      </c>
      <c r="Q145" s="50">
        <v>19.901111</v>
      </c>
      <c r="R145" s="50">
        <v>-98.909166999999997</v>
      </c>
      <c r="S145" s="66" t="s">
        <v>34</v>
      </c>
      <c r="T145" s="66" t="s">
        <v>35</v>
      </c>
      <c r="U145" s="66" t="s">
        <v>35</v>
      </c>
      <c r="V145" s="66" t="s">
        <v>35</v>
      </c>
      <c r="W145" s="66" t="s">
        <v>35</v>
      </c>
      <c r="X145" s="66" t="s">
        <v>35</v>
      </c>
      <c r="Y145" s="66" t="s">
        <v>36</v>
      </c>
      <c r="Z145" s="66" t="s">
        <v>37</v>
      </c>
      <c r="AA145" s="66" t="s">
        <v>37</v>
      </c>
      <c r="AB145" s="67"/>
      <c r="AC145" s="87">
        <f t="shared" si="6"/>
        <v>1</v>
      </c>
      <c r="AD145" s="91">
        <v>4</v>
      </c>
      <c r="AE145" s="64" t="s">
        <v>1834</v>
      </c>
      <c r="AF145">
        <f t="shared" si="8"/>
        <v>0</v>
      </c>
      <c r="AG145">
        <f t="shared" si="7"/>
        <v>1</v>
      </c>
    </row>
    <row r="146" spans="1:33" x14ac:dyDescent="0.3">
      <c r="A146" s="84" t="s">
        <v>1042</v>
      </c>
      <c r="B146" s="93" t="s">
        <v>25</v>
      </c>
      <c r="C146" s="93" t="s">
        <v>1777</v>
      </c>
      <c r="D146" s="33" t="s">
        <v>1775</v>
      </c>
      <c r="E146" s="34" t="s">
        <v>1043</v>
      </c>
      <c r="F146" s="34" t="s">
        <v>1044</v>
      </c>
      <c r="G146" s="34" t="s">
        <v>111</v>
      </c>
      <c r="H146" s="37">
        <v>1</v>
      </c>
      <c r="I146" s="34" t="s">
        <v>112</v>
      </c>
      <c r="J146" s="34" t="s">
        <v>31</v>
      </c>
      <c r="K146" s="34" t="s">
        <v>32</v>
      </c>
      <c r="L146" s="34" t="s">
        <v>1755</v>
      </c>
      <c r="M146" s="34" t="s">
        <v>33</v>
      </c>
      <c r="N146" s="47">
        <v>13</v>
      </c>
      <c r="O146" s="48">
        <v>4</v>
      </c>
      <c r="P146" s="49">
        <v>80</v>
      </c>
      <c r="Q146" s="50">
        <v>19.268018699999999</v>
      </c>
      <c r="R146" s="50">
        <v>-98.893699100000006</v>
      </c>
      <c r="S146" s="66" t="s">
        <v>34</v>
      </c>
      <c r="T146" s="66" t="s">
        <v>35</v>
      </c>
      <c r="U146" s="66" t="s">
        <v>35</v>
      </c>
      <c r="V146" s="66" t="s">
        <v>35</v>
      </c>
      <c r="W146" s="66" t="s">
        <v>35</v>
      </c>
      <c r="X146" s="66" t="s">
        <v>35</v>
      </c>
      <c r="Y146" s="66" t="s">
        <v>36</v>
      </c>
      <c r="Z146" s="66" t="s">
        <v>37</v>
      </c>
      <c r="AA146" s="66" t="s">
        <v>37</v>
      </c>
      <c r="AB146" s="67"/>
      <c r="AC146" s="87">
        <f t="shared" si="6"/>
        <v>1</v>
      </c>
      <c r="AD146" s="91">
        <v>4</v>
      </c>
      <c r="AE146" s="64" t="s">
        <v>1834</v>
      </c>
      <c r="AF146">
        <f t="shared" si="8"/>
        <v>0</v>
      </c>
      <c r="AG146">
        <f t="shared" si="7"/>
        <v>1</v>
      </c>
    </row>
    <row r="147" spans="1:33" x14ac:dyDescent="0.3">
      <c r="A147" s="84" t="s">
        <v>1098</v>
      </c>
      <c r="B147" s="93" t="s">
        <v>25</v>
      </c>
      <c r="C147" s="93" t="s">
        <v>1777</v>
      </c>
      <c r="D147" s="33" t="s">
        <v>1775</v>
      </c>
      <c r="E147" s="34" t="s">
        <v>1046</v>
      </c>
      <c r="F147" s="34" t="s">
        <v>1099</v>
      </c>
      <c r="G147" s="34" t="s">
        <v>111</v>
      </c>
      <c r="H147" s="37">
        <v>1</v>
      </c>
      <c r="I147" s="34" t="s">
        <v>112</v>
      </c>
      <c r="J147" s="34" t="s">
        <v>31</v>
      </c>
      <c r="K147" s="34" t="s">
        <v>32</v>
      </c>
      <c r="L147" s="34" t="s">
        <v>1755</v>
      </c>
      <c r="M147" s="34" t="s">
        <v>33</v>
      </c>
      <c r="N147" s="47">
        <v>7</v>
      </c>
      <c r="O147" s="48">
        <v>3</v>
      </c>
      <c r="P147" s="49">
        <v>66</v>
      </c>
      <c r="Q147" s="50">
        <v>19.3870401</v>
      </c>
      <c r="R147" s="50">
        <v>-98.960401000000005</v>
      </c>
      <c r="S147" s="66" t="s">
        <v>34</v>
      </c>
      <c r="T147" s="66" t="s">
        <v>35</v>
      </c>
      <c r="U147" s="66" t="s">
        <v>35</v>
      </c>
      <c r="V147" s="66" t="s">
        <v>35</v>
      </c>
      <c r="W147" s="66" t="s">
        <v>35</v>
      </c>
      <c r="X147" s="66" t="s">
        <v>35</v>
      </c>
      <c r="Y147" s="66" t="s">
        <v>36</v>
      </c>
      <c r="Z147" s="66" t="s">
        <v>37</v>
      </c>
      <c r="AA147" s="66" t="s">
        <v>74</v>
      </c>
      <c r="AB147" s="67"/>
      <c r="AC147" s="87">
        <f t="shared" si="6"/>
        <v>0.88888888888888884</v>
      </c>
      <c r="AD147" s="91">
        <v>4</v>
      </c>
      <c r="AE147" s="64" t="s">
        <v>1834</v>
      </c>
      <c r="AF147">
        <f t="shared" si="8"/>
        <v>1</v>
      </c>
      <c r="AG147">
        <f t="shared" si="7"/>
        <v>0</v>
      </c>
    </row>
    <row r="148" spans="1:33" x14ac:dyDescent="0.3">
      <c r="A148" s="84" t="s">
        <v>1590</v>
      </c>
      <c r="B148" s="93" t="s">
        <v>25</v>
      </c>
      <c r="C148" s="93" t="s">
        <v>1777</v>
      </c>
      <c r="D148" s="33" t="s">
        <v>1775</v>
      </c>
      <c r="E148" s="34" t="s">
        <v>1106</v>
      </c>
      <c r="F148" s="34" t="s">
        <v>1591</v>
      </c>
      <c r="G148" s="34" t="s">
        <v>164</v>
      </c>
      <c r="H148" s="37">
        <v>2</v>
      </c>
      <c r="I148" s="34" t="s">
        <v>112</v>
      </c>
      <c r="J148" s="34" t="s">
        <v>31</v>
      </c>
      <c r="K148" s="34" t="s">
        <v>32</v>
      </c>
      <c r="L148" s="34" t="s">
        <v>1755</v>
      </c>
      <c r="M148" s="34" t="s">
        <v>33</v>
      </c>
      <c r="N148" s="47">
        <v>6</v>
      </c>
      <c r="O148" s="48">
        <v>2</v>
      </c>
      <c r="P148" s="49">
        <v>48</v>
      </c>
      <c r="Q148" s="50">
        <v>19.454329399999999</v>
      </c>
      <c r="R148" s="50">
        <v>-98.872573799999998</v>
      </c>
      <c r="S148" s="66" t="s">
        <v>34</v>
      </c>
      <c r="T148" s="66" t="s">
        <v>35</v>
      </c>
      <c r="U148" s="66" t="s">
        <v>35</v>
      </c>
      <c r="V148" s="66" t="s">
        <v>35</v>
      </c>
      <c r="W148" s="66" t="s">
        <v>35</v>
      </c>
      <c r="X148" s="66" t="s">
        <v>35</v>
      </c>
      <c r="Y148" s="66" t="s">
        <v>36</v>
      </c>
      <c r="Z148" s="66" t="s">
        <v>37</v>
      </c>
      <c r="AA148" s="66" t="s">
        <v>37</v>
      </c>
      <c r="AB148" s="84"/>
      <c r="AC148" s="87">
        <f t="shared" si="6"/>
        <v>1</v>
      </c>
      <c r="AD148" s="91">
        <v>4</v>
      </c>
      <c r="AE148" s="64" t="s">
        <v>1834</v>
      </c>
      <c r="AF148">
        <f t="shared" si="8"/>
        <v>0</v>
      </c>
      <c r="AG148">
        <f t="shared" si="7"/>
        <v>1</v>
      </c>
    </row>
    <row r="149" spans="1:33" x14ac:dyDescent="0.3">
      <c r="A149" s="84" t="s">
        <v>1600</v>
      </c>
      <c r="B149" s="93" t="s">
        <v>25</v>
      </c>
      <c r="C149" s="93" t="s">
        <v>1777</v>
      </c>
      <c r="D149" s="33" t="s">
        <v>1775</v>
      </c>
      <c r="E149" s="34" t="s">
        <v>1043</v>
      </c>
      <c r="F149" s="34" t="s">
        <v>1601</v>
      </c>
      <c r="G149" s="34" t="s">
        <v>164</v>
      </c>
      <c r="H149" s="37">
        <v>2</v>
      </c>
      <c r="I149" s="34" t="s">
        <v>155</v>
      </c>
      <c r="J149" s="34" t="s">
        <v>31</v>
      </c>
      <c r="K149" s="34" t="s">
        <v>32</v>
      </c>
      <c r="L149" s="34" t="s">
        <v>1755</v>
      </c>
      <c r="M149" s="34" t="s">
        <v>33</v>
      </c>
      <c r="N149" s="47">
        <v>8</v>
      </c>
      <c r="O149" s="48">
        <v>5</v>
      </c>
      <c r="P149" s="49">
        <v>117</v>
      </c>
      <c r="Q149" s="50">
        <v>19.213963</v>
      </c>
      <c r="R149" s="50">
        <v>-98.922724000000002</v>
      </c>
      <c r="S149" s="66" t="s">
        <v>34</v>
      </c>
      <c r="T149" s="66" t="s">
        <v>35</v>
      </c>
      <c r="U149" s="66" t="s">
        <v>35</v>
      </c>
      <c r="V149" s="66" t="s">
        <v>35</v>
      </c>
      <c r="W149" s="66" t="s">
        <v>35</v>
      </c>
      <c r="X149" s="66" t="s">
        <v>35</v>
      </c>
      <c r="Y149" s="66" t="s">
        <v>36</v>
      </c>
      <c r="Z149" s="66" t="s">
        <v>37</v>
      </c>
      <c r="AA149" s="66" t="s">
        <v>37</v>
      </c>
      <c r="AB149" s="67"/>
      <c r="AC149" s="87">
        <f t="shared" si="6"/>
        <v>1</v>
      </c>
      <c r="AD149" s="91">
        <v>4</v>
      </c>
      <c r="AE149" s="64" t="s">
        <v>1834</v>
      </c>
      <c r="AF149">
        <f t="shared" si="8"/>
        <v>0</v>
      </c>
      <c r="AG149">
        <f t="shared" si="7"/>
        <v>1</v>
      </c>
    </row>
    <row r="150" spans="1:33" x14ac:dyDescent="0.3">
      <c r="A150" s="84" t="s">
        <v>1117</v>
      </c>
      <c r="B150" s="93" t="s">
        <v>25</v>
      </c>
      <c r="C150" s="93" t="s">
        <v>1777</v>
      </c>
      <c r="D150" s="33" t="s">
        <v>1775</v>
      </c>
      <c r="E150" s="34" t="s">
        <v>1118</v>
      </c>
      <c r="F150" s="34" t="s">
        <v>1119</v>
      </c>
      <c r="G150" s="34" t="s">
        <v>111</v>
      </c>
      <c r="H150" s="37">
        <v>1</v>
      </c>
      <c r="I150" s="34" t="s">
        <v>112</v>
      </c>
      <c r="J150" s="34" t="s">
        <v>31</v>
      </c>
      <c r="K150" s="34" t="s">
        <v>32</v>
      </c>
      <c r="L150" s="34" t="s">
        <v>1755</v>
      </c>
      <c r="M150" s="34" t="s">
        <v>33</v>
      </c>
      <c r="N150" s="47">
        <v>20</v>
      </c>
      <c r="O150" s="48">
        <v>4</v>
      </c>
      <c r="P150" s="49">
        <v>95</v>
      </c>
      <c r="Q150" s="50">
        <v>19.543790000000001</v>
      </c>
      <c r="R150" s="50">
        <v>-98.913809999999998</v>
      </c>
      <c r="S150" s="66" t="s">
        <v>34</v>
      </c>
      <c r="T150" s="66" t="s">
        <v>35</v>
      </c>
      <c r="U150" s="66" t="s">
        <v>35</v>
      </c>
      <c r="V150" s="66" t="s">
        <v>35</v>
      </c>
      <c r="W150" s="66" t="s">
        <v>35</v>
      </c>
      <c r="X150" s="66" t="s">
        <v>35</v>
      </c>
      <c r="Y150" s="66" t="s">
        <v>36</v>
      </c>
      <c r="Z150" s="66" t="s">
        <v>37</v>
      </c>
      <c r="AA150" s="66" t="s">
        <v>37</v>
      </c>
      <c r="AB150" s="67"/>
      <c r="AC150" s="87">
        <f t="shared" si="6"/>
        <v>1</v>
      </c>
      <c r="AD150" s="91">
        <v>4</v>
      </c>
      <c r="AE150" s="64" t="s">
        <v>1834</v>
      </c>
      <c r="AF150">
        <f t="shared" si="8"/>
        <v>0</v>
      </c>
      <c r="AG150">
        <f t="shared" si="7"/>
        <v>1</v>
      </c>
    </row>
    <row r="151" spans="1:33" x14ac:dyDescent="0.3">
      <c r="A151" s="84" t="s">
        <v>1168</v>
      </c>
      <c r="B151" s="93" t="s">
        <v>25</v>
      </c>
      <c r="C151" s="93" t="s">
        <v>440</v>
      </c>
      <c r="D151" s="33" t="s">
        <v>1775</v>
      </c>
      <c r="E151" s="34" t="s">
        <v>1169</v>
      </c>
      <c r="F151" s="34" t="s">
        <v>1170</v>
      </c>
      <c r="G151" s="34" t="s">
        <v>111</v>
      </c>
      <c r="H151" s="37">
        <v>1</v>
      </c>
      <c r="I151" s="34" t="s">
        <v>112</v>
      </c>
      <c r="J151" s="34" t="s">
        <v>31</v>
      </c>
      <c r="K151" s="34" t="s">
        <v>32</v>
      </c>
      <c r="L151" s="34" t="s">
        <v>1755</v>
      </c>
      <c r="M151" s="34" t="s">
        <v>33</v>
      </c>
      <c r="N151" s="47">
        <v>22</v>
      </c>
      <c r="O151" s="48">
        <v>6</v>
      </c>
      <c r="P151" s="49">
        <v>140</v>
      </c>
      <c r="Q151" s="50">
        <v>18.845500000000001</v>
      </c>
      <c r="R151" s="50">
        <v>-98.939099999999996</v>
      </c>
      <c r="S151" s="66" t="s">
        <v>34</v>
      </c>
      <c r="T151" s="66" t="s">
        <v>35</v>
      </c>
      <c r="U151" s="66" t="s">
        <v>35</v>
      </c>
      <c r="V151" s="66" t="s">
        <v>35</v>
      </c>
      <c r="W151" s="66" t="s">
        <v>35</v>
      </c>
      <c r="X151" s="66" t="s">
        <v>35</v>
      </c>
      <c r="Y151" s="66" t="s">
        <v>36</v>
      </c>
      <c r="Z151" s="66" t="s">
        <v>37</v>
      </c>
      <c r="AA151" s="66" t="s">
        <v>37</v>
      </c>
      <c r="AB151" s="67"/>
      <c r="AC151" s="87">
        <f t="shared" si="6"/>
        <v>1</v>
      </c>
      <c r="AD151" s="91">
        <v>4</v>
      </c>
      <c r="AE151" s="64" t="s">
        <v>1834</v>
      </c>
      <c r="AF151">
        <f t="shared" si="8"/>
        <v>0</v>
      </c>
      <c r="AG151">
        <f t="shared" si="7"/>
        <v>1</v>
      </c>
    </row>
    <row r="152" spans="1:33" x14ac:dyDescent="0.3">
      <c r="A152" s="84" t="s">
        <v>1171</v>
      </c>
      <c r="B152" s="93" t="s">
        <v>25</v>
      </c>
      <c r="C152" s="93" t="s">
        <v>440</v>
      </c>
      <c r="D152" s="33" t="s">
        <v>1775</v>
      </c>
      <c r="E152" s="34" t="s">
        <v>1172</v>
      </c>
      <c r="F152" s="34" t="s">
        <v>1173</v>
      </c>
      <c r="G152" s="34" t="s">
        <v>111</v>
      </c>
      <c r="H152" s="37">
        <v>1</v>
      </c>
      <c r="I152" s="34" t="s">
        <v>112</v>
      </c>
      <c r="J152" s="34" t="s">
        <v>31</v>
      </c>
      <c r="K152" s="34" t="s">
        <v>32</v>
      </c>
      <c r="L152" s="34" t="s">
        <v>1755</v>
      </c>
      <c r="M152" s="34" t="s">
        <v>33</v>
      </c>
      <c r="N152" s="47">
        <v>36</v>
      </c>
      <c r="O152" s="48">
        <v>7</v>
      </c>
      <c r="P152" s="49">
        <v>223</v>
      </c>
      <c r="Q152" s="50">
        <v>18.9359</v>
      </c>
      <c r="R152" s="50">
        <v>-99.233500000000006</v>
      </c>
      <c r="S152" s="66" t="s">
        <v>34</v>
      </c>
      <c r="T152" s="66" t="s">
        <v>175</v>
      </c>
      <c r="U152" s="66" t="s">
        <v>35</v>
      </c>
      <c r="V152" s="66" t="s">
        <v>35</v>
      </c>
      <c r="W152" s="66" t="s">
        <v>35</v>
      </c>
      <c r="X152" s="66" t="s">
        <v>35</v>
      </c>
      <c r="Y152" s="66" t="s">
        <v>36</v>
      </c>
      <c r="Z152" s="66" t="s">
        <v>37</v>
      </c>
      <c r="AA152" s="66" t="s">
        <v>37</v>
      </c>
      <c r="AB152" s="67"/>
      <c r="AC152" s="87">
        <f t="shared" si="6"/>
        <v>0.94444444444444442</v>
      </c>
      <c r="AD152" s="91">
        <v>4</v>
      </c>
      <c r="AE152" s="64" t="s">
        <v>1834</v>
      </c>
      <c r="AF152">
        <f t="shared" si="8"/>
        <v>0</v>
      </c>
      <c r="AG152">
        <f t="shared" si="7"/>
        <v>1</v>
      </c>
    </row>
    <row r="153" spans="1:33" x14ac:dyDescent="0.3">
      <c r="A153" s="84" t="s">
        <v>1174</v>
      </c>
      <c r="B153" s="93" t="s">
        <v>25</v>
      </c>
      <c r="C153" s="93" t="s">
        <v>440</v>
      </c>
      <c r="D153" s="33" t="s">
        <v>1775</v>
      </c>
      <c r="E153" s="34" t="s">
        <v>1175</v>
      </c>
      <c r="F153" s="34" t="s">
        <v>1176</v>
      </c>
      <c r="G153" s="34" t="s">
        <v>111</v>
      </c>
      <c r="H153" s="37">
        <v>1</v>
      </c>
      <c r="I153" s="34" t="s">
        <v>112</v>
      </c>
      <c r="J153" s="34" t="s">
        <v>31</v>
      </c>
      <c r="K153" s="34" t="s">
        <v>32</v>
      </c>
      <c r="L153" s="34" t="s">
        <v>1755</v>
      </c>
      <c r="M153" s="34" t="s">
        <v>33</v>
      </c>
      <c r="N153" s="47">
        <v>22</v>
      </c>
      <c r="O153" s="48">
        <v>5</v>
      </c>
      <c r="P153" s="49">
        <v>112</v>
      </c>
      <c r="Q153" s="50">
        <v>18.617699999999999</v>
      </c>
      <c r="R153" s="50">
        <v>-99.190700000000007</v>
      </c>
      <c r="S153" s="66" t="s">
        <v>34</v>
      </c>
      <c r="T153" s="66" t="s">
        <v>175</v>
      </c>
      <c r="U153" s="66" t="s">
        <v>35</v>
      </c>
      <c r="V153" s="66" t="s">
        <v>35</v>
      </c>
      <c r="W153" s="66" t="s">
        <v>35</v>
      </c>
      <c r="X153" s="66" t="s">
        <v>35</v>
      </c>
      <c r="Y153" s="66" t="s">
        <v>36</v>
      </c>
      <c r="Z153" s="66" t="s">
        <v>37</v>
      </c>
      <c r="AA153" s="66" t="s">
        <v>37</v>
      </c>
      <c r="AB153" s="67"/>
      <c r="AC153" s="87">
        <f t="shared" si="6"/>
        <v>0.94444444444444442</v>
      </c>
      <c r="AD153" s="91">
        <v>4</v>
      </c>
      <c r="AE153" s="64" t="s">
        <v>1834</v>
      </c>
      <c r="AF153">
        <f t="shared" si="8"/>
        <v>0</v>
      </c>
      <c r="AG153">
        <f t="shared" si="7"/>
        <v>1</v>
      </c>
    </row>
    <row r="154" spans="1:33" x14ac:dyDescent="0.3">
      <c r="A154" s="84" t="s">
        <v>1177</v>
      </c>
      <c r="B154" s="93" t="s">
        <v>25</v>
      </c>
      <c r="C154" s="93" t="s">
        <v>440</v>
      </c>
      <c r="D154" s="33" t="s">
        <v>1775</v>
      </c>
      <c r="E154" s="34" t="s">
        <v>1178</v>
      </c>
      <c r="F154" s="34" t="s">
        <v>1179</v>
      </c>
      <c r="G154" s="34" t="s">
        <v>111</v>
      </c>
      <c r="H154" s="37">
        <v>1</v>
      </c>
      <c r="I154" s="34" t="s">
        <v>112</v>
      </c>
      <c r="J154" s="34" t="s">
        <v>31</v>
      </c>
      <c r="K154" s="34" t="s">
        <v>32</v>
      </c>
      <c r="L154" s="34" t="s">
        <v>1755</v>
      </c>
      <c r="M154" s="34" t="s">
        <v>33</v>
      </c>
      <c r="N154" s="47">
        <v>12</v>
      </c>
      <c r="O154" s="48">
        <v>4</v>
      </c>
      <c r="P154" s="49">
        <v>57</v>
      </c>
      <c r="Q154" s="50">
        <v>18.730795799999999</v>
      </c>
      <c r="R154" s="50">
        <v>-99.389778100000001</v>
      </c>
      <c r="S154" s="66" t="s">
        <v>34</v>
      </c>
      <c r="T154" s="66" t="s">
        <v>175</v>
      </c>
      <c r="U154" s="66" t="s">
        <v>35</v>
      </c>
      <c r="V154" s="66" t="s">
        <v>35</v>
      </c>
      <c r="W154" s="66" t="s">
        <v>35</v>
      </c>
      <c r="X154" s="66" t="s">
        <v>35</v>
      </c>
      <c r="Y154" s="66" t="s">
        <v>36</v>
      </c>
      <c r="Z154" s="66" t="s">
        <v>37</v>
      </c>
      <c r="AA154" s="66" t="s">
        <v>37</v>
      </c>
      <c r="AB154" s="67"/>
      <c r="AC154" s="87">
        <f t="shared" si="6"/>
        <v>0.94444444444444442</v>
      </c>
      <c r="AD154" s="91">
        <v>4</v>
      </c>
      <c r="AE154" s="64" t="s">
        <v>1834</v>
      </c>
      <c r="AF154">
        <f t="shared" si="8"/>
        <v>0</v>
      </c>
      <c r="AG154">
        <f t="shared" si="7"/>
        <v>1</v>
      </c>
    </row>
    <row r="155" spans="1:33" x14ac:dyDescent="0.3">
      <c r="A155" s="84" t="s">
        <v>439</v>
      </c>
      <c r="B155" s="93" t="s">
        <v>25</v>
      </c>
      <c r="C155" s="93" t="s">
        <v>440</v>
      </c>
      <c r="D155" s="33" t="s">
        <v>1775</v>
      </c>
      <c r="E155" s="34" t="s">
        <v>441</v>
      </c>
      <c r="F155" s="34" t="s">
        <v>442</v>
      </c>
      <c r="G155" s="34" t="s">
        <v>29</v>
      </c>
      <c r="H155" s="37">
        <v>1</v>
      </c>
      <c r="I155" s="34" t="s">
        <v>30</v>
      </c>
      <c r="J155" s="34" t="s">
        <v>31</v>
      </c>
      <c r="K155" s="34" t="s">
        <v>32</v>
      </c>
      <c r="L155" s="34" t="s">
        <v>1755</v>
      </c>
      <c r="M155" s="34" t="s">
        <v>33</v>
      </c>
      <c r="N155" s="47">
        <v>8</v>
      </c>
      <c r="O155" s="48">
        <v>2</v>
      </c>
      <c r="P155" s="49">
        <v>21</v>
      </c>
      <c r="Q155" s="50">
        <v>18.615729999999999</v>
      </c>
      <c r="R155" s="50">
        <v>-99.32647</v>
      </c>
      <c r="S155" s="66" t="s">
        <v>34</v>
      </c>
      <c r="T155" s="66" t="s">
        <v>175</v>
      </c>
      <c r="U155" s="66" t="s">
        <v>35</v>
      </c>
      <c r="V155" s="66" t="s">
        <v>35</v>
      </c>
      <c r="W155" s="66" t="s">
        <v>35</v>
      </c>
      <c r="X155" s="66" t="s">
        <v>35</v>
      </c>
      <c r="Y155" s="66" t="s">
        <v>36</v>
      </c>
      <c r="Z155" s="66" t="s">
        <v>37</v>
      </c>
      <c r="AA155" s="66" t="s">
        <v>37</v>
      </c>
      <c r="AB155" s="67"/>
      <c r="AC155" s="87">
        <f t="shared" si="6"/>
        <v>0.94444444444444442</v>
      </c>
      <c r="AD155" s="91">
        <v>4</v>
      </c>
      <c r="AE155" s="64" t="s">
        <v>1834</v>
      </c>
      <c r="AF155">
        <f t="shared" si="8"/>
        <v>0</v>
      </c>
      <c r="AG155">
        <f t="shared" si="7"/>
        <v>1</v>
      </c>
    </row>
    <row r="156" spans="1:33" x14ac:dyDescent="0.3">
      <c r="A156" s="84" t="s">
        <v>1565</v>
      </c>
      <c r="B156" s="93" t="s">
        <v>25</v>
      </c>
      <c r="C156" s="93" t="s">
        <v>440</v>
      </c>
      <c r="D156" s="33" t="s">
        <v>1775</v>
      </c>
      <c r="E156" s="34" t="s">
        <v>1566</v>
      </c>
      <c r="F156" s="34" t="s">
        <v>1564</v>
      </c>
      <c r="G156" s="34" t="s">
        <v>164</v>
      </c>
      <c r="H156" s="37">
        <v>2</v>
      </c>
      <c r="I156" s="34" t="s">
        <v>155</v>
      </c>
      <c r="J156" s="34" t="s">
        <v>31</v>
      </c>
      <c r="K156" s="34" t="s">
        <v>32</v>
      </c>
      <c r="L156" s="34" t="s">
        <v>1755</v>
      </c>
      <c r="M156" s="34" t="s">
        <v>33</v>
      </c>
      <c r="N156" s="47">
        <v>13</v>
      </c>
      <c r="O156" s="48">
        <v>3</v>
      </c>
      <c r="P156" s="49">
        <v>59</v>
      </c>
      <c r="Q156" s="50">
        <v>18.883800000000001</v>
      </c>
      <c r="R156" s="50">
        <v>-99.08</v>
      </c>
      <c r="S156" s="66" t="s">
        <v>34</v>
      </c>
      <c r="T156" s="66" t="s">
        <v>35</v>
      </c>
      <c r="U156" s="66" t="s">
        <v>35</v>
      </c>
      <c r="V156" s="66" t="s">
        <v>35</v>
      </c>
      <c r="W156" s="66" t="s">
        <v>35</v>
      </c>
      <c r="X156" s="66" t="s">
        <v>35</v>
      </c>
      <c r="Y156" s="66" t="s">
        <v>36</v>
      </c>
      <c r="Z156" s="66" t="s">
        <v>37</v>
      </c>
      <c r="AA156" s="66" t="s">
        <v>37</v>
      </c>
      <c r="AB156" s="67"/>
      <c r="AC156" s="87">
        <f t="shared" si="6"/>
        <v>1</v>
      </c>
      <c r="AD156" s="91">
        <v>4</v>
      </c>
      <c r="AE156" s="64" t="s">
        <v>1834</v>
      </c>
      <c r="AF156">
        <f t="shared" si="8"/>
        <v>0</v>
      </c>
      <c r="AG156">
        <f t="shared" si="7"/>
        <v>1</v>
      </c>
    </row>
    <row r="157" spans="1:33" x14ac:dyDescent="0.3">
      <c r="A157" s="84" t="s">
        <v>1180</v>
      </c>
      <c r="B157" s="93" t="s">
        <v>25</v>
      </c>
      <c r="C157" s="93" t="s">
        <v>440</v>
      </c>
      <c r="D157" s="34" t="s">
        <v>1775</v>
      </c>
      <c r="E157" s="34" t="s">
        <v>1181</v>
      </c>
      <c r="F157" s="34" t="s">
        <v>1182</v>
      </c>
      <c r="G157" s="34" t="s">
        <v>111</v>
      </c>
      <c r="H157" s="37">
        <v>1</v>
      </c>
      <c r="I157" s="34" t="s">
        <v>112</v>
      </c>
      <c r="J157" s="34" t="s">
        <v>31</v>
      </c>
      <c r="K157" s="34" t="s">
        <v>32</v>
      </c>
      <c r="L157" s="34" t="s">
        <v>1755</v>
      </c>
      <c r="M157" s="34" t="s">
        <v>33</v>
      </c>
      <c r="N157" s="47">
        <v>12</v>
      </c>
      <c r="O157" s="48">
        <v>3</v>
      </c>
      <c r="P157" s="49">
        <v>48</v>
      </c>
      <c r="Q157" s="50">
        <v>18.836831100000001</v>
      </c>
      <c r="R157" s="50">
        <v>-99.239024700000002</v>
      </c>
      <c r="S157" s="66" t="s">
        <v>34</v>
      </c>
      <c r="T157" s="66" t="s">
        <v>175</v>
      </c>
      <c r="U157" s="66" t="s">
        <v>35</v>
      </c>
      <c r="V157" s="66" t="s">
        <v>35</v>
      </c>
      <c r="W157" s="66" t="s">
        <v>35</v>
      </c>
      <c r="X157" s="66" t="s">
        <v>35</v>
      </c>
      <c r="Y157" s="66" t="s">
        <v>36</v>
      </c>
      <c r="Z157" s="66" t="s">
        <v>37</v>
      </c>
      <c r="AA157" s="66" t="s">
        <v>37</v>
      </c>
      <c r="AB157" s="67"/>
      <c r="AC157" s="87">
        <f t="shared" si="6"/>
        <v>0.94444444444444442</v>
      </c>
      <c r="AD157" s="91">
        <v>4</v>
      </c>
      <c r="AE157" s="64" t="s">
        <v>1834</v>
      </c>
      <c r="AF157">
        <f t="shared" si="8"/>
        <v>0</v>
      </c>
      <c r="AG157">
        <f t="shared" si="7"/>
        <v>1</v>
      </c>
    </row>
    <row r="158" spans="1:33" x14ac:dyDescent="0.3">
      <c r="A158" s="84" t="s">
        <v>443</v>
      </c>
      <c r="B158" s="93" t="s">
        <v>25</v>
      </c>
      <c r="C158" s="93" t="s">
        <v>440</v>
      </c>
      <c r="D158" s="34" t="s">
        <v>1775</v>
      </c>
      <c r="E158" s="34" t="s">
        <v>444</v>
      </c>
      <c r="F158" s="34" t="s">
        <v>445</v>
      </c>
      <c r="G158" s="34" t="s">
        <v>29</v>
      </c>
      <c r="H158" s="37">
        <v>1</v>
      </c>
      <c r="I158" s="34" t="s">
        <v>30</v>
      </c>
      <c r="J158" s="34" t="s">
        <v>31</v>
      </c>
      <c r="K158" s="34" t="s">
        <v>32</v>
      </c>
      <c r="L158" s="34" t="s">
        <v>1755</v>
      </c>
      <c r="M158" s="34" t="s">
        <v>33</v>
      </c>
      <c r="N158" s="47">
        <v>10</v>
      </c>
      <c r="O158" s="48">
        <v>3</v>
      </c>
      <c r="P158" s="49">
        <v>51</v>
      </c>
      <c r="Q158" s="50">
        <v>18.881989799999999</v>
      </c>
      <c r="R158" s="50">
        <v>-98.784947299999999</v>
      </c>
      <c r="S158" s="66" t="s">
        <v>34</v>
      </c>
      <c r="T158" s="66" t="s">
        <v>35</v>
      </c>
      <c r="U158" s="66" t="s">
        <v>35</v>
      </c>
      <c r="V158" s="66" t="s">
        <v>35</v>
      </c>
      <c r="W158" s="66" t="s">
        <v>35</v>
      </c>
      <c r="X158" s="66" t="s">
        <v>35</v>
      </c>
      <c r="Y158" s="66" t="s">
        <v>36</v>
      </c>
      <c r="Z158" s="66" t="s">
        <v>37</v>
      </c>
      <c r="AA158" s="66" t="s">
        <v>37</v>
      </c>
      <c r="AB158" s="67"/>
      <c r="AC158" s="87">
        <f t="shared" si="6"/>
        <v>1</v>
      </c>
      <c r="AD158" s="91">
        <v>4</v>
      </c>
      <c r="AE158" s="64" t="s">
        <v>1834</v>
      </c>
      <c r="AF158">
        <f t="shared" si="8"/>
        <v>0</v>
      </c>
      <c r="AG158">
        <f t="shared" si="7"/>
        <v>1</v>
      </c>
    </row>
    <row r="159" spans="1:33" x14ac:dyDescent="0.3">
      <c r="A159" s="84" t="s">
        <v>446</v>
      </c>
      <c r="B159" s="93" t="s">
        <v>25</v>
      </c>
      <c r="C159" s="93" t="s">
        <v>440</v>
      </c>
      <c r="D159" s="98" t="s">
        <v>1775</v>
      </c>
      <c r="E159" s="34" t="s">
        <v>447</v>
      </c>
      <c r="F159" s="34" t="s">
        <v>448</v>
      </c>
      <c r="G159" s="34" t="s">
        <v>29</v>
      </c>
      <c r="H159" s="37">
        <v>1</v>
      </c>
      <c r="I159" s="34" t="s">
        <v>30</v>
      </c>
      <c r="J159" s="34" t="s">
        <v>31</v>
      </c>
      <c r="K159" s="34" t="s">
        <v>32</v>
      </c>
      <c r="L159" s="34" t="s">
        <v>1755</v>
      </c>
      <c r="M159" s="34" t="s">
        <v>33</v>
      </c>
      <c r="N159" s="47">
        <v>9</v>
      </c>
      <c r="O159" s="48">
        <v>2</v>
      </c>
      <c r="P159" s="49">
        <v>28</v>
      </c>
      <c r="Q159" s="50">
        <v>18.670223700000001</v>
      </c>
      <c r="R159" s="50">
        <v>-98.8065608</v>
      </c>
      <c r="S159" s="66" t="s">
        <v>34</v>
      </c>
      <c r="T159" s="66" t="s">
        <v>175</v>
      </c>
      <c r="U159" s="66" t="s">
        <v>35</v>
      </c>
      <c r="V159" s="66" t="s">
        <v>35</v>
      </c>
      <c r="W159" s="66" t="s">
        <v>35</v>
      </c>
      <c r="X159" s="66" t="s">
        <v>35</v>
      </c>
      <c r="Y159" s="66" t="s">
        <v>36</v>
      </c>
      <c r="Z159" s="66" t="s">
        <v>37</v>
      </c>
      <c r="AA159" s="66" t="s">
        <v>37</v>
      </c>
      <c r="AB159" s="67"/>
      <c r="AC159" s="87">
        <f t="shared" si="6"/>
        <v>0.94444444444444442</v>
      </c>
      <c r="AD159" s="92" t="s">
        <v>1825</v>
      </c>
      <c r="AE159" s="64"/>
      <c r="AF159">
        <f t="shared" si="8"/>
        <v>0</v>
      </c>
      <c r="AG159">
        <f t="shared" si="7"/>
        <v>1</v>
      </c>
    </row>
    <row r="160" spans="1:33" x14ac:dyDescent="0.3">
      <c r="A160" s="84" t="s">
        <v>1646</v>
      </c>
      <c r="B160" s="93" t="s">
        <v>25</v>
      </c>
      <c r="C160" s="93" t="s">
        <v>440</v>
      </c>
      <c r="D160" s="98" t="s">
        <v>1775</v>
      </c>
      <c r="E160" s="34" t="s">
        <v>1380</v>
      </c>
      <c r="F160" s="34" t="s">
        <v>1647</v>
      </c>
      <c r="G160" s="34" t="s">
        <v>941</v>
      </c>
      <c r="H160" s="37">
        <v>2</v>
      </c>
      <c r="I160" s="34" t="s">
        <v>155</v>
      </c>
      <c r="J160" s="34" t="s">
        <v>31</v>
      </c>
      <c r="K160" s="34" t="s">
        <v>32</v>
      </c>
      <c r="L160" s="34" t="s">
        <v>1756</v>
      </c>
      <c r="M160" s="34" t="s">
        <v>33</v>
      </c>
      <c r="N160" s="47">
        <v>42</v>
      </c>
      <c r="O160" s="48">
        <v>5</v>
      </c>
      <c r="P160" s="49">
        <v>82</v>
      </c>
      <c r="Q160" s="50">
        <v>18.843599999999999</v>
      </c>
      <c r="R160" s="50">
        <v>-99.202200000000005</v>
      </c>
      <c r="S160" s="66" t="s">
        <v>34</v>
      </c>
      <c r="T160" s="66" t="s">
        <v>175</v>
      </c>
      <c r="U160" s="66" t="s">
        <v>35</v>
      </c>
      <c r="V160" s="66" t="s">
        <v>35</v>
      </c>
      <c r="W160" s="66" t="s">
        <v>35</v>
      </c>
      <c r="X160" s="66" t="s">
        <v>35</v>
      </c>
      <c r="Y160" s="66" t="s">
        <v>36</v>
      </c>
      <c r="Z160" s="66" t="s">
        <v>37</v>
      </c>
      <c r="AA160" s="66" t="s">
        <v>37</v>
      </c>
      <c r="AB160" s="67"/>
      <c r="AC160" s="87">
        <f t="shared" si="6"/>
        <v>0.94444444444444442</v>
      </c>
      <c r="AD160" s="92" t="s">
        <v>1825</v>
      </c>
      <c r="AE160" s="64"/>
      <c r="AF160">
        <f t="shared" si="8"/>
        <v>0</v>
      </c>
      <c r="AG160">
        <f t="shared" si="7"/>
        <v>1</v>
      </c>
    </row>
    <row r="161" spans="1:33" x14ac:dyDescent="0.3">
      <c r="A161" s="84" t="s">
        <v>1183</v>
      </c>
      <c r="B161" s="93" t="s">
        <v>25</v>
      </c>
      <c r="C161" s="93" t="s">
        <v>440</v>
      </c>
      <c r="D161" s="98" t="s">
        <v>1775</v>
      </c>
      <c r="E161" s="34" t="s">
        <v>1184</v>
      </c>
      <c r="F161" s="34" t="s">
        <v>1185</v>
      </c>
      <c r="G161" s="34" t="s">
        <v>111</v>
      </c>
      <c r="H161" s="37">
        <v>1</v>
      </c>
      <c r="I161" s="34" t="s">
        <v>112</v>
      </c>
      <c r="J161" s="34" t="s">
        <v>31</v>
      </c>
      <c r="K161" s="34" t="s">
        <v>32</v>
      </c>
      <c r="L161" s="34" t="s">
        <v>1755</v>
      </c>
      <c r="M161" s="34" t="s">
        <v>33</v>
      </c>
      <c r="N161" s="47">
        <v>10</v>
      </c>
      <c r="O161" s="48">
        <v>2</v>
      </c>
      <c r="P161" s="49">
        <v>68</v>
      </c>
      <c r="Q161" s="50">
        <v>18.488446799999998</v>
      </c>
      <c r="R161" s="50">
        <v>-98.762501799999995</v>
      </c>
      <c r="S161" s="66" t="s">
        <v>34</v>
      </c>
      <c r="T161" s="66" t="s">
        <v>35</v>
      </c>
      <c r="U161" s="66" t="s">
        <v>35</v>
      </c>
      <c r="V161" s="66" t="s">
        <v>35</v>
      </c>
      <c r="W161" s="66" t="s">
        <v>35</v>
      </c>
      <c r="X161" s="66" t="s">
        <v>35</v>
      </c>
      <c r="Y161" s="66" t="s">
        <v>36</v>
      </c>
      <c r="Z161" s="66" t="s">
        <v>37</v>
      </c>
      <c r="AA161" s="66" t="s">
        <v>37</v>
      </c>
      <c r="AB161" s="67"/>
      <c r="AC161" s="87">
        <f t="shared" si="6"/>
        <v>1</v>
      </c>
      <c r="AD161" s="92" t="s">
        <v>1825</v>
      </c>
      <c r="AE161" s="105"/>
      <c r="AF161">
        <f t="shared" si="8"/>
        <v>0</v>
      </c>
      <c r="AG161">
        <f t="shared" si="7"/>
        <v>1</v>
      </c>
    </row>
    <row r="162" spans="1:33" x14ac:dyDescent="0.3">
      <c r="A162" s="84" t="s">
        <v>1758</v>
      </c>
      <c r="B162" s="93" t="s">
        <v>25</v>
      </c>
      <c r="C162" s="93" t="s">
        <v>440</v>
      </c>
      <c r="D162" s="98" t="s">
        <v>1775</v>
      </c>
      <c r="E162" s="6" t="s">
        <v>1768</v>
      </c>
      <c r="F162" s="6" t="s">
        <v>1751</v>
      </c>
      <c r="G162" s="34" t="s">
        <v>111</v>
      </c>
      <c r="H162" s="37">
        <v>1</v>
      </c>
      <c r="I162" s="34" t="s">
        <v>30</v>
      </c>
      <c r="J162" s="6" t="s">
        <v>31</v>
      </c>
      <c r="K162" s="6" t="s">
        <v>32</v>
      </c>
      <c r="L162" s="6" t="s">
        <v>1755</v>
      </c>
      <c r="M162" s="6" t="s">
        <v>33</v>
      </c>
      <c r="N162" s="47"/>
      <c r="O162" s="48"/>
      <c r="P162" s="49"/>
      <c r="Q162" s="51">
        <v>188759753</v>
      </c>
      <c r="R162" s="51">
        <v>-991693427</v>
      </c>
      <c r="S162" s="66" t="s">
        <v>34</v>
      </c>
      <c r="T162" s="66" t="s">
        <v>35</v>
      </c>
      <c r="U162" s="66" t="s">
        <v>35</v>
      </c>
      <c r="V162" s="66" t="s">
        <v>35</v>
      </c>
      <c r="W162" s="66" t="s">
        <v>35</v>
      </c>
      <c r="X162" s="66" t="s">
        <v>35</v>
      </c>
      <c r="Y162" s="66" t="s">
        <v>36</v>
      </c>
      <c r="Z162" s="66" t="s">
        <v>37</v>
      </c>
      <c r="AA162" s="66" t="s">
        <v>37</v>
      </c>
      <c r="AB162" s="70"/>
      <c r="AC162" s="87">
        <f t="shared" si="6"/>
        <v>1</v>
      </c>
      <c r="AD162" s="92" t="s">
        <v>1825</v>
      </c>
      <c r="AE162" s="105"/>
      <c r="AF162">
        <f t="shared" si="8"/>
        <v>0</v>
      </c>
      <c r="AG162">
        <f t="shared" si="7"/>
        <v>1</v>
      </c>
    </row>
    <row r="163" spans="1:33" x14ac:dyDescent="0.3">
      <c r="A163" s="84" t="s">
        <v>393</v>
      </c>
      <c r="B163" s="93" t="s">
        <v>25</v>
      </c>
      <c r="C163" s="93" t="s">
        <v>1777</v>
      </c>
      <c r="D163" s="33" t="s">
        <v>1775</v>
      </c>
      <c r="E163" s="34" t="s">
        <v>394</v>
      </c>
      <c r="F163" s="34" t="s">
        <v>395</v>
      </c>
      <c r="G163" s="34" t="s">
        <v>29</v>
      </c>
      <c r="H163" s="37">
        <v>1</v>
      </c>
      <c r="I163" s="34" t="s">
        <v>30</v>
      </c>
      <c r="J163" s="34" t="s">
        <v>31</v>
      </c>
      <c r="K163" s="34" t="s">
        <v>32</v>
      </c>
      <c r="L163" s="34" t="s">
        <v>1755</v>
      </c>
      <c r="M163" s="34" t="s">
        <v>84</v>
      </c>
      <c r="N163" s="47">
        <v>11</v>
      </c>
      <c r="O163" s="48">
        <v>3</v>
      </c>
      <c r="P163" s="49">
        <v>52</v>
      </c>
      <c r="Q163" s="50">
        <v>19.543561</v>
      </c>
      <c r="R163" s="50">
        <v>-98.897240999999994</v>
      </c>
      <c r="S163" s="66" t="s">
        <v>34</v>
      </c>
      <c r="T163" s="66" t="s">
        <v>175</v>
      </c>
      <c r="U163" s="66" t="s">
        <v>35</v>
      </c>
      <c r="V163" s="66" t="s">
        <v>35</v>
      </c>
      <c r="W163" s="66" t="s">
        <v>35</v>
      </c>
      <c r="X163" s="66" t="s">
        <v>35</v>
      </c>
      <c r="Y163" s="66" t="s">
        <v>1799</v>
      </c>
      <c r="Z163" s="66" t="s">
        <v>74</v>
      </c>
      <c r="AA163" s="66" t="s">
        <v>74</v>
      </c>
      <c r="AB163" s="88"/>
      <c r="AC163" s="87">
        <f t="shared" si="6"/>
        <v>0.66666666666666663</v>
      </c>
      <c r="AD163" s="91">
        <v>2</v>
      </c>
      <c r="AE163" s="103" t="s">
        <v>1837</v>
      </c>
      <c r="AF163">
        <f t="shared" si="8"/>
        <v>0</v>
      </c>
      <c r="AG163">
        <f t="shared" si="7"/>
        <v>0</v>
      </c>
    </row>
    <row r="164" spans="1:33" x14ac:dyDescent="0.3">
      <c r="A164" s="97" t="s">
        <v>1550</v>
      </c>
      <c r="B164" s="98" t="s">
        <v>25</v>
      </c>
      <c r="C164" s="98" t="s">
        <v>1771</v>
      </c>
      <c r="D164" s="98" t="s">
        <v>1771</v>
      </c>
      <c r="E164" s="38" t="s">
        <v>1551</v>
      </c>
      <c r="F164" s="38" t="s">
        <v>1552</v>
      </c>
      <c r="G164" s="61" t="s">
        <v>154</v>
      </c>
      <c r="H164" s="49">
        <v>1</v>
      </c>
      <c r="I164" s="61" t="s">
        <v>155</v>
      </c>
      <c r="J164" s="61" t="s">
        <v>31</v>
      </c>
      <c r="K164" s="61" t="s">
        <v>32</v>
      </c>
      <c r="L164" s="61" t="s">
        <v>1756</v>
      </c>
      <c r="M164" s="61" t="s">
        <v>33</v>
      </c>
      <c r="N164" s="49">
        <v>20</v>
      </c>
      <c r="O164" s="49">
        <v>5</v>
      </c>
      <c r="P164" s="49">
        <v>104</v>
      </c>
      <c r="Q164" s="75">
        <v>16.948091000000002</v>
      </c>
      <c r="R164" s="75">
        <v>-96.713217</v>
      </c>
      <c r="S164" s="69" t="s">
        <v>34</v>
      </c>
      <c r="T164" s="66" t="s">
        <v>35</v>
      </c>
      <c r="U164" s="66" t="s">
        <v>35</v>
      </c>
      <c r="V164" s="66" t="s">
        <v>35</v>
      </c>
      <c r="W164" s="66" t="s">
        <v>35</v>
      </c>
      <c r="X164" s="66" t="s">
        <v>35</v>
      </c>
      <c r="Y164" s="69" t="s">
        <v>36</v>
      </c>
      <c r="Z164" s="66" t="s">
        <v>37</v>
      </c>
      <c r="AA164" s="66" t="s">
        <v>74</v>
      </c>
      <c r="AB164" s="67"/>
      <c r="AC164" s="87">
        <f t="shared" si="6"/>
        <v>0.88888888888888884</v>
      </c>
      <c r="AD164" s="91">
        <v>9</v>
      </c>
      <c r="AE164" s="105" t="s">
        <v>1842</v>
      </c>
      <c r="AF164">
        <f t="shared" si="8"/>
        <v>1</v>
      </c>
      <c r="AG164">
        <f t="shared" si="7"/>
        <v>0</v>
      </c>
    </row>
    <row r="165" spans="1:33" x14ac:dyDescent="0.3">
      <c r="A165" s="97" t="s">
        <v>1235</v>
      </c>
      <c r="B165" s="98" t="s">
        <v>25</v>
      </c>
      <c r="C165" s="98" t="s">
        <v>477</v>
      </c>
      <c r="D165" s="33" t="s">
        <v>1775</v>
      </c>
      <c r="E165" s="38" t="s">
        <v>1236</v>
      </c>
      <c r="F165" s="38" t="s">
        <v>1237</v>
      </c>
      <c r="G165" s="61" t="s">
        <v>111</v>
      </c>
      <c r="H165" s="49">
        <v>1</v>
      </c>
      <c r="I165" s="61" t="s">
        <v>112</v>
      </c>
      <c r="J165" s="61" t="s">
        <v>31</v>
      </c>
      <c r="K165" s="61" t="s">
        <v>32</v>
      </c>
      <c r="L165" s="61" t="s">
        <v>1755</v>
      </c>
      <c r="M165" s="61" t="s">
        <v>33</v>
      </c>
      <c r="N165" s="49">
        <v>0</v>
      </c>
      <c r="O165" s="49">
        <v>0</v>
      </c>
      <c r="P165" s="49">
        <v>0</v>
      </c>
      <c r="Q165" s="75">
        <v>18.1124425</v>
      </c>
      <c r="R165" s="75">
        <v>-96.137438900000006</v>
      </c>
      <c r="S165" s="69" t="s">
        <v>34</v>
      </c>
      <c r="T165" s="69" t="s">
        <v>35</v>
      </c>
      <c r="U165" s="66" t="s">
        <v>35</v>
      </c>
      <c r="V165" s="66" t="s">
        <v>35</v>
      </c>
      <c r="W165" s="66" t="s">
        <v>35</v>
      </c>
      <c r="X165" s="66" t="s">
        <v>35</v>
      </c>
      <c r="Y165" s="69" t="s">
        <v>36</v>
      </c>
      <c r="Z165" s="66" t="s">
        <v>37</v>
      </c>
      <c r="AA165" s="66" t="s">
        <v>74</v>
      </c>
      <c r="AB165" s="67"/>
      <c r="AC165" s="87">
        <f t="shared" si="6"/>
        <v>0.88888888888888884</v>
      </c>
      <c r="AD165" s="91">
        <v>9</v>
      </c>
      <c r="AE165" s="105" t="s">
        <v>1842</v>
      </c>
      <c r="AF165">
        <f t="shared" si="8"/>
        <v>1</v>
      </c>
      <c r="AG165">
        <f t="shared" si="7"/>
        <v>0</v>
      </c>
    </row>
    <row r="166" spans="1:33" x14ac:dyDescent="0.3">
      <c r="A166" s="84" t="s">
        <v>963</v>
      </c>
      <c r="B166" s="93" t="s">
        <v>25</v>
      </c>
      <c r="C166" s="93" t="s">
        <v>954</v>
      </c>
      <c r="D166" s="33" t="s">
        <v>1775</v>
      </c>
      <c r="E166" s="52" t="s">
        <v>964</v>
      </c>
      <c r="F166" s="38" t="s">
        <v>965</v>
      </c>
      <c r="G166" s="34" t="s">
        <v>29</v>
      </c>
      <c r="H166" s="37">
        <v>1</v>
      </c>
      <c r="I166" s="34" t="s">
        <v>30</v>
      </c>
      <c r="J166" s="34" t="s">
        <v>31</v>
      </c>
      <c r="K166" s="34" t="s">
        <v>32</v>
      </c>
      <c r="L166" s="34" t="s">
        <v>1755</v>
      </c>
      <c r="M166" s="34" t="s">
        <v>33</v>
      </c>
      <c r="N166" s="47">
        <v>10</v>
      </c>
      <c r="O166" s="48">
        <v>2</v>
      </c>
      <c r="P166" s="49">
        <v>19</v>
      </c>
      <c r="Q166" s="50">
        <v>29.424952000000001</v>
      </c>
      <c r="R166" s="50">
        <v>-110.391015</v>
      </c>
      <c r="S166" s="66" t="s">
        <v>34</v>
      </c>
      <c r="T166" s="66" t="s">
        <v>35</v>
      </c>
      <c r="U166" s="66" t="s">
        <v>35</v>
      </c>
      <c r="V166" s="66" t="s">
        <v>35</v>
      </c>
      <c r="W166" s="66" t="s">
        <v>35</v>
      </c>
      <c r="X166" s="66" t="s">
        <v>35</v>
      </c>
      <c r="Y166" s="66" t="s">
        <v>36</v>
      </c>
      <c r="Z166" s="66" t="s">
        <v>37</v>
      </c>
      <c r="AA166" s="66" t="s">
        <v>37</v>
      </c>
      <c r="AB166" s="67"/>
      <c r="AC166" s="87">
        <f t="shared" si="6"/>
        <v>1</v>
      </c>
      <c r="AD166" s="91">
        <v>9</v>
      </c>
      <c r="AE166" s="105" t="s">
        <v>1842</v>
      </c>
      <c r="AF166">
        <f t="shared" si="8"/>
        <v>0</v>
      </c>
      <c r="AG166">
        <f t="shared" si="7"/>
        <v>1</v>
      </c>
    </row>
    <row r="167" spans="1:33" x14ac:dyDescent="0.3">
      <c r="A167" s="84" t="s">
        <v>1352</v>
      </c>
      <c r="B167" s="93" t="s">
        <v>25</v>
      </c>
      <c r="C167" s="93" t="s">
        <v>954</v>
      </c>
      <c r="D167" s="33" t="s">
        <v>1775</v>
      </c>
      <c r="E167" s="34" t="s">
        <v>1353</v>
      </c>
      <c r="F167" s="38" t="s">
        <v>1354</v>
      </c>
      <c r="G167" s="34" t="s">
        <v>29</v>
      </c>
      <c r="H167" s="37">
        <v>1</v>
      </c>
      <c r="I167" s="34" t="s">
        <v>30</v>
      </c>
      <c r="J167" s="34" t="s">
        <v>31</v>
      </c>
      <c r="K167" s="34" t="s">
        <v>32</v>
      </c>
      <c r="L167" s="34" t="s">
        <v>1755</v>
      </c>
      <c r="M167" s="34" t="s">
        <v>33</v>
      </c>
      <c r="N167" s="47">
        <v>17</v>
      </c>
      <c r="O167" s="48">
        <v>3</v>
      </c>
      <c r="P167" s="49">
        <v>50</v>
      </c>
      <c r="Q167" s="50">
        <v>30.6420274</v>
      </c>
      <c r="R167" s="50">
        <v>-110.9547019</v>
      </c>
      <c r="S167" s="66" t="s">
        <v>34</v>
      </c>
      <c r="T167" s="66" t="s">
        <v>35</v>
      </c>
      <c r="U167" s="66" t="s">
        <v>35</v>
      </c>
      <c r="V167" s="66" t="s">
        <v>35</v>
      </c>
      <c r="W167" s="66" t="s">
        <v>35</v>
      </c>
      <c r="X167" s="66" t="s">
        <v>35</v>
      </c>
      <c r="Y167" s="66" t="s">
        <v>36</v>
      </c>
      <c r="Z167" s="66" t="s">
        <v>37</v>
      </c>
      <c r="AA167" s="66" t="s">
        <v>37</v>
      </c>
      <c r="AB167" s="67"/>
      <c r="AC167" s="87">
        <f t="shared" si="6"/>
        <v>1</v>
      </c>
      <c r="AD167" s="91">
        <v>9</v>
      </c>
      <c r="AE167" s="105" t="s">
        <v>1842</v>
      </c>
      <c r="AF167">
        <f t="shared" si="8"/>
        <v>0</v>
      </c>
      <c r="AG167">
        <f t="shared" si="7"/>
        <v>1</v>
      </c>
    </row>
    <row r="168" spans="1:33" x14ac:dyDescent="0.3">
      <c r="A168" s="84" t="s">
        <v>1355</v>
      </c>
      <c r="B168" s="93" t="s">
        <v>25</v>
      </c>
      <c r="C168" s="93" t="s">
        <v>954</v>
      </c>
      <c r="D168" s="33" t="s">
        <v>1775</v>
      </c>
      <c r="E168" s="34" t="s">
        <v>1356</v>
      </c>
      <c r="F168" s="38" t="s">
        <v>1357</v>
      </c>
      <c r="G168" s="34" t="s">
        <v>29</v>
      </c>
      <c r="H168" s="37">
        <v>1</v>
      </c>
      <c r="I168" s="34" t="s">
        <v>30</v>
      </c>
      <c r="J168" s="34" t="s">
        <v>31</v>
      </c>
      <c r="K168" s="34" t="s">
        <v>32</v>
      </c>
      <c r="L168" s="34" t="s">
        <v>1755</v>
      </c>
      <c r="M168" s="34" t="s">
        <v>33</v>
      </c>
      <c r="N168" s="47">
        <v>8</v>
      </c>
      <c r="O168" s="48">
        <v>2</v>
      </c>
      <c r="P168" s="49">
        <v>26</v>
      </c>
      <c r="Q168" s="50">
        <v>31.341422999999999</v>
      </c>
      <c r="R168" s="50">
        <v>-113.51633699999999</v>
      </c>
      <c r="S168" s="66" t="s">
        <v>34</v>
      </c>
      <c r="T168" s="66" t="s">
        <v>35</v>
      </c>
      <c r="U168" s="66" t="s">
        <v>35</v>
      </c>
      <c r="V168" s="66" t="s">
        <v>35</v>
      </c>
      <c r="W168" s="66" t="s">
        <v>35</v>
      </c>
      <c r="X168" s="66" t="s">
        <v>35</v>
      </c>
      <c r="Y168" s="66" t="s">
        <v>36</v>
      </c>
      <c r="Z168" s="66" t="s">
        <v>37</v>
      </c>
      <c r="AA168" s="66" t="s">
        <v>37</v>
      </c>
      <c r="AB168" s="67"/>
      <c r="AC168" s="87">
        <f t="shared" si="6"/>
        <v>1</v>
      </c>
      <c r="AD168" s="91">
        <v>9</v>
      </c>
      <c r="AE168" s="105" t="s">
        <v>1842</v>
      </c>
      <c r="AF168">
        <f t="shared" si="8"/>
        <v>0</v>
      </c>
      <c r="AG168">
        <f t="shared" si="7"/>
        <v>1</v>
      </c>
    </row>
    <row r="169" spans="1:33" x14ac:dyDescent="0.3">
      <c r="A169" s="84" t="s">
        <v>754</v>
      </c>
      <c r="B169" s="93" t="s">
        <v>25</v>
      </c>
      <c r="C169" s="93" t="s">
        <v>755</v>
      </c>
      <c r="D169" s="33" t="s">
        <v>1775</v>
      </c>
      <c r="E169" s="34" t="s">
        <v>756</v>
      </c>
      <c r="F169" s="34" t="s">
        <v>757</v>
      </c>
      <c r="G169" s="34" t="s">
        <v>29</v>
      </c>
      <c r="H169" s="37">
        <v>1</v>
      </c>
      <c r="I169" s="34" t="s">
        <v>30</v>
      </c>
      <c r="J169" s="34" t="s">
        <v>31</v>
      </c>
      <c r="K169" s="34" t="s">
        <v>32</v>
      </c>
      <c r="L169" s="34" t="s">
        <v>1755</v>
      </c>
      <c r="M169" s="34" t="s">
        <v>33</v>
      </c>
      <c r="N169" s="47">
        <v>13</v>
      </c>
      <c r="O169" s="48">
        <v>2</v>
      </c>
      <c r="P169" s="49">
        <v>18</v>
      </c>
      <c r="Q169" s="50">
        <v>19.3265101</v>
      </c>
      <c r="R169" s="50">
        <v>-97.647458900000004</v>
      </c>
      <c r="S169" s="66" t="s">
        <v>34</v>
      </c>
      <c r="T169" s="66" t="s">
        <v>35</v>
      </c>
      <c r="U169" s="66" t="s">
        <v>35</v>
      </c>
      <c r="V169" s="66" t="s">
        <v>35</v>
      </c>
      <c r="W169" s="66" t="s">
        <v>35</v>
      </c>
      <c r="X169" s="66" t="s">
        <v>35</v>
      </c>
      <c r="Y169" s="66" t="s">
        <v>36</v>
      </c>
      <c r="Z169" s="66" t="s">
        <v>37</v>
      </c>
      <c r="AA169" s="66" t="s">
        <v>37</v>
      </c>
      <c r="AB169" s="67"/>
      <c r="AC169" s="87">
        <f t="shared" si="6"/>
        <v>1</v>
      </c>
      <c r="AD169" s="91">
        <v>5</v>
      </c>
      <c r="AE169" s="105" t="s">
        <v>1846</v>
      </c>
      <c r="AF169">
        <f t="shared" si="8"/>
        <v>0</v>
      </c>
      <c r="AG169">
        <f t="shared" si="7"/>
        <v>1</v>
      </c>
    </row>
    <row r="170" spans="1:33" x14ac:dyDescent="0.3">
      <c r="A170" s="84" t="s">
        <v>758</v>
      </c>
      <c r="B170" s="93" t="s">
        <v>25</v>
      </c>
      <c r="C170" s="93" t="s">
        <v>755</v>
      </c>
      <c r="D170" s="33" t="s">
        <v>1775</v>
      </c>
      <c r="E170" s="34" t="s">
        <v>759</v>
      </c>
      <c r="F170" s="34" t="s">
        <v>760</v>
      </c>
      <c r="G170" s="34" t="s">
        <v>29</v>
      </c>
      <c r="H170" s="37">
        <v>1</v>
      </c>
      <c r="I170" s="34" t="s">
        <v>30</v>
      </c>
      <c r="J170" s="34" t="s">
        <v>31</v>
      </c>
      <c r="K170" s="34" t="s">
        <v>32</v>
      </c>
      <c r="L170" s="34" t="s">
        <v>1755</v>
      </c>
      <c r="M170" s="34" t="s">
        <v>33</v>
      </c>
      <c r="N170" s="47">
        <v>12</v>
      </c>
      <c r="O170" s="48">
        <v>2</v>
      </c>
      <c r="P170" s="49">
        <v>21</v>
      </c>
      <c r="Q170" s="50">
        <v>19.333702800000001</v>
      </c>
      <c r="R170" s="50">
        <v>-98.1694806</v>
      </c>
      <c r="S170" s="66" t="s">
        <v>34</v>
      </c>
      <c r="T170" s="66" t="s">
        <v>35</v>
      </c>
      <c r="U170" s="66" t="s">
        <v>35</v>
      </c>
      <c r="V170" s="66" t="s">
        <v>35</v>
      </c>
      <c r="W170" s="66" t="s">
        <v>35</v>
      </c>
      <c r="X170" s="66" t="s">
        <v>35</v>
      </c>
      <c r="Y170" s="66" t="s">
        <v>36</v>
      </c>
      <c r="Z170" s="66" t="s">
        <v>37</v>
      </c>
      <c r="AA170" s="66" t="s">
        <v>37</v>
      </c>
      <c r="AB170" s="67"/>
      <c r="AC170" s="87">
        <f t="shared" si="6"/>
        <v>1</v>
      </c>
      <c r="AD170" s="91">
        <v>10</v>
      </c>
      <c r="AE170" s="105" t="s">
        <v>1782</v>
      </c>
      <c r="AF170">
        <f t="shared" si="8"/>
        <v>0</v>
      </c>
      <c r="AG170">
        <f t="shared" si="7"/>
        <v>1</v>
      </c>
    </row>
    <row r="171" spans="1:33" x14ac:dyDescent="0.3">
      <c r="A171" s="97" t="s">
        <v>1434</v>
      </c>
      <c r="B171" s="98" t="s">
        <v>25</v>
      </c>
      <c r="C171" s="98" t="s">
        <v>755</v>
      </c>
      <c r="D171" s="33" t="s">
        <v>1775</v>
      </c>
      <c r="E171" s="38" t="s">
        <v>1435</v>
      </c>
      <c r="F171" s="38" t="s">
        <v>1436</v>
      </c>
      <c r="G171" s="61" t="s">
        <v>111</v>
      </c>
      <c r="H171" s="49">
        <v>1</v>
      </c>
      <c r="I171" s="61" t="s">
        <v>112</v>
      </c>
      <c r="J171" s="61" t="s">
        <v>31</v>
      </c>
      <c r="K171" s="61" t="s">
        <v>32</v>
      </c>
      <c r="L171" s="61" t="s">
        <v>1755</v>
      </c>
      <c r="M171" s="61" t="s">
        <v>33</v>
      </c>
      <c r="N171" s="49">
        <v>21</v>
      </c>
      <c r="O171" s="49">
        <v>6</v>
      </c>
      <c r="P171" s="49">
        <v>107</v>
      </c>
      <c r="Q171" s="75">
        <v>19.408774999999999</v>
      </c>
      <c r="R171" s="75">
        <v>-98.117972199999997</v>
      </c>
      <c r="S171" s="69" t="s">
        <v>34</v>
      </c>
      <c r="T171" s="66" t="s">
        <v>35</v>
      </c>
      <c r="U171" s="66" t="s">
        <v>35</v>
      </c>
      <c r="V171" s="66" t="s">
        <v>35</v>
      </c>
      <c r="W171" s="66" t="s">
        <v>35</v>
      </c>
      <c r="X171" s="66" t="s">
        <v>35</v>
      </c>
      <c r="Y171" s="69" t="s">
        <v>36</v>
      </c>
      <c r="Z171" s="66" t="s">
        <v>37</v>
      </c>
      <c r="AA171" s="66" t="s">
        <v>37</v>
      </c>
      <c r="AB171" s="67"/>
      <c r="AC171" s="87">
        <f t="shared" si="6"/>
        <v>1</v>
      </c>
      <c r="AD171" s="91" t="s">
        <v>1825</v>
      </c>
      <c r="AE171" s="105" t="s">
        <v>1855</v>
      </c>
      <c r="AF171">
        <f t="shared" si="8"/>
        <v>0</v>
      </c>
      <c r="AG171">
        <f t="shared" si="7"/>
        <v>1</v>
      </c>
    </row>
    <row r="172" spans="1:33" x14ac:dyDescent="0.3">
      <c r="A172" s="84" t="s">
        <v>761</v>
      </c>
      <c r="B172" s="93" t="s">
        <v>25</v>
      </c>
      <c r="C172" s="93" t="s">
        <v>755</v>
      </c>
      <c r="D172" s="33" t="s">
        <v>1775</v>
      </c>
      <c r="E172" s="34" t="s">
        <v>762</v>
      </c>
      <c r="F172" s="34" t="s">
        <v>763</v>
      </c>
      <c r="G172" s="34" t="s">
        <v>29</v>
      </c>
      <c r="H172" s="37">
        <v>1</v>
      </c>
      <c r="I172" s="34" t="s">
        <v>30</v>
      </c>
      <c r="J172" s="34" t="s">
        <v>31</v>
      </c>
      <c r="K172" s="34" t="s">
        <v>32</v>
      </c>
      <c r="L172" s="34" t="s">
        <v>1755</v>
      </c>
      <c r="M172" s="34" t="s">
        <v>33</v>
      </c>
      <c r="N172" s="47">
        <v>14</v>
      </c>
      <c r="O172" s="48">
        <v>2</v>
      </c>
      <c r="P172" s="49">
        <v>28</v>
      </c>
      <c r="Q172" s="50">
        <v>19.202955599999999</v>
      </c>
      <c r="R172" s="50">
        <v>-98.249111099999993</v>
      </c>
      <c r="S172" s="66" t="s">
        <v>34</v>
      </c>
      <c r="T172" s="66" t="s">
        <v>35</v>
      </c>
      <c r="U172" s="66" t="s">
        <v>35</v>
      </c>
      <c r="V172" s="66" t="s">
        <v>35</v>
      </c>
      <c r="W172" s="66" t="s">
        <v>35</v>
      </c>
      <c r="X172" s="66" t="s">
        <v>35</v>
      </c>
      <c r="Y172" s="66" t="s">
        <v>36</v>
      </c>
      <c r="Z172" s="66" t="s">
        <v>37</v>
      </c>
      <c r="AA172" s="66" t="s">
        <v>37</v>
      </c>
      <c r="AB172" s="67"/>
      <c r="AC172" s="87">
        <f t="shared" si="6"/>
        <v>1</v>
      </c>
      <c r="AD172" s="91">
        <v>3</v>
      </c>
      <c r="AE172" s="105" t="s">
        <v>1855</v>
      </c>
      <c r="AF172">
        <f t="shared" si="8"/>
        <v>0</v>
      </c>
      <c r="AG172">
        <f t="shared" si="7"/>
        <v>1</v>
      </c>
    </row>
    <row r="173" spans="1:33" x14ac:dyDescent="0.3">
      <c r="A173" s="84" t="s">
        <v>869</v>
      </c>
      <c r="B173" s="93" t="s">
        <v>25</v>
      </c>
      <c r="C173" s="93" t="s">
        <v>172</v>
      </c>
      <c r="D173" s="33" t="s">
        <v>1775</v>
      </c>
      <c r="E173" s="34" t="s">
        <v>178</v>
      </c>
      <c r="F173" s="52" t="s">
        <v>870</v>
      </c>
      <c r="G173" s="34" t="s">
        <v>111</v>
      </c>
      <c r="H173" s="37">
        <v>1</v>
      </c>
      <c r="I173" s="34" t="s">
        <v>112</v>
      </c>
      <c r="J173" s="34" t="s">
        <v>31</v>
      </c>
      <c r="K173" s="34" t="s">
        <v>32</v>
      </c>
      <c r="L173" s="34" t="s">
        <v>1755</v>
      </c>
      <c r="M173" s="34" t="s">
        <v>33</v>
      </c>
      <c r="N173" s="47">
        <v>38</v>
      </c>
      <c r="O173" s="48">
        <v>4</v>
      </c>
      <c r="P173" s="49">
        <v>214</v>
      </c>
      <c r="Q173" s="50">
        <v>32.644334000000001</v>
      </c>
      <c r="R173" s="50">
        <v>-115.476271</v>
      </c>
      <c r="S173" s="66" t="s">
        <v>34</v>
      </c>
      <c r="T173" s="66" t="s">
        <v>35</v>
      </c>
      <c r="U173" s="66" t="s">
        <v>35</v>
      </c>
      <c r="V173" s="66" t="s">
        <v>35</v>
      </c>
      <c r="W173" s="66" t="s">
        <v>35</v>
      </c>
      <c r="X173" s="66" t="s">
        <v>35</v>
      </c>
      <c r="Y173" s="66" t="s">
        <v>36</v>
      </c>
      <c r="Z173" s="66"/>
      <c r="AA173" s="66"/>
      <c r="AB173" s="67"/>
      <c r="AC173" s="87">
        <f t="shared" si="6"/>
        <v>0.77777777777777779</v>
      </c>
      <c r="AD173" s="91">
        <v>1</v>
      </c>
      <c r="AE173" s="64" t="s">
        <v>1828</v>
      </c>
      <c r="AF173">
        <f t="shared" si="8"/>
        <v>0</v>
      </c>
      <c r="AG173">
        <f t="shared" si="7"/>
        <v>0</v>
      </c>
    </row>
    <row r="174" spans="1:33" x14ac:dyDescent="0.3">
      <c r="A174" s="84" t="s">
        <v>1437</v>
      </c>
      <c r="B174" s="93" t="s">
        <v>25</v>
      </c>
      <c r="C174" s="93" t="s">
        <v>755</v>
      </c>
      <c r="D174" s="33" t="s">
        <v>1775</v>
      </c>
      <c r="E174" s="34" t="s">
        <v>1438</v>
      </c>
      <c r="F174" s="34" t="s">
        <v>1439</v>
      </c>
      <c r="G174" s="34" t="s">
        <v>111</v>
      </c>
      <c r="H174" s="37">
        <v>1</v>
      </c>
      <c r="I174" s="34" t="s">
        <v>112</v>
      </c>
      <c r="J174" s="34" t="s">
        <v>31</v>
      </c>
      <c r="K174" s="34" t="s">
        <v>32</v>
      </c>
      <c r="L174" s="34" t="s">
        <v>1755</v>
      </c>
      <c r="M174" s="34" t="s">
        <v>33</v>
      </c>
      <c r="N174" s="47">
        <v>13</v>
      </c>
      <c r="O174" s="48">
        <v>3</v>
      </c>
      <c r="P174" s="49">
        <v>61</v>
      </c>
      <c r="Q174" s="50">
        <v>19.126875500000001</v>
      </c>
      <c r="R174" s="50">
        <v>-98.200689600000004</v>
      </c>
      <c r="S174" s="66" t="s">
        <v>34</v>
      </c>
      <c r="T174" s="66" t="s">
        <v>35</v>
      </c>
      <c r="U174" s="66" t="s">
        <v>35</v>
      </c>
      <c r="V174" s="66" t="s">
        <v>35</v>
      </c>
      <c r="W174" s="66" t="s">
        <v>35</v>
      </c>
      <c r="X174" s="66" t="s">
        <v>35</v>
      </c>
      <c r="Y174" s="66" t="s">
        <v>36</v>
      </c>
      <c r="Z174" s="66" t="s">
        <v>37</v>
      </c>
      <c r="AA174" s="66" t="s">
        <v>37</v>
      </c>
      <c r="AB174" s="67"/>
      <c r="AC174" s="87">
        <f t="shared" si="6"/>
        <v>1</v>
      </c>
      <c r="AD174" s="91">
        <v>1</v>
      </c>
      <c r="AE174" s="64" t="s">
        <v>1828</v>
      </c>
      <c r="AF174">
        <f t="shared" si="8"/>
        <v>0</v>
      </c>
      <c r="AG174">
        <f t="shared" si="7"/>
        <v>1</v>
      </c>
    </row>
    <row r="175" spans="1:33" x14ac:dyDescent="0.3">
      <c r="A175" s="84" t="s">
        <v>183</v>
      </c>
      <c r="B175" s="93" t="s">
        <v>25</v>
      </c>
      <c r="C175" s="93" t="s">
        <v>172</v>
      </c>
      <c r="D175" s="33" t="s">
        <v>1775</v>
      </c>
      <c r="E175" s="34" t="s">
        <v>184</v>
      </c>
      <c r="F175" s="52" t="s">
        <v>185</v>
      </c>
      <c r="G175" s="34" t="s">
        <v>111</v>
      </c>
      <c r="H175" s="37">
        <v>1</v>
      </c>
      <c r="I175" s="34" t="s">
        <v>112</v>
      </c>
      <c r="J175" s="34" t="s">
        <v>31</v>
      </c>
      <c r="K175" s="34" t="s">
        <v>32</v>
      </c>
      <c r="L175" s="34" t="s">
        <v>1755</v>
      </c>
      <c r="M175" s="34" t="s">
        <v>33</v>
      </c>
      <c r="N175" s="47">
        <v>31</v>
      </c>
      <c r="O175" s="48">
        <v>5</v>
      </c>
      <c r="P175" s="49">
        <v>189</v>
      </c>
      <c r="Q175" s="50">
        <v>31.825116999999999</v>
      </c>
      <c r="R175" s="50">
        <v>-116.60028200000001</v>
      </c>
      <c r="S175" s="66" t="s">
        <v>34</v>
      </c>
      <c r="T175" s="66" t="s">
        <v>35</v>
      </c>
      <c r="U175" s="66" t="s">
        <v>35</v>
      </c>
      <c r="V175" s="66" t="s">
        <v>35</v>
      </c>
      <c r="W175" s="66" t="s">
        <v>35</v>
      </c>
      <c r="X175" s="66" t="s">
        <v>35</v>
      </c>
      <c r="Y175" s="66" t="s">
        <v>36</v>
      </c>
      <c r="Z175" s="66"/>
      <c r="AA175" s="66"/>
      <c r="AB175" s="67"/>
      <c r="AC175" s="87">
        <f t="shared" si="6"/>
        <v>0.77777777777777779</v>
      </c>
      <c r="AD175" s="91">
        <v>1</v>
      </c>
      <c r="AE175" s="64" t="s">
        <v>1828</v>
      </c>
      <c r="AF175">
        <f t="shared" si="8"/>
        <v>0</v>
      </c>
      <c r="AG175">
        <f t="shared" si="7"/>
        <v>0</v>
      </c>
    </row>
    <row r="176" spans="1:33" x14ac:dyDescent="0.3">
      <c r="A176" s="84" t="s">
        <v>171</v>
      </c>
      <c r="B176" s="93" t="s">
        <v>25</v>
      </c>
      <c r="C176" s="93" t="s">
        <v>172</v>
      </c>
      <c r="D176" s="33" t="s">
        <v>1775</v>
      </c>
      <c r="E176" s="34" t="s">
        <v>173</v>
      </c>
      <c r="F176" s="52" t="s">
        <v>174</v>
      </c>
      <c r="G176" s="34" t="s">
        <v>29</v>
      </c>
      <c r="H176" s="37">
        <v>1</v>
      </c>
      <c r="I176" s="34" t="s">
        <v>30</v>
      </c>
      <c r="J176" s="34" t="s">
        <v>31</v>
      </c>
      <c r="K176" s="34" t="s">
        <v>32</v>
      </c>
      <c r="L176" s="34" t="s">
        <v>1755</v>
      </c>
      <c r="M176" s="34" t="s">
        <v>33</v>
      </c>
      <c r="N176" s="47">
        <v>7</v>
      </c>
      <c r="O176" s="48">
        <v>2</v>
      </c>
      <c r="P176" s="49">
        <v>28</v>
      </c>
      <c r="Q176" s="50">
        <v>31.023106200000001</v>
      </c>
      <c r="R176" s="50">
        <v>-114.839476</v>
      </c>
      <c r="S176" s="66" t="s">
        <v>34</v>
      </c>
      <c r="T176" s="66" t="s">
        <v>35</v>
      </c>
      <c r="U176" s="66" t="s">
        <v>35</v>
      </c>
      <c r="V176" s="66" t="s">
        <v>35</v>
      </c>
      <c r="W176" s="66" t="s">
        <v>35</v>
      </c>
      <c r="X176" s="66" t="s">
        <v>35</v>
      </c>
      <c r="Y176" s="66" t="s">
        <v>36</v>
      </c>
      <c r="Z176" s="66"/>
      <c r="AA176" s="66"/>
      <c r="AB176" s="67"/>
      <c r="AC176" s="87">
        <f t="shared" si="6"/>
        <v>0.77777777777777779</v>
      </c>
      <c r="AD176" s="91">
        <v>1</v>
      </c>
      <c r="AE176" s="64" t="s">
        <v>1828</v>
      </c>
      <c r="AF176">
        <f t="shared" si="8"/>
        <v>0</v>
      </c>
      <c r="AG176">
        <f t="shared" si="7"/>
        <v>0</v>
      </c>
    </row>
    <row r="177" spans="1:33" x14ac:dyDescent="0.3">
      <c r="A177" s="84" t="s">
        <v>871</v>
      </c>
      <c r="B177" s="93" t="s">
        <v>25</v>
      </c>
      <c r="C177" s="93" t="s">
        <v>172</v>
      </c>
      <c r="D177" s="33" t="s">
        <v>1775</v>
      </c>
      <c r="E177" s="34" t="s">
        <v>872</v>
      </c>
      <c r="F177" s="52" t="s">
        <v>873</v>
      </c>
      <c r="G177" s="34" t="s">
        <v>111</v>
      </c>
      <c r="H177" s="37">
        <v>1</v>
      </c>
      <c r="I177" s="34" t="s">
        <v>112</v>
      </c>
      <c r="J177" s="34" t="s">
        <v>31</v>
      </c>
      <c r="K177" s="34" t="s">
        <v>32</v>
      </c>
      <c r="L177" s="34" t="s">
        <v>1755</v>
      </c>
      <c r="M177" s="34" t="s">
        <v>33</v>
      </c>
      <c r="N177" s="47">
        <v>8</v>
      </c>
      <c r="O177" s="48">
        <v>3</v>
      </c>
      <c r="P177" s="49">
        <v>73</v>
      </c>
      <c r="Q177" s="50">
        <v>32.557529199999998</v>
      </c>
      <c r="R177" s="50">
        <v>-116.6319713</v>
      </c>
      <c r="S177" s="66" t="s">
        <v>34</v>
      </c>
      <c r="T177" s="66" t="s">
        <v>35</v>
      </c>
      <c r="U177" s="66" t="s">
        <v>35</v>
      </c>
      <c r="V177" s="66" t="s">
        <v>35</v>
      </c>
      <c r="W177" s="66" t="s">
        <v>35</v>
      </c>
      <c r="X177" s="66" t="s">
        <v>35</v>
      </c>
      <c r="Y177" s="66" t="s">
        <v>36</v>
      </c>
      <c r="Z177" s="66"/>
      <c r="AA177" s="66"/>
      <c r="AB177" s="67"/>
      <c r="AC177" s="87">
        <f t="shared" si="6"/>
        <v>0.77777777777777779</v>
      </c>
      <c r="AD177" s="91">
        <v>1</v>
      </c>
      <c r="AE177" s="64" t="s">
        <v>1828</v>
      </c>
      <c r="AF177">
        <f t="shared" si="8"/>
        <v>0</v>
      </c>
      <c r="AG177">
        <f t="shared" si="7"/>
        <v>0</v>
      </c>
    </row>
    <row r="178" spans="1:33" x14ac:dyDescent="0.3">
      <c r="A178" s="84" t="s">
        <v>883</v>
      </c>
      <c r="B178" s="93" t="s">
        <v>25</v>
      </c>
      <c r="C178" s="93" t="s">
        <v>172</v>
      </c>
      <c r="D178" s="33" t="s">
        <v>1775</v>
      </c>
      <c r="E178" s="34" t="s">
        <v>875</v>
      </c>
      <c r="F178" s="52" t="s">
        <v>884</v>
      </c>
      <c r="G178" s="34" t="s">
        <v>164</v>
      </c>
      <c r="H178" s="37">
        <v>2</v>
      </c>
      <c r="I178" s="34" t="s">
        <v>112</v>
      </c>
      <c r="J178" s="34" t="s">
        <v>31</v>
      </c>
      <c r="K178" s="34" t="s">
        <v>32</v>
      </c>
      <c r="L178" s="34" t="s">
        <v>1755</v>
      </c>
      <c r="M178" s="34" t="s">
        <v>33</v>
      </c>
      <c r="N178" s="47">
        <v>5</v>
      </c>
      <c r="O178" s="48">
        <v>6</v>
      </c>
      <c r="P178" s="49">
        <v>71</v>
      </c>
      <c r="Q178" s="50">
        <v>32.489581000000001</v>
      </c>
      <c r="R178" s="50">
        <v>-116.92895</v>
      </c>
      <c r="S178" s="66" t="s">
        <v>34</v>
      </c>
      <c r="T178" s="66" t="s">
        <v>35</v>
      </c>
      <c r="U178" s="66" t="s">
        <v>35</v>
      </c>
      <c r="V178" s="66" t="s">
        <v>35</v>
      </c>
      <c r="W178" s="66" t="s">
        <v>35</v>
      </c>
      <c r="X178" s="66" t="s">
        <v>35</v>
      </c>
      <c r="Y178" s="66" t="s">
        <v>36</v>
      </c>
      <c r="Z178" s="66"/>
      <c r="AA178" s="66"/>
      <c r="AB178" s="67"/>
      <c r="AC178" s="87">
        <f t="shared" si="6"/>
        <v>0.77777777777777779</v>
      </c>
      <c r="AD178" s="91">
        <v>1</v>
      </c>
      <c r="AE178" s="64" t="s">
        <v>1828</v>
      </c>
      <c r="AF178">
        <f t="shared" si="8"/>
        <v>0</v>
      </c>
      <c r="AG178">
        <f t="shared" si="7"/>
        <v>0</v>
      </c>
    </row>
    <row r="179" spans="1:33" x14ac:dyDescent="0.3">
      <c r="A179" s="84" t="s">
        <v>877</v>
      </c>
      <c r="B179" s="93" t="s">
        <v>25</v>
      </c>
      <c r="C179" s="93" t="s">
        <v>172</v>
      </c>
      <c r="D179" s="33" t="s">
        <v>1775</v>
      </c>
      <c r="E179" s="34" t="s">
        <v>878</v>
      </c>
      <c r="F179" s="52" t="s">
        <v>879</v>
      </c>
      <c r="G179" s="34" t="s">
        <v>111</v>
      </c>
      <c r="H179" s="37">
        <v>1</v>
      </c>
      <c r="I179" s="34" t="s">
        <v>112</v>
      </c>
      <c r="J179" s="34" t="s">
        <v>31</v>
      </c>
      <c r="K179" s="34" t="s">
        <v>32</v>
      </c>
      <c r="L179" s="34" t="s">
        <v>1755</v>
      </c>
      <c r="M179" s="34" t="s">
        <v>33</v>
      </c>
      <c r="N179" s="47">
        <v>6</v>
      </c>
      <c r="O179" s="48">
        <v>3</v>
      </c>
      <c r="P179" s="49">
        <v>56</v>
      </c>
      <c r="Q179" s="50">
        <v>32.363599999999998</v>
      </c>
      <c r="R179" s="50">
        <v>-117.05540000000001</v>
      </c>
      <c r="S179" s="66" t="s">
        <v>34</v>
      </c>
      <c r="T179" s="66" t="s">
        <v>35</v>
      </c>
      <c r="U179" s="66" t="s">
        <v>35</v>
      </c>
      <c r="V179" s="66" t="s">
        <v>35</v>
      </c>
      <c r="W179" s="66" t="s">
        <v>35</v>
      </c>
      <c r="X179" s="66" t="s">
        <v>35</v>
      </c>
      <c r="Y179" s="66" t="s">
        <v>36</v>
      </c>
      <c r="Z179" s="66"/>
      <c r="AA179" s="66"/>
      <c r="AB179" s="67"/>
      <c r="AC179" s="87">
        <f t="shared" si="6"/>
        <v>0.77777777777777779</v>
      </c>
      <c r="AD179" s="91">
        <v>1</v>
      </c>
      <c r="AE179" s="64" t="s">
        <v>1828</v>
      </c>
      <c r="AF179">
        <f t="shared" si="8"/>
        <v>0</v>
      </c>
      <c r="AG179">
        <f t="shared" si="7"/>
        <v>0</v>
      </c>
    </row>
    <row r="180" spans="1:33" x14ac:dyDescent="0.3">
      <c r="A180" s="84" t="s">
        <v>882</v>
      </c>
      <c r="B180" s="93" t="s">
        <v>25</v>
      </c>
      <c r="C180" s="93" t="s">
        <v>172</v>
      </c>
      <c r="D180" s="33" t="s">
        <v>1775</v>
      </c>
      <c r="E180" s="34" t="s">
        <v>178</v>
      </c>
      <c r="F180" s="52" t="s">
        <v>316</v>
      </c>
      <c r="G180" s="34" t="s">
        <v>164</v>
      </c>
      <c r="H180" s="37">
        <v>2</v>
      </c>
      <c r="I180" s="34" t="s">
        <v>112</v>
      </c>
      <c r="J180" s="34" t="s">
        <v>31</v>
      </c>
      <c r="K180" s="34" t="s">
        <v>32</v>
      </c>
      <c r="L180" s="34" t="s">
        <v>1755</v>
      </c>
      <c r="M180" s="34" t="s">
        <v>33</v>
      </c>
      <c r="N180" s="47">
        <v>11</v>
      </c>
      <c r="O180" s="48">
        <v>6</v>
      </c>
      <c r="P180" s="49">
        <v>173</v>
      </c>
      <c r="Q180" s="50">
        <v>32.623899999999999</v>
      </c>
      <c r="R180" s="50">
        <v>-115.37560000000001</v>
      </c>
      <c r="S180" s="66" t="s">
        <v>34</v>
      </c>
      <c r="T180" s="66" t="s">
        <v>35</v>
      </c>
      <c r="U180" s="66" t="s">
        <v>35</v>
      </c>
      <c r="V180" s="66" t="s">
        <v>35</v>
      </c>
      <c r="W180" s="66" t="s">
        <v>35</v>
      </c>
      <c r="X180" s="66" t="s">
        <v>35</v>
      </c>
      <c r="Y180" s="66" t="s">
        <v>36</v>
      </c>
      <c r="Z180" s="66"/>
      <c r="AA180" s="66"/>
      <c r="AB180" s="67"/>
      <c r="AC180" s="87">
        <f t="shared" si="6"/>
        <v>0.77777777777777779</v>
      </c>
      <c r="AD180" s="91">
        <v>1</v>
      </c>
      <c r="AE180" s="64" t="s">
        <v>1828</v>
      </c>
      <c r="AF180">
        <f t="shared" si="8"/>
        <v>0</v>
      </c>
      <c r="AG180">
        <f t="shared" si="7"/>
        <v>0</v>
      </c>
    </row>
    <row r="181" spans="1:33" x14ac:dyDescent="0.3">
      <c r="A181" s="84" t="s">
        <v>177</v>
      </c>
      <c r="B181" s="93" t="s">
        <v>25</v>
      </c>
      <c r="C181" s="93" t="s">
        <v>172</v>
      </c>
      <c r="D181" s="33" t="s">
        <v>1775</v>
      </c>
      <c r="E181" s="34" t="s">
        <v>178</v>
      </c>
      <c r="F181" s="52" t="s">
        <v>179</v>
      </c>
      <c r="G181" s="34" t="s">
        <v>180</v>
      </c>
      <c r="H181" s="37">
        <v>3</v>
      </c>
      <c r="I181" s="34" t="s">
        <v>181</v>
      </c>
      <c r="J181" s="34" t="s">
        <v>182</v>
      </c>
      <c r="K181" s="34" t="s">
        <v>32</v>
      </c>
      <c r="L181" s="34" t="s">
        <v>1755</v>
      </c>
      <c r="M181" s="34" t="s">
        <v>33</v>
      </c>
      <c r="N181" s="47">
        <v>8</v>
      </c>
      <c r="O181" s="48">
        <v>0</v>
      </c>
      <c r="P181" s="49">
        <v>3</v>
      </c>
      <c r="Q181" s="50">
        <v>32.624479700000002</v>
      </c>
      <c r="R181" s="50">
        <v>-115.37542430000001</v>
      </c>
      <c r="S181" s="66" t="s">
        <v>34</v>
      </c>
      <c r="T181" s="66" t="s">
        <v>35</v>
      </c>
      <c r="U181" s="66" t="s">
        <v>35</v>
      </c>
      <c r="V181" s="66" t="s">
        <v>35</v>
      </c>
      <c r="W181" s="66" t="s">
        <v>35</v>
      </c>
      <c r="X181" s="66" t="s">
        <v>35</v>
      </c>
      <c r="Y181" s="66" t="s">
        <v>36</v>
      </c>
      <c r="Z181" s="66"/>
      <c r="AA181" s="66"/>
      <c r="AB181" s="67"/>
      <c r="AC181" s="87">
        <f t="shared" si="6"/>
        <v>0.77777777777777779</v>
      </c>
      <c r="AD181" s="91">
        <v>1</v>
      </c>
      <c r="AE181" s="64" t="s">
        <v>1828</v>
      </c>
      <c r="AF181">
        <f t="shared" si="8"/>
        <v>0</v>
      </c>
      <c r="AG181">
        <f t="shared" si="7"/>
        <v>0</v>
      </c>
    </row>
    <row r="182" spans="1:33" x14ac:dyDescent="0.3">
      <c r="A182" s="84" t="s">
        <v>880</v>
      </c>
      <c r="B182" s="93" t="s">
        <v>25</v>
      </c>
      <c r="C182" s="93" t="s">
        <v>172</v>
      </c>
      <c r="D182" s="33" t="s">
        <v>1775</v>
      </c>
      <c r="E182" s="34" t="s">
        <v>875</v>
      </c>
      <c r="F182" s="52" t="s">
        <v>881</v>
      </c>
      <c r="G182" s="34" t="s">
        <v>111</v>
      </c>
      <c r="H182" s="37">
        <v>1</v>
      </c>
      <c r="I182" s="34" t="s">
        <v>112</v>
      </c>
      <c r="J182" s="34" t="s">
        <v>31</v>
      </c>
      <c r="K182" s="34" t="s">
        <v>32</v>
      </c>
      <c r="L182" s="34" t="s">
        <v>1755</v>
      </c>
      <c r="M182" s="34" t="s">
        <v>33</v>
      </c>
      <c r="N182" s="47">
        <v>11</v>
      </c>
      <c r="O182" s="48">
        <v>6</v>
      </c>
      <c r="P182" s="49">
        <v>112</v>
      </c>
      <c r="Q182" s="50">
        <v>32.47195</v>
      </c>
      <c r="R182" s="50">
        <v>-116.84889</v>
      </c>
      <c r="S182" s="66" t="s">
        <v>34</v>
      </c>
      <c r="T182" s="66" t="s">
        <v>35</v>
      </c>
      <c r="U182" s="66" t="s">
        <v>35</v>
      </c>
      <c r="V182" s="66" t="s">
        <v>35</v>
      </c>
      <c r="W182" s="66" t="s">
        <v>35</v>
      </c>
      <c r="X182" s="66" t="s">
        <v>35</v>
      </c>
      <c r="Y182" s="66" t="s">
        <v>36</v>
      </c>
      <c r="Z182" s="66"/>
      <c r="AA182" s="66"/>
      <c r="AB182" s="67"/>
      <c r="AC182" s="87">
        <f t="shared" si="6"/>
        <v>0.77777777777777779</v>
      </c>
      <c r="AD182" s="91">
        <v>1</v>
      </c>
      <c r="AE182" s="64" t="s">
        <v>1828</v>
      </c>
      <c r="AF182">
        <f t="shared" si="8"/>
        <v>0</v>
      </c>
      <c r="AG182">
        <f t="shared" si="7"/>
        <v>0</v>
      </c>
    </row>
    <row r="183" spans="1:33" x14ac:dyDescent="0.3">
      <c r="A183" s="84" t="s">
        <v>1592</v>
      </c>
      <c r="B183" s="93" t="s">
        <v>25</v>
      </c>
      <c r="C183" s="93" t="s">
        <v>886</v>
      </c>
      <c r="D183" s="33" t="s">
        <v>1775</v>
      </c>
      <c r="E183" s="34" t="s">
        <v>1593</v>
      </c>
      <c r="F183" s="34" t="s">
        <v>1594</v>
      </c>
      <c r="G183" s="34" t="s">
        <v>111</v>
      </c>
      <c r="H183" s="37">
        <v>1</v>
      </c>
      <c r="I183" s="34" t="s">
        <v>112</v>
      </c>
      <c r="J183" s="34" t="s">
        <v>31</v>
      </c>
      <c r="K183" s="34" t="s">
        <v>32</v>
      </c>
      <c r="L183" s="34" t="s">
        <v>1755</v>
      </c>
      <c r="M183" s="34" t="s">
        <v>33</v>
      </c>
      <c r="N183" s="47">
        <v>10</v>
      </c>
      <c r="O183" s="48">
        <v>2</v>
      </c>
      <c r="P183" s="49">
        <v>48</v>
      </c>
      <c r="Q183" s="50">
        <v>25.018382800000001</v>
      </c>
      <c r="R183" s="50">
        <v>-111.66186570000001</v>
      </c>
      <c r="S183" s="66" t="s">
        <v>34</v>
      </c>
      <c r="T183" s="66" t="s">
        <v>35</v>
      </c>
      <c r="U183" s="66" t="s">
        <v>35</v>
      </c>
      <c r="V183" s="66" t="s">
        <v>35</v>
      </c>
      <c r="W183" s="66" t="s">
        <v>35</v>
      </c>
      <c r="X183" s="66" t="s">
        <v>35</v>
      </c>
      <c r="Y183" s="66" t="s">
        <v>36</v>
      </c>
      <c r="Z183" s="66" t="s">
        <v>74</v>
      </c>
      <c r="AA183" s="66" t="s">
        <v>74</v>
      </c>
      <c r="AB183" s="67"/>
      <c r="AC183" s="87">
        <f t="shared" si="6"/>
        <v>0.77777777777777779</v>
      </c>
      <c r="AD183" s="91">
        <v>2</v>
      </c>
      <c r="AE183" s="103" t="s">
        <v>1829</v>
      </c>
      <c r="AF183">
        <f t="shared" si="8"/>
        <v>0</v>
      </c>
      <c r="AG183">
        <f t="shared" si="7"/>
        <v>0</v>
      </c>
    </row>
    <row r="184" spans="1:33" ht="30" x14ac:dyDescent="0.3">
      <c r="A184" s="94" t="s">
        <v>1728</v>
      </c>
      <c r="B184" s="95" t="s">
        <v>25</v>
      </c>
      <c r="C184" s="95" t="s">
        <v>886</v>
      </c>
      <c r="D184" s="33" t="s">
        <v>1775</v>
      </c>
      <c r="E184" s="35" t="s">
        <v>895</v>
      </c>
      <c r="F184" s="82" t="s">
        <v>1729</v>
      </c>
      <c r="G184" s="35" t="s">
        <v>180</v>
      </c>
      <c r="H184" s="39">
        <v>3</v>
      </c>
      <c r="I184" s="35" t="s">
        <v>181</v>
      </c>
      <c r="J184" s="35" t="s">
        <v>182</v>
      </c>
      <c r="K184" s="35" t="s">
        <v>32</v>
      </c>
      <c r="L184" s="35" t="s">
        <v>1755</v>
      </c>
      <c r="M184" s="35" t="s">
        <v>33</v>
      </c>
      <c r="N184" s="39">
        <v>8</v>
      </c>
      <c r="O184" s="39">
        <v>1</v>
      </c>
      <c r="P184" s="39">
        <v>6</v>
      </c>
      <c r="Q184" s="40">
        <v>24.110720000000001</v>
      </c>
      <c r="R184" s="40">
        <v>-110.31905</v>
      </c>
      <c r="S184" s="66" t="s">
        <v>34</v>
      </c>
      <c r="T184" s="66" t="s">
        <v>35</v>
      </c>
      <c r="U184" s="66" t="s">
        <v>35</v>
      </c>
      <c r="V184" s="66" t="s">
        <v>35</v>
      </c>
      <c r="W184" s="66" t="s">
        <v>35</v>
      </c>
      <c r="X184" s="66" t="s">
        <v>35</v>
      </c>
      <c r="Y184" s="66" t="s">
        <v>36</v>
      </c>
      <c r="Z184" s="66" t="s">
        <v>74</v>
      </c>
      <c r="AA184" s="66" t="s">
        <v>74</v>
      </c>
      <c r="AB184" s="73" t="s">
        <v>1864</v>
      </c>
      <c r="AC184" s="87">
        <f t="shared" si="6"/>
        <v>0.77777777777777779</v>
      </c>
      <c r="AD184" s="91">
        <v>2</v>
      </c>
      <c r="AE184" s="103" t="s">
        <v>1829</v>
      </c>
      <c r="AF184">
        <f t="shared" si="8"/>
        <v>0</v>
      </c>
      <c r="AG184">
        <f t="shared" si="7"/>
        <v>0</v>
      </c>
    </row>
    <row r="185" spans="1:33" x14ac:dyDescent="0.3">
      <c r="A185" s="84" t="s">
        <v>894</v>
      </c>
      <c r="B185" s="93" t="s">
        <v>25</v>
      </c>
      <c r="C185" s="93" t="s">
        <v>886</v>
      </c>
      <c r="D185" s="33" t="s">
        <v>1775</v>
      </c>
      <c r="E185" s="34" t="s">
        <v>895</v>
      </c>
      <c r="F185" s="34" t="s">
        <v>896</v>
      </c>
      <c r="G185" s="34" t="s">
        <v>111</v>
      </c>
      <c r="H185" s="37">
        <v>1</v>
      </c>
      <c r="I185" s="34" t="s">
        <v>112</v>
      </c>
      <c r="J185" s="34" t="s">
        <v>31</v>
      </c>
      <c r="K185" s="34" t="s">
        <v>32</v>
      </c>
      <c r="L185" s="34" t="s">
        <v>1756</v>
      </c>
      <c r="M185" s="34" t="s">
        <v>33</v>
      </c>
      <c r="N185" s="47">
        <v>38</v>
      </c>
      <c r="O185" s="48">
        <v>6</v>
      </c>
      <c r="P185" s="49">
        <v>160</v>
      </c>
      <c r="Q185" s="50">
        <v>24.113296999999999</v>
      </c>
      <c r="R185" s="50">
        <v>-110.318457</v>
      </c>
      <c r="S185" s="66" t="s">
        <v>34</v>
      </c>
      <c r="T185" s="66" t="s">
        <v>35</v>
      </c>
      <c r="U185" s="66" t="s">
        <v>35</v>
      </c>
      <c r="V185" s="66" t="s">
        <v>35</v>
      </c>
      <c r="W185" s="66" t="s">
        <v>35</v>
      </c>
      <c r="X185" s="66" t="s">
        <v>35</v>
      </c>
      <c r="Y185" s="66" t="s">
        <v>36</v>
      </c>
      <c r="Z185" s="66" t="s">
        <v>74</v>
      </c>
      <c r="AA185" s="66" t="s">
        <v>74</v>
      </c>
      <c r="AB185" s="67"/>
      <c r="AC185" s="87">
        <f t="shared" si="6"/>
        <v>0.77777777777777779</v>
      </c>
      <c r="AD185" s="91">
        <v>2</v>
      </c>
      <c r="AE185" s="103" t="s">
        <v>1829</v>
      </c>
      <c r="AF185">
        <f t="shared" si="8"/>
        <v>0</v>
      </c>
      <c r="AG185">
        <f t="shared" si="7"/>
        <v>0</v>
      </c>
    </row>
    <row r="186" spans="1:33" x14ac:dyDescent="0.3">
      <c r="A186" s="84" t="s">
        <v>885</v>
      </c>
      <c r="B186" s="93" t="s">
        <v>25</v>
      </c>
      <c r="C186" s="93" t="s">
        <v>886</v>
      </c>
      <c r="D186" s="33" t="s">
        <v>1775</v>
      </c>
      <c r="E186" s="34" t="s">
        <v>887</v>
      </c>
      <c r="F186" s="34" t="s">
        <v>888</v>
      </c>
      <c r="G186" s="34" t="s">
        <v>29</v>
      </c>
      <c r="H186" s="37">
        <v>1</v>
      </c>
      <c r="I186" s="34" t="s">
        <v>30</v>
      </c>
      <c r="J186" s="34" t="s">
        <v>31</v>
      </c>
      <c r="K186" s="34" t="s">
        <v>32</v>
      </c>
      <c r="L186" s="34" t="s">
        <v>1755</v>
      </c>
      <c r="M186" s="34" t="s">
        <v>33</v>
      </c>
      <c r="N186" s="47">
        <v>11</v>
      </c>
      <c r="O186" s="48">
        <v>2</v>
      </c>
      <c r="P186" s="49">
        <v>33</v>
      </c>
      <c r="Q186" s="50">
        <v>26.007201999999999</v>
      </c>
      <c r="R186" s="50">
        <v>-111.364929</v>
      </c>
      <c r="S186" s="66" t="s">
        <v>34</v>
      </c>
      <c r="T186" s="66" t="s">
        <v>35</v>
      </c>
      <c r="U186" s="66" t="s">
        <v>35</v>
      </c>
      <c r="V186" s="66" t="s">
        <v>35</v>
      </c>
      <c r="W186" s="66" t="s">
        <v>35</v>
      </c>
      <c r="X186" s="66" t="s">
        <v>35</v>
      </c>
      <c r="Y186" s="66" t="s">
        <v>36</v>
      </c>
      <c r="Z186" s="66" t="s">
        <v>74</v>
      </c>
      <c r="AA186" s="66" t="s">
        <v>74</v>
      </c>
      <c r="AB186" s="67"/>
      <c r="AC186" s="87">
        <f t="shared" si="6"/>
        <v>0.77777777777777779</v>
      </c>
      <c r="AD186" s="91">
        <v>2</v>
      </c>
      <c r="AE186" s="103" t="s">
        <v>1829</v>
      </c>
      <c r="AF186">
        <f t="shared" si="8"/>
        <v>0</v>
      </c>
      <c r="AG186">
        <f t="shared" si="7"/>
        <v>0</v>
      </c>
    </row>
    <row r="187" spans="1:33" x14ac:dyDescent="0.3">
      <c r="A187" s="84" t="s">
        <v>889</v>
      </c>
      <c r="B187" s="93" t="s">
        <v>25</v>
      </c>
      <c r="C187" s="93" t="s">
        <v>886</v>
      </c>
      <c r="D187" s="33" t="s">
        <v>1775</v>
      </c>
      <c r="E187" s="34" t="s">
        <v>890</v>
      </c>
      <c r="F187" s="34" t="s">
        <v>891</v>
      </c>
      <c r="G187" s="34" t="s">
        <v>111</v>
      </c>
      <c r="H187" s="37">
        <v>1</v>
      </c>
      <c r="I187" s="34" t="s">
        <v>112</v>
      </c>
      <c r="J187" s="34" t="s">
        <v>31</v>
      </c>
      <c r="K187" s="34" t="s">
        <v>32</v>
      </c>
      <c r="L187" s="34" t="s">
        <v>1755</v>
      </c>
      <c r="M187" s="34" t="s">
        <v>33</v>
      </c>
      <c r="N187" s="47">
        <v>12</v>
      </c>
      <c r="O187" s="48">
        <v>2</v>
      </c>
      <c r="P187" s="49">
        <v>49</v>
      </c>
      <c r="Q187" s="50">
        <v>23.061752200000001</v>
      </c>
      <c r="R187" s="50">
        <v>-109.7082831</v>
      </c>
      <c r="S187" s="66" t="s">
        <v>34</v>
      </c>
      <c r="T187" s="66" t="s">
        <v>35</v>
      </c>
      <c r="U187" s="66" t="s">
        <v>35</v>
      </c>
      <c r="V187" s="66" t="s">
        <v>35</v>
      </c>
      <c r="W187" s="66" t="s">
        <v>35</v>
      </c>
      <c r="X187" s="66" t="s">
        <v>35</v>
      </c>
      <c r="Y187" s="66" t="s">
        <v>36</v>
      </c>
      <c r="Z187" s="66" t="s">
        <v>74</v>
      </c>
      <c r="AA187" s="66" t="s">
        <v>74</v>
      </c>
      <c r="AB187" s="67"/>
      <c r="AC187" s="87">
        <f t="shared" si="6"/>
        <v>0.77777777777777779</v>
      </c>
      <c r="AD187" s="91">
        <v>2</v>
      </c>
      <c r="AE187" s="103" t="s">
        <v>1829</v>
      </c>
      <c r="AF187">
        <f t="shared" si="8"/>
        <v>0</v>
      </c>
      <c r="AG187">
        <f t="shared" si="7"/>
        <v>0</v>
      </c>
    </row>
    <row r="188" spans="1:33" x14ac:dyDescent="0.3">
      <c r="A188" s="84" t="s">
        <v>892</v>
      </c>
      <c r="B188" s="93" t="s">
        <v>25</v>
      </c>
      <c r="C188" s="93" t="s">
        <v>886</v>
      </c>
      <c r="D188" s="33" t="s">
        <v>1775</v>
      </c>
      <c r="E188" s="34" t="s">
        <v>890</v>
      </c>
      <c r="F188" s="34" t="s">
        <v>893</v>
      </c>
      <c r="G188" s="34" t="s">
        <v>111</v>
      </c>
      <c r="H188" s="37">
        <v>1</v>
      </c>
      <c r="I188" s="34" t="s">
        <v>112</v>
      </c>
      <c r="J188" s="34" t="s">
        <v>31</v>
      </c>
      <c r="K188" s="34" t="s">
        <v>32</v>
      </c>
      <c r="L188" s="34" t="s">
        <v>1755</v>
      </c>
      <c r="M188" s="34" t="s">
        <v>33</v>
      </c>
      <c r="N188" s="47">
        <v>8</v>
      </c>
      <c r="O188" s="48">
        <v>2</v>
      </c>
      <c r="P188" s="49">
        <v>50</v>
      </c>
      <c r="Q188" s="50">
        <v>22.902767600000001</v>
      </c>
      <c r="R188" s="50">
        <v>-109.9248226</v>
      </c>
      <c r="S188" s="66" t="s">
        <v>34</v>
      </c>
      <c r="T188" s="66" t="s">
        <v>35</v>
      </c>
      <c r="U188" s="66" t="s">
        <v>35</v>
      </c>
      <c r="V188" s="66" t="s">
        <v>35</v>
      </c>
      <c r="W188" s="66" t="s">
        <v>35</v>
      </c>
      <c r="X188" s="66" t="s">
        <v>35</v>
      </c>
      <c r="Y188" s="66" t="s">
        <v>36</v>
      </c>
      <c r="Z188" s="66" t="s">
        <v>74</v>
      </c>
      <c r="AA188" s="66" t="s">
        <v>74</v>
      </c>
      <c r="AB188" s="67"/>
      <c r="AC188" s="87">
        <f t="shared" si="6"/>
        <v>0.77777777777777779</v>
      </c>
      <c r="AD188" s="91">
        <v>2</v>
      </c>
      <c r="AE188" s="103" t="s">
        <v>1829</v>
      </c>
      <c r="AF188">
        <f t="shared" si="8"/>
        <v>0</v>
      </c>
      <c r="AG188">
        <f t="shared" si="7"/>
        <v>0</v>
      </c>
    </row>
    <row r="189" spans="1:33" x14ac:dyDescent="0.3">
      <c r="A189" s="84" t="s">
        <v>1612</v>
      </c>
      <c r="B189" s="93" t="s">
        <v>25</v>
      </c>
      <c r="C189" s="93" t="s">
        <v>886</v>
      </c>
      <c r="D189" s="33" t="s">
        <v>1775</v>
      </c>
      <c r="E189" s="34" t="s">
        <v>1613</v>
      </c>
      <c r="F189" s="34" t="s">
        <v>1614</v>
      </c>
      <c r="G189" s="34" t="s">
        <v>111</v>
      </c>
      <c r="H189" s="37">
        <v>1</v>
      </c>
      <c r="I189" s="34" t="s">
        <v>112</v>
      </c>
      <c r="J189" s="34" t="s">
        <v>31</v>
      </c>
      <c r="K189" s="34" t="s">
        <v>32</v>
      </c>
      <c r="L189" s="34" t="s">
        <v>1755</v>
      </c>
      <c r="M189" s="34" t="s">
        <v>33</v>
      </c>
      <c r="N189" s="47">
        <v>8</v>
      </c>
      <c r="O189" s="48">
        <v>2</v>
      </c>
      <c r="P189" s="49">
        <v>32</v>
      </c>
      <c r="Q189" s="50">
        <v>27.3472486</v>
      </c>
      <c r="R189" s="50">
        <v>-112.2728432</v>
      </c>
      <c r="S189" s="66" t="s">
        <v>34</v>
      </c>
      <c r="T189" s="66" t="s">
        <v>35</v>
      </c>
      <c r="U189" s="66" t="s">
        <v>35</v>
      </c>
      <c r="V189" s="66" t="s">
        <v>35</v>
      </c>
      <c r="W189" s="66" t="s">
        <v>35</v>
      </c>
      <c r="X189" s="66" t="s">
        <v>35</v>
      </c>
      <c r="Y189" s="66" t="s">
        <v>36</v>
      </c>
      <c r="Z189" s="66" t="s">
        <v>74</v>
      </c>
      <c r="AA189" s="66" t="s">
        <v>74</v>
      </c>
      <c r="AB189" s="67"/>
      <c r="AC189" s="87">
        <f t="shared" si="6"/>
        <v>0.77777777777777779</v>
      </c>
      <c r="AD189" s="91">
        <v>2</v>
      </c>
      <c r="AE189" s="103" t="s">
        <v>1829</v>
      </c>
      <c r="AF189">
        <f t="shared" si="8"/>
        <v>0</v>
      </c>
      <c r="AG189">
        <f t="shared" si="7"/>
        <v>0</v>
      </c>
    </row>
    <row r="190" spans="1:33" x14ac:dyDescent="0.3">
      <c r="A190" s="84" t="s">
        <v>899</v>
      </c>
      <c r="B190" s="93" t="s">
        <v>25</v>
      </c>
      <c r="C190" s="93" t="s">
        <v>187</v>
      </c>
      <c r="D190" s="33" t="s">
        <v>1775</v>
      </c>
      <c r="E190" s="34" t="s">
        <v>201</v>
      </c>
      <c r="F190" s="34" t="s">
        <v>900</v>
      </c>
      <c r="G190" s="34" t="s">
        <v>111</v>
      </c>
      <c r="H190" s="37">
        <v>1</v>
      </c>
      <c r="I190" s="34" t="s">
        <v>112</v>
      </c>
      <c r="J190" s="34" t="s">
        <v>31</v>
      </c>
      <c r="K190" s="34" t="s">
        <v>32</v>
      </c>
      <c r="L190" s="34" t="s">
        <v>1755</v>
      </c>
      <c r="M190" s="34" t="s">
        <v>33</v>
      </c>
      <c r="N190" s="47">
        <v>7</v>
      </c>
      <c r="O190" s="48">
        <v>1</v>
      </c>
      <c r="P190" s="49">
        <v>78</v>
      </c>
      <c r="Q190" s="50">
        <v>18.646633999999999</v>
      </c>
      <c r="R190" s="50">
        <v>-91.820543000000001</v>
      </c>
      <c r="S190" s="66" t="s">
        <v>34</v>
      </c>
      <c r="T190" s="66"/>
      <c r="U190" s="66" t="s">
        <v>35</v>
      </c>
      <c r="V190" s="66" t="s">
        <v>35</v>
      </c>
      <c r="W190" s="66" t="s">
        <v>35</v>
      </c>
      <c r="X190" s="66" t="s">
        <v>35</v>
      </c>
      <c r="Y190" s="66" t="s">
        <v>36</v>
      </c>
      <c r="Z190" s="66"/>
      <c r="AA190" s="66"/>
      <c r="AB190" s="67"/>
      <c r="AC190" s="87">
        <f t="shared" si="6"/>
        <v>0.66666666666666663</v>
      </c>
      <c r="AD190" s="91">
        <v>10</v>
      </c>
      <c r="AE190" s="64" t="s">
        <v>1787</v>
      </c>
      <c r="AF190">
        <f t="shared" si="8"/>
        <v>0</v>
      </c>
      <c r="AG190">
        <f t="shared" si="7"/>
        <v>0</v>
      </c>
    </row>
    <row r="191" spans="1:33" x14ac:dyDescent="0.3">
      <c r="A191" s="84" t="s">
        <v>186</v>
      </c>
      <c r="B191" s="93" t="s">
        <v>25</v>
      </c>
      <c r="C191" s="93" t="s">
        <v>187</v>
      </c>
      <c r="D191" s="33" t="s">
        <v>1775</v>
      </c>
      <c r="E191" s="34" t="s">
        <v>188</v>
      </c>
      <c r="F191" s="34" t="s">
        <v>189</v>
      </c>
      <c r="G191" s="34" t="s">
        <v>29</v>
      </c>
      <c r="H191" s="37">
        <v>1</v>
      </c>
      <c r="I191" s="34" t="s">
        <v>30</v>
      </c>
      <c r="J191" s="34" t="s">
        <v>31</v>
      </c>
      <c r="K191" s="34" t="s">
        <v>32</v>
      </c>
      <c r="L191" s="34" t="s">
        <v>1755</v>
      </c>
      <c r="M191" s="34" t="s">
        <v>33</v>
      </c>
      <c r="N191" s="47">
        <v>6</v>
      </c>
      <c r="O191" s="48">
        <v>2</v>
      </c>
      <c r="P191" s="49">
        <v>20</v>
      </c>
      <c r="Q191" s="50">
        <v>19.341048000000001</v>
      </c>
      <c r="R191" s="50">
        <v>-90.733362999999997</v>
      </c>
      <c r="S191" s="66" t="s">
        <v>34</v>
      </c>
      <c r="T191" s="66"/>
      <c r="U191" s="66" t="s">
        <v>35</v>
      </c>
      <c r="V191" s="66" t="s">
        <v>35</v>
      </c>
      <c r="W191" s="66" t="s">
        <v>35</v>
      </c>
      <c r="X191" s="66" t="s">
        <v>35</v>
      </c>
      <c r="Y191" s="66" t="s">
        <v>36</v>
      </c>
      <c r="Z191" s="66"/>
      <c r="AA191" s="66"/>
      <c r="AB191" s="67"/>
      <c r="AC191" s="87">
        <f t="shared" si="6"/>
        <v>0.66666666666666663</v>
      </c>
      <c r="AD191" s="91">
        <v>10</v>
      </c>
      <c r="AE191" s="64" t="s">
        <v>1787</v>
      </c>
      <c r="AF191">
        <f t="shared" si="8"/>
        <v>0</v>
      </c>
      <c r="AG191">
        <f t="shared" si="7"/>
        <v>0</v>
      </c>
    </row>
    <row r="192" spans="1:33" x14ac:dyDescent="0.3">
      <c r="A192" s="84" t="s">
        <v>191</v>
      </c>
      <c r="B192" s="93" t="s">
        <v>25</v>
      </c>
      <c r="C192" s="93" t="s">
        <v>187</v>
      </c>
      <c r="D192" s="33" t="s">
        <v>1775</v>
      </c>
      <c r="E192" s="34" t="s">
        <v>192</v>
      </c>
      <c r="F192" s="34" t="s">
        <v>193</v>
      </c>
      <c r="G192" s="34" t="s">
        <v>29</v>
      </c>
      <c r="H192" s="37">
        <v>1</v>
      </c>
      <c r="I192" s="34" t="s">
        <v>30</v>
      </c>
      <c r="J192" s="34" t="s">
        <v>31</v>
      </c>
      <c r="K192" s="34" t="s">
        <v>32</v>
      </c>
      <c r="L192" s="34" t="s">
        <v>1755</v>
      </c>
      <c r="M192" s="34" t="s">
        <v>33</v>
      </c>
      <c r="N192" s="47">
        <v>9</v>
      </c>
      <c r="O192" s="48">
        <v>2</v>
      </c>
      <c r="P192" s="49">
        <v>40</v>
      </c>
      <c r="Q192" s="50">
        <v>18.185220000000001</v>
      </c>
      <c r="R192" s="50">
        <v>-91.037132</v>
      </c>
      <c r="S192" s="66" t="s">
        <v>34</v>
      </c>
      <c r="T192" s="66"/>
      <c r="U192" s="66" t="s">
        <v>35</v>
      </c>
      <c r="V192" s="66" t="s">
        <v>35</v>
      </c>
      <c r="W192" s="66" t="s">
        <v>35</v>
      </c>
      <c r="X192" s="66" t="s">
        <v>35</v>
      </c>
      <c r="Y192" s="66" t="s">
        <v>36</v>
      </c>
      <c r="Z192" s="66"/>
      <c r="AA192" s="66"/>
      <c r="AB192" s="67"/>
      <c r="AC192" s="87">
        <f t="shared" si="6"/>
        <v>0.66666666666666663</v>
      </c>
      <c r="AD192" s="91">
        <v>10</v>
      </c>
      <c r="AE192" s="64" t="s">
        <v>1787</v>
      </c>
      <c r="AF192">
        <f t="shared" si="8"/>
        <v>0</v>
      </c>
      <c r="AG192">
        <f t="shared" si="7"/>
        <v>0</v>
      </c>
    </row>
    <row r="193" spans="1:33" x14ac:dyDescent="0.3">
      <c r="A193" s="84" t="s">
        <v>194</v>
      </c>
      <c r="B193" s="93" t="s">
        <v>25</v>
      </c>
      <c r="C193" s="93" t="s">
        <v>187</v>
      </c>
      <c r="D193" s="33" t="s">
        <v>1775</v>
      </c>
      <c r="E193" s="34" t="s">
        <v>195</v>
      </c>
      <c r="F193" s="34" t="s">
        <v>196</v>
      </c>
      <c r="G193" s="34" t="s">
        <v>29</v>
      </c>
      <c r="H193" s="37">
        <v>1</v>
      </c>
      <c r="I193" s="34" t="s">
        <v>30</v>
      </c>
      <c r="J193" s="34" t="s">
        <v>31</v>
      </c>
      <c r="K193" s="34" t="s">
        <v>32</v>
      </c>
      <c r="L193" s="34" t="s">
        <v>1755</v>
      </c>
      <c r="M193" s="34" t="s">
        <v>33</v>
      </c>
      <c r="N193" s="47">
        <v>8</v>
      </c>
      <c r="O193" s="48">
        <v>1</v>
      </c>
      <c r="P193" s="49">
        <v>26</v>
      </c>
      <c r="Q193" s="50">
        <v>19.754539000000001</v>
      </c>
      <c r="R193" s="50">
        <v>-89.847586000000007</v>
      </c>
      <c r="S193" s="66" t="s">
        <v>34</v>
      </c>
      <c r="T193" s="66"/>
      <c r="U193" s="66" t="s">
        <v>35</v>
      </c>
      <c r="V193" s="66" t="s">
        <v>35</v>
      </c>
      <c r="W193" s="66" t="s">
        <v>35</v>
      </c>
      <c r="X193" s="66" t="s">
        <v>35</v>
      </c>
      <c r="Y193" s="66" t="s">
        <v>36</v>
      </c>
      <c r="Z193" s="66"/>
      <c r="AA193" s="66"/>
      <c r="AB193" s="67"/>
      <c r="AC193" s="87">
        <f t="shared" si="6"/>
        <v>0.66666666666666663</v>
      </c>
      <c r="AD193" s="91">
        <v>10</v>
      </c>
      <c r="AE193" s="64" t="s">
        <v>1787</v>
      </c>
      <c r="AF193">
        <f t="shared" si="8"/>
        <v>0</v>
      </c>
      <c r="AG193">
        <f t="shared" si="7"/>
        <v>0</v>
      </c>
    </row>
    <row r="194" spans="1:33" x14ac:dyDescent="0.3">
      <c r="A194" s="84" t="s">
        <v>203</v>
      </c>
      <c r="B194" s="93" t="s">
        <v>25</v>
      </c>
      <c r="C194" s="93" t="s">
        <v>187</v>
      </c>
      <c r="D194" s="33" t="s">
        <v>1775</v>
      </c>
      <c r="E194" s="34" t="s">
        <v>204</v>
      </c>
      <c r="F194" s="34" t="s">
        <v>205</v>
      </c>
      <c r="G194" s="34" t="s">
        <v>29</v>
      </c>
      <c r="H194" s="37">
        <v>1</v>
      </c>
      <c r="I194" s="34" t="s">
        <v>30</v>
      </c>
      <c r="J194" s="34" t="s">
        <v>31</v>
      </c>
      <c r="K194" s="34" t="s">
        <v>32</v>
      </c>
      <c r="L194" s="34" t="s">
        <v>1755</v>
      </c>
      <c r="M194" s="34" t="s">
        <v>33</v>
      </c>
      <c r="N194" s="47">
        <v>8</v>
      </c>
      <c r="O194" s="48">
        <v>1</v>
      </c>
      <c r="P194" s="49">
        <v>23</v>
      </c>
      <c r="Q194" s="50">
        <v>18.516774000000002</v>
      </c>
      <c r="R194" s="50">
        <v>-89.395938000000001</v>
      </c>
      <c r="S194" s="66" t="s">
        <v>34</v>
      </c>
      <c r="T194" s="66"/>
      <c r="U194" s="66" t="s">
        <v>35</v>
      </c>
      <c r="V194" s="66" t="s">
        <v>35</v>
      </c>
      <c r="W194" s="66" t="s">
        <v>35</v>
      </c>
      <c r="X194" s="66" t="s">
        <v>35</v>
      </c>
      <c r="Y194" s="66" t="s">
        <v>36</v>
      </c>
      <c r="Z194" s="66"/>
      <c r="AA194" s="66"/>
      <c r="AB194" s="67"/>
      <c r="AC194" s="87">
        <f t="shared" ref="AC194:AC222" si="9">(
IF(S194="ENVIADO A LA CE/UM",1/3,IF(S194="ENTREGADO/REVISIÓN",2/3,IF(S194="ENVIADO A TICS",1,0)))+
IF(T194="EN PROCESO",1/2,IF(T194="CONCLUIDO",1,0))+
IF(OR(U194="CONCLUIDO",U194="NO APLICA"),1,IF(U194="EN REVISIÓN CENTRAL",2/3,IF(U194="ENVIADO A LA CE/UM",1/3,0)))+
IF(OR(V194="CONCLUIDO",V194="NO APLICA"),1,IF(V194="EN REVISIÓN CENTRAL",2/3,IF(V194="ENVIADO A LA CE/UM",1/3,0)))+                                                                                                                                                                                                                                                         IF(OR(W194="CONCLUIDO",W194="NO APLICA"),1,IF(W194="EN PROCESO",0.5,0))+
IF(OR(X194="CONCLUIDO",X194="NO APLICA"),1,IF(X194="EN PROCESO",0.5,0))+
IF(Y194="PROGRAMADAS",1/2,IF(Y194="CONCLUIDAS",1,0))+
IF(OR(Z194="SI",Z194="NO APLICA"),1,0)+
IF(OR(AA194="SI",AA194="NO APLICA"),1,0)
)/9</f>
        <v>0.66666666666666663</v>
      </c>
      <c r="AD194" s="91">
        <v>10</v>
      </c>
      <c r="AE194" s="64" t="s">
        <v>1787</v>
      </c>
      <c r="AF194">
        <f t="shared" si="8"/>
        <v>0</v>
      </c>
      <c r="AG194">
        <f t="shared" ref="AG194:AG257" si="10">IF(AND(OR(Z194="SI",Z194="NO APLICA"),OR(AA194="SI",AA194="NO APLICA")),1,0)</f>
        <v>0</v>
      </c>
    </row>
    <row r="195" spans="1:33" x14ac:dyDescent="0.3">
      <c r="A195" s="94" t="s">
        <v>1719</v>
      </c>
      <c r="B195" s="95" t="s">
        <v>25</v>
      </c>
      <c r="C195" s="95" t="s">
        <v>187</v>
      </c>
      <c r="D195" s="33" t="s">
        <v>1775</v>
      </c>
      <c r="E195" s="35" t="s">
        <v>187</v>
      </c>
      <c r="F195" s="35" t="s">
        <v>1720</v>
      </c>
      <c r="G195" s="35" t="s">
        <v>1721</v>
      </c>
      <c r="H195" s="39">
        <v>3</v>
      </c>
      <c r="I195" s="35" t="s">
        <v>1722</v>
      </c>
      <c r="J195" s="35" t="s">
        <v>1723</v>
      </c>
      <c r="K195" s="35" t="s">
        <v>32</v>
      </c>
      <c r="L195" s="35" t="s">
        <v>1755</v>
      </c>
      <c r="M195" s="35" t="s">
        <v>33</v>
      </c>
      <c r="N195" s="39">
        <v>12</v>
      </c>
      <c r="O195" s="39">
        <v>0</v>
      </c>
      <c r="P195" s="39">
        <v>14</v>
      </c>
      <c r="Q195" s="40">
        <v>19.817001999999999</v>
      </c>
      <c r="R195" s="40">
        <v>-90.525126999999998</v>
      </c>
      <c r="S195" s="66" t="s">
        <v>34</v>
      </c>
      <c r="T195" s="66"/>
      <c r="U195" s="66" t="s">
        <v>35</v>
      </c>
      <c r="V195" s="66" t="s">
        <v>35</v>
      </c>
      <c r="W195" s="66" t="s">
        <v>35</v>
      </c>
      <c r="X195" s="66" t="s">
        <v>35</v>
      </c>
      <c r="Y195" s="66" t="s">
        <v>36</v>
      </c>
      <c r="Z195" s="66"/>
      <c r="AA195" s="66"/>
      <c r="AB195" s="67"/>
      <c r="AC195" s="87">
        <f t="shared" si="9"/>
        <v>0.66666666666666663</v>
      </c>
      <c r="AD195" s="91">
        <v>10</v>
      </c>
      <c r="AE195" s="64" t="s">
        <v>1787</v>
      </c>
      <c r="AF195">
        <f t="shared" ref="AF195:AF258" si="11">IF(OR(AND(Z195="SI",AA195="NO"),AND(Z195="NO",AA195="SI")),1,0)</f>
        <v>0</v>
      </c>
      <c r="AG195">
        <f t="shared" si="10"/>
        <v>0</v>
      </c>
    </row>
    <row r="196" spans="1:33" x14ac:dyDescent="0.3">
      <c r="A196" s="84" t="s">
        <v>897</v>
      </c>
      <c r="B196" s="93" t="s">
        <v>25</v>
      </c>
      <c r="C196" s="93" t="s">
        <v>187</v>
      </c>
      <c r="D196" s="33" t="s">
        <v>1775</v>
      </c>
      <c r="E196" s="34" t="s">
        <v>187</v>
      </c>
      <c r="F196" s="34" t="s">
        <v>898</v>
      </c>
      <c r="G196" s="34" t="s">
        <v>111</v>
      </c>
      <c r="H196" s="37">
        <v>1</v>
      </c>
      <c r="I196" s="34" t="s">
        <v>155</v>
      </c>
      <c r="J196" s="34" t="s">
        <v>31</v>
      </c>
      <c r="K196" s="34" t="s">
        <v>32</v>
      </c>
      <c r="L196" s="34" t="s">
        <v>1755</v>
      </c>
      <c r="M196" s="34" t="s">
        <v>33</v>
      </c>
      <c r="N196" s="47">
        <v>12</v>
      </c>
      <c r="O196" s="48">
        <v>3</v>
      </c>
      <c r="P196" s="49">
        <v>64</v>
      </c>
      <c r="Q196" s="50">
        <v>19.844723999999999</v>
      </c>
      <c r="R196" s="50">
        <v>-90.532584</v>
      </c>
      <c r="S196" s="66" t="s">
        <v>34</v>
      </c>
      <c r="T196" s="66"/>
      <c r="U196" s="66" t="s">
        <v>35</v>
      </c>
      <c r="V196" s="66" t="s">
        <v>35</v>
      </c>
      <c r="W196" s="66" t="s">
        <v>35</v>
      </c>
      <c r="X196" s="66" t="s">
        <v>35</v>
      </c>
      <c r="Y196" s="66" t="s">
        <v>36</v>
      </c>
      <c r="Z196" s="66"/>
      <c r="AA196" s="66"/>
      <c r="AB196" s="67"/>
      <c r="AC196" s="87">
        <f t="shared" si="9"/>
        <v>0.66666666666666663</v>
      </c>
      <c r="AD196" s="91">
        <v>10</v>
      </c>
      <c r="AE196" s="64" t="s">
        <v>1787</v>
      </c>
      <c r="AF196">
        <f t="shared" si="11"/>
        <v>0</v>
      </c>
      <c r="AG196">
        <f t="shared" si="10"/>
        <v>0</v>
      </c>
    </row>
    <row r="197" spans="1:33" x14ac:dyDescent="0.3">
      <c r="A197" s="84" t="s">
        <v>1678</v>
      </c>
      <c r="B197" s="93" t="s">
        <v>25</v>
      </c>
      <c r="C197" s="93" t="s">
        <v>187</v>
      </c>
      <c r="D197" s="33" t="s">
        <v>1775</v>
      </c>
      <c r="E197" s="34" t="s">
        <v>187</v>
      </c>
      <c r="F197" s="34" t="s">
        <v>1679</v>
      </c>
      <c r="G197" s="34" t="s">
        <v>169</v>
      </c>
      <c r="H197" s="37">
        <v>2</v>
      </c>
      <c r="I197" s="34" t="s">
        <v>170</v>
      </c>
      <c r="J197" s="34" t="s">
        <v>31</v>
      </c>
      <c r="K197" s="34" t="s">
        <v>32</v>
      </c>
      <c r="L197" s="34" t="s">
        <v>1755</v>
      </c>
      <c r="M197" s="34" t="s">
        <v>84</v>
      </c>
      <c r="N197" s="47">
        <v>11</v>
      </c>
      <c r="O197" s="48">
        <v>0</v>
      </c>
      <c r="P197" s="49">
        <v>28</v>
      </c>
      <c r="Q197" s="50">
        <v>19.913613000000002</v>
      </c>
      <c r="R197" s="50">
        <v>-90.419135999999995</v>
      </c>
      <c r="S197" s="66" t="s">
        <v>34</v>
      </c>
      <c r="T197" s="66"/>
      <c r="U197" s="66" t="s">
        <v>35</v>
      </c>
      <c r="V197" s="66" t="s">
        <v>35</v>
      </c>
      <c r="W197" s="66" t="s">
        <v>35</v>
      </c>
      <c r="X197" s="66" t="s">
        <v>35</v>
      </c>
      <c r="Y197" s="66" t="s">
        <v>36</v>
      </c>
      <c r="Z197" s="66"/>
      <c r="AA197" s="66"/>
      <c r="AB197" s="67"/>
      <c r="AC197" s="87">
        <f t="shared" si="9"/>
        <v>0.66666666666666663</v>
      </c>
      <c r="AD197" s="91">
        <v>10</v>
      </c>
      <c r="AE197" s="64" t="s">
        <v>1787</v>
      </c>
      <c r="AF197">
        <f t="shared" si="11"/>
        <v>0</v>
      </c>
      <c r="AG197">
        <f t="shared" si="10"/>
        <v>0</v>
      </c>
    </row>
    <row r="198" spans="1:33" x14ac:dyDescent="0.3">
      <c r="A198" s="84" t="s">
        <v>197</v>
      </c>
      <c r="B198" s="93" t="s">
        <v>25</v>
      </c>
      <c r="C198" s="93" t="s">
        <v>187</v>
      </c>
      <c r="D198" s="33" t="s">
        <v>1775</v>
      </c>
      <c r="E198" s="34" t="s">
        <v>198</v>
      </c>
      <c r="F198" s="34" t="s">
        <v>199</v>
      </c>
      <c r="G198" s="34" t="s">
        <v>29</v>
      </c>
      <c r="H198" s="37">
        <v>1</v>
      </c>
      <c r="I198" s="34" t="s">
        <v>30</v>
      </c>
      <c r="J198" s="34" t="s">
        <v>31</v>
      </c>
      <c r="K198" s="34" t="s">
        <v>32</v>
      </c>
      <c r="L198" s="34" t="s">
        <v>1755</v>
      </c>
      <c r="M198" s="34" t="s">
        <v>33</v>
      </c>
      <c r="N198" s="47">
        <v>10</v>
      </c>
      <c r="O198" s="48">
        <v>1</v>
      </c>
      <c r="P198" s="49">
        <v>15</v>
      </c>
      <c r="Q198" s="50">
        <v>18.255417000000001</v>
      </c>
      <c r="R198" s="50">
        <v>-92.100193000000004</v>
      </c>
      <c r="S198" s="66" t="s">
        <v>34</v>
      </c>
      <c r="T198" s="66"/>
      <c r="U198" s="66" t="s">
        <v>35</v>
      </c>
      <c r="V198" s="66" t="s">
        <v>35</v>
      </c>
      <c r="W198" s="66" t="s">
        <v>35</v>
      </c>
      <c r="X198" s="66" t="s">
        <v>35</v>
      </c>
      <c r="Y198" s="66" t="s">
        <v>36</v>
      </c>
      <c r="Z198" s="66"/>
      <c r="AA198" s="66"/>
      <c r="AB198" s="67"/>
      <c r="AC198" s="87">
        <f t="shared" si="9"/>
        <v>0.66666666666666663</v>
      </c>
      <c r="AD198" s="91">
        <v>10</v>
      </c>
      <c r="AE198" s="64" t="s">
        <v>1787</v>
      </c>
      <c r="AF198">
        <f t="shared" si="11"/>
        <v>0</v>
      </c>
      <c r="AG198">
        <f t="shared" si="10"/>
        <v>0</v>
      </c>
    </row>
    <row r="199" spans="1:33" x14ac:dyDescent="0.3">
      <c r="A199" s="84" t="s">
        <v>200</v>
      </c>
      <c r="B199" s="93" t="s">
        <v>25</v>
      </c>
      <c r="C199" s="93" t="s">
        <v>187</v>
      </c>
      <c r="D199" s="33" t="s">
        <v>1775</v>
      </c>
      <c r="E199" s="34" t="s">
        <v>201</v>
      </c>
      <c r="F199" s="34" t="s">
        <v>202</v>
      </c>
      <c r="G199" s="34" t="s">
        <v>29</v>
      </c>
      <c r="H199" s="37">
        <v>1</v>
      </c>
      <c r="I199" s="34" t="s">
        <v>30</v>
      </c>
      <c r="J199" s="34" t="s">
        <v>31</v>
      </c>
      <c r="K199" s="34" t="s">
        <v>32</v>
      </c>
      <c r="L199" s="34" t="s">
        <v>1755</v>
      </c>
      <c r="M199" s="34" t="s">
        <v>33</v>
      </c>
      <c r="N199" s="47">
        <v>9</v>
      </c>
      <c r="O199" s="48">
        <v>2</v>
      </c>
      <c r="P199" s="49">
        <v>30</v>
      </c>
      <c r="Q199" s="50">
        <v>18.968285999999999</v>
      </c>
      <c r="R199" s="50">
        <v>-91.175033999999997</v>
      </c>
      <c r="S199" s="66" t="s">
        <v>34</v>
      </c>
      <c r="T199" s="66"/>
      <c r="U199" s="66" t="s">
        <v>35</v>
      </c>
      <c r="V199" s="66" t="s">
        <v>35</v>
      </c>
      <c r="W199" s="66" t="s">
        <v>35</v>
      </c>
      <c r="X199" s="66" t="s">
        <v>35</v>
      </c>
      <c r="Y199" s="66" t="s">
        <v>36</v>
      </c>
      <c r="Z199" s="66"/>
      <c r="AA199" s="66"/>
      <c r="AB199" s="67"/>
      <c r="AC199" s="87">
        <f t="shared" si="9"/>
        <v>0.66666666666666663</v>
      </c>
      <c r="AD199" s="91">
        <v>10</v>
      </c>
      <c r="AE199" s="64" t="s">
        <v>1787</v>
      </c>
      <c r="AF199">
        <f t="shared" si="11"/>
        <v>0</v>
      </c>
      <c r="AG199">
        <f t="shared" si="10"/>
        <v>0</v>
      </c>
    </row>
    <row r="200" spans="1:33" x14ac:dyDescent="0.3">
      <c r="A200" s="84" t="s">
        <v>206</v>
      </c>
      <c r="B200" s="93" t="s">
        <v>25</v>
      </c>
      <c r="C200" s="93" t="s">
        <v>187</v>
      </c>
      <c r="D200" s="33" t="s">
        <v>1775</v>
      </c>
      <c r="E200" s="34" t="s">
        <v>207</v>
      </c>
      <c r="F200" s="34" t="s">
        <v>208</v>
      </c>
      <c r="G200" s="34" t="s">
        <v>29</v>
      </c>
      <c r="H200" s="37">
        <v>1</v>
      </c>
      <c r="I200" s="34" t="s">
        <v>30</v>
      </c>
      <c r="J200" s="34" t="s">
        <v>31</v>
      </c>
      <c r="K200" s="34" t="s">
        <v>32</v>
      </c>
      <c r="L200" s="34" t="s">
        <v>1755</v>
      </c>
      <c r="M200" s="34" t="s">
        <v>33</v>
      </c>
      <c r="N200" s="47">
        <v>8</v>
      </c>
      <c r="O200" s="48">
        <v>2</v>
      </c>
      <c r="P200" s="49">
        <v>32</v>
      </c>
      <c r="Q200" s="50">
        <v>20.380403000000001</v>
      </c>
      <c r="R200" s="50">
        <v>-90.064245</v>
      </c>
      <c r="S200" s="66" t="s">
        <v>34</v>
      </c>
      <c r="T200" s="66"/>
      <c r="U200" s="66" t="s">
        <v>35</v>
      </c>
      <c r="V200" s="66" t="s">
        <v>35</v>
      </c>
      <c r="W200" s="66" t="s">
        <v>35</v>
      </c>
      <c r="X200" s="66" t="s">
        <v>35</v>
      </c>
      <c r="Y200" s="66" t="s">
        <v>36</v>
      </c>
      <c r="Z200" s="66"/>
      <c r="AA200" s="66"/>
      <c r="AB200" s="67"/>
      <c r="AC200" s="87">
        <f t="shared" si="9"/>
        <v>0.66666666666666663</v>
      </c>
      <c r="AD200" s="91">
        <v>10</v>
      </c>
      <c r="AE200" s="64" t="s">
        <v>1787</v>
      </c>
      <c r="AF200">
        <f t="shared" si="11"/>
        <v>0</v>
      </c>
      <c r="AG200">
        <f t="shared" si="10"/>
        <v>0</v>
      </c>
    </row>
    <row r="201" spans="1:33" x14ac:dyDescent="0.3">
      <c r="A201" s="84" t="s">
        <v>901</v>
      </c>
      <c r="B201" s="93" t="s">
        <v>25</v>
      </c>
      <c r="C201" s="93" t="s">
        <v>187</v>
      </c>
      <c r="D201" s="33" t="s">
        <v>1775</v>
      </c>
      <c r="E201" s="34" t="s">
        <v>187</v>
      </c>
      <c r="F201" s="34" t="s">
        <v>902</v>
      </c>
      <c r="G201" s="34" t="s">
        <v>111</v>
      </c>
      <c r="H201" s="37">
        <v>1</v>
      </c>
      <c r="I201" s="34" t="s">
        <v>155</v>
      </c>
      <c r="J201" s="34" t="s">
        <v>31</v>
      </c>
      <c r="K201" s="34" t="s">
        <v>32</v>
      </c>
      <c r="L201" s="34" t="s">
        <v>1756</v>
      </c>
      <c r="M201" s="34" t="s">
        <v>33</v>
      </c>
      <c r="N201" s="47">
        <v>36</v>
      </c>
      <c r="O201" s="48">
        <v>8</v>
      </c>
      <c r="P201" s="49">
        <v>284</v>
      </c>
      <c r="Q201" s="50">
        <v>19.815162000000001</v>
      </c>
      <c r="R201" s="50">
        <v>-90.523916999999997</v>
      </c>
      <c r="S201" s="66" t="s">
        <v>34</v>
      </c>
      <c r="T201" s="66"/>
      <c r="U201" s="66" t="s">
        <v>35</v>
      </c>
      <c r="V201" s="66" t="s">
        <v>35</v>
      </c>
      <c r="W201" s="66" t="s">
        <v>175</v>
      </c>
      <c r="X201" s="66" t="s">
        <v>35</v>
      </c>
      <c r="Y201" s="66" t="s">
        <v>36</v>
      </c>
      <c r="Z201" s="66"/>
      <c r="AA201" s="66"/>
      <c r="AB201" s="67"/>
      <c r="AC201" s="87">
        <f t="shared" si="9"/>
        <v>0.61111111111111116</v>
      </c>
      <c r="AD201" s="91">
        <v>10</v>
      </c>
      <c r="AE201" s="64" t="s">
        <v>1787</v>
      </c>
      <c r="AF201">
        <f t="shared" si="11"/>
        <v>0</v>
      </c>
      <c r="AG201">
        <f t="shared" si="10"/>
        <v>0</v>
      </c>
    </row>
    <row r="202" spans="1:33" x14ac:dyDescent="0.3">
      <c r="A202" s="84" t="s">
        <v>903</v>
      </c>
      <c r="B202" s="93" t="s">
        <v>25</v>
      </c>
      <c r="C202" s="93" t="s">
        <v>187</v>
      </c>
      <c r="D202" s="33" t="s">
        <v>1775</v>
      </c>
      <c r="E202" s="34" t="s">
        <v>904</v>
      </c>
      <c r="F202" s="34" t="s">
        <v>905</v>
      </c>
      <c r="G202" s="34" t="s">
        <v>111</v>
      </c>
      <c r="H202" s="37">
        <v>1</v>
      </c>
      <c r="I202" s="34" t="s">
        <v>112</v>
      </c>
      <c r="J202" s="34" t="s">
        <v>31</v>
      </c>
      <c r="K202" s="34" t="s">
        <v>32</v>
      </c>
      <c r="L202" s="34" t="s">
        <v>1755</v>
      </c>
      <c r="M202" s="34" t="s">
        <v>33</v>
      </c>
      <c r="N202" s="47">
        <v>10</v>
      </c>
      <c r="O202" s="48">
        <v>2</v>
      </c>
      <c r="P202" s="49">
        <v>55</v>
      </c>
      <c r="Q202" s="50">
        <v>18.618552000000001</v>
      </c>
      <c r="R202" s="50">
        <v>-90.744511000000003</v>
      </c>
      <c r="S202" s="66" t="s">
        <v>34</v>
      </c>
      <c r="T202" s="66"/>
      <c r="U202" s="66" t="s">
        <v>35</v>
      </c>
      <c r="V202" s="66" t="s">
        <v>35</v>
      </c>
      <c r="W202" s="66" t="s">
        <v>35</v>
      </c>
      <c r="X202" s="66" t="s">
        <v>35</v>
      </c>
      <c r="Y202" s="66" t="s">
        <v>36</v>
      </c>
      <c r="Z202" s="66"/>
      <c r="AA202" s="66"/>
      <c r="AB202" s="67"/>
      <c r="AC202" s="87">
        <f t="shared" si="9"/>
        <v>0.66666666666666663</v>
      </c>
      <c r="AD202" s="91">
        <v>10</v>
      </c>
      <c r="AE202" s="64" t="s">
        <v>1787</v>
      </c>
      <c r="AF202">
        <f t="shared" si="11"/>
        <v>0</v>
      </c>
      <c r="AG202">
        <f t="shared" si="10"/>
        <v>0</v>
      </c>
    </row>
    <row r="203" spans="1:33" x14ac:dyDescent="0.3">
      <c r="A203" s="136" t="s">
        <v>917</v>
      </c>
      <c r="B203" s="93" t="s">
        <v>25</v>
      </c>
      <c r="C203" s="93" t="s">
        <v>1776</v>
      </c>
      <c r="D203" s="33" t="s">
        <v>1775</v>
      </c>
      <c r="E203" s="34" t="s">
        <v>918</v>
      </c>
      <c r="F203" s="38" t="s">
        <v>919</v>
      </c>
      <c r="G203" s="34" t="s">
        <v>111</v>
      </c>
      <c r="H203" s="37">
        <v>1</v>
      </c>
      <c r="I203" s="34" t="s">
        <v>112</v>
      </c>
      <c r="J203" s="34" t="s">
        <v>31</v>
      </c>
      <c r="K203" s="34" t="s">
        <v>32</v>
      </c>
      <c r="L203" s="34" t="s">
        <v>1755</v>
      </c>
      <c r="M203" s="34" t="s">
        <v>33</v>
      </c>
      <c r="N203" s="47">
        <v>25</v>
      </c>
      <c r="O203" s="48">
        <v>5</v>
      </c>
      <c r="P203" s="49">
        <v>189</v>
      </c>
      <c r="Q203" s="50">
        <v>19.361883599999999</v>
      </c>
      <c r="R203" s="50">
        <v>-99.224065899999999</v>
      </c>
      <c r="S203" s="66" t="s">
        <v>176</v>
      </c>
      <c r="T203" s="66" t="s">
        <v>175</v>
      </c>
      <c r="U203" s="66" t="s">
        <v>213</v>
      </c>
      <c r="V203" s="66" t="s">
        <v>213</v>
      </c>
      <c r="W203" s="66"/>
      <c r="X203" s="66"/>
      <c r="Y203" s="66"/>
      <c r="Z203" s="66"/>
      <c r="AA203" s="66"/>
      <c r="AB203" s="67"/>
      <c r="AC203" s="87">
        <f t="shared" si="9"/>
        <v>0.24074074074074073</v>
      </c>
      <c r="AD203" s="91">
        <v>7</v>
      </c>
      <c r="AE203" s="103" t="s">
        <v>1832</v>
      </c>
      <c r="AF203">
        <f t="shared" si="11"/>
        <v>0</v>
      </c>
      <c r="AG203">
        <f t="shared" si="10"/>
        <v>0</v>
      </c>
    </row>
    <row r="204" spans="1:33" x14ac:dyDescent="0.3">
      <c r="A204" s="136" t="s">
        <v>1631</v>
      </c>
      <c r="B204" s="93" t="s">
        <v>25</v>
      </c>
      <c r="C204" s="93" t="s">
        <v>1776</v>
      </c>
      <c r="D204" s="33" t="s">
        <v>1775</v>
      </c>
      <c r="E204" s="34" t="s">
        <v>939</v>
      </c>
      <c r="F204" s="34" t="s">
        <v>1632</v>
      </c>
      <c r="G204" s="34" t="s">
        <v>111</v>
      </c>
      <c r="H204" s="37">
        <v>1</v>
      </c>
      <c r="I204" s="34" t="s">
        <v>112</v>
      </c>
      <c r="J204" s="34" t="s">
        <v>31</v>
      </c>
      <c r="K204" s="34" t="s">
        <v>32</v>
      </c>
      <c r="L204" s="34" t="s">
        <v>1755</v>
      </c>
      <c r="M204" s="34" t="s">
        <v>33</v>
      </c>
      <c r="N204" s="47">
        <v>10</v>
      </c>
      <c r="O204" s="48">
        <v>3</v>
      </c>
      <c r="P204" s="49">
        <v>69</v>
      </c>
      <c r="Q204" s="50">
        <v>19.437636999999999</v>
      </c>
      <c r="R204" s="50">
        <v>-99.129454999999993</v>
      </c>
      <c r="S204" s="66" t="s">
        <v>176</v>
      </c>
      <c r="T204" s="66" t="s">
        <v>175</v>
      </c>
      <c r="U204" s="66" t="s">
        <v>35</v>
      </c>
      <c r="V204" s="66" t="s">
        <v>213</v>
      </c>
      <c r="W204" s="66" t="s">
        <v>175</v>
      </c>
      <c r="X204" s="66"/>
      <c r="Y204" s="66"/>
      <c r="Z204" s="66"/>
      <c r="AA204" s="66"/>
      <c r="AB204" s="67"/>
      <c r="AC204" s="87">
        <f t="shared" si="9"/>
        <v>0.33333333333333331</v>
      </c>
      <c r="AD204" s="91">
        <v>7</v>
      </c>
      <c r="AE204" s="103" t="s">
        <v>1832</v>
      </c>
      <c r="AF204">
        <f t="shared" si="11"/>
        <v>0</v>
      </c>
      <c r="AG204">
        <f t="shared" si="10"/>
        <v>0</v>
      </c>
    </row>
    <row r="205" spans="1:33" x14ac:dyDescent="0.3">
      <c r="A205" s="136" t="s">
        <v>1658</v>
      </c>
      <c r="B205" s="93" t="s">
        <v>25</v>
      </c>
      <c r="C205" s="93" t="s">
        <v>1776</v>
      </c>
      <c r="D205" s="33" t="s">
        <v>1775</v>
      </c>
      <c r="E205" s="34" t="s">
        <v>1659</v>
      </c>
      <c r="F205" s="34" t="s">
        <v>1660</v>
      </c>
      <c r="G205" s="46" t="s">
        <v>164</v>
      </c>
      <c r="H205" s="37">
        <v>2</v>
      </c>
      <c r="I205" s="34" t="s">
        <v>155</v>
      </c>
      <c r="J205" s="34" t="s">
        <v>31</v>
      </c>
      <c r="K205" s="34" t="s">
        <v>32</v>
      </c>
      <c r="L205" s="34" t="s">
        <v>1755</v>
      </c>
      <c r="M205" s="34" t="s">
        <v>33</v>
      </c>
      <c r="N205" s="47">
        <v>11</v>
      </c>
      <c r="O205" s="48">
        <v>2</v>
      </c>
      <c r="P205" s="49">
        <v>52</v>
      </c>
      <c r="Q205" s="50">
        <v>19.3194005</v>
      </c>
      <c r="R205" s="50">
        <v>-99.239020999999994</v>
      </c>
      <c r="S205" s="66" t="s">
        <v>176</v>
      </c>
      <c r="T205" s="66" t="s">
        <v>175</v>
      </c>
      <c r="U205" s="66" t="s">
        <v>213</v>
      </c>
      <c r="V205" s="66" t="s">
        <v>213</v>
      </c>
      <c r="W205" s="66"/>
      <c r="X205" s="66"/>
      <c r="Y205" s="66"/>
      <c r="Z205" s="66"/>
      <c r="AA205" s="66"/>
      <c r="AB205" s="67"/>
      <c r="AC205" s="87">
        <f t="shared" si="9"/>
        <v>0.24074074074074073</v>
      </c>
      <c r="AD205" s="91">
        <v>7</v>
      </c>
      <c r="AE205" s="103" t="s">
        <v>1832</v>
      </c>
      <c r="AF205">
        <f t="shared" si="11"/>
        <v>0</v>
      </c>
      <c r="AG205">
        <f t="shared" si="10"/>
        <v>0</v>
      </c>
    </row>
    <row r="206" spans="1:33" x14ac:dyDescent="0.3">
      <c r="A206" s="136" t="s">
        <v>1619</v>
      </c>
      <c r="B206" s="93" t="s">
        <v>25</v>
      </c>
      <c r="C206" s="93" t="s">
        <v>1776</v>
      </c>
      <c r="D206" s="33" t="s">
        <v>1775</v>
      </c>
      <c r="E206" s="34" t="s">
        <v>1620</v>
      </c>
      <c r="F206" s="34" t="s">
        <v>1621</v>
      </c>
      <c r="G206" s="34" t="s">
        <v>111</v>
      </c>
      <c r="H206" s="37">
        <v>1</v>
      </c>
      <c r="I206" s="34" t="s">
        <v>112</v>
      </c>
      <c r="J206" s="34" t="s">
        <v>31</v>
      </c>
      <c r="K206" s="34" t="s">
        <v>32</v>
      </c>
      <c r="L206" s="34" t="s">
        <v>1755</v>
      </c>
      <c r="M206" s="34" t="s">
        <v>33</v>
      </c>
      <c r="N206" s="47">
        <v>17</v>
      </c>
      <c r="O206" s="48">
        <v>3</v>
      </c>
      <c r="P206" s="49">
        <v>74</v>
      </c>
      <c r="Q206" s="50">
        <v>19.200989799999999</v>
      </c>
      <c r="R206" s="50">
        <v>-99.0111074</v>
      </c>
      <c r="S206" s="66" t="s">
        <v>176</v>
      </c>
      <c r="T206" s="66" t="s">
        <v>175</v>
      </c>
      <c r="U206" s="66" t="s">
        <v>213</v>
      </c>
      <c r="V206" s="66" t="s">
        <v>213</v>
      </c>
      <c r="W206" s="66"/>
      <c r="X206" s="66"/>
      <c r="Y206" s="66"/>
      <c r="Z206" s="66"/>
      <c r="AA206" s="66"/>
      <c r="AB206" s="67"/>
      <c r="AC206" s="87">
        <f t="shared" si="9"/>
        <v>0.24074074074074073</v>
      </c>
      <c r="AD206" s="91">
        <v>7</v>
      </c>
      <c r="AE206" s="103" t="s">
        <v>1832</v>
      </c>
      <c r="AF206">
        <f t="shared" si="11"/>
        <v>0</v>
      </c>
      <c r="AG206">
        <f t="shared" si="10"/>
        <v>0</v>
      </c>
    </row>
    <row r="207" spans="1:33" x14ac:dyDescent="0.3">
      <c r="A207" s="136" t="s">
        <v>1668</v>
      </c>
      <c r="B207" s="93" t="s">
        <v>25</v>
      </c>
      <c r="C207" s="93" t="s">
        <v>1776</v>
      </c>
      <c r="D207" s="33" t="s">
        <v>1775</v>
      </c>
      <c r="E207" s="34" t="s">
        <v>625</v>
      </c>
      <c r="F207" s="34" t="s">
        <v>1669</v>
      </c>
      <c r="G207" s="34" t="s">
        <v>111</v>
      </c>
      <c r="H207" s="37">
        <v>1</v>
      </c>
      <c r="I207" s="34" t="s">
        <v>155</v>
      </c>
      <c r="J207" s="34" t="s">
        <v>31</v>
      </c>
      <c r="K207" s="34" t="s">
        <v>32</v>
      </c>
      <c r="L207" s="34" t="s">
        <v>1755</v>
      </c>
      <c r="M207" s="34" t="s">
        <v>33</v>
      </c>
      <c r="N207" s="47">
        <v>9</v>
      </c>
      <c r="O207" s="48">
        <v>0</v>
      </c>
      <c r="P207" s="49">
        <v>17</v>
      </c>
      <c r="Q207" s="50">
        <v>19.480653799999999</v>
      </c>
      <c r="R207" s="50">
        <v>-99.124137099999999</v>
      </c>
      <c r="S207" s="66" t="s">
        <v>34</v>
      </c>
      <c r="T207" s="66" t="s">
        <v>175</v>
      </c>
      <c r="U207" s="66" t="s">
        <v>35</v>
      </c>
      <c r="V207" s="66" t="s">
        <v>213</v>
      </c>
      <c r="W207" s="66" t="s">
        <v>175</v>
      </c>
      <c r="X207" s="66"/>
      <c r="Y207" s="66"/>
      <c r="Z207" s="66"/>
      <c r="AA207" s="66"/>
      <c r="AB207" s="67"/>
      <c r="AC207" s="87">
        <f t="shared" si="9"/>
        <v>0.40740740740740738</v>
      </c>
      <c r="AD207" s="91">
        <v>7</v>
      </c>
      <c r="AE207" s="103" t="s">
        <v>1832</v>
      </c>
      <c r="AF207">
        <f t="shared" si="11"/>
        <v>0</v>
      </c>
      <c r="AG207">
        <f t="shared" si="10"/>
        <v>0</v>
      </c>
    </row>
    <row r="208" spans="1:33" x14ac:dyDescent="0.3">
      <c r="A208" s="136" t="s">
        <v>951</v>
      </c>
      <c r="B208" s="93" t="s">
        <v>25</v>
      </c>
      <c r="C208" s="93" t="s">
        <v>1776</v>
      </c>
      <c r="D208" s="33" t="s">
        <v>1775</v>
      </c>
      <c r="E208" s="34" t="s">
        <v>625</v>
      </c>
      <c r="F208" s="34" t="s">
        <v>952</v>
      </c>
      <c r="G208" s="34" t="s">
        <v>941</v>
      </c>
      <c r="H208" s="37">
        <v>2</v>
      </c>
      <c r="I208" s="34" t="s">
        <v>155</v>
      </c>
      <c r="J208" s="34" t="s">
        <v>31</v>
      </c>
      <c r="K208" s="34" t="s">
        <v>32</v>
      </c>
      <c r="L208" s="34" t="s">
        <v>1756</v>
      </c>
      <c r="M208" s="34" t="s">
        <v>33</v>
      </c>
      <c r="N208" s="47">
        <v>11</v>
      </c>
      <c r="O208" s="48">
        <v>2</v>
      </c>
      <c r="P208" s="49">
        <v>87</v>
      </c>
      <c r="Q208" s="50">
        <v>19.432896800000002</v>
      </c>
      <c r="R208" s="50">
        <v>-99.098230999999998</v>
      </c>
      <c r="S208" s="66" t="s">
        <v>34</v>
      </c>
      <c r="T208" s="66" t="s">
        <v>175</v>
      </c>
      <c r="U208" s="66" t="s">
        <v>213</v>
      </c>
      <c r="V208" s="66" t="s">
        <v>213</v>
      </c>
      <c r="W208" s="66"/>
      <c r="X208" s="66"/>
      <c r="Y208" s="66"/>
      <c r="Z208" s="66"/>
      <c r="AA208" s="66"/>
      <c r="AB208" s="67"/>
      <c r="AC208" s="87">
        <f t="shared" si="9"/>
        <v>0.31481481481481477</v>
      </c>
      <c r="AD208" s="91">
        <v>7</v>
      </c>
      <c r="AE208" s="103" t="s">
        <v>1832</v>
      </c>
      <c r="AF208">
        <f t="shared" si="11"/>
        <v>0</v>
      </c>
      <c r="AG208">
        <f t="shared" si="10"/>
        <v>0</v>
      </c>
    </row>
    <row r="209" spans="1:33" x14ac:dyDescent="0.3">
      <c r="A209" s="136" t="s">
        <v>1672</v>
      </c>
      <c r="B209" s="93" t="s">
        <v>25</v>
      </c>
      <c r="C209" s="93" t="s">
        <v>1776</v>
      </c>
      <c r="D209" s="33" t="s">
        <v>1775</v>
      </c>
      <c r="E209" s="34" t="s">
        <v>929</v>
      </c>
      <c r="F209" s="34" t="s">
        <v>1673</v>
      </c>
      <c r="G209" s="34" t="s">
        <v>111</v>
      </c>
      <c r="H209" s="37">
        <v>1</v>
      </c>
      <c r="I209" s="34" t="s">
        <v>155</v>
      </c>
      <c r="J209" s="34" t="s">
        <v>31</v>
      </c>
      <c r="K209" s="34" t="s">
        <v>32</v>
      </c>
      <c r="L209" s="34" t="s">
        <v>1755</v>
      </c>
      <c r="M209" s="34" t="s">
        <v>33</v>
      </c>
      <c r="N209" s="47">
        <v>5</v>
      </c>
      <c r="O209" s="48">
        <v>0</v>
      </c>
      <c r="P209" s="49">
        <v>8</v>
      </c>
      <c r="Q209" s="50">
        <v>19.264199999999999</v>
      </c>
      <c r="R209" s="50">
        <v>-99.114000000000004</v>
      </c>
      <c r="S209" s="66" t="s">
        <v>176</v>
      </c>
      <c r="T209" s="66" t="s">
        <v>175</v>
      </c>
      <c r="U209" s="66" t="s">
        <v>213</v>
      </c>
      <c r="V209" s="66" t="s">
        <v>213</v>
      </c>
      <c r="W209" s="66"/>
      <c r="X209" s="66"/>
      <c r="Y209" s="66"/>
      <c r="Z209" s="66"/>
      <c r="AA209" s="66"/>
      <c r="AB209" s="67"/>
      <c r="AC209" s="87">
        <f t="shared" si="9"/>
        <v>0.24074074074074073</v>
      </c>
      <c r="AD209" s="91">
        <v>7</v>
      </c>
      <c r="AE209" s="103" t="s">
        <v>1832</v>
      </c>
      <c r="AF209">
        <f t="shared" si="11"/>
        <v>0</v>
      </c>
      <c r="AG209">
        <f t="shared" si="10"/>
        <v>0</v>
      </c>
    </row>
    <row r="210" spans="1:33" x14ac:dyDescent="0.3">
      <c r="A210" s="136" t="s">
        <v>1661</v>
      </c>
      <c r="B210" s="93" t="s">
        <v>25</v>
      </c>
      <c r="C210" s="93" t="s">
        <v>1776</v>
      </c>
      <c r="D210" s="33" t="s">
        <v>1775</v>
      </c>
      <c r="E210" s="34" t="s">
        <v>1662</v>
      </c>
      <c r="F210" s="34" t="s">
        <v>1663</v>
      </c>
      <c r="G210" s="34" t="s">
        <v>164</v>
      </c>
      <c r="H210" s="37">
        <v>2</v>
      </c>
      <c r="I210" s="34" t="s">
        <v>155</v>
      </c>
      <c r="J210" s="34" t="s">
        <v>31</v>
      </c>
      <c r="K210" s="34" t="s">
        <v>32</v>
      </c>
      <c r="L210" s="34" t="s">
        <v>1755</v>
      </c>
      <c r="M210" s="34" t="s">
        <v>33</v>
      </c>
      <c r="N210" s="47">
        <v>5</v>
      </c>
      <c r="O210" s="48">
        <v>2</v>
      </c>
      <c r="P210" s="49">
        <v>46</v>
      </c>
      <c r="Q210" s="50">
        <v>19.497986000000001</v>
      </c>
      <c r="R210" s="50">
        <v>-99.203194300000007</v>
      </c>
      <c r="S210" s="66" t="s">
        <v>176</v>
      </c>
      <c r="T210" s="66" t="s">
        <v>175</v>
      </c>
      <c r="U210" s="66" t="s">
        <v>213</v>
      </c>
      <c r="V210" s="66" t="s">
        <v>213</v>
      </c>
      <c r="W210" s="66"/>
      <c r="X210" s="66"/>
      <c r="Y210" s="66"/>
      <c r="Z210" s="66"/>
      <c r="AA210" s="66"/>
      <c r="AB210" s="67"/>
      <c r="AC210" s="87">
        <f t="shared" si="9"/>
        <v>0.24074074074074073</v>
      </c>
      <c r="AD210" s="91">
        <v>8</v>
      </c>
      <c r="AE210" s="103" t="s">
        <v>1833</v>
      </c>
      <c r="AF210">
        <f t="shared" si="11"/>
        <v>0</v>
      </c>
      <c r="AG210">
        <f t="shared" si="10"/>
        <v>0</v>
      </c>
    </row>
    <row r="211" spans="1:33" x14ac:dyDescent="0.3">
      <c r="A211" s="136" t="s">
        <v>948</v>
      </c>
      <c r="B211" s="93" t="s">
        <v>25</v>
      </c>
      <c r="C211" s="93" t="s">
        <v>1776</v>
      </c>
      <c r="D211" s="33" t="s">
        <v>1775</v>
      </c>
      <c r="E211" s="34" t="s">
        <v>949</v>
      </c>
      <c r="F211" s="34" t="s">
        <v>950</v>
      </c>
      <c r="G211" s="34" t="s">
        <v>111</v>
      </c>
      <c r="H211" s="37">
        <v>1</v>
      </c>
      <c r="I211" s="34" t="s">
        <v>112</v>
      </c>
      <c r="J211" s="34" t="s">
        <v>31</v>
      </c>
      <c r="K211" s="34" t="s">
        <v>32</v>
      </c>
      <c r="L211" s="34" t="s">
        <v>1755</v>
      </c>
      <c r="M211" s="34" t="s">
        <v>33</v>
      </c>
      <c r="N211" s="47">
        <v>17</v>
      </c>
      <c r="O211" s="48">
        <v>6</v>
      </c>
      <c r="P211" s="49">
        <v>87</v>
      </c>
      <c r="Q211" s="50">
        <v>19.347417400000001</v>
      </c>
      <c r="R211" s="50">
        <v>-99.300905799999995</v>
      </c>
      <c r="S211" s="66" t="s">
        <v>176</v>
      </c>
      <c r="T211" s="66" t="s">
        <v>175</v>
      </c>
      <c r="U211" s="66" t="s">
        <v>213</v>
      </c>
      <c r="V211" s="66" t="s">
        <v>213</v>
      </c>
      <c r="W211" s="66"/>
      <c r="X211" s="66"/>
      <c r="Y211" s="66"/>
      <c r="Z211" s="66"/>
      <c r="AA211" s="66"/>
      <c r="AB211" s="67"/>
      <c r="AC211" s="87">
        <f t="shared" si="9"/>
        <v>0.24074074074074073</v>
      </c>
      <c r="AD211" s="91">
        <v>8</v>
      </c>
      <c r="AE211" s="103" t="s">
        <v>1833</v>
      </c>
      <c r="AF211">
        <f t="shared" si="11"/>
        <v>0</v>
      </c>
      <c r="AG211">
        <f t="shared" si="10"/>
        <v>0</v>
      </c>
    </row>
    <row r="212" spans="1:33" x14ac:dyDescent="0.3">
      <c r="A212" s="136" t="s">
        <v>1652</v>
      </c>
      <c r="B212" s="93" t="s">
        <v>25</v>
      </c>
      <c r="C212" s="93" t="s">
        <v>1776</v>
      </c>
      <c r="D212" s="33" t="s">
        <v>1775</v>
      </c>
      <c r="E212" s="34" t="s">
        <v>921</v>
      </c>
      <c r="F212" s="34" t="s">
        <v>1653</v>
      </c>
      <c r="G212" s="34" t="s">
        <v>941</v>
      </c>
      <c r="H212" s="37">
        <v>2</v>
      </c>
      <c r="I212" s="34" t="s">
        <v>155</v>
      </c>
      <c r="J212" s="34" t="s">
        <v>31</v>
      </c>
      <c r="K212" s="34" t="s">
        <v>32</v>
      </c>
      <c r="L212" s="34" t="s">
        <v>1756</v>
      </c>
      <c r="M212" s="34" t="s">
        <v>33</v>
      </c>
      <c r="N212" s="47">
        <v>15</v>
      </c>
      <c r="O212" s="48">
        <v>2</v>
      </c>
      <c r="P212" s="49">
        <v>58</v>
      </c>
      <c r="Q212" s="50">
        <v>19.487081700000001</v>
      </c>
      <c r="R212" s="50">
        <v>-99.114261999999997</v>
      </c>
      <c r="S212" s="66" t="s">
        <v>176</v>
      </c>
      <c r="T212" s="66" t="s">
        <v>175</v>
      </c>
      <c r="U212" s="66" t="s">
        <v>213</v>
      </c>
      <c r="V212" s="66" t="s">
        <v>213</v>
      </c>
      <c r="W212" s="66"/>
      <c r="X212" s="66"/>
      <c r="Y212" s="66"/>
      <c r="Z212" s="66"/>
      <c r="AA212" s="66"/>
      <c r="AB212" s="67"/>
      <c r="AC212" s="87">
        <f t="shared" si="9"/>
        <v>0.24074074074074073</v>
      </c>
      <c r="AD212" s="91">
        <v>8</v>
      </c>
      <c r="AE212" s="103" t="s">
        <v>1833</v>
      </c>
      <c r="AF212">
        <f t="shared" si="11"/>
        <v>0</v>
      </c>
      <c r="AG212">
        <f t="shared" si="10"/>
        <v>0</v>
      </c>
    </row>
    <row r="213" spans="1:33" x14ac:dyDescent="0.3">
      <c r="A213" s="136" t="s">
        <v>1650</v>
      </c>
      <c r="B213" s="93" t="s">
        <v>25</v>
      </c>
      <c r="C213" s="93" t="s">
        <v>1776</v>
      </c>
      <c r="D213" s="33" t="s">
        <v>1775</v>
      </c>
      <c r="E213" s="34" t="s">
        <v>921</v>
      </c>
      <c r="F213" s="34" t="s">
        <v>1651</v>
      </c>
      <c r="G213" s="34" t="s">
        <v>164</v>
      </c>
      <c r="H213" s="37">
        <v>2</v>
      </c>
      <c r="I213" s="34" t="s">
        <v>155</v>
      </c>
      <c r="J213" s="34" t="s">
        <v>31</v>
      </c>
      <c r="K213" s="34" t="s">
        <v>32</v>
      </c>
      <c r="L213" s="34" t="s">
        <v>1755</v>
      </c>
      <c r="M213" s="34" t="s">
        <v>33</v>
      </c>
      <c r="N213" s="47">
        <v>9</v>
      </c>
      <c r="O213" s="48">
        <v>4</v>
      </c>
      <c r="P213" s="49">
        <v>58</v>
      </c>
      <c r="Q213" s="50">
        <v>19.539723299999999</v>
      </c>
      <c r="R213" s="50">
        <v>-99.141039800000001</v>
      </c>
      <c r="S213" s="66" t="s">
        <v>176</v>
      </c>
      <c r="T213" s="66" t="s">
        <v>175</v>
      </c>
      <c r="U213" s="66" t="s">
        <v>213</v>
      </c>
      <c r="V213" s="66" t="s">
        <v>213</v>
      </c>
      <c r="W213" s="66"/>
      <c r="X213" s="66"/>
      <c r="Y213" s="66"/>
      <c r="Z213" s="66"/>
      <c r="AA213" s="66"/>
      <c r="AB213" s="67"/>
      <c r="AC213" s="87">
        <f t="shared" si="9"/>
        <v>0.24074074074074073</v>
      </c>
      <c r="AD213" s="91">
        <v>8</v>
      </c>
      <c r="AE213" s="103" t="s">
        <v>1833</v>
      </c>
      <c r="AF213">
        <f t="shared" si="11"/>
        <v>0</v>
      </c>
      <c r="AG213">
        <f t="shared" si="10"/>
        <v>0</v>
      </c>
    </row>
    <row r="214" spans="1:33" x14ac:dyDescent="0.3">
      <c r="A214" s="136" t="s">
        <v>936</v>
      </c>
      <c r="B214" s="93" t="s">
        <v>25</v>
      </c>
      <c r="C214" s="93" t="s">
        <v>1776</v>
      </c>
      <c r="D214" s="33" t="s">
        <v>1775</v>
      </c>
      <c r="E214" s="34" t="s">
        <v>921</v>
      </c>
      <c r="F214" s="38" t="s">
        <v>937</v>
      </c>
      <c r="G214" s="34" t="s">
        <v>111</v>
      </c>
      <c r="H214" s="37">
        <v>1</v>
      </c>
      <c r="I214" s="34" t="s">
        <v>112</v>
      </c>
      <c r="J214" s="34" t="s">
        <v>31</v>
      </c>
      <c r="K214" s="34" t="s">
        <v>32</v>
      </c>
      <c r="L214" s="34" t="s">
        <v>1755</v>
      </c>
      <c r="M214" s="34" t="s">
        <v>33</v>
      </c>
      <c r="N214" s="47">
        <v>18</v>
      </c>
      <c r="O214" s="48">
        <v>5</v>
      </c>
      <c r="P214" s="49">
        <v>107</v>
      </c>
      <c r="Q214" s="50">
        <v>19.514513300000001</v>
      </c>
      <c r="R214" s="50">
        <v>-99.1378196</v>
      </c>
      <c r="S214" s="66" t="s">
        <v>176</v>
      </c>
      <c r="T214" s="66" t="s">
        <v>175</v>
      </c>
      <c r="U214" s="66" t="s">
        <v>213</v>
      </c>
      <c r="V214" s="66" t="s">
        <v>213</v>
      </c>
      <c r="W214" s="66"/>
      <c r="X214" s="66"/>
      <c r="Y214" s="66"/>
      <c r="Z214" s="66"/>
      <c r="AA214" s="66"/>
      <c r="AB214" s="67"/>
      <c r="AC214" s="87">
        <f t="shared" si="9"/>
        <v>0.24074074074074073</v>
      </c>
      <c r="AD214" s="91">
        <v>8</v>
      </c>
      <c r="AE214" s="103" t="s">
        <v>1833</v>
      </c>
      <c r="AF214">
        <f t="shared" si="11"/>
        <v>0</v>
      </c>
      <c r="AG214">
        <f t="shared" si="10"/>
        <v>0</v>
      </c>
    </row>
    <row r="215" spans="1:33" x14ac:dyDescent="0.3">
      <c r="A215" s="136" t="s">
        <v>1635</v>
      </c>
      <c r="B215" s="93" t="s">
        <v>25</v>
      </c>
      <c r="C215" s="93" t="s">
        <v>1776</v>
      </c>
      <c r="D215" s="33" t="s">
        <v>1775</v>
      </c>
      <c r="E215" s="34" t="s">
        <v>1636</v>
      </c>
      <c r="F215" s="34" t="s">
        <v>1637</v>
      </c>
      <c r="G215" s="34" t="s">
        <v>941</v>
      </c>
      <c r="H215" s="37">
        <v>2</v>
      </c>
      <c r="I215" s="34" t="s">
        <v>155</v>
      </c>
      <c r="J215" s="34" t="s">
        <v>31</v>
      </c>
      <c r="K215" s="34" t="s">
        <v>32</v>
      </c>
      <c r="L215" s="34" t="s">
        <v>1756</v>
      </c>
      <c r="M215" s="34" t="s">
        <v>33</v>
      </c>
      <c r="N215" s="47">
        <v>13</v>
      </c>
      <c r="O215" s="48">
        <v>2</v>
      </c>
      <c r="P215" s="49">
        <v>63</v>
      </c>
      <c r="Q215" s="50">
        <v>19.402655299999999</v>
      </c>
      <c r="R215" s="50">
        <v>-99.117966600000003</v>
      </c>
      <c r="S215" s="66" t="s">
        <v>176</v>
      </c>
      <c r="T215" s="66" t="s">
        <v>175</v>
      </c>
      <c r="U215" s="66" t="s">
        <v>213</v>
      </c>
      <c r="V215" s="66" t="s">
        <v>213</v>
      </c>
      <c r="W215" s="66"/>
      <c r="X215" s="66"/>
      <c r="Y215" s="66"/>
      <c r="Z215" s="66"/>
      <c r="AA215" s="66"/>
      <c r="AB215" s="67"/>
      <c r="AC215" s="87">
        <f t="shared" si="9"/>
        <v>0.24074074074074073</v>
      </c>
      <c r="AD215" s="91">
        <v>8</v>
      </c>
      <c r="AE215" s="103" t="s">
        <v>1833</v>
      </c>
      <c r="AF215">
        <f t="shared" si="11"/>
        <v>0</v>
      </c>
      <c r="AG215">
        <f t="shared" si="10"/>
        <v>0</v>
      </c>
    </row>
    <row r="216" spans="1:33" x14ac:dyDescent="0.3">
      <c r="A216" s="136" t="s">
        <v>946</v>
      </c>
      <c r="B216" s="93" t="s">
        <v>25</v>
      </c>
      <c r="C216" s="93" t="s">
        <v>1776</v>
      </c>
      <c r="D216" s="33" t="s">
        <v>1775</v>
      </c>
      <c r="E216" s="34" t="s">
        <v>912</v>
      </c>
      <c r="F216" s="34" t="s">
        <v>947</v>
      </c>
      <c r="G216" s="34" t="s">
        <v>941</v>
      </c>
      <c r="H216" s="37">
        <v>2</v>
      </c>
      <c r="I216" s="34" t="s">
        <v>155</v>
      </c>
      <c r="J216" s="34" t="s">
        <v>31</v>
      </c>
      <c r="K216" s="34" t="s">
        <v>32</v>
      </c>
      <c r="L216" s="34" t="s">
        <v>1755</v>
      </c>
      <c r="M216" s="34" t="s">
        <v>33</v>
      </c>
      <c r="N216" s="47">
        <v>23</v>
      </c>
      <c r="O216" s="48">
        <v>2</v>
      </c>
      <c r="P216" s="49">
        <v>89</v>
      </c>
      <c r="Q216" s="50">
        <v>19.356541799999999</v>
      </c>
      <c r="R216" s="50">
        <v>-99.107591799999994</v>
      </c>
      <c r="S216" s="66" t="s">
        <v>176</v>
      </c>
      <c r="T216" s="66" t="s">
        <v>175</v>
      </c>
      <c r="U216" s="66" t="s">
        <v>213</v>
      </c>
      <c r="V216" s="66" t="s">
        <v>213</v>
      </c>
      <c r="W216" s="66"/>
      <c r="X216" s="66"/>
      <c r="Y216" s="66"/>
      <c r="Z216" s="66"/>
      <c r="AA216" s="66"/>
      <c r="AB216" s="67"/>
      <c r="AC216" s="87">
        <f t="shared" si="9"/>
        <v>0.24074074074074073</v>
      </c>
      <c r="AD216" s="91">
        <v>8</v>
      </c>
      <c r="AE216" s="103" t="s">
        <v>1833</v>
      </c>
      <c r="AF216">
        <f t="shared" si="11"/>
        <v>0</v>
      </c>
      <c r="AG216">
        <f t="shared" si="10"/>
        <v>0</v>
      </c>
    </row>
    <row r="217" spans="1:33" x14ac:dyDescent="0.3">
      <c r="A217" s="136" t="s">
        <v>1664</v>
      </c>
      <c r="B217" s="93" t="s">
        <v>25</v>
      </c>
      <c r="C217" s="93" t="s">
        <v>1776</v>
      </c>
      <c r="D217" s="33" t="s">
        <v>1775</v>
      </c>
      <c r="E217" s="34" t="s">
        <v>912</v>
      </c>
      <c r="F217" s="34" t="s">
        <v>1665</v>
      </c>
      <c r="G217" s="34" t="s">
        <v>29</v>
      </c>
      <c r="H217" s="37">
        <v>1</v>
      </c>
      <c r="I217" s="34" t="s">
        <v>30</v>
      </c>
      <c r="J217" s="34" t="s">
        <v>31</v>
      </c>
      <c r="K217" s="34" t="s">
        <v>32</v>
      </c>
      <c r="L217" s="34" t="s">
        <v>1755</v>
      </c>
      <c r="M217" s="34" t="s">
        <v>33</v>
      </c>
      <c r="N217" s="47">
        <v>17</v>
      </c>
      <c r="O217" s="48">
        <v>3</v>
      </c>
      <c r="P217" s="49">
        <v>42</v>
      </c>
      <c r="Q217" s="50">
        <v>19.339504099999999</v>
      </c>
      <c r="R217" s="50">
        <v>-98.978461100000004</v>
      </c>
      <c r="S217" s="66" t="s">
        <v>176</v>
      </c>
      <c r="T217" s="66" t="s">
        <v>175</v>
      </c>
      <c r="U217" s="66" t="s">
        <v>213</v>
      </c>
      <c r="V217" s="66" t="s">
        <v>213</v>
      </c>
      <c r="W217" s="66"/>
      <c r="X217" s="66"/>
      <c r="Y217" s="66"/>
      <c r="Z217" s="66"/>
      <c r="AA217" s="66"/>
      <c r="AB217" s="67"/>
      <c r="AC217" s="87">
        <f t="shared" si="9"/>
        <v>0.24074074074074073</v>
      </c>
      <c r="AD217" s="91">
        <v>8</v>
      </c>
      <c r="AE217" s="103" t="s">
        <v>1833</v>
      </c>
      <c r="AF217">
        <f t="shared" si="11"/>
        <v>0</v>
      </c>
      <c r="AG217">
        <f t="shared" si="10"/>
        <v>0</v>
      </c>
    </row>
    <row r="218" spans="1:33" x14ac:dyDescent="0.3">
      <c r="A218" s="84" t="s">
        <v>707</v>
      </c>
      <c r="B218" s="93" t="s">
        <v>25</v>
      </c>
      <c r="C218" s="93" t="s">
        <v>708</v>
      </c>
      <c r="D218" s="33" t="s">
        <v>1775</v>
      </c>
      <c r="E218" s="52" t="s">
        <v>708</v>
      </c>
      <c r="F218" s="34" t="s">
        <v>709</v>
      </c>
      <c r="G218" s="34" t="s">
        <v>111</v>
      </c>
      <c r="H218" s="37">
        <v>1</v>
      </c>
      <c r="I218" s="34" t="s">
        <v>112</v>
      </c>
      <c r="J218" s="34" t="s">
        <v>31</v>
      </c>
      <c r="K218" s="34" t="s">
        <v>32</v>
      </c>
      <c r="L218" s="34" t="s">
        <v>1756</v>
      </c>
      <c r="M218" s="34" t="s">
        <v>33</v>
      </c>
      <c r="N218" s="47">
        <v>23</v>
      </c>
      <c r="O218" s="48">
        <v>2</v>
      </c>
      <c r="P218" s="49">
        <v>108</v>
      </c>
      <c r="Q218" s="50">
        <v>19.2581366</v>
      </c>
      <c r="R218" s="50">
        <v>-103.68983780000001</v>
      </c>
      <c r="S218" s="66" t="s">
        <v>34</v>
      </c>
      <c r="T218" s="66" t="s">
        <v>35</v>
      </c>
      <c r="U218" s="66" t="s">
        <v>35</v>
      </c>
      <c r="V218" s="66" t="s">
        <v>35</v>
      </c>
      <c r="W218" s="66" t="s">
        <v>35</v>
      </c>
      <c r="X218" s="66" t="s">
        <v>35</v>
      </c>
      <c r="Y218" s="66" t="s">
        <v>36</v>
      </c>
      <c r="Z218" s="66"/>
      <c r="AA218" s="66"/>
      <c r="AB218" s="67"/>
      <c r="AC218" s="87">
        <f t="shared" si="9"/>
        <v>0.77777777777777779</v>
      </c>
      <c r="AD218" s="91">
        <v>10</v>
      </c>
      <c r="AE218" s="104" t="s">
        <v>1780</v>
      </c>
      <c r="AF218">
        <f t="shared" si="11"/>
        <v>0</v>
      </c>
      <c r="AG218">
        <f t="shared" si="10"/>
        <v>0</v>
      </c>
    </row>
    <row r="219" spans="1:33" x14ac:dyDescent="0.3">
      <c r="A219" s="84" t="s">
        <v>721</v>
      </c>
      <c r="B219" s="93" t="s">
        <v>25</v>
      </c>
      <c r="C219" s="93" t="s">
        <v>708</v>
      </c>
      <c r="D219" s="33" t="s">
        <v>1775</v>
      </c>
      <c r="E219" s="52" t="s">
        <v>722</v>
      </c>
      <c r="F219" s="34" t="s">
        <v>316</v>
      </c>
      <c r="G219" s="34" t="s">
        <v>164</v>
      </c>
      <c r="H219" s="37">
        <v>2</v>
      </c>
      <c r="I219" s="34" t="s">
        <v>155</v>
      </c>
      <c r="J219" s="34" t="s">
        <v>31</v>
      </c>
      <c r="K219" s="34" t="s">
        <v>32</v>
      </c>
      <c r="L219" s="34" t="s">
        <v>1756</v>
      </c>
      <c r="M219" s="34" t="s">
        <v>33</v>
      </c>
      <c r="N219" s="47">
        <v>12</v>
      </c>
      <c r="O219" s="48">
        <v>6</v>
      </c>
      <c r="P219" s="49">
        <v>80</v>
      </c>
      <c r="Q219" s="50">
        <v>19.2783157</v>
      </c>
      <c r="R219" s="50">
        <v>-103.7510125</v>
      </c>
      <c r="S219" s="66" t="s">
        <v>34</v>
      </c>
      <c r="T219" s="66" t="s">
        <v>35</v>
      </c>
      <c r="U219" s="66" t="s">
        <v>35</v>
      </c>
      <c r="V219" s="66" t="s">
        <v>35</v>
      </c>
      <c r="W219" s="66" t="s">
        <v>35</v>
      </c>
      <c r="X219" s="66" t="s">
        <v>35</v>
      </c>
      <c r="Y219" s="66" t="s">
        <v>36</v>
      </c>
      <c r="Z219" s="66"/>
      <c r="AA219" s="66"/>
      <c r="AB219" s="67"/>
      <c r="AC219" s="87">
        <f t="shared" si="9"/>
        <v>0.77777777777777779</v>
      </c>
      <c r="AD219" s="91">
        <v>10</v>
      </c>
      <c r="AE219" s="104" t="s">
        <v>1780</v>
      </c>
      <c r="AF219">
        <f t="shared" si="11"/>
        <v>0</v>
      </c>
      <c r="AG219">
        <f t="shared" si="10"/>
        <v>0</v>
      </c>
    </row>
    <row r="220" spans="1:33" x14ac:dyDescent="0.3">
      <c r="A220" s="84" t="s">
        <v>719</v>
      </c>
      <c r="B220" s="93" t="s">
        <v>25</v>
      </c>
      <c r="C220" s="93" t="s">
        <v>708</v>
      </c>
      <c r="D220" s="33" t="s">
        <v>1775</v>
      </c>
      <c r="E220" s="52" t="s">
        <v>708</v>
      </c>
      <c r="F220" s="34" t="s">
        <v>720</v>
      </c>
      <c r="G220" s="34" t="s">
        <v>111</v>
      </c>
      <c r="H220" s="37">
        <v>1</v>
      </c>
      <c r="I220" s="34" t="s">
        <v>155</v>
      </c>
      <c r="J220" s="34" t="s">
        <v>31</v>
      </c>
      <c r="K220" s="34" t="s">
        <v>32</v>
      </c>
      <c r="L220" s="34" t="s">
        <v>1756</v>
      </c>
      <c r="M220" s="34" t="s">
        <v>33</v>
      </c>
      <c r="N220" s="47">
        <v>14</v>
      </c>
      <c r="O220" s="48">
        <v>2</v>
      </c>
      <c r="P220" s="49">
        <v>57</v>
      </c>
      <c r="Q220" s="50">
        <v>19.220662399999998</v>
      </c>
      <c r="R220" s="50">
        <v>-103.72676439999999</v>
      </c>
      <c r="S220" s="66" t="s">
        <v>34</v>
      </c>
      <c r="T220" s="66" t="s">
        <v>35</v>
      </c>
      <c r="U220" s="66" t="s">
        <v>35</v>
      </c>
      <c r="V220" s="66" t="s">
        <v>35</v>
      </c>
      <c r="W220" s="66" t="s">
        <v>35</v>
      </c>
      <c r="X220" s="66" t="s">
        <v>35</v>
      </c>
      <c r="Y220" s="66" t="s">
        <v>36</v>
      </c>
      <c r="Z220" s="66"/>
      <c r="AA220" s="66"/>
      <c r="AB220" s="67"/>
      <c r="AC220" s="87">
        <f t="shared" si="9"/>
        <v>0.77777777777777779</v>
      </c>
      <c r="AD220" s="91">
        <v>10</v>
      </c>
      <c r="AE220" s="104" t="s">
        <v>1780</v>
      </c>
      <c r="AF220">
        <f t="shared" si="11"/>
        <v>0</v>
      </c>
      <c r="AG220">
        <f t="shared" si="10"/>
        <v>0</v>
      </c>
    </row>
    <row r="221" spans="1:33" x14ac:dyDescent="0.3">
      <c r="A221" s="84" t="s">
        <v>764</v>
      </c>
      <c r="B221" s="93" t="s">
        <v>25</v>
      </c>
      <c r="C221" s="93" t="s">
        <v>755</v>
      </c>
      <c r="D221" s="33" t="s">
        <v>1775</v>
      </c>
      <c r="E221" s="34" t="s">
        <v>765</v>
      </c>
      <c r="F221" s="34" t="s">
        <v>766</v>
      </c>
      <c r="G221" s="34" t="s">
        <v>29</v>
      </c>
      <c r="H221" s="37">
        <v>1</v>
      </c>
      <c r="I221" s="34" t="s">
        <v>30</v>
      </c>
      <c r="J221" s="34" t="s">
        <v>31</v>
      </c>
      <c r="K221" s="34" t="s">
        <v>32</v>
      </c>
      <c r="L221" s="34" t="s">
        <v>1755</v>
      </c>
      <c r="M221" s="34" t="s">
        <v>33</v>
      </c>
      <c r="N221" s="47">
        <v>14</v>
      </c>
      <c r="O221" s="48">
        <v>2</v>
      </c>
      <c r="P221" s="49">
        <v>27</v>
      </c>
      <c r="Q221" s="50">
        <v>19.6195083</v>
      </c>
      <c r="R221" s="50">
        <v>-98.127930599999999</v>
      </c>
      <c r="S221" s="66" t="s">
        <v>34</v>
      </c>
      <c r="T221" s="66" t="s">
        <v>35</v>
      </c>
      <c r="U221" s="66" t="s">
        <v>35</v>
      </c>
      <c r="V221" s="66" t="s">
        <v>35</v>
      </c>
      <c r="W221" s="66" t="s">
        <v>35</v>
      </c>
      <c r="X221" s="66" t="s">
        <v>35</v>
      </c>
      <c r="Y221" s="66" t="s">
        <v>36</v>
      </c>
      <c r="Z221" s="66" t="s">
        <v>37</v>
      </c>
      <c r="AA221" s="66" t="s">
        <v>37</v>
      </c>
      <c r="AB221" s="67"/>
      <c r="AC221" s="87">
        <f t="shared" si="9"/>
        <v>1</v>
      </c>
      <c r="AD221" s="91">
        <v>3</v>
      </c>
      <c r="AE221" s="64" t="s">
        <v>1798</v>
      </c>
      <c r="AF221">
        <f t="shared" si="11"/>
        <v>0</v>
      </c>
      <c r="AG221">
        <f t="shared" si="10"/>
        <v>1</v>
      </c>
    </row>
    <row r="222" spans="1:33" x14ac:dyDescent="0.3">
      <c r="A222" s="84" t="s">
        <v>969</v>
      </c>
      <c r="B222" s="93" t="s">
        <v>25</v>
      </c>
      <c r="C222" s="93" t="s">
        <v>229</v>
      </c>
      <c r="D222" s="33" t="s">
        <v>1775</v>
      </c>
      <c r="E222" s="34" t="s">
        <v>970</v>
      </c>
      <c r="F222" s="34" t="s">
        <v>971</v>
      </c>
      <c r="G222" s="34" t="s">
        <v>111</v>
      </c>
      <c r="H222" s="37">
        <v>1</v>
      </c>
      <c r="I222" s="34" t="s">
        <v>112</v>
      </c>
      <c r="J222" s="34" t="s">
        <v>31</v>
      </c>
      <c r="K222" s="34" t="s">
        <v>32</v>
      </c>
      <c r="L222" s="34" t="s">
        <v>1755</v>
      </c>
      <c r="M222" s="34" t="s">
        <v>33</v>
      </c>
      <c r="N222" s="47">
        <v>18</v>
      </c>
      <c r="O222" s="48">
        <v>3</v>
      </c>
      <c r="P222" s="49">
        <v>114</v>
      </c>
      <c r="Q222" s="50">
        <v>16.899609999999999</v>
      </c>
      <c r="R222" s="50">
        <v>-99.827545999999998</v>
      </c>
      <c r="S222" s="66" t="s">
        <v>34</v>
      </c>
      <c r="T222" s="66" t="s">
        <v>175</v>
      </c>
      <c r="U222" s="66" t="s">
        <v>35</v>
      </c>
      <c r="V222" s="66" t="s">
        <v>35</v>
      </c>
      <c r="W222" s="66" t="s">
        <v>175</v>
      </c>
      <c r="X222" s="66" t="s">
        <v>175</v>
      </c>
      <c r="Y222" s="66"/>
      <c r="Z222" s="66"/>
      <c r="AA222" s="66"/>
      <c r="AB222" s="67"/>
      <c r="AC222" s="87">
        <f t="shared" si="9"/>
        <v>0.5</v>
      </c>
      <c r="AD222" s="91">
        <v>4</v>
      </c>
      <c r="AE222" s="64" t="s">
        <v>1784</v>
      </c>
      <c r="AF222">
        <f t="shared" si="11"/>
        <v>0</v>
      </c>
      <c r="AG222">
        <f t="shared" si="10"/>
        <v>0</v>
      </c>
    </row>
    <row r="223" spans="1:33" x14ac:dyDescent="0.3">
      <c r="A223" s="84" t="s">
        <v>228</v>
      </c>
      <c r="B223" s="93" t="s">
        <v>25</v>
      </c>
      <c r="C223" s="93" t="s">
        <v>229</v>
      </c>
      <c r="D223" s="33" t="s">
        <v>1775</v>
      </c>
      <c r="E223" s="34" t="s">
        <v>230</v>
      </c>
      <c r="F223" s="34" t="s">
        <v>231</v>
      </c>
      <c r="G223" s="34" t="s">
        <v>29</v>
      </c>
      <c r="H223" s="37">
        <v>1</v>
      </c>
      <c r="I223" s="34" t="s">
        <v>30</v>
      </c>
      <c r="J223" s="34" t="s">
        <v>31</v>
      </c>
      <c r="K223" s="34" t="s">
        <v>32</v>
      </c>
      <c r="L223" s="34" t="s">
        <v>1755</v>
      </c>
      <c r="M223" s="34" t="s">
        <v>33</v>
      </c>
      <c r="N223" s="47">
        <v>5</v>
      </c>
      <c r="O223" s="48">
        <v>1</v>
      </c>
      <c r="P223" s="49">
        <v>15</v>
      </c>
      <c r="Q223" s="50">
        <v>17.468738999999999</v>
      </c>
      <c r="R223" s="50">
        <v>-98.386919000000006</v>
      </c>
      <c r="S223" s="66" t="s">
        <v>34</v>
      </c>
      <c r="T223" s="66" t="s">
        <v>175</v>
      </c>
      <c r="U223" s="66" t="s">
        <v>35</v>
      </c>
      <c r="V223" s="66" t="s">
        <v>35</v>
      </c>
      <c r="W223" s="66" t="s">
        <v>35</v>
      </c>
      <c r="X223" s="66" t="s">
        <v>35</v>
      </c>
      <c r="Y223" s="66"/>
      <c r="Z223" s="66"/>
      <c r="AA223" s="66"/>
      <c r="AB223" s="67"/>
      <c r="AC223" s="87">
        <f>(
IF(S223="ENVIADO A LA CE/UM",1/3,IF(S223="ENTREGADO/REVISIÓN",2/3,IF(S223="ENVIADO A TICS",1,0)))+
IF(T223="EN PROCESO",1/2,IF(T223="CONCLUIDO",1,0))+
IF(OR(U223="CONCLUIDO",U223="NO APLICA"),1,IF(U223="EN REVISIÓN CENTRAL",2/3,IF(U223="ENVIADO A LA CE/UM",1/3,0)))+
IF(OR(V223="CONCLUIDO",V223="NO APLICA"),1,IF(V223="EN REVISIÓN CENTRAL",2/3,IF(V223="ENVIADO A LA CE/UM",1/3,0)))+                                                                                                                                                                                                                                                         IF(OR(W224="CONCLUIDO",W224="NO APLICA"),1,IF(W224="EN PROCESO",0.5,0))+
IF(OR(X223="CONCLUIDO",X223="NO APLICA"),1,IF(X223="EN PROCESO",0.5,0))+
IF(Y223="PROGRAMADAS",1/2,IF(Y223="CONCLUIDAS",1,0))+
IF(OR(Z223="SI",Z223="NO APLICA"),1,0)+
IF(OR(AA223="SI",AA223="NO APLICA"),1,0)
)/9</f>
        <v>0.55555555555555558</v>
      </c>
      <c r="AD223" s="91">
        <v>4</v>
      </c>
      <c r="AE223" s="64" t="s">
        <v>1784</v>
      </c>
      <c r="AF223">
        <f t="shared" si="11"/>
        <v>0</v>
      </c>
      <c r="AG223">
        <f t="shared" si="10"/>
        <v>0</v>
      </c>
    </row>
    <row r="224" spans="1:33" x14ac:dyDescent="0.3">
      <c r="A224" s="84" t="s">
        <v>232</v>
      </c>
      <c r="B224" s="93" t="s">
        <v>25</v>
      </c>
      <c r="C224" s="93" t="s">
        <v>229</v>
      </c>
      <c r="D224" s="33" t="s">
        <v>1775</v>
      </c>
      <c r="E224" s="34" t="s">
        <v>233</v>
      </c>
      <c r="F224" s="34" t="s">
        <v>234</v>
      </c>
      <c r="G224" s="34" t="s">
        <v>29</v>
      </c>
      <c r="H224" s="37">
        <v>1</v>
      </c>
      <c r="I224" s="34" t="s">
        <v>30</v>
      </c>
      <c r="J224" s="34" t="s">
        <v>31</v>
      </c>
      <c r="K224" s="34" t="s">
        <v>32</v>
      </c>
      <c r="L224" s="34" t="s">
        <v>1755</v>
      </c>
      <c r="M224" s="34" t="s">
        <v>33</v>
      </c>
      <c r="N224" s="47">
        <v>15</v>
      </c>
      <c r="O224" s="48">
        <v>2</v>
      </c>
      <c r="P224" s="49">
        <v>29</v>
      </c>
      <c r="Q224" s="50">
        <v>18.322120999999999</v>
      </c>
      <c r="R224" s="50">
        <v>-100.287227</v>
      </c>
      <c r="S224" s="66" t="s">
        <v>34</v>
      </c>
      <c r="T224" s="66" t="s">
        <v>175</v>
      </c>
      <c r="U224" s="66" t="s">
        <v>35</v>
      </c>
      <c r="V224" s="66" t="s">
        <v>35</v>
      </c>
      <c r="W224" s="66" t="s">
        <v>175</v>
      </c>
      <c r="X224" s="66" t="s">
        <v>175</v>
      </c>
      <c r="Y224" s="66"/>
      <c r="Z224" s="66"/>
      <c r="AA224" s="66"/>
      <c r="AB224" s="67"/>
      <c r="AC224" s="87">
        <v>0.315</v>
      </c>
      <c r="AD224" s="91">
        <v>4</v>
      </c>
      <c r="AE224" s="64" t="s">
        <v>1784</v>
      </c>
      <c r="AF224">
        <f t="shared" si="11"/>
        <v>0</v>
      </c>
      <c r="AG224">
        <f t="shared" si="10"/>
        <v>0</v>
      </c>
    </row>
    <row r="225" spans="1:33" x14ac:dyDescent="0.3">
      <c r="A225" s="84" t="s">
        <v>972</v>
      </c>
      <c r="B225" s="93" t="s">
        <v>25</v>
      </c>
      <c r="C225" s="93" t="s">
        <v>229</v>
      </c>
      <c r="D225" s="33" t="s">
        <v>1775</v>
      </c>
      <c r="E225" s="34" t="s">
        <v>973</v>
      </c>
      <c r="F225" s="34" t="s">
        <v>974</v>
      </c>
      <c r="G225" s="34" t="s">
        <v>111</v>
      </c>
      <c r="H225" s="37">
        <v>1</v>
      </c>
      <c r="I225" s="34" t="s">
        <v>112</v>
      </c>
      <c r="J225" s="34" t="s">
        <v>31</v>
      </c>
      <c r="K225" s="34" t="s">
        <v>32</v>
      </c>
      <c r="L225" s="34" t="s">
        <v>1755</v>
      </c>
      <c r="M225" s="34" t="s">
        <v>33</v>
      </c>
      <c r="N225" s="47">
        <v>8</v>
      </c>
      <c r="O225" s="48">
        <v>2</v>
      </c>
      <c r="P225" s="49">
        <v>55</v>
      </c>
      <c r="Q225" s="50">
        <v>17.203735999999999</v>
      </c>
      <c r="R225" s="50">
        <v>-100.44002399999999</v>
      </c>
      <c r="S225" s="66" t="s">
        <v>34</v>
      </c>
      <c r="T225" s="66" t="s">
        <v>175</v>
      </c>
      <c r="U225" s="66" t="s">
        <v>35</v>
      </c>
      <c r="V225" s="66" t="s">
        <v>35</v>
      </c>
      <c r="W225" s="66" t="s">
        <v>35</v>
      </c>
      <c r="X225" s="66" t="s">
        <v>35</v>
      </c>
      <c r="Y225" s="66"/>
      <c r="Z225" s="66"/>
      <c r="AA225" s="66"/>
      <c r="AB225" s="67"/>
      <c r="AC225" s="87">
        <f t="shared" ref="AC225:AC288" si="12">(
IF(S225="ENVIADO A LA CE/UM",1/3,IF(S225="ENTREGADO/REVISIÓN",2/3,IF(S225="ENVIADO A TICS",1,0)))+
IF(T225="EN PROCESO",1/2,IF(T225="CONCLUIDO",1,0))+
IF(OR(U225="CONCLUIDO",U225="NO APLICA"),1,IF(U225="EN REVISIÓN CENTRAL",2/3,IF(U225="ENVIADO A LA CE/UM",1/3,0)))+
IF(OR(V225="CONCLUIDO",V225="NO APLICA"),1,IF(V225="EN REVISIÓN CENTRAL",2/3,IF(V225="ENVIADO A LA CE/UM",1/3,0)))+                                                                                                                                                                                                                                                         IF(OR(W225="CONCLUIDO",W225="NO APLICA"),1,IF(W225="EN PROCESO",0.5,0))+
IF(OR(X225="CONCLUIDO",X225="NO APLICA"),1,IF(X225="EN PROCESO",0.5,0))+
IF(Y225="PROGRAMADAS",1/2,IF(Y225="CONCLUIDAS",1,0))+
IF(OR(Z225="SI",Z225="NO APLICA"),1,0)+
IF(OR(AA225="SI",AA225="NO APLICA"),1,0)
)/9</f>
        <v>0.61111111111111116</v>
      </c>
      <c r="AD225" s="91">
        <v>4</v>
      </c>
      <c r="AE225" s="64" t="s">
        <v>1784</v>
      </c>
      <c r="AF225">
        <f t="shared" si="11"/>
        <v>0</v>
      </c>
      <c r="AG225">
        <f t="shared" si="10"/>
        <v>0</v>
      </c>
    </row>
    <row r="226" spans="1:33" x14ac:dyDescent="0.3">
      <c r="A226" s="84" t="s">
        <v>235</v>
      </c>
      <c r="B226" s="93" t="s">
        <v>25</v>
      </c>
      <c r="C226" s="93" t="s">
        <v>229</v>
      </c>
      <c r="D226" s="33" t="s">
        <v>1775</v>
      </c>
      <c r="E226" s="34" t="s">
        <v>236</v>
      </c>
      <c r="F226" s="34" t="s">
        <v>237</v>
      </c>
      <c r="G226" s="34" t="s">
        <v>29</v>
      </c>
      <c r="H226" s="37">
        <v>1</v>
      </c>
      <c r="I226" s="34" t="s">
        <v>30</v>
      </c>
      <c r="J226" s="34" t="s">
        <v>31</v>
      </c>
      <c r="K226" s="34" t="s">
        <v>32</v>
      </c>
      <c r="L226" s="34" t="s">
        <v>1755</v>
      </c>
      <c r="M226" s="34" t="s">
        <v>33</v>
      </c>
      <c r="N226" s="47">
        <v>9</v>
      </c>
      <c r="O226" s="48">
        <v>1</v>
      </c>
      <c r="P226" s="49">
        <v>13</v>
      </c>
      <c r="Q226" s="50">
        <v>18.312176999999998</v>
      </c>
      <c r="R226" s="50">
        <v>-101.737381</v>
      </c>
      <c r="S226" s="66" t="s">
        <v>34</v>
      </c>
      <c r="T226" s="66" t="s">
        <v>175</v>
      </c>
      <c r="U226" s="66" t="s">
        <v>35</v>
      </c>
      <c r="V226" s="66" t="s">
        <v>35</v>
      </c>
      <c r="W226" s="66" t="s">
        <v>35</v>
      </c>
      <c r="X226" s="66" t="s">
        <v>35</v>
      </c>
      <c r="Y226" s="66"/>
      <c r="Z226" s="66"/>
      <c r="AA226" s="66"/>
      <c r="AB226" s="67"/>
      <c r="AC226" s="87">
        <f t="shared" si="12"/>
        <v>0.61111111111111116</v>
      </c>
      <c r="AD226" s="91">
        <v>4</v>
      </c>
      <c r="AE226" s="64" t="s">
        <v>1784</v>
      </c>
      <c r="AF226">
        <f t="shared" si="11"/>
        <v>0</v>
      </c>
      <c r="AG226">
        <f t="shared" si="10"/>
        <v>0</v>
      </c>
    </row>
    <row r="227" spans="1:33" x14ac:dyDescent="0.3">
      <c r="A227" s="84" t="s">
        <v>238</v>
      </c>
      <c r="B227" s="93" t="s">
        <v>25</v>
      </c>
      <c r="C227" s="93" t="s">
        <v>229</v>
      </c>
      <c r="D227" s="33" t="s">
        <v>1775</v>
      </c>
      <c r="E227" s="34" t="s">
        <v>239</v>
      </c>
      <c r="F227" s="34" t="s">
        <v>240</v>
      </c>
      <c r="G227" s="34" t="s">
        <v>29</v>
      </c>
      <c r="H227" s="37">
        <v>1</v>
      </c>
      <c r="I227" s="34" t="s">
        <v>30</v>
      </c>
      <c r="J227" s="34" t="s">
        <v>31</v>
      </c>
      <c r="K227" s="34" t="s">
        <v>32</v>
      </c>
      <c r="L227" s="34" t="s">
        <v>1755</v>
      </c>
      <c r="M227" s="34" t="s">
        <v>33</v>
      </c>
      <c r="N227" s="47">
        <v>10</v>
      </c>
      <c r="O227" s="48">
        <v>1</v>
      </c>
      <c r="P227" s="49">
        <v>15</v>
      </c>
      <c r="Q227" s="50">
        <v>16.607900000000001</v>
      </c>
      <c r="R227" s="50">
        <v>-98.987965000000003</v>
      </c>
      <c r="S227" s="66" t="s">
        <v>34</v>
      </c>
      <c r="T227" s="66" t="s">
        <v>175</v>
      </c>
      <c r="U227" s="66" t="s">
        <v>35</v>
      </c>
      <c r="V227" s="66" t="s">
        <v>35</v>
      </c>
      <c r="W227" s="66" t="s">
        <v>175</v>
      </c>
      <c r="X227" s="66" t="s">
        <v>175</v>
      </c>
      <c r="Y227" s="66"/>
      <c r="Z227" s="66"/>
      <c r="AA227" s="66"/>
      <c r="AB227" s="67"/>
      <c r="AC227" s="87">
        <f t="shared" si="12"/>
        <v>0.5</v>
      </c>
      <c r="AD227" s="91">
        <v>4</v>
      </c>
      <c r="AE227" s="64" t="s">
        <v>1784</v>
      </c>
      <c r="AF227">
        <f t="shared" si="11"/>
        <v>0</v>
      </c>
      <c r="AG227">
        <f t="shared" si="10"/>
        <v>0</v>
      </c>
    </row>
    <row r="228" spans="1:33" x14ac:dyDescent="0.3">
      <c r="A228" s="84" t="s">
        <v>241</v>
      </c>
      <c r="B228" s="93" t="s">
        <v>25</v>
      </c>
      <c r="C228" s="93" t="s">
        <v>229</v>
      </c>
      <c r="D228" s="33" t="s">
        <v>1775</v>
      </c>
      <c r="E228" s="34" t="s">
        <v>242</v>
      </c>
      <c r="F228" s="34" t="s">
        <v>243</v>
      </c>
      <c r="G228" s="34" t="s">
        <v>29</v>
      </c>
      <c r="H228" s="37">
        <v>1</v>
      </c>
      <c r="I228" s="34" t="s">
        <v>30</v>
      </c>
      <c r="J228" s="34" t="s">
        <v>31</v>
      </c>
      <c r="K228" s="34" t="s">
        <v>32</v>
      </c>
      <c r="L228" s="34" t="s">
        <v>1755</v>
      </c>
      <c r="M228" s="34" t="s">
        <v>33</v>
      </c>
      <c r="N228" s="47">
        <v>6</v>
      </c>
      <c r="O228" s="48">
        <v>1</v>
      </c>
      <c r="P228" s="49">
        <v>13</v>
      </c>
      <c r="Q228" s="50">
        <v>16.480388999999999</v>
      </c>
      <c r="R228" s="50">
        <v>-98.414088000000007</v>
      </c>
      <c r="S228" s="66" t="s">
        <v>34</v>
      </c>
      <c r="T228" s="66" t="s">
        <v>175</v>
      </c>
      <c r="U228" s="66" t="s">
        <v>35</v>
      </c>
      <c r="V228" s="66" t="s">
        <v>35</v>
      </c>
      <c r="W228" s="66" t="s">
        <v>175</v>
      </c>
      <c r="X228" s="66" t="s">
        <v>35</v>
      </c>
      <c r="Y228" s="66"/>
      <c r="Z228" s="66"/>
      <c r="AA228" s="66"/>
      <c r="AB228" s="67"/>
      <c r="AC228" s="87">
        <f t="shared" si="12"/>
        <v>0.55555555555555558</v>
      </c>
      <c r="AD228" s="91">
        <v>4</v>
      </c>
      <c r="AE228" s="64" t="s">
        <v>1784</v>
      </c>
      <c r="AF228">
        <f t="shared" si="11"/>
        <v>0</v>
      </c>
      <c r="AG228">
        <f t="shared" si="10"/>
        <v>0</v>
      </c>
    </row>
    <row r="229" spans="1:33" x14ac:dyDescent="0.3">
      <c r="A229" s="84" t="s">
        <v>244</v>
      </c>
      <c r="B229" s="93" t="s">
        <v>25</v>
      </c>
      <c r="C229" s="93" t="s">
        <v>229</v>
      </c>
      <c r="D229" s="33" t="s">
        <v>1775</v>
      </c>
      <c r="E229" s="34" t="s">
        <v>245</v>
      </c>
      <c r="F229" s="34" t="s">
        <v>246</v>
      </c>
      <c r="G229" s="34" t="s">
        <v>29</v>
      </c>
      <c r="H229" s="37">
        <v>1</v>
      </c>
      <c r="I229" s="34" t="s">
        <v>30</v>
      </c>
      <c r="J229" s="34" t="s">
        <v>31</v>
      </c>
      <c r="K229" s="34" t="s">
        <v>32</v>
      </c>
      <c r="L229" s="34" t="s">
        <v>1755</v>
      </c>
      <c r="M229" s="34" t="s">
        <v>33</v>
      </c>
      <c r="N229" s="47">
        <v>7</v>
      </c>
      <c r="O229" s="48">
        <v>1</v>
      </c>
      <c r="P229" s="49">
        <v>27</v>
      </c>
      <c r="Q229" s="50">
        <v>17.786453000000002</v>
      </c>
      <c r="R229" s="50">
        <v>-99.979870000000005</v>
      </c>
      <c r="S229" s="66" t="s">
        <v>34</v>
      </c>
      <c r="T229" s="66" t="s">
        <v>175</v>
      </c>
      <c r="U229" s="66" t="s">
        <v>35</v>
      </c>
      <c r="V229" s="66" t="s">
        <v>35</v>
      </c>
      <c r="W229" s="66" t="s">
        <v>175</v>
      </c>
      <c r="X229" s="66" t="s">
        <v>175</v>
      </c>
      <c r="Y229" s="66"/>
      <c r="Z229" s="66"/>
      <c r="AA229" s="66"/>
      <c r="AB229" s="67"/>
      <c r="AC229" s="87">
        <f t="shared" si="12"/>
        <v>0.5</v>
      </c>
      <c r="AD229" s="91">
        <v>4</v>
      </c>
      <c r="AE229" s="64" t="s">
        <v>1784</v>
      </c>
      <c r="AF229">
        <f t="shared" si="11"/>
        <v>0</v>
      </c>
      <c r="AG229">
        <f t="shared" si="10"/>
        <v>0</v>
      </c>
    </row>
    <row r="230" spans="1:33" x14ac:dyDescent="0.3">
      <c r="A230" s="84" t="s">
        <v>975</v>
      </c>
      <c r="B230" s="93" t="s">
        <v>25</v>
      </c>
      <c r="C230" s="93" t="s">
        <v>229</v>
      </c>
      <c r="D230" s="33" t="s">
        <v>1775</v>
      </c>
      <c r="E230" s="34" t="s">
        <v>976</v>
      </c>
      <c r="F230" s="34" t="s">
        <v>977</v>
      </c>
      <c r="G230" s="34" t="s">
        <v>111</v>
      </c>
      <c r="H230" s="37">
        <v>1</v>
      </c>
      <c r="I230" s="34" t="s">
        <v>112</v>
      </c>
      <c r="J230" s="34" t="s">
        <v>31</v>
      </c>
      <c r="K230" s="34" t="s">
        <v>32</v>
      </c>
      <c r="L230" s="34" t="s">
        <v>1755</v>
      </c>
      <c r="M230" s="34" t="s">
        <v>33</v>
      </c>
      <c r="N230" s="47">
        <v>14</v>
      </c>
      <c r="O230" s="48">
        <v>2</v>
      </c>
      <c r="P230" s="49">
        <v>60</v>
      </c>
      <c r="Q230" s="50">
        <v>18.296510000000001</v>
      </c>
      <c r="R230" s="50">
        <v>-99.330506</v>
      </c>
      <c r="S230" s="66" t="s">
        <v>34</v>
      </c>
      <c r="T230" s="66" t="s">
        <v>175</v>
      </c>
      <c r="U230" s="66" t="s">
        <v>35</v>
      </c>
      <c r="V230" s="66" t="s">
        <v>35</v>
      </c>
      <c r="W230" s="66" t="s">
        <v>35</v>
      </c>
      <c r="X230" s="66" t="s">
        <v>35</v>
      </c>
      <c r="Y230" s="66"/>
      <c r="Z230" s="66"/>
      <c r="AA230" s="66"/>
      <c r="AB230" s="67"/>
      <c r="AC230" s="87">
        <f t="shared" si="12"/>
        <v>0.61111111111111116</v>
      </c>
      <c r="AD230" s="91">
        <v>4</v>
      </c>
      <c r="AE230" s="64" t="s">
        <v>1784</v>
      </c>
      <c r="AF230">
        <f t="shared" si="11"/>
        <v>0</v>
      </c>
      <c r="AG230">
        <f t="shared" si="10"/>
        <v>0</v>
      </c>
    </row>
    <row r="231" spans="1:33" x14ac:dyDescent="0.3">
      <c r="A231" s="84" t="s">
        <v>978</v>
      </c>
      <c r="B231" s="93" t="s">
        <v>25</v>
      </c>
      <c r="C231" s="93" t="s">
        <v>229</v>
      </c>
      <c r="D231" s="33" t="s">
        <v>1775</v>
      </c>
      <c r="E231" s="34" t="s">
        <v>979</v>
      </c>
      <c r="F231" s="34" t="s">
        <v>980</v>
      </c>
      <c r="G231" s="34" t="s">
        <v>111</v>
      </c>
      <c r="H231" s="37">
        <v>1</v>
      </c>
      <c r="I231" s="34" t="s">
        <v>112</v>
      </c>
      <c r="J231" s="34" t="s">
        <v>31</v>
      </c>
      <c r="K231" s="34" t="s">
        <v>32</v>
      </c>
      <c r="L231" s="34" t="s">
        <v>1755</v>
      </c>
      <c r="M231" s="34" t="s">
        <v>33</v>
      </c>
      <c r="N231" s="47">
        <v>26</v>
      </c>
      <c r="O231" s="48">
        <v>4</v>
      </c>
      <c r="P231" s="49">
        <v>135</v>
      </c>
      <c r="Q231" s="50">
        <v>18.344546000000001</v>
      </c>
      <c r="R231" s="50">
        <v>-99.523602999999994</v>
      </c>
      <c r="S231" s="66" t="s">
        <v>34</v>
      </c>
      <c r="T231" s="66" t="s">
        <v>175</v>
      </c>
      <c r="U231" s="66" t="s">
        <v>35</v>
      </c>
      <c r="V231" s="66" t="s">
        <v>35</v>
      </c>
      <c r="W231" s="66" t="s">
        <v>35</v>
      </c>
      <c r="X231" s="66" t="s">
        <v>35</v>
      </c>
      <c r="Y231" s="66"/>
      <c r="Z231" s="66"/>
      <c r="AA231" s="66"/>
      <c r="AB231" s="67"/>
      <c r="AC231" s="87">
        <f t="shared" si="12"/>
        <v>0.61111111111111116</v>
      </c>
      <c r="AD231" s="91">
        <v>4</v>
      </c>
      <c r="AE231" s="64" t="s">
        <v>1784</v>
      </c>
      <c r="AF231">
        <f t="shared" si="11"/>
        <v>0</v>
      </c>
      <c r="AG231">
        <f t="shared" si="10"/>
        <v>0</v>
      </c>
    </row>
    <row r="232" spans="1:33" x14ac:dyDescent="0.3">
      <c r="A232" s="84" t="s">
        <v>981</v>
      </c>
      <c r="B232" s="93" t="s">
        <v>25</v>
      </c>
      <c r="C232" s="93" t="s">
        <v>229</v>
      </c>
      <c r="D232" s="33" t="s">
        <v>1775</v>
      </c>
      <c r="E232" s="34" t="s">
        <v>982</v>
      </c>
      <c r="F232" s="34" t="s">
        <v>983</v>
      </c>
      <c r="G232" s="34" t="s">
        <v>111</v>
      </c>
      <c r="H232" s="37">
        <v>1</v>
      </c>
      <c r="I232" s="34" t="s">
        <v>112</v>
      </c>
      <c r="J232" s="34" t="s">
        <v>31</v>
      </c>
      <c r="K232" s="34" t="s">
        <v>32</v>
      </c>
      <c r="L232" s="34" t="s">
        <v>1755</v>
      </c>
      <c r="M232" s="34" t="s">
        <v>33</v>
      </c>
      <c r="N232" s="47">
        <v>22</v>
      </c>
      <c r="O232" s="48">
        <v>4</v>
      </c>
      <c r="P232" s="49">
        <v>104</v>
      </c>
      <c r="Q232" s="50">
        <v>17.648613000000001</v>
      </c>
      <c r="R232" s="50">
        <v>-101.549035</v>
      </c>
      <c r="S232" s="66" t="s">
        <v>34</v>
      </c>
      <c r="T232" s="66" t="s">
        <v>175</v>
      </c>
      <c r="U232" s="66" t="s">
        <v>35</v>
      </c>
      <c r="V232" s="66" t="s">
        <v>35</v>
      </c>
      <c r="W232" s="66" t="s">
        <v>175</v>
      </c>
      <c r="X232" s="66" t="s">
        <v>175</v>
      </c>
      <c r="Y232" s="66"/>
      <c r="Z232" s="66"/>
      <c r="AA232" s="66"/>
      <c r="AB232" s="67"/>
      <c r="AC232" s="87">
        <f t="shared" si="12"/>
        <v>0.5</v>
      </c>
      <c r="AD232" s="91">
        <v>4</v>
      </c>
      <c r="AE232" s="64" t="s">
        <v>1784</v>
      </c>
      <c r="AF232">
        <f t="shared" si="11"/>
        <v>0</v>
      </c>
      <c r="AG232">
        <f t="shared" si="10"/>
        <v>0</v>
      </c>
    </row>
    <row r="233" spans="1:33" x14ac:dyDescent="0.3">
      <c r="A233" s="84" t="s">
        <v>247</v>
      </c>
      <c r="B233" s="93" t="s">
        <v>25</v>
      </c>
      <c r="C233" s="93" t="s">
        <v>229</v>
      </c>
      <c r="D233" s="33" t="s">
        <v>1775</v>
      </c>
      <c r="E233" s="34" t="s">
        <v>248</v>
      </c>
      <c r="F233" s="34" t="s">
        <v>249</v>
      </c>
      <c r="G233" s="34" t="s">
        <v>29</v>
      </c>
      <c r="H233" s="37">
        <v>1</v>
      </c>
      <c r="I233" s="34" t="s">
        <v>30</v>
      </c>
      <c r="J233" s="34" t="s">
        <v>31</v>
      </c>
      <c r="K233" s="34" t="s">
        <v>32</v>
      </c>
      <c r="L233" s="34" t="s">
        <v>1755</v>
      </c>
      <c r="M233" s="34" t="s">
        <v>84</v>
      </c>
      <c r="N233" s="47">
        <v>10</v>
      </c>
      <c r="O233" s="48">
        <v>1</v>
      </c>
      <c r="P233" s="49">
        <v>13</v>
      </c>
      <c r="Q233" s="50">
        <v>17.651319000000001</v>
      </c>
      <c r="R233" s="50">
        <v>-99.835199000000003</v>
      </c>
      <c r="S233" s="66" t="s">
        <v>34</v>
      </c>
      <c r="T233" s="66" t="s">
        <v>175</v>
      </c>
      <c r="U233" s="66" t="s">
        <v>35</v>
      </c>
      <c r="V233" s="66" t="s">
        <v>35</v>
      </c>
      <c r="W233" s="66" t="s">
        <v>175</v>
      </c>
      <c r="X233" s="66" t="s">
        <v>175</v>
      </c>
      <c r="Y233" s="66"/>
      <c r="Z233" s="66"/>
      <c r="AA233" s="66"/>
      <c r="AB233" s="67"/>
      <c r="AC233" s="87">
        <f t="shared" si="12"/>
        <v>0.5</v>
      </c>
      <c r="AD233" s="91">
        <v>4</v>
      </c>
      <c r="AE233" s="64" t="s">
        <v>1784</v>
      </c>
      <c r="AF233">
        <f t="shared" si="11"/>
        <v>0</v>
      </c>
      <c r="AG233">
        <f t="shared" si="10"/>
        <v>0</v>
      </c>
    </row>
    <row r="234" spans="1:33" x14ac:dyDescent="0.3">
      <c r="A234" s="84" t="s">
        <v>250</v>
      </c>
      <c r="B234" s="93" t="s">
        <v>25</v>
      </c>
      <c r="C234" s="93" t="s">
        <v>229</v>
      </c>
      <c r="D234" s="33" t="s">
        <v>1775</v>
      </c>
      <c r="E234" s="34" t="s">
        <v>251</v>
      </c>
      <c r="F234" s="34" t="s">
        <v>252</v>
      </c>
      <c r="G234" s="34" t="s">
        <v>29</v>
      </c>
      <c r="H234" s="37">
        <v>1</v>
      </c>
      <c r="I234" s="34" t="s">
        <v>30</v>
      </c>
      <c r="J234" s="34" t="s">
        <v>31</v>
      </c>
      <c r="K234" s="34" t="s">
        <v>32</v>
      </c>
      <c r="L234" s="34" t="s">
        <v>1755</v>
      </c>
      <c r="M234" s="34" t="s">
        <v>33</v>
      </c>
      <c r="N234" s="47">
        <v>7</v>
      </c>
      <c r="O234" s="48">
        <v>1</v>
      </c>
      <c r="P234" s="49">
        <v>16</v>
      </c>
      <c r="Q234" s="50">
        <v>17.243397000000002</v>
      </c>
      <c r="R234" s="50">
        <v>-98.668840000000003</v>
      </c>
      <c r="S234" s="66" t="s">
        <v>34</v>
      </c>
      <c r="T234" s="66" t="s">
        <v>175</v>
      </c>
      <c r="U234" s="66" t="s">
        <v>35</v>
      </c>
      <c r="V234" s="66" t="s">
        <v>35</v>
      </c>
      <c r="W234" s="66" t="s">
        <v>175</v>
      </c>
      <c r="X234" s="66" t="s">
        <v>175</v>
      </c>
      <c r="Y234" s="66"/>
      <c r="Z234" s="66"/>
      <c r="AA234" s="66"/>
      <c r="AB234" s="67"/>
      <c r="AC234" s="87">
        <f t="shared" si="12"/>
        <v>0.5</v>
      </c>
      <c r="AD234" s="91">
        <v>4</v>
      </c>
      <c r="AE234" s="64" t="s">
        <v>1784</v>
      </c>
      <c r="AF234">
        <f t="shared" si="11"/>
        <v>0</v>
      </c>
      <c r="AG234">
        <f t="shared" si="10"/>
        <v>0</v>
      </c>
    </row>
    <row r="235" spans="1:33" x14ac:dyDescent="0.3">
      <c r="A235" s="84" t="s">
        <v>984</v>
      </c>
      <c r="B235" s="93" t="s">
        <v>25</v>
      </c>
      <c r="C235" s="93" t="s">
        <v>229</v>
      </c>
      <c r="D235" s="33" t="s">
        <v>1775</v>
      </c>
      <c r="E235" s="34" t="s">
        <v>985</v>
      </c>
      <c r="F235" s="34" t="s">
        <v>986</v>
      </c>
      <c r="G235" s="34" t="s">
        <v>111</v>
      </c>
      <c r="H235" s="37">
        <v>1</v>
      </c>
      <c r="I235" s="34" t="s">
        <v>112</v>
      </c>
      <c r="J235" s="34" t="s">
        <v>31</v>
      </c>
      <c r="K235" s="34" t="s">
        <v>32</v>
      </c>
      <c r="L235" s="34" t="s">
        <v>1755</v>
      </c>
      <c r="M235" s="34" t="s">
        <v>33</v>
      </c>
      <c r="N235" s="47">
        <v>19</v>
      </c>
      <c r="O235" s="48">
        <v>2</v>
      </c>
      <c r="P235" s="49">
        <v>83</v>
      </c>
      <c r="Q235" s="50">
        <v>16.689240999999999</v>
      </c>
      <c r="R235" s="50">
        <v>-98.433141000000006</v>
      </c>
      <c r="S235" s="66" t="s">
        <v>34</v>
      </c>
      <c r="T235" s="66" t="s">
        <v>175</v>
      </c>
      <c r="U235" s="66" t="s">
        <v>35</v>
      </c>
      <c r="V235" s="66" t="s">
        <v>35</v>
      </c>
      <c r="W235" s="66" t="s">
        <v>175</v>
      </c>
      <c r="X235" s="66" t="s">
        <v>175</v>
      </c>
      <c r="Y235" s="66"/>
      <c r="Z235" s="66"/>
      <c r="AA235" s="66"/>
      <c r="AB235" s="67"/>
      <c r="AC235" s="87">
        <f t="shared" si="12"/>
        <v>0.5</v>
      </c>
      <c r="AD235" s="91">
        <v>4</v>
      </c>
      <c r="AE235" s="64" t="s">
        <v>1784</v>
      </c>
      <c r="AF235">
        <f t="shared" si="11"/>
        <v>0</v>
      </c>
      <c r="AG235">
        <f t="shared" si="10"/>
        <v>0</v>
      </c>
    </row>
    <row r="236" spans="1:33" x14ac:dyDescent="0.3">
      <c r="A236" s="84" t="s">
        <v>253</v>
      </c>
      <c r="B236" s="93" t="s">
        <v>25</v>
      </c>
      <c r="C236" s="93" t="s">
        <v>229</v>
      </c>
      <c r="D236" s="33" t="s">
        <v>1775</v>
      </c>
      <c r="E236" s="34" t="s">
        <v>254</v>
      </c>
      <c r="F236" s="34" t="s">
        <v>255</v>
      </c>
      <c r="G236" s="34" t="s">
        <v>29</v>
      </c>
      <c r="H236" s="37">
        <v>1</v>
      </c>
      <c r="I236" s="34" t="s">
        <v>30</v>
      </c>
      <c r="J236" s="34" t="s">
        <v>31</v>
      </c>
      <c r="K236" s="34" t="s">
        <v>32</v>
      </c>
      <c r="L236" s="34" t="s">
        <v>1755</v>
      </c>
      <c r="M236" s="34" t="s">
        <v>33</v>
      </c>
      <c r="N236" s="47">
        <v>11</v>
      </c>
      <c r="O236" s="48">
        <v>2</v>
      </c>
      <c r="P236" s="49">
        <v>24</v>
      </c>
      <c r="Q236" s="50">
        <v>17.536346000000002</v>
      </c>
      <c r="R236" s="50">
        <v>-101.27050199999999</v>
      </c>
      <c r="S236" s="66" t="s">
        <v>34</v>
      </c>
      <c r="T236" s="66" t="s">
        <v>175</v>
      </c>
      <c r="U236" s="66" t="s">
        <v>35</v>
      </c>
      <c r="V236" s="66" t="s">
        <v>35</v>
      </c>
      <c r="W236" s="66" t="s">
        <v>175</v>
      </c>
      <c r="X236" s="66" t="s">
        <v>175</v>
      </c>
      <c r="Y236" s="66"/>
      <c r="Z236" s="66"/>
      <c r="AA236" s="66"/>
      <c r="AB236" s="67"/>
      <c r="AC236" s="87">
        <f t="shared" si="12"/>
        <v>0.5</v>
      </c>
      <c r="AD236" s="91">
        <v>4</v>
      </c>
      <c r="AE236" s="64" t="s">
        <v>1784</v>
      </c>
      <c r="AF236">
        <f t="shared" si="11"/>
        <v>0</v>
      </c>
      <c r="AG236">
        <f t="shared" si="10"/>
        <v>0</v>
      </c>
    </row>
    <row r="237" spans="1:33" x14ac:dyDescent="0.3">
      <c r="A237" s="84" t="s">
        <v>256</v>
      </c>
      <c r="B237" s="93" t="s">
        <v>25</v>
      </c>
      <c r="C237" s="93" t="s">
        <v>229</v>
      </c>
      <c r="D237" s="33" t="s">
        <v>1775</v>
      </c>
      <c r="E237" s="34" t="s">
        <v>257</v>
      </c>
      <c r="F237" s="34" t="s">
        <v>258</v>
      </c>
      <c r="G237" s="34" t="s">
        <v>29</v>
      </c>
      <c r="H237" s="37">
        <v>1</v>
      </c>
      <c r="I237" s="34" t="s">
        <v>30</v>
      </c>
      <c r="J237" s="34" t="s">
        <v>31</v>
      </c>
      <c r="K237" s="34" t="s">
        <v>32</v>
      </c>
      <c r="L237" s="34" t="s">
        <v>1755</v>
      </c>
      <c r="M237" s="34" t="s">
        <v>33</v>
      </c>
      <c r="N237" s="47">
        <v>10</v>
      </c>
      <c r="O237" s="48">
        <v>2</v>
      </c>
      <c r="P237" s="49">
        <v>19</v>
      </c>
      <c r="Q237" s="50">
        <v>17.413819</v>
      </c>
      <c r="R237" s="50">
        <v>-99.245531</v>
      </c>
      <c r="S237" s="66" t="s">
        <v>34</v>
      </c>
      <c r="T237" s="66" t="s">
        <v>175</v>
      </c>
      <c r="U237" s="66" t="s">
        <v>35</v>
      </c>
      <c r="V237" s="66" t="s">
        <v>35</v>
      </c>
      <c r="W237" s="66" t="s">
        <v>175</v>
      </c>
      <c r="X237" s="66" t="s">
        <v>175</v>
      </c>
      <c r="Y237" s="66"/>
      <c r="Z237" s="66"/>
      <c r="AA237" s="66"/>
      <c r="AB237" s="67"/>
      <c r="AC237" s="87">
        <f t="shared" si="12"/>
        <v>0.5</v>
      </c>
      <c r="AD237" s="91">
        <v>4</v>
      </c>
      <c r="AE237" s="64" t="s">
        <v>1784</v>
      </c>
      <c r="AF237">
        <f t="shared" si="11"/>
        <v>0</v>
      </c>
      <c r="AG237">
        <f t="shared" si="10"/>
        <v>0</v>
      </c>
    </row>
    <row r="238" spans="1:33" x14ac:dyDescent="0.3">
      <c r="A238" s="84" t="s">
        <v>259</v>
      </c>
      <c r="B238" s="93" t="s">
        <v>25</v>
      </c>
      <c r="C238" s="93" t="s">
        <v>229</v>
      </c>
      <c r="D238" s="33" t="s">
        <v>1775</v>
      </c>
      <c r="E238" s="34" t="s">
        <v>260</v>
      </c>
      <c r="F238" s="34" t="s">
        <v>261</v>
      </c>
      <c r="G238" s="34" t="s">
        <v>29</v>
      </c>
      <c r="H238" s="37">
        <v>1</v>
      </c>
      <c r="I238" s="34" t="s">
        <v>30</v>
      </c>
      <c r="J238" s="34" t="s">
        <v>31</v>
      </c>
      <c r="K238" s="34" t="s">
        <v>32</v>
      </c>
      <c r="L238" s="34" t="s">
        <v>1755</v>
      </c>
      <c r="M238" s="34" t="s">
        <v>33</v>
      </c>
      <c r="N238" s="47">
        <v>12</v>
      </c>
      <c r="O238" s="48">
        <v>2</v>
      </c>
      <c r="P238" s="49">
        <v>29</v>
      </c>
      <c r="Q238" s="50">
        <v>17.220575</v>
      </c>
      <c r="R238" s="50">
        <v>-100.630533</v>
      </c>
      <c r="S238" s="66" t="s">
        <v>34</v>
      </c>
      <c r="T238" s="66" t="s">
        <v>175</v>
      </c>
      <c r="U238" s="66" t="s">
        <v>35</v>
      </c>
      <c r="V238" s="66" t="s">
        <v>35</v>
      </c>
      <c r="W238" s="66" t="s">
        <v>175</v>
      </c>
      <c r="X238" s="66" t="s">
        <v>175</v>
      </c>
      <c r="Y238" s="66"/>
      <c r="Z238" s="66"/>
      <c r="AA238" s="66"/>
      <c r="AB238" s="67"/>
      <c r="AC238" s="87">
        <f t="shared" si="12"/>
        <v>0.5</v>
      </c>
      <c r="AD238" s="91">
        <v>4</v>
      </c>
      <c r="AE238" s="64" t="s">
        <v>1784</v>
      </c>
      <c r="AF238">
        <f t="shared" si="11"/>
        <v>0</v>
      </c>
      <c r="AG238">
        <f t="shared" si="10"/>
        <v>0</v>
      </c>
    </row>
    <row r="239" spans="1:33" x14ac:dyDescent="0.3">
      <c r="A239" s="84" t="s">
        <v>262</v>
      </c>
      <c r="B239" s="93" t="s">
        <v>25</v>
      </c>
      <c r="C239" s="93" t="s">
        <v>229</v>
      </c>
      <c r="D239" s="33" t="s">
        <v>1775</v>
      </c>
      <c r="E239" s="34" t="s">
        <v>263</v>
      </c>
      <c r="F239" s="34" t="s">
        <v>264</v>
      </c>
      <c r="G239" s="34" t="s">
        <v>29</v>
      </c>
      <c r="H239" s="37">
        <v>1</v>
      </c>
      <c r="I239" s="34" t="s">
        <v>30</v>
      </c>
      <c r="J239" s="34" t="s">
        <v>31</v>
      </c>
      <c r="K239" s="34" t="s">
        <v>32</v>
      </c>
      <c r="L239" s="34" t="s">
        <v>1755</v>
      </c>
      <c r="M239" s="34" t="s">
        <v>84</v>
      </c>
      <c r="N239" s="47">
        <v>8</v>
      </c>
      <c r="O239" s="48">
        <v>1</v>
      </c>
      <c r="P239" s="49">
        <v>11</v>
      </c>
      <c r="Q239" s="50">
        <v>17.997495000000001</v>
      </c>
      <c r="R239" s="50">
        <v>-99.542936999999995</v>
      </c>
      <c r="S239" s="66" t="s">
        <v>34</v>
      </c>
      <c r="T239" s="66" t="s">
        <v>175</v>
      </c>
      <c r="U239" s="66" t="s">
        <v>35</v>
      </c>
      <c r="V239" s="66" t="s">
        <v>35</v>
      </c>
      <c r="W239" s="66" t="s">
        <v>175</v>
      </c>
      <c r="X239" s="66" t="s">
        <v>175</v>
      </c>
      <c r="Y239" s="66"/>
      <c r="Z239" s="66"/>
      <c r="AA239" s="66"/>
      <c r="AB239" s="67"/>
      <c r="AC239" s="87">
        <f t="shared" si="12"/>
        <v>0.5</v>
      </c>
      <c r="AD239" s="91">
        <v>4</v>
      </c>
      <c r="AE239" s="64" t="s">
        <v>1784</v>
      </c>
      <c r="AF239">
        <f t="shared" si="11"/>
        <v>0</v>
      </c>
      <c r="AG239">
        <f t="shared" si="10"/>
        <v>0</v>
      </c>
    </row>
    <row r="240" spans="1:33" x14ac:dyDescent="0.3">
      <c r="A240" s="84" t="s">
        <v>265</v>
      </c>
      <c r="B240" s="93" t="s">
        <v>25</v>
      </c>
      <c r="C240" s="93" t="s">
        <v>229</v>
      </c>
      <c r="D240" s="33" t="s">
        <v>1775</v>
      </c>
      <c r="E240" s="34" t="s">
        <v>266</v>
      </c>
      <c r="F240" s="34" t="s">
        <v>267</v>
      </c>
      <c r="G240" s="34" t="s">
        <v>29</v>
      </c>
      <c r="H240" s="37">
        <v>1</v>
      </c>
      <c r="I240" s="34" t="s">
        <v>30</v>
      </c>
      <c r="J240" s="34" t="s">
        <v>31</v>
      </c>
      <c r="K240" s="34" t="s">
        <v>32</v>
      </c>
      <c r="L240" s="34" t="s">
        <v>1755</v>
      </c>
      <c r="M240" s="34" t="s">
        <v>33</v>
      </c>
      <c r="N240" s="47">
        <v>15</v>
      </c>
      <c r="O240" s="48">
        <v>2</v>
      </c>
      <c r="P240" s="49">
        <v>28</v>
      </c>
      <c r="Q240" s="50">
        <v>17.561395999999998</v>
      </c>
      <c r="R240" s="50">
        <v>-99.404747</v>
      </c>
      <c r="S240" s="66" t="s">
        <v>34</v>
      </c>
      <c r="T240" s="66" t="s">
        <v>175</v>
      </c>
      <c r="U240" s="66" t="s">
        <v>35</v>
      </c>
      <c r="V240" s="66" t="s">
        <v>35</v>
      </c>
      <c r="W240" s="66" t="s">
        <v>175</v>
      </c>
      <c r="X240" s="66" t="s">
        <v>175</v>
      </c>
      <c r="Y240" s="66"/>
      <c r="Z240" s="66"/>
      <c r="AA240" s="66"/>
      <c r="AB240" s="67"/>
      <c r="AC240" s="87">
        <f t="shared" si="12"/>
        <v>0.5</v>
      </c>
      <c r="AD240" s="91">
        <v>4</v>
      </c>
      <c r="AE240" s="64" t="s">
        <v>1784</v>
      </c>
      <c r="AF240">
        <f t="shared" si="11"/>
        <v>0</v>
      </c>
      <c r="AG240">
        <f t="shared" si="10"/>
        <v>0</v>
      </c>
    </row>
    <row r="241" spans="1:33" x14ac:dyDescent="0.3">
      <c r="A241" s="84" t="s">
        <v>268</v>
      </c>
      <c r="B241" s="93" t="s">
        <v>25</v>
      </c>
      <c r="C241" s="93" t="s">
        <v>229</v>
      </c>
      <c r="D241" s="33" t="s">
        <v>1775</v>
      </c>
      <c r="E241" s="34" t="s">
        <v>269</v>
      </c>
      <c r="F241" s="34" t="s">
        <v>270</v>
      </c>
      <c r="G241" s="34" t="s">
        <v>29</v>
      </c>
      <c r="H241" s="37">
        <v>1</v>
      </c>
      <c r="I241" s="34" t="s">
        <v>30</v>
      </c>
      <c r="J241" s="34" t="s">
        <v>31</v>
      </c>
      <c r="K241" s="34" t="s">
        <v>32</v>
      </c>
      <c r="L241" s="34" t="s">
        <v>1755</v>
      </c>
      <c r="M241" s="34" t="s">
        <v>33</v>
      </c>
      <c r="N241" s="47">
        <v>9</v>
      </c>
      <c r="O241" s="48">
        <v>2</v>
      </c>
      <c r="P241" s="49">
        <v>10</v>
      </c>
      <c r="Q241" s="50">
        <v>17.908494999999998</v>
      </c>
      <c r="R241" s="50">
        <v>-98.486849000000007</v>
      </c>
      <c r="S241" s="66" t="s">
        <v>34</v>
      </c>
      <c r="T241" s="66" t="s">
        <v>175</v>
      </c>
      <c r="U241" s="66" t="s">
        <v>35</v>
      </c>
      <c r="V241" s="66" t="s">
        <v>35</v>
      </c>
      <c r="W241" s="66" t="s">
        <v>175</v>
      </c>
      <c r="X241" s="66" t="s">
        <v>175</v>
      </c>
      <c r="Y241" s="66"/>
      <c r="Z241" s="66"/>
      <c r="AA241" s="66"/>
      <c r="AB241" s="67"/>
      <c r="AC241" s="87">
        <f t="shared" si="12"/>
        <v>0.5</v>
      </c>
      <c r="AD241" s="91">
        <v>4</v>
      </c>
      <c r="AE241" s="64" t="s">
        <v>1784</v>
      </c>
      <c r="AF241">
        <f t="shared" si="11"/>
        <v>0</v>
      </c>
      <c r="AG241">
        <f t="shared" si="10"/>
        <v>0</v>
      </c>
    </row>
    <row r="242" spans="1:33" x14ac:dyDescent="0.3">
      <c r="A242" s="84" t="s">
        <v>271</v>
      </c>
      <c r="B242" s="93" t="s">
        <v>25</v>
      </c>
      <c r="C242" s="93" t="s">
        <v>229</v>
      </c>
      <c r="D242" s="33" t="s">
        <v>1775</v>
      </c>
      <c r="E242" s="34" t="s">
        <v>272</v>
      </c>
      <c r="F242" s="34" t="s">
        <v>273</v>
      </c>
      <c r="G242" s="34" t="s">
        <v>29</v>
      </c>
      <c r="H242" s="37">
        <v>1</v>
      </c>
      <c r="I242" s="34" t="s">
        <v>30</v>
      </c>
      <c r="J242" s="34" t="s">
        <v>31</v>
      </c>
      <c r="K242" s="34" t="s">
        <v>32</v>
      </c>
      <c r="L242" s="34" t="s">
        <v>1755</v>
      </c>
      <c r="M242" s="34" t="s">
        <v>33</v>
      </c>
      <c r="N242" s="47">
        <v>8</v>
      </c>
      <c r="O242" s="48">
        <v>1</v>
      </c>
      <c r="P242" s="49">
        <v>12</v>
      </c>
      <c r="Q242" s="50">
        <v>16.784161000000001</v>
      </c>
      <c r="R242" s="50">
        <v>-98.245851999999999</v>
      </c>
      <c r="S242" s="66" t="s">
        <v>34</v>
      </c>
      <c r="T242" s="66" t="s">
        <v>175</v>
      </c>
      <c r="U242" s="66" t="s">
        <v>35</v>
      </c>
      <c r="V242" s="66" t="s">
        <v>35</v>
      </c>
      <c r="W242" s="66" t="s">
        <v>175</v>
      </c>
      <c r="X242" s="66" t="s">
        <v>175</v>
      </c>
      <c r="Y242" s="66"/>
      <c r="Z242" s="66"/>
      <c r="AA242" s="66"/>
      <c r="AB242" s="67"/>
      <c r="AC242" s="87">
        <f t="shared" si="12"/>
        <v>0.5</v>
      </c>
      <c r="AD242" s="91">
        <v>4</v>
      </c>
      <c r="AE242" s="64" t="s">
        <v>1784</v>
      </c>
      <c r="AF242">
        <f t="shared" si="11"/>
        <v>0</v>
      </c>
      <c r="AG242">
        <f t="shared" si="10"/>
        <v>0</v>
      </c>
    </row>
    <row r="243" spans="1:33" x14ac:dyDescent="0.3">
      <c r="A243" s="84" t="s">
        <v>274</v>
      </c>
      <c r="B243" s="93" t="s">
        <v>25</v>
      </c>
      <c r="C243" s="93" t="s">
        <v>229</v>
      </c>
      <c r="D243" s="33" t="s">
        <v>1775</v>
      </c>
      <c r="E243" s="34" t="s">
        <v>275</v>
      </c>
      <c r="F243" s="34" t="s">
        <v>276</v>
      </c>
      <c r="G243" s="34" t="s">
        <v>29</v>
      </c>
      <c r="H243" s="37">
        <v>1</v>
      </c>
      <c r="I243" s="34" t="s">
        <v>30</v>
      </c>
      <c r="J243" s="34" t="s">
        <v>31</v>
      </c>
      <c r="K243" s="34" t="s">
        <v>32</v>
      </c>
      <c r="L243" s="34" t="s">
        <v>1755</v>
      </c>
      <c r="M243" s="34" t="s">
        <v>33</v>
      </c>
      <c r="N243" s="47">
        <v>7</v>
      </c>
      <c r="O243" s="48">
        <v>1</v>
      </c>
      <c r="P243" s="49">
        <v>16</v>
      </c>
      <c r="Q243" s="50">
        <v>17.653625000000002</v>
      </c>
      <c r="R243" s="50">
        <v>-99.530989000000005</v>
      </c>
      <c r="S243" s="66" t="s">
        <v>34</v>
      </c>
      <c r="T243" s="66" t="s">
        <v>175</v>
      </c>
      <c r="U243" s="66" t="s">
        <v>35</v>
      </c>
      <c r="V243" s="66" t="s">
        <v>35</v>
      </c>
      <c r="W243" s="66" t="s">
        <v>175</v>
      </c>
      <c r="X243" s="66" t="s">
        <v>175</v>
      </c>
      <c r="Y243" s="66"/>
      <c r="Z243" s="66"/>
      <c r="AA243" s="66"/>
      <c r="AB243" s="67"/>
      <c r="AC243" s="87">
        <f t="shared" si="12"/>
        <v>0.5</v>
      </c>
      <c r="AD243" s="91">
        <v>4</v>
      </c>
      <c r="AE243" s="64" t="s">
        <v>1784</v>
      </c>
      <c r="AF243">
        <f t="shared" si="11"/>
        <v>0</v>
      </c>
      <c r="AG243">
        <f t="shared" si="10"/>
        <v>0</v>
      </c>
    </row>
    <row r="244" spans="1:33" x14ac:dyDescent="0.3">
      <c r="A244" s="84" t="s">
        <v>277</v>
      </c>
      <c r="B244" s="93" t="s">
        <v>25</v>
      </c>
      <c r="C244" s="93" t="s">
        <v>229</v>
      </c>
      <c r="D244" s="33" t="s">
        <v>1775</v>
      </c>
      <c r="E244" s="34" t="s">
        <v>278</v>
      </c>
      <c r="F244" s="34" t="s">
        <v>279</v>
      </c>
      <c r="G244" s="34" t="s">
        <v>29</v>
      </c>
      <c r="H244" s="37">
        <v>1</v>
      </c>
      <c r="I244" s="34" t="s">
        <v>30</v>
      </c>
      <c r="J244" s="34" t="s">
        <v>31</v>
      </c>
      <c r="K244" s="34" t="s">
        <v>32</v>
      </c>
      <c r="L244" s="34" t="s">
        <v>1755</v>
      </c>
      <c r="M244" s="34" t="s">
        <v>33</v>
      </c>
      <c r="N244" s="47">
        <v>10</v>
      </c>
      <c r="O244" s="48">
        <v>1</v>
      </c>
      <c r="P244" s="49">
        <v>21</v>
      </c>
      <c r="Q244" s="50">
        <v>17.329127</v>
      </c>
      <c r="R244" s="50">
        <v>-98.907692999999995</v>
      </c>
      <c r="S244" s="66" t="s">
        <v>34</v>
      </c>
      <c r="T244" s="66" t="s">
        <v>175</v>
      </c>
      <c r="U244" s="66" t="s">
        <v>35</v>
      </c>
      <c r="V244" s="66" t="s">
        <v>35</v>
      </c>
      <c r="W244" s="66" t="s">
        <v>35</v>
      </c>
      <c r="X244" s="66" t="s">
        <v>35</v>
      </c>
      <c r="Y244" s="66"/>
      <c r="Z244" s="66"/>
      <c r="AA244" s="66"/>
      <c r="AB244" s="67"/>
      <c r="AC244" s="87">
        <f t="shared" si="12"/>
        <v>0.61111111111111116</v>
      </c>
      <c r="AD244" s="91">
        <v>4</v>
      </c>
      <c r="AE244" s="64" t="s">
        <v>1784</v>
      </c>
      <c r="AF244">
        <f t="shared" si="11"/>
        <v>0</v>
      </c>
      <c r="AG244">
        <f t="shared" si="10"/>
        <v>0</v>
      </c>
    </row>
    <row r="245" spans="1:33" x14ac:dyDescent="0.3">
      <c r="A245" s="84" t="s">
        <v>1561</v>
      </c>
      <c r="B245" s="93" t="s">
        <v>25</v>
      </c>
      <c r="C245" s="93" t="s">
        <v>229</v>
      </c>
      <c r="D245" s="33" t="s">
        <v>1775</v>
      </c>
      <c r="E245" s="34" t="s">
        <v>1006</v>
      </c>
      <c r="F245" s="34" t="s">
        <v>1562</v>
      </c>
      <c r="G245" s="34" t="s">
        <v>164</v>
      </c>
      <c r="H245" s="37">
        <v>2</v>
      </c>
      <c r="I245" s="34" t="s">
        <v>155</v>
      </c>
      <c r="J245" s="34" t="s">
        <v>31</v>
      </c>
      <c r="K245" s="34" t="s">
        <v>32</v>
      </c>
      <c r="L245" s="34" t="s">
        <v>1755</v>
      </c>
      <c r="M245" s="34" t="s">
        <v>33</v>
      </c>
      <c r="N245" s="47">
        <v>8</v>
      </c>
      <c r="O245" s="48">
        <v>2</v>
      </c>
      <c r="P245" s="49">
        <v>33</v>
      </c>
      <c r="Q245" s="50">
        <v>17.543475999999998</v>
      </c>
      <c r="R245" s="50">
        <v>-98.589370000000002</v>
      </c>
      <c r="S245" s="66" t="s">
        <v>34</v>
      </c>
      <c r="T245" s="66" t="s">
        <v>175</v>
      </c>
      <c r="U245" s="66" t="s">
        <v>35</v>
      </c>
      <c r="V245" s="66" t="s">
        <v>35</v>
      </c>
      <c r="W245" s="66" t="s">
        <v>35</v>
      </c>
      <c r="X245" s="66" t="s">
        <v>35</v>
      </c>
      <c r="Y245" s="66"/>
      <c r="Z245" s="66"/>
      <c r="AA245" s="66"/>
      <c r="AB245" s="67"/>
      <c r="AC245" s="87">
        <f t="shared" si="12"/>
        <v>0.61111111111111116</v>
      </c>
      <c r="AD245" s="91">
        <v>4</v>
      </c>
      <c r="AE245" s="64" t="s">
        <v>1784</v>
      </c>
      <c r="AF245">
        <f t="shared" si="11"/>
        <v>0</v>
      </c>
      <c r="AG245">
        <f t="shared" si="10"/>
        <v>0</v>
      </c>
    </row>
    <row r="246" spans="1:33" x14ac:dyDescent="0.3">
      <c r="A246" s="84" t="s">
        <v>1558</v>
      </c>
      <c r="B246" s="93" t="s">
        <v>25</v>
      </c>
      <c r="C246" s="93" t="s">
        <v>229</v>
      </c>
      <c r="D246" s="34" t="s">
        <v>1775</v>
      </c>
      <c r="E246" s="34" t="s">
        <v>1559</v>
      </c>
      <c r="F246" s="34" t="s">
        <v>1560</v>
      </c>
      <c r="G246" s="34" t="s">
        <v>164</v>
      </c>
      <c r="H246" s="37">
        <v>2</v>
      </c>
      <c r="I246" s="34" t="s">
        <v>155</v>
      </c>
      <c r="J246" s="34" t="s">
        <v>31</v>
      </c>
      <c r="K246" s="34" t="s">
        <v>32</v>
      </c>
      <c r="L246" s="34" t="s">
        <v>1755</v>
      </c>
      <c r="M246" s="34" t="s">
        <v>33</v>
      </c>
      <c r="N246" s="47">
        <v>4</v>
      </c>
      <c r="O246" s="48">
        <v>4</v>
      </c>
      <c r="P246" s="49">
        <v>67</v>
      </c>
      <c r="Q246" s="50">
        <v>17.525231999999999</v>
      </c>
      <c r="R246" s="50">
        <v>-99.491960000000006</v>
      </c>
      <c r="S246" s="66" t="s">
        <v>34</v>
      </c>
      <c r="T246" s="66" t="s">
        <v>175</v>
      </c>
      <c r="U246" s="66" t="s">
        <v>35</v>
      </c>
      <c r="V246" s="66" t="s">
        <v>35</v>
      </c>
      <c r="W246" s="66" t="s">
        <v>175</v>
      </c>
      <c r="X246" s="66" t="s">
        <v>175</v>
      </c>
      <c r="Y246" s="66"/>
      <c r="Z246" s="66"/>
      <c r="AA246" s="66"/>
      <c r="AB246" s="67"/>
      <c r="AC246" s="87">
        <f t="shared" si="12"/>
        <v>0.5</v>
      </c>
      <c r="AD246" s="91">
        <v>4</v>
      </c>
      <c r="AE246" s="64" t="s">
        <v>1784</v>
      </c>
      <c r="AF246">
        <f t="shared" si="11"/>
        <v>0</v>
      </c>
      <c r="AG246">
        <f t="shared" si="10"/>
        <v>0</v>
      </c>
    </row>
    <row r="247" spans="1:33" x14ac:dyDescent="0.3">
      <c r="A247" s="84" t="s">
        <v>987</v>
      </c>
      <c r="B247" s="93" t="s">
        <v>25</v>
      </c>
      <c r="C247" s="93" t="s">
        <v>229</v>
      </c>
      <c r="D247" s="33" t="s">
        <v>1775</v>
      </c>
      <c r="E247" s="34" t="s">
        <v>970</v>
      </c>
      <c r="F247" s="34" t="s">
        <v>988</v>
      </c>
      <c r="G247" s="34" t="s">
        <v>111</v>
      </c>
      <c r="H247" s="37">
        <v>1</v>
      </c>
      <c r="I247" s="34" t="s">
        <v>112</v>
      </c>
      <c r="J247" s="34" t="s">
        <v>31</v>
      </c>
      <c r="K247" s="34" t="s">
        <v>32</v>
      </c>
      <c r="L247" s="34" t="s">
        <v>1755</v>
      </c>
      <c r="M247" s="34" t="s">
        <v>84</v>
      </c>
      <c r="N247" s="47">
        <v>22</v>
      </c>
      <c r="O247" s="48">
        <v>3</v>
      </c>
      <c r="P247" s="49">
        <v>101</v>
      </c>
      <c r="Q247" s="50">
        <v>16.930872000000001</v>
      </c>
      <c r="R247" s="50">
        <v>-99.820639999999997</v>
      </c>
      <c r="S247" s="66" t="s">
        <v>34</v>
      </c>
      <c r="T247" s="66" t="s">
        <v>175</v>
      </c>
      <c r="U247" s="66" t="s">
        <v>35</v>
      </c>
      <c r="V247" s="66" t="s">
        <v>35</v>
      </c>
      <c r="W247" s="66" t="s">
        <v>35</v>
      </c>
      <c r="X247" s="66" t="s">
        <v>175</v>
      </c>
      <c r="Y247" s="66"/>
      <c r="Z247" s="66"/>
      <c r="AA247" s="66"/>
      <c r="AB247" s="67"/>
      <c r="AC247" s="87">
        <f t="shared" si="12"/>
        <v>0.55555555555555558</v>
      </c>
      <c r="AD247" s="91">
        <v>4</v>
      </c>
      <c r="AE247" s="64" t="s">
        <v>1784</v>
      </c>
      <c r="AF247">
        <f t="shared" si="11"/>
        <v>0</v>
      </c>
      <c r="AG247">
        <f t="shared" si="10"/>
        <v>0</v>
      </c>
    </row>
    <row r="248" spans="1:33" x14ac:dyDescent="0.3">
      <c r="A248" s="84" t="s">
        <v>989</v>
      </c>
      <c r="B248" s="93" t="s">
        <v>25</v>
      </c>
      <c r="C248" s="93" t="s">
        <v>229</v>
      </c>
      <c r="D248" s="33" t="s">
        <v>1775</v>
      </c>
      <c r="E248" s="34" t="s">
        <v>275</v>
      </c>
      <c r="F248" s="34" t="s">
        <v>990</v>
      </c>
      <c r="G248" s="34" t="s">
        <v>111</v>
      </c>
      <c r="H248" s="37">
        <v>1</v>
      </c>
      <c r="I248" s="34" t="s">
        <v>112</v>
      </c>
      <c r="J248" s="34" t="s">
        <v>31</v>
      </c>
      <c r="K248" s="34" t="s">
        <v>32</v>
      </c>
      <c r="L248" s="34" t="s">
        <v>1756</v>
      </c>
      <c r="M248" s="34" t="s">
        <v>33</v>
      </c>
      <c r="N248" s="47">
        <v>41</v>
      </c>
      <c r="O248" s="48">
        <v>6</v>
      </c>
      <c r="P248" s="49">
        <v>192</v>
      </c>
      <c r="Q248" s="50">
        <v>17.605384000000001</v>
      </c>
      <c r="R248" s="50">
        <v>-99.520921000000001</v>
      </c>
      <c r="S248" s="66" t="s">
        <v>34</v>
      </c>
      <c r="T248" s="66" t="s">
        <v>175</v>
      </c>
      <c r="U248" s="66" t="s">
        <v>35</v>
      </c>
      <c r="V248" s="66" t="s">
        <v>35</v>
      </c>
      <c r="W248" s="66" t="s">
        <v>175</v>
      </c>
      <c r="X248" s="66" t="s">
        <v>175</v>
      </c>
      <c r="Y248" s="66"/>
      <c r="Z248" s="66"/>
      <c r="AA248" s="66"/>
      <c r="AB248" s="67"/>
      <c r="AC248" s="87">
        <f t="shared" si="12"/>
        <v>0.5</v>
      </c>
      <c r="AD248" s="91">
        <v>4</v>
      </c>
      <c r="AE248" s="64" t="s">
        <v>1784</v>
      </c>
      <c r="AF248">
        <f t="shared" si="11"/>
        <v>0</v>
      </c>
      <c r="AG248">
        <f t="shared" si="10"/>
        <v>0</v>
      </c>
    </row>
    <row r="249" spans="1:33" x14ac:dyDescent="0.3">
      <c r="A249" s="84" t="s">
        <v>280</v>
      </c>
      <c r="B249" s="93" t="s">
        <v>25</v>
      </c>
      <c r="C249" s="93" t="s">
        <v>229</v>
      </c>
      <c r="D249" s="33" t="s">
        <v>1775</v>
      </c>
      <c r="E249" s="34" t="s">
        <v>281</v>
      </c>
      <c r="F249" s="34" t="s">
        <v>282</v>
      </c>
      <c r="G249" s="34" t="s">
        <v>29</v>
      </c>
      <c r="H249" s="37">
        <v>1</v>
      </c>
      <c r="I249" s="34" t="s">
        <v>30</v>
      </c>
      <c r="J249" s="34" t="s">
        <v>31</v>
      </c>
      <c r="K249" s="34" t="s">
        <v>32</v>
      </c>
      <c r="L249" s="34" t="s">
        <v>1755</v>
      </c>
      <c r="M249" s="34" t="s">
        <v>33</v>
      </c>
      <c r="N249" s="47">
        <v>6</v>
      </c>
      <c r="O249" s="48">
        <v>1</v>
      </c>
      <c r="P249" s="49">
        <v>17</v>
      </c>
      <c r="Q249" s="50">
        <v>16.792333899999999</v>
      </c>
      <c r="R249" s="50">
        <v>-99.391720000000007</v>
      </c>
      <c r="S249" s="66" t="s">
        <v>34</v>
      </c>
      <c r="T249" s="66" t="s">
        <v>175</v>
      </c>
      <c r="U249" s="66" t="s">
        <v>35</v>
      </c>
      <c r="V249" s="66" t="s">
        <v>35</v>
      </c>
      <c r="W249" s="66" t="s">
        <v>175</v>
      </c>
      <c r="X249" s="66" t="s">
        <v>175</v>
      </c>
      <c r="Y249" s="66"/>
      <c r="Z249" s="66"/>
      <c r="AA249" s="66"/>
      <c r="AB249" s="67"/>
      <c r="AC249" s="87">
        <f t="shared" si="12"/>
        <v>0.5</v>
      </c>
      <c r="AD249" s="91">
        <v>4</v>
      </c>
      <c r="AE249" s="64" t="s">
        <v>1784</v>
      </c>
      <c r="AF249">
        <f t="shared" si="11"/>
        <v>0</v>
      </c>
      <c r="AG249">
        <f t="shared" si="10"/>
        <v>0</v>
      </c>
    </row>
    <row r="250" spans="1:33" x14ac:dyDescent="0.3">
      <c r="A250" s="84" t="s">
        <v>991</v>
      </c>
      <c r="B250" s="93" t="s">
        <v>25</v>
      </c>
      <c r="C250" s="93" t="s">
        <v>229</v>
      </c>
      <c r="D250" s="33" t="s">
        <v>1775</v>
      </c>
      <c r="E250" s="34" t="s">
        <v>992</v>
      </c>
      <c r="F250" s="34" t="s">
        <v>993</v>
      </c>
      <c r="G250" s="34" t="s">
        <v>111</v>
      </c>
      <c r="H250" s="37">
        <v>1</v>
      </c>
      <c r="I250" s="34" t="s">
        <v>112</v>
      </c>
      <c r="J250" s="34" t="s">
        <v>31</v>
      </c>
      <c r="K250" s="34" t="s">
        <v>32</v>
      </c>
      <c r="L250" s="34" t="s">
        <v>1755</v>
      </c>
      <c r="M250" s="34" t="s">
        <v>33</v>
      </c>
      <c r="N250" s="47">
        <v>26</v>
      </c>
      <c r="O250" s="48">
        <v>5</v>
      </c>
      <c r="P250" s="49">
        <v>111</v>
      </c>
      <c r="Q250" s="50">
        <v>18.334645999999999</v>
      </c>
      <c r="R250" s="50">
        <v>-100.712317</v>
      </c>
      <c r="S250" s="66" t="s">
        <v>34</v>
      </c>
      <c r="T250" s="66" t="s">
        <v>175</v>
      </c>
      <c r="U250" s="66" t="s">
        <v>35</v>
      </c>
      <c r="V250" s="66" t="s">
        <v>35</v>
      </c>
      <c r="W250" s="66" t="s">
        <v>175</v>
      </c>
      <c r="X250" s="66" t="s">
        <v>175</v>
      </c>
      <c r="Y250" s="66"/>
      <c r="Z250" s="66"/>
      <c r="AA250" s="66"/>
      <c r="AB250" s="67"/>
      <c r="AC250" s="87">
        <f t="shared" si="12"/>
        <v>0.5</v>
      </c>
      <c r="AD250" s="91">
        <v>4</v>
      </c>
      <c r="AE250" s="64" t="s">
        <v>1784</v>
      </c>
      <c r="AF250">
        <f t="shared" si="11"/>
        <v>0</v>
      </c>
      <c r="AG250">
        <f t="shared" si="10"/>
        <v>0</v>
      </c>
    </row>
    <row r="251" spans="1:33" x14ac:dyDescent="0.3">
      <c r="A251" s="84" t="s">
        <v>283</v>
      </c>
      <c r="B251" s="93" t="s">
        <v>25</v>
      </c>
      <c r="C251" s="93" t="s">
        <v>229</v>
      </c>
      <c r="D251" s="33" t="s">
        <v>1775</v>
      </c>
      <c r="E251" s="34" t="s">
        <v>284</v>
      </c>
      <c r="F251" s="34" t="s">
        <v>285</v>
      </c>
      <c r="G251" s="34" t="s">
        <v>29</v>
      </c>
      <c r="H251" s="37">
        <v>1</v>
      </c>
      <c r="I251" s="34" t="s">
        <v>30</v>
      </c>
      <c r="J251" s="34" t="s">
        <v>31</v>
      </c>
      <c r="K251" s="34" t="s">
        <v>32</v>
      </c>
      <c r="L251" s="34" t="s">
        <v>1755</v>
      </c>
      <c r="M251" s="34" t="s">
        <v>33</v>
      </c>
      <c r="N251" s="47">
        <v>7</v>
      </c>
      <c r="O251" s="48">
        <v>1</v>
      </c>
      <c r="P251" s="49">
        <v>11</v>
      </c>
      <c r="Q251" s="50">
        <v>17.425325000000001</v>
      </c>
      <c r="R251" s="50">
        <v>-98.779031000000003</v>
      </c>
      <c r="S251" s="66" t="s">
        <v>34</v>
      </c>
      <c r="T251" s="66" t="s">
        <v>175</v>
      </c>
      <c r="U251" s="66" t="s">
        <v>35</v>
      </c>
      <c r="V251" s="66" t="s">
        <v>35</v>
      </c>
      <c r="W251" s="66" t="s">
        <v>175</v>
      </c>
      <c r="X251" s="66" t="s">
        <v>175</v>
      </c>
      <c r="Y251" s="66"/>
      <c r="Z251" s="66"/>
      <c r="AA251" s="66"/>
      <c r="AB251" s="67"/>
      <c r="AC251" s="87">
        <f t="shared" si="12"/>
        <v>0.5</v>
      </c>
      <c r="AD251" s="91">
        <v>4</v>
      </c>
      <c r="AE251" s="64" t="s">
        <v>1784</v>
      </c>
      <c r="AF251">
        <f t="shared" si="11"/>
        <v>0</v>
      </c>
      <c r="AG251">
        <f t="shared" si="10"/>
        <v>0</v>
      </c>
    </row>
    <row r="252" spans="1:33" x14ac:dyDescent="0.3">
      <c r="A252" s="84" t="s">
        <v>994</v>
      </c>
      <c r="B252" s="93" t="s">
        <v>25</v>
      </c>
      <c r="C252" s="93" t="s">
        <v>229</v>
      </c>
      <c r="D252" s="33" t="s">
        <v>1775</v>
      </c>
      <c r="E252" s="34" t="s">
        <v>995</v>
      </c>
      <c r="F252" s="34" t="s">
        <v>996</v>
      </c>
      <c r="G252" s="34" t="s">
        <v>111</v>
      </c>
      <c r="H252" s="37">
        <v>1</v>
      </c>
      <c r="I252" s="34" t="s">
        <v>112</v>
      </c>
      <c r="J252" s="34" t="s">
        <v>31</v>
      </c>
      <c r="K252" s="34" t="s">
        <v>32</v>
      </c>
      <c r="L252" s="34" t="s">
        <v>1755</v>
      </c>
      <c r="M252" s="34" t="s">
        <v>33</v>
      </c>
      <c r="N252" s="47">
        <v>14</v>
      </c>
      <c r="O252" s="48">
        <v>3</v>
      </c>
      <c r="P252" s="49">
        <v>116</v>
      </c>
      <c r="Q252" s="50">
        <v>17.616917999999998</v>
      </c>
      <c r="R252" s="50">
        <v>-99.170370000000005</v>
      </c>
      <c r="S252" s="66" t="s">
        <v>34</v>
      </c>
      <c r="T252" s="66" t="s">
        <v>175</v>
      </c>
      <c r="U252" s="66" t="s">
        <v>35</v>
      </c>
      <c r="V252" s="66" t="s">
        <v>35</v>
      </c>
      <c r="W252" s="66" t="s">
        <v>175</v>
      </c>
      <c r="X252" s="66" t="s">
        <v>35</v>
      </c>
      <c r="Y252" s="66"/>
      <c r="Z252" s="66"/>
      <c r="AA252" s="66"/>
      <c r="AB252" s="67"/>
      <c r="AC252" s="87">
        <f t="shared" si="12"/>
        <v>0.55555555555555558</v>
      </c>
      <c r="AD252" s="91">
        <v>4</v>
      </c>
      <c r="AE252" s="64" t="s">
        <v>1784</v>
      </c>
      <c r="AF252">
        <f t="shared" si="11"/>
        <v>0</v>
      </c>
      <c r="AG252">
        <f t="shared" si="10"/>
        <v>0</v>
      </c>
    </row>
    <row r="253" spans="1:33" x14ac:dyDescent="0.3">
      <c r="A253" s="84" t="s">
        <v>286</v>
      </c>
      <c r="B253" s="93" t="s">
        <v>25</v>
      </c>
      <c r="C253" s="93" t="s">
        <v>229</v>
      </c>
      <c r="D253" s="33" t="s">
        <v>1775</v>
      </c>
      <c r="E253" s="34" t="s">
        <v>287</v>
      </c>
      <c r="F253" s="34" t="s">
        <v>288</v>
      </c>
      <c r="G253" s="34" t="s">
        <v>29</v>
      </c>
      <c r="H253" s="37">
        <v>1</v>
      </c>
      <c r="I253" s="34" t="s">
        <v>30</v>
      </c>
      <c r="J253" s="34" t="s">
        <v>31</v>
      </c>
      <c r="K253" s="34" t="s">
        <v>32</v>
      </c>
      <c r="L253" s="34" t="s">
        <v>1755</v>
      </c>
      <c r="M253" s="34" t="s">
        <v>33</v>
      </c>
      <c r="N253" s="47">
        <v>8</v>
      </c>
      <c r="O253" s="48">
        <v>1</v>
      </c>
      <c r="P253" s="49">
        <v>15</v>
      </c>
      <c r="Q253" s="50">
        <v>17.259172</v>
      </c>
      <c r="R253" s="50">
        <v>-98.748244</v>
      </c>
      <c r="S253" s="66" t="s">
        <v>34</v>
      </c>
      <c r="T253" s="66" t="s">
        <v>175</v>
      </c>
      <c r="U253" s="66" t="s">
        <v>35</v>
      </c>
      <c r="V253" s="66" t="s">
        <v>35</v>
      </c>
      <c r="W253" s="66" t="s">
        <v>175</v>
      </c>
      <c r="X253" s="66" t="s">
        <v>175</v>
      </c>
      <c r="Y253" s="66"/>
      <c r="Z253" s="66"/>
      <c r="AA253" s="66"/>
      <c r="AB253" s="67"/>
      <c r="AC253" s="87">
        <f t="shared" si="12"/>
        <v>0.5</v>
      </c>
      <c r="AD253" s="91">
        <v>4</v>
      </c>
      <c r="AE253" s="64" t="s">
        <v>1784</v>
      </c>
      <c r="AF253">
        <f t="shared" si="11"/>
        <v>0</v>
      </c>
      <c r="AG253">
        <f t="shared" si="10"/>
        <v>0</v>
      </c>
    </row>
    <row r="254" spans="1:33" x14ac:dyDescent="0.3">
      <c r="A254" s="84" t="s">
        <v>997</v>
      </c>
      <c r="B254" s="93" t="s">
        <v>25</v>
      </c>
      <c r="C254" s="93" t="s">
        <v>229</v>
      </c>
      <c r="D254" s="33" t="s">
        <v>1775</v>
      </c>
      <c r="E254" s="34" t="s">
        <v>970</v>
      </c>
      <c r="F254" s="34" t="s">
        <v>998</v>
      </c>
      <c r="G254" s="34" t="s">
        <v>111</v>
      </c>
      <c r="H254" s="37">
        <v>1</v>
      </c>
      <c r="I254" s="34" t="s">
        <v>155</v>
      </c>
      <c r="J254" s="34" t="s">
        <v>31</v>
      </c>
      <c r="K254" s="34" t="s">
        <v>32</v>
      </c>
      <c r="L254" s="34" t="s">
        <v>1756</v>
      </c>
      <c r="M254" s="34" t="s">
        <v>33</v>
      </c>
      <c r="N254" s="47">
        <v>34</v>
      </c>
      <c r="O254" s="48">
        <v>1</v>
      </c>
      <c r="P254" s="49">
        <v>31</v>
      </c>
      <c r="Q254" s="50">
        <v>16.873562</v>
      </c>
      <c r="R254" s="50">
        <v>-99.886387999999997</v>
      </c>
      <c r="S254" s="66" t="s">
        <v>34</v>
      </c>
      <c r="T254" s="66" t="s">
        <v>175</v>
      </c>
      <c r="U254" s="66" t="s">
        <v>35</v>
      </c>
      <c r="V254" s="66" t="s">
        <v>35</v>
      </c>
      <c r="W254" s="66" t="s">
        <v>175</v>
      </c>
      <c r="X254" s="66" t="s">
        <v>175</v>
      </c>
      <c r="Y254" s="66"/>
      <c r="Z254" s="66"/>
      <c r="AA254" s="66"/>
      <c r="AB254" s="67"/>
      <c r="AC254" s="87">
        <f t="shared" si="12"/>
        <v>0.5</v>
      </c>
      <c r="AD254" s="91">
        <v>4</v>
      </c>
      <c r="AE254" s="64" t="s">
        <v>1784</v>
      </c>
      <c r="AF254">
        <f t="shared" si="11"/>
        <v>0</v>
      </c>
      <c r="AG254">
        <f t="shared" si="10"/>
        <v>0</v>
      </c>
    </row>
    <row r="255" spans="1:33" x14ac:dyDescent="0.3">
      <c r="A255" s="84" t="s">
        <v>289</v>
      </c>
      <c r="B255" s="93" t="s">
        <v>25</v>
      </c>
      <c r="C255" s="93" t="s">
        <v>229</v>
      </c>
      <c r="D255" s="33" t="s">
        <v>1775</v>
      </c>
      <c r="E255" s="34" t="s">
        <v>290</v>
      </c>
      <c r="F255" s="34" t="s">
        <v>291</v>
      </c>
      <c r="G255" s="34" t="s">
        <v>29</v>
      </c>
      <c r="H255" s="37">
        <v>1</v>
      </c>
      <c r="I255" s="34" t="s">
        <v>30</v>
      </c>
      <c r="J255" s="34" t="s">
        <v>31</v>
      </c>
      <c r="K255" s="34" t="s">
        <v>32</v>
      </c>
      <c r="L255" s="34" t="s">
        <v>1755</v>
      </c>
      <c r="M255" s="34" t="s">
        <v>33</v>
      </c>
      <c r="N255" s="47">
        <v>7</v>
      </c>
      <c r="O255" s="48">
        <v>1</v>
      </c>
      <c r="P255" s="49">
        <v>24</v>
      </c>
      <c r="Q255" s="50">
        <v>18.355843</v>
      </c>
      <c r="R255" s="50">
        <v>-99.869639000000006</v>
      </c>
      <c r="S255" s="66" t="s">
        <v>34</v>
      </c>
      <c r="T255" s="66" t="s">
        <v>175</v>
      </c>
      <c r="U255" s="66" t="s">
        <v>35</v>
      </c>
      <c r="V255" s="66" t="s">
        <v>35</v>
      </c>
      <c r="W255" s="66" t="s">
        <v>175</v>
      </c>
      <c r="X255" s="66" t="s">
        <v>175</v>
      </c>
      <c r="Y255" s="66"/>
      <c r="Z255" s="66"/>
      <c r="AA255" s="66"/>
      <c r="AB255" s="67"/>
      <c r="AC255" s="87">
        <f t="shared" si="12"/>
        <v>0.5</v>
      </c>
      <c r="AD255" s="91">
        <v>4</v>
      </c>
      <c r="AE255" s="64" t="s">
        <v>1784</v>
      </c>
      <c r="AF255">
        <f t="shared" si="11"/>
        <v>0</v>
      </c>
      <c r="AG255">
        <f t="shared" si="10"/>
        <v>0</v>
      </c>
    </row>
    <row r="256" spans="1:33" x14ac:dyDescent="0.3">
      <c r="A256" s="84" t="s">
        <v>292</v>
      </c>
      <c r="B256" s="93" t="s">
        <v>25</v>
      </c>
      <c r="C256" s="93" t="s">
        <v>229</v>
      </c>
      <c r="D256" s="33" t="s">
        <v>1775</v>
      </c>
      <c r="E256" s="34" t="s">
        <v>293</v>
      </c>
      <c r="F256" s="34" t="s">
        <v>294</v>
      </c>
      <c r="G256" s="34" t="s">
        <v>29</v>
      </c>
      <c r="H256" s="37">
        <v>1</v>
      </c>
      <c r="I256" s="34" t="s">
        <v>30</v>
      </c>
      <c r="J256" s="34" t="s">
        <v>31</v>
      </c>
      <c r="K256" s="34" t="s">
        <v>32</v>
      </c>
      <c r="L256" s="34" t="s">
        <v>1755</v>
      </c>
      <c r="M256" s="34" t="s">
        <v>33</v>
      </c>
      <c r="N256" s="47">
        <v>5</v>
      </c>
      <c r="O256" s="48">
        <v>1</v>
      </c>
      <c r="P256" s="49">
        <v>21</v>
      </c>
      <c r="Q256" s="50">
        <v>17.811420300000002</v>
      </c>
      <c r="R256" s="50">
        <v>-98.562153800000004</v>
      </c>
      <c r="S256" s="66" t="s">
        <v>34</v>
      </c>
      <c r="T256" s="66" t="s">
        <v>175</v>
      </c>
      <c r="U256" s="66" t="s">
        <v>35</v>
      </c>
      <c r="V256" s="66" t="s">
        <v>35</v>
      </c>
      <c r="W256" s="66" t="s">
        <v>35</v>
      </c>
      <c r="X256" s="66" t="s">
        <v>35</v>
      </c>
      <c r="Y256" s="66"/>
      <c r="Z256" s="66"/>
      <c r="AA256" s="66"/>
      <c r="AB256" s="67"/>
      <c r="AC256" s="87">
        <f t="shared" si="12"/>
        <v>0.61111111111111116</v>
      </c>
      <c r="AD256" s="91">
        <v>4</v>
      </c>
      <c r="AE256" s="64" t="s">
        <v>1784</v>
      </c>
      <c r="AF256">
        <f t="shared" si="11"/>
        <v>0</v>
      </c>
      <c r="AG256">
        <f t="shared" si="10"/>
        <v>0</v>
      </c>
    </row>
    <row r="257" spans="1:33" x14ac:dyDescent="0.3">
      <c r="A257" s="84" t="s">
        <v>295</v>
      </c>
      <c r="B257" s="93" t="s">
        <v>25</v>
      </c>
      <c r="C257" s="93" t="s">
        <v>229</v>
      </c>
      <c r="D257" s="33" t="s">
        <v>1775</v>
      </c>
      <c r="E257" s="34" t="s">
        <v>296</v>
      </c>
      <c r="F257" s="34" t="s">
        <v>297</v>
      </c>
      <c r="G257" s="34" t="s">
        <v>29</v>
      </c>
      <c r="H257" s="37">
        <v>1</v>
      </c>
      <c r="I257" s="34" t="s">
        <v>30</v>
      </c>
      <c r="J257" s="34" t="s">
        <v>31</v>
      </c>
      <c r="K257" s="34" t="s">
        <v>32</v>
      </c>
      <c r="L257" s="34" t="s">
        <v>1755</v>
      </c>
      <c r="M257" s="34" t="s">
        <v>33</v>
      </c>
      <c r="N257" s="47">
        <v>14</v>
      </c>
      <c r="O257" s="48">
        <v>2</v>
      </c>
      <c r="P257" s="49">
        <v>24</v>
      </c>
      <c r="Q257" s="50">
        <v>16.999649900000001</v>
      </c>
      <c r="R257" s="50">
        <v>-100.0763735</v>
      </c>
      <c r="S257" s="66" t="s">
        <v>34</v>
      </c>
      <c r="T257" s="66" t="s">
        <v>175</v>
      </c>
      <c r="U257" s="66" t="s">
        <v>35</v>
      </c>
      <c r="V257" s="66" t="s">
        <v>35</v>
      </c>
      <c r="W257" s="66" t="s">
        <v>175</v>
      </c>
      <c r="X257" s="66" t="s">
        <v>175</v>
      </c>
      <c r="Y257" s="66"/>
      <c r="Z257" s="66"/>
      <c r="AA257" s="66"/>
      <c r="AB257" s="67"/>
      <c r="AC257" s="87">
        <f t="shared" si="12"/>
        <v>0.5</v>
      </c>
      <c r="AD257" s="91">
        <v>4</v>
      </c>
      <c r="AE257" s="64" t="s">
        <v>1784</v>
      </c>
      <c r="AF257">
        <f t="shared" si="11"/>
        <v>0</v>
      </c>
      <c r="AG257">
        <f t="shared" si="10"/>
        <v>0</v>
      </c>
    </row>
    <row r="258" spans="1:33" x14ac:dyDescent="0.3">
      <c r="A258" s="84" t="s">
        <v>999</v>
      </c>
      <c r="B258" s="93" t="s">
        <v>25</v>
      </c>
      <c r="C258" s="93" t="s">
        <v>229</v>
      </c>
      <c r="D258" s="33" t="s">
        <v>1775</v>
      </c>
      <c r="E258" s="34" t="s">
        <v>1000</v>
      </c>
      <c r="F258" s="34" t="s">
        <v>1001</v>
      </c>
      <c r="G258" s="34" t="s">
        <v>111</v>
      </c>
      <c r="H258" s="37">
        <v>1</v>
      </c>
      <c r="I258" s="34" t="s">
        <v>112</v>
      </c>
      <c r="J258" s="34" t="s">
        <v>31</v>
      </c>
      <c r="K258" s="34" t="s">
        <v>32</v>
      </c>
      <c r="L258" s="34" t="s">
        <v>1755</v>
      </c>
      <c r="M258" s="34" t="s">
        <v>33</v>
      </c>
      <c r="N258" s="47">
        <v>20</v>
      </c>
      <c r="O258" s="48">
        <v>4</v>
      </c>
      <c r="P258" s="49">
        <v>93</v>
      </c>
      <c r="Q258" s="50">
        <v>18.566140999999998</v>
      </c>
      <c r="R258" s="50">
        <v>-99.605098600000005</v>
      </c>
      <c r="S258" s="66" t="s">
        <v>34</v>
      </c>
      <c r="T258" s="66" t="s">
        <v>175</v>
      </c>
      <c r="U258" s="66" t="s">
        <v>35</v>
      </c>
      <c r="V258" s="66" t="s">
        <v>35</v>
      </c>
      <c r="W258" s="66" t="s">
        <v>35</v>
      </c>
      <c r="X258" s="66" t="s">
        <v>175</v>
      </c>
      <c r="Y258" s="66"/>
      <c r="Z258" s="66"/>
      <c r="AA258" s="66"/>
      <c r="AB258" s="67"/>
      <c r="AC258" s="87">
        <f t="shared" si="12"/>
        <v>0.55555555555555558</v>
      </c>
      <c r="AD258" s="91">
        <v>4</v>
      </c>
      <c r="AE258" s="64" t="s">
        <v>1784</v>
      </c>
      <c r="AF258">
        <f t="shared" si="11"/>
        <v>0</v>
      </c>
      <c r="AG258">
        <f t="shared" ref="AG258:AG321" si="13">IF(AND(OR(Z258="SI",Z258="NO APLICA"),OR(AA258="SI",AA258="NO APLICA")),1,0)</f>
        <v>0</v>
      </c>
    </row>
    <row r="259" spans="1:33" x14ac:dyDescent="0.3">
      <c r="A259" s="84" t="s">
        <v>298</v>
      </c>
      <c r="B259" s="93" t="s">
        <v>25</v>
      </c>
      <c r="C259" s="93" t="s">
        <v>229</v>
      </c>
      <c r="D259" s="33" t="s">
        <v>1775</v>
      </c>
      <c r="E259" s="34" t="s">
        <v>299</v>
      </c>
      <c r="F259" s="34" t="s">
        <v>300</v>
      </c>
      <c r="G259" s="34" t="s">
        <v>29</v>
      </c>
      <c r="H259" s="37">
        <v>1</v>
      </c>
      <c r="I259" s="34" t="s">
        <v>30</v>
      </c>
      <c r="J259" s="34" t="s">
        <v>31</v>
      </c>
      <c r="K259" s="34" t="s">
        <v>32</v>
      </c>
      <c r="L259" s="34" t="s">
        <v>1755</v>
      </c>
      <c r="M259" s="34" t="s">
        <v>33</v>
      </c>
      <c r="N259" s="47">
        <v>11</v>
      </c>
      <c r="O259" s="48">
        <v>2</v>
      </c>
      <c r="P259" s="49">
        <v>24</v>
      </c>
      <c r="Q259" s="50">
        <v>16.7994181</v>
      </c>
      <c r="R259" s="50">
        <v>-98.737724200000002</v>
      </c>
      <c r="S259" s="66" t="s">
        <v>34</v>
      </c>
      <c r="T259" s="66" t="s">
        <v>175</v>
      </c>
      <c r="U259" s="66" t="s">
        <v>35</v>
      </c>
      <c r="V259" s="66" t="s">
        <v>35</v>
      </c>
      <c r="W259" s="66" t="s">
        <v>35</v>
      </c>
      <c r="X259" s="66" t="s">
        <v>35</v>
      </c>
      <c r="Y259" s="66"/>
      <c r="Z259" s="66"/>
      <c r="AA259" s="66"/>
      <c r="AB259" s="67"/>
      <c r="AC259" s="87">
        <f t="shared" si="12"/>
        <v>0.61111111111111116</v>
      </c>
      <c r="AD259" s="91">
        <v>4</v>
      </c>
      <c r="AE259" s="64" t="s">
        <v>1784</v>
      </c>
      <c r="AF259">
        <f t="shared" ref="AF259:AF322" si="14">IF(OR(AND(Z259="SI",AA259="NO"),AND(Z259="NO",AA259="SI")),1,0)</f>
        <v>0</v>
      </c>
      <c r="AG259">
        <f t="shared" si="13"/>
        <v>0</v>
      </c>
    </row>
    <row r="260" spans="1:33" x14ac:dyDescent="0.3">
      <c r="A260" s="84" t="s">
        <v>301</v>
      </c>
      <c r="B260" s="93" t="s">
        <v>25</v>
      </c>
      <c r="C260" s="93" t="s">
        <v>229</v>
      </c>
      <c r="D260" s="33" t="s">
        <v>1775</v>
      </c>
      <c r="E260" s="34" t="s">
        <v>302</v>
      </c>
      <c r="F260" s="34" t="s">
        <v>303</v>
      </c>
      <c r="G260" s="34" t="s">
        <v>29</v>
      </c>
      <c r="H260" s="37">
        <v>1</v>
      </c>
      <c r="I260" s="34" t="s">
        <v>30</v>
      </c>
      <c r="J260" s="34" t="s">
        <v>31</v>
      </c>
      <c r="K260" s="34" t="s">
        <v>32</v>
      </c>
      <c r="L260" s="34" t="s">
        <v>1755</v>
      </c>
      <c r="M260" s="34" t="s">
        <v>33</v>
      </c>
      <c r="N260" s="47">
        <v>11</v>
      </c>
      <c r="O260" s="48">
        <v>1</v>
      </c>
      <c r="P260" s="49">
        <v>27</v>
      </c>
      <c r="Q260" s="50">
        <v>17.7609192</v>
      </c>
      <c r="R260" s="50">
        <v>-98.740321499999993</v>
      </c>
      <c r="S260" s="66" t="s">
        <v>34</v>
      </c>
      <c r="T260" s="66" t="s">
        <v>175</v>
      </c>
      <c r="U260" s="66" t="s">
        <v>35</v>
      </c>
      <c r="V260" s="66" t="s">
        <v>35</v>
      </c>
      <c r="W260" s="66" t="s">
        <v>35</v>
      </c>
      <c r="X260" s="66" t="s">
        <v>175</v>
      </c>
      <c r="Y260" s="66"/>
      <c r="Z260" s="66"/>
      <c r="AA260" s="66"/>
      <c r="AB260" s="67"/>
      <c r="AC260" s="87">
        <f t="shared" si="12"/>
        <v>0.55555555555555558</v>
      </c>
      <c r="AD260" s="91">
        <v>4</v>
      </c>
      <c r="AE260" s="64" t="s">
        <v>1784</v>
      </c>
      <c r="AF260">
        <f t="shared" si="14"/>
        <v>0</v>
      </c>
      <c r="AG260">
        <f t="shared" si="13"/>
        <v>0</v>
      </c>
    </row>
    <row r="261" spans="1:33" x14ac:dyDescent="0.3">
      <c r="A261" s="84" t="s">
        <v>1002</v>
      </c>
      <c r="B261" s="93" t="s">
        <v>25</v>
      </c>
      <c r="C261" s="93" t="s">
        <v>229</v>
      </c>
      <c r="D261" s="33" t="s">
        <v>1775</v>
      </c>
      <c r="E261" s="34" t="s">
        <v>1003</v>
      </c>
      <c r="F261" s="34" t="s">
        <v>1004</v>
      </c>
      <c r="G261" s="34" t="s">
        <v>111</v>
      </c>
      <c r="H261" s="37">
        <v>1</v>
      </c>
      <c r="I261" s="34" t="s">
        <v>112</v>
      </c>
      <c r="J261" s="34" t="s">
        <v>31</v>
      </c>
      <c r="K261" s="34" t="s">
        <v>32</v>
      </c>
      <c r="L261" s="34" t="s">
        <v>1755</v>
      </c>
      <c r="M261" s="34" t="s">
        <v>84</v>
      </c>
      <c r="N261" s="47">
        <v>14</v>
      </c>
      <c r="O261" s="48">
        <v>3</v>
      </c>
      <c r="P261" s="49">
        <v>82</v>
      </c>
      <c r="Q261" s="50">
        <v>16.983177000000001</v>
      </c>
      <c r="R261" s="50">
        <v>-99.1272716</v>
      </c>
      <c r="S261" s="66" t="s">
        <v>34</v>
      </c>
      <c r="T261" s="66" t="s">
        <v>175</v>
      </c>
      <c r="U261" s="66" t="s">
        <v>35</v>
      </c>
      <c r="V261" s="66" t="s">
        <v>35</v>
      </c>
      <c r="W261" s="66" t="s">
        <v>175</v>
      </c>
      <c r="X261" s="66" t="s">
        <v>175</v>
      </c>
      <c r="Y261" s="66"/>
      <c r="Z261" s="66"/>
      <c r="AA261" s="66"/>
      <c r="AB261" s="67"/>
      <c r="AC261" s="87">
        <f t="shared" si="12"/>
        <v>0.5</v>
      </c>
      <c r="AD261" s="91">
        <v>4</v>
      </c>
      <c r="AE261" s="64" t="s">
        <v>1784</v>
      </c>
      <c r="AF261">
        <f t="shared" si="14"/>
        <v>0</v>
      </c>
      <c r="AG261">
        <f t="shared" si="13"/>
        <v>0</v>
      </c>
    </row>
    <row r="262" spans="1:33" x14ac:dyDescent="0.3">
      <c r="A262" s="84" t="s">
        <v>1005</v>
      </c>
      <c r="B262" s="93" t="s">
        <v>25</v>
      </c>
      <c r="C262" s="93" t="s">
        <v>229</v>
      </c>
      <c r="D262" s="33" t="s">
        <v>1775</v>
      </c>
      <c r="E262" s="34" t="s">
        <v>1006</v>
      </c>
      <c r="F262" s="34" t="s">
        <v>1007</v>
      </c>
      <c r="G262" s="34" t="s">
        <v>111</v>
      </c>
      <c r="H262" s="37">
        <v>1</v>
      </c>
      <c r="I262" s="34" t="s">
        <v>112</v>
      </c>
      <c r="J262" s="34" t="s">
        <v>31</v>
      </c>
      <c r="K262" s="34" t="s">
        <v>32</v>
      </c>
      <c r="L262" s="34" t="s">
        <v>1755</v>
      </c>
      <c r="M262" s="34" t="s">
        <v>33</v>
      </c>
      <c r="N262" s="47">
        <v>45</v>
      </c>
      <c r="O262" s="48">
        <v>3</v>
      </c>
      <c r="P262" s="49">
        <v>121</v>
      </c>
      <c r="Q262" s="50">
        <v>17.564036000000002</v>
      </c>
      <c r="R262" s="50">
        <v>-98.554659999999998</v>
      </c>
      <c r="S262" s="66" t="s">
        <v>34</v>
      </c>
      <c r="T262" s="66" t="s">
        <v>175</v>
      </c>
      <c r="U262" s="66" t="s">
        <v>35</v>
      </c>
      <c r="V262" s="66" t="s">
        <v>35</v>
      </c>
      <c r="W262" s="66" t="s">
        <v>175</v>
      </c>
      <c r="X262" s="66" t="s">
        <v>175</v>
      </c>
      <c r="Y262" s="66"/>
      <c r="Z262" s="66"/>
      <c r="AA262" s="66"/>
      <c r="AB262" s="67"/>
      <c r="AC262" s="87">
        <f t="shared" si="12"/>
        <v>0.5</v>
      </c>
      <c r="AD262" s="91">
        <v>4</v>
      </c>
      <c r="AE262" s="64" t="s">
        <v>1784</v>
      </c>
      <c r="AF262">
        <f t="shared" si="14"/>
        <v>0</v>
      </c>
      <c r="AG262">
        <f t="shared" si="13"/>
        <v>0</v>
      </c>
    </row>
    <row r="263" spans="1:33" ht="30" x14ac:dyDescent="0.3">
      <c r="A263" s="84" t="s">
        <v>1715</v>
      </c>
      <c r="B263" s="93" t="s">
        <v>25</v>
      </c>
      <c r="C263" s="93" t="s">
        <v>1771</v>
      </c>
      <c r="D263" s="98" t="s">
        <v>1771</v>
      </c>
      <c r="E263" s="34" t="s">
        <v>1717</v>
      </c>
      <c r="F263" s="89" t="s">
        <v>1718</v>
      </c>
      <c r="G263" s="34" t="s">
        <v>154</v>
      </c>
      <c r="H263" s="37">
        <v>1</v>
      </c>
      <c r="I263" s="34" t="s">
        <v>155</v>
      </c>
      <c r="J263" s="34" t="s">
        <v>31</v>
      </c>
      <c r="K263" s="34" t="s">
        <v>32</v>
      </c>
      <c r="L263" s="34" t="s">
        <v>1756</v>
      </c>
      <c r="M263" s="34" t="s">
        <v>33</v>
      </c>
      <c r="N263" s="47">
        <v>33</v>
      </c>
      <c r="O263" s="48">
        <v>10</v>
      </c>
      <c r="P263" s="49">
        <v>247</v>
      </c>
      <c r="Q263" s="50">
        <v>21.0613651</v>
      </c>
      <c r="R263" s="50">
        <v>-101.5767015</v>
      </c>
      <c r="S263" s="66" t="s">
        <v>34</v>
      </c>
      <c r="T263" s="66" t="s">
        <v>35</v>
      </c>
      <c r="U263" s="66" t="s">
        <v>176</v>
      </c>
      <c r="V263" s="66" t="s">
        <v>176</v>
      </c>
      <c r="W263" s="66" t="s">
        <v>175</v>
      </c>
      <c r="X263" s="66" t="s">
        <v>175</v>
      </c>
      <c r="Y263" s="66"/>
      <c r="Z263" s="66"/>
      <c r="AA263" s="66"/>
      <c r="AB263" s="67"/>
      <c r="AC263" s="87">
        <f t="shared" si="12"/>
        <v>0.40740740740740744</v>
      </c>
      <c r="AD263" s="91">
        <v>3</v>
      </c>
      <c r="AE263" s="64" t="s">
        <v>1798</v>
      </c>
      <c r="AF263">
        <f t="shared" si="14"/>
        <v>0</v>
      </c>
      <c r="AG263">
        <f t="shared" si="13"/>
        <v>0</v>
      </c>
    </row>
    <row r="264" spans="1:33" x14ac:dyDescent="0.3">
      <c r="A264" s="84" t="s">
        <v>1548</v>
      </c>
      <c r="B264" s="93" t="s">
        <v>25</v>
      </c>
      <c r="C264" s="93" t="s">
        <v>1771</v>
      </c>
      <c r="D264" s="98" t="s">
        <v>1771</v>
      </c>
      <c r="E264" s="34" t="s">
        <v>400</v>
      </c>
      <c r="F264" s="34" t="s">
        <v>1549</v>
      </c>
      <c r="G264" s="34" t="s">
        <v>154</v>
      </c>
      <c r="H264" s="37">
        <v>1</v>
      </c>
      <c r="I264" s="34" t="s">
        <v>155</v>
      </c>
      <c r="J264" s="34" t="s">
        <v>31</v>
      </c>
      <c r="K264" s="34" t="s">
        <v>32</v>
      </c>
      <c r="L264" s="34" t="s">
        <v>1756</v>
      </c>
      <c r="M264" s="34" t="s">
        <v>84</v>
      </c>
      <c r="N264" s="47">
        <v>58</v>
      </c>
      <c r="O264" s="48">
        <v>14</v>
      </c>
      <c r="P264" s="49">
        <v>446</v>
      </c>
      <c r="Q264" s="50">
        <v>19.318664399999999</v>
      </c>
      <c r="R264" s="50">
        <v>-98.855389000000002</v>
      </c>
      <c r="S264" s="66"/>
      <c r="T264" s="66"/>
      <c r="U264" s="66"/>
      <c r="V264" s="66"/>
      <c r="W264" s="66"/>
      <c r="X264" s="66"/>
      <c r="Y264" s="66"/>
      <c r="Z264" s="66"/>
      <c r="AA264" s="66"/>
      <c r="AB264" s="67"/>
      <c r="AC264" s="87">
        <f t="shared" si="12"/>
        <v>0</v>
      </c>
      <c r="AD264" s="91">
        <v>9</v>
      </c>
      <c r="AE264" s="103" t="s">
        <v>1836</v>
      </c>
      <c r="AF264">
        <f t="shared" si="14"/>
        <v>0</v>
      </c>
      <c r="AG264">
        <f t="shared" si="13"/>
        <v>0</v>
      </c>
    </row>
    <row r="265" spans="1:33" x14ac:dyDescent="0.3">
      <c r="A265" s="84" t="s">
        <v>1051</v>
      </c>
      <c r="B265" s="93" t="s">
        <v>25</v>
      </c>
      <c r="C265" s="93" t="s">
        <v>1777</v>
      </c>
      <c r="D265" s="33" t="s">
        <v>1775</v>
      </c>
      <c r="E265" s="34" t="s">
        <v>400</v>
      </c>
      <c r="F265" s="34" t="s">
        <v>1052</v>
      </c>
      <c r="G265" s="34" t="s">
        <v>111</v>
      </c>
      <c r="H265" s="37">
        <v>1</v>
      </c>
      <c r="I265" s="34" t="s">
        <v>112</v>
      </c>
      <c r="J265" s="34" t="s">
        <v>31</v>
      </c>
      <c r="K265" s="34" t="s">
        <v>32</v>
      </c>
      <c r="L265" s="34" t="s">
        <v>1755</v>
      </c>
      <c r="M265" s="34" t="s">
        <v>84</v>
      </c>
      <c r="N265" s="47">
        <v>19</v>
      </c>
      <c r="O265" s="48">
        <v>3</v>
      </c>
      <c r="P265" s="49">
        <v>79</v>
      </c>
      <c r="Q265" s="50">
        <v>19.319448000000001</v>
      </c>
      <c r="R265" s="50">
        <v>-98.852671000000001</v>
      </c>
      <c r="S265" s="66" t="s">
        <v>34</v>
      </c>
      <c r="T265" s="66" t="s">
        <v>35</v>
      </c>
      <c r="U265" s="66" t="s">
        <v>35</v>
      </c>
      <c r="V265" s="66" t="s">
        <v>35</v>
      </c>
      <c r="W265" s="66" t="s">
        <v>35</v>
      </c>
      <c r="X265" s="66" t="s">
        <v>35</v>
      </c>
      <c r="Y265" s="66" t="s">
        <v>36</v>
      </c>
      <c r="Z265" s="66"/>
      <c r="AA265" s="66"/>
      <c r="AB265" s="73"/>
      <c r="AC265" s="87">
        <f t="shared" si="12"/>
        <v>0.77777777777777779</v>
      </c>
      <c r="AD265" s="91">
        <v>1</v>
      </c>
      <c r="AE265" s="103" t="s">
        <v>1838</v>
      </c>
      <c r="AF265">
        <f t="shared" si="14"/>
        <v>0</v>
      </c>
      <c r="AG265">
        <f t="shared" si="13"/>
        <v>0</v>
      </c>
    </row>
    <row r="266" spans="1:33" x14ac:dyDescent="0.3">
      <c r="A266" s="84" t="s">
        <v>354</v>
      </c>
      <c r="B266" s="93" t="s">
        <v>25</v>
      </c>
      <c r="C266" s="93" t="s">
        <v>1777</v>
      </c>
      <c r="D266" s="33" t="s">
        <v>1775</v>
      </c>
      <c r="E266" s="34" t="s">
        <v>355</v>
      </c>
      <c r="F266" s="34" t="s">
        <v>356</v>
      </c>
      <c r="G266" s="34" t="s">
        <v>29</v>
      </c>
      <c r="H266" s="37">
        <v>1</v>
      </c>
      <c r="I266" s="34" t="s">
        <v>30</v>
      </c>
      <c r="J266" s="34" t="s">
        <v>31</v>
      </c>
      <c r="K266" s="34" t="s">
        <v>32</v>
      </c>
      <c r="L266" s="34" t="s">
        <v>1755</v>
      </c>
      <c r="M266" s="34" t="s">
        <v>33</v>
      </c>
      <c r="N266" s="47">
        <v>7</v>
      </c>
      <c r="O266" s="48">
        <v>2</v>
      </c>
      <c r="P266" s="49">
        <v>43</v>
      </c>
      <c r="Q266" s="50">
        <v>19.029802</v>
      </c>
      <c r="R266" s="50">
        <v>-98.817108000000005</v>
      </c>
      <c r="S266" s="66" t="s">
        <v>34</v>
      </c>
      <c r="T266" s="66" t="s">
        <v>35</v>
      </c>
      <c r="U266" s="66" t="s">
        <v>35</v>
      </c>
      <c r="V266" s="66" t="s">
        <v>35</v>
      </c>
      <c r="W266" s="66" t="s">
        <v>35</v>
      </c>
      <c r="X266" s="66" t="s">
        <v>35</v>
      </c>
      <c r="Y266" s="76" t="s">
        <v>36</v>
      </c>
      <c r="Z266" s="66"/>
      <c r="AA266" s="66"/>
      <c r="AB266" s="73"/>
      <c r="AC266" s="87">
        <f t="shared" si="12"/>
        <v>0.77777777777777779</v>
      </c>
      <c r="AD266" s="91">
        <v>1</v>
      </c>
      <c r="AE266" s="103" t="s">
        <v>1838</v>
      </c>
      <c r="AF266">
        <f t="shared" si="14"/>
        <v>0</v>
      </c>
      <c r="AG266">
        <f t="shared" si="13"/>
        <v>0</v>
      </c>
    </row>
    <row r="267" spans="1:33" x14ac:dyDescent="0.3">
      <c r="A267" s="84" t="s">
        <v>1077</v>
      </c>
      <c r="B267" s="93" t="s">
        <v>25</v>
      </c>
      <c r="C267" s="93" t="s">
        <v>1777</v>
      </c>
      <c r="D267" s="33" t="s">
        <v>1775</v>
      </c>
      <c r="E267" s="34" t="s">
        <v>1078</v>
      </c>
      <c r="F267" s="34" t="s">
        <v>1079</v>
      </c>
      <c r="G267" s="34" t="s">
        <v>111</v>
      </c>
      <c r="H267" s="37">
        <v>1</v>
      </c>
      <c r="I267" s="34" t="s">
        <v>112</v>
      </c>
      <c r="J267" s="34" t="s">
        <v>31</v>
      </c>
      <c r="K267" s="34" t="s">
        <v>32</v>
      </c>
      <c r="L267" s="34" t="s">
        <v>1755</v>
      </c>
      <c r="M267" s="34" t="s">
        <v>33</v>
      </c>
      <c r="N267" s="47">
        <v>9</v>
      </c>
      <c r="O267" s="48">
        <v>4</v>
      </c>
      <c r="P267" s="49">
        <v>132</v>
      </c>
      <c r="Q267" s="50">
        <v>19.273453</v>
      </c>
      <c r="R267" s="50">
        <v>-98.941742000000005</v>
      </c>
      <c r="S267" s="66" t="s">
        <v>34</v>
      </c>
      <c r="T267" s="66" t="s">
        <v>35</v>
      </c>
      <c r="U267" s="66" t="s">
        <v>35</v>
      </c>
      <c r="V267" s="66" t="s">
        <v>35</v>
      </c>
      <c r="W267" s="66" t="s">
        <v>35</v>
      </c>
      <c r="X267" s="66" t="s">
        <v>35</v>
      </c>
      <c r="Y267" s="76" t="s">
        <v>36</v>
      </c>
      <c r="Z267" s="66"/>
      <c r="AA267" s="66"/>
      <c r="AB267" s="73"/>
      <c r="AC267" s="87">
        <f t="shared" si="12"/>
        <v>0.77777777777777779</v>
      </c>
      <c r="AD267" s="91">
        <v>1</v>
      </c>
      <c r="AE267" s="103" t="s">
        <v>1838</v>
      </c>
      <c r="AF267">
        <f t="shared" si="14"/>
        <v>0</v>
      </c>
      <c r="AG267">
        <f t="shared" si="13"/>
        <v>0</v>
      </c>
    </row>
    <row r="268" spans="1:33" x14ac:dyDescent="0.3">
      <c r="A268" s="84" t="s">
        <v>1585</v>
      </c>
      <c r="B268" s="93" t="s">
        <v>25</v>
      </c>
      <c r="C268" s="93" t="s">
        <v>755</v>
      </c>
      <c r="D268" s="33" t="s">
        <v>1775</v>
      </c>
      <c r="E268" s="34" t="s">
        <v>1441</v>
      </c>
      <c r="F268" s="34" t="s">
        <v>1586</v>
      </c>
      <c r="G268" s="34" t="s">
        <v>164</v>
      </c>
      <c r="H268" s="37">
        <v>2</v>
      </c>
      <c r="I268" s="34" t="s">
        <v>155</v>
      </c>
      <c r="J268" s="34" t="s">
        <v>31</v>
      </c>
      <c r="K268" s="34" t="s">
        <v>32</v>
      </c>
      <c r="L268" s="34" t="s">
        <v>1756</v>
      </c>
      <c r="M268" s="34" t="s">
        <v>33</v>
      </c>
      <c r="N268" s="47">
        <v>14</v>
      </c>
      <c r="O268" s="48">
        <v>3</v>
      </c>
      <c r="P268" s="49">
        <v>77</v>
      </c>
      <c r="Q268" s="50">
        <v>19.3683333</v>
      </c>
      <c r="R268" s="50">
        <v>-98.211333300000007</v>
      </c>
      <c r="S268" s="66" t="s">
        <v>34</v>
      </c>
      <c r="T268" s="66" t="s">
        <v>35</v>
      </c>
      <c r="U268" s="66" t="s">
        <v>35</v>
      </c>
      <c r="V268" s="66" t="s">
        <v>35</v>
      </c>
      <c r="W268" s="66" t="s">
        <v>35</v>
      </c>
      <c r="X268" s="66" t="s">
        <v>35</v>
      </c>
      <c r="Y268" s="76" t="s">
        <v>36</v>
      </c>
      <c r="Z268" s="66" t="s">
        <v>37</v>
      </c>
      <c r="AA268" s="66" t="s">
        <v>37</v>
      </c>
      <c r="AB268" s="73"/>
      <c r="AC268" s="87">
        <f t="shared" si="12"/>
        <v>1</v>
      </c>
      <c r="AD268" s="91">
        <v>1</v>
      </c>
      <c r="AE268" s="103" t="s">
        <v>1838</v>
      </c>
      <c r="AF268">
        <f t="shared" si="14"/>
        <v>0</v>
      </c>
      <c r="AG268">
        <f t="shared" si="13"/>
        <v>1</v>
      </c>
    </row>
    <row r="269" spans="1:33" x14ac:dyDescent="0.3">
      <c r="A269" s="84" t="s">
        <v>399</v>
      </c>
      <c r="B269" s="93" t="s">
        <v>25</v>
      </c>
      <c r="C269" s="93" t="s">
        <v>1777</v>
      </c>
      <c r="D269" s="33" t="s">
        <v>1775</v>
      </c>
      <c r="E269" s="34" t="s">
        <v>400</v>
      </c>
      <c r="F269" s="34" t="s">
        <v>401</v>
      </c>
      <c r="G269" s="34" t="s">
        <v>29</v>
      </c>
      <c r="H269" s="37">
        <v>1</v>
      </c>
      <c r="I269" s="34" t="s">
        <v>30</v>
      </c>
      <c r="J269" s="34" t="s">
        <v>31</v>
      </c>
      <c r="K269" s="34" t="s">
        <v>32</v>
      </c>
      <c r="L269" s="34" t="s">
        <v>1755</v>
      </c>
      <c r="M269" s="34" t="s">
        <v>33</v>
      </c>
      <c r="N269" s="47">
        <v>8</v>
      </c>
      <c r="O269" s="48">
        <v>2</v>
      </c>
      <c r="P269" s="49">
        <v>28</v>
      </c>
      <c r="Q269" s="50">
        <v>19.306515999999998</v>
      </c>
      <c r="R269" s="50">
        <v>-98.859460100000007</v>
      </c>
      <c r="S269" s="66" t="s">
        <v>34</v>
      </c>
      <c r="T269" s="66" t="s">
        <v>35</v>
      </c>
      <c r="U269" s="66" t="s">
        <v>35</v>
      </c>
      <c r="V269" s="66" t="s">
        <v>35</v>
      </c>
      <c r="W269" s="66" t="s">
        <v>35</v>
      </c>
      <c r="X269" s="66" t="s">
        <v>35</v>
      </c>
      <c r="Y269" s="76" t="s">
        <v>36</v>
      </c>
      <c r="Z269" s="66"/>
      <c r="AA269" s="66"/>
      <c r="AB269" s="73"/>
      <c r="AC269" s="87">
        <f t="shared" si="12"/>
        <v>0.77777777777777779</v>
      </c>
      <c r="AD269" s="91">
        <v>1</v>
      </c>
      <c r="AE269" s="103" t="s">
        <v>1838</v>
      </c>
      <c r="AF269">
        <f t="shared" si="14"/>
        <v>0</v>
      </c>
      <c r="AG269">
        <f t="shared" si="13"/>
        <v>0</v>
      </c>
    </row>
    <row r="270" spans="1:33" x14ac:dyDescent="0.3">
      <c r="A270" s="84" t="s">
        <v>1443</v>
      </c>
      <c r="B270" s="93" t="s">
        <v>25</v>
      </c>
      <c r="C270" s="93" t="s">
        <v>755</v>
      </c>
      <c r="D270" s="33" t="s">
        <v>1775</v>
      </c>
      <c r="E270" s="34" t="s">
        <v>1444</v>
      </c>
      <c r="F270" s="34" t="s">
        <v>1445</v>
      </c>
      <c r="G270" s="34" t="s">
        <v>111</v>
      </c>
      <c r="H270" s="37">
        <v>1</v>
      </c>
      <c r="I270" s="34" t="s">
        <v>112</v>
      </c>
      <c r="J270" s="34" t="s">
        <v>31</v>
      </c>
      <c r="K270" s="34" t="s">
        <v>32</v>
      </c>
      <c r="L270" s="34" t="s">
        <v>1755</v>
      </c>
      <c r="M270" s="34" t="s">
        <v>33</v>
      </c>
      <c r="N270" s="47">
        <v>15</v>
      </c>
      <c r="O270" s="48">
        <v>3</v>
      </c>
      <c r="P270" s="49">
        <v>67</v>
      </c>
      <c r="Q270" s="50">
        <v>19.582561800000001</v>
      </c>
      <c r="R270" s="50">
        <v>-98.536741599999999</v>
      </c>
      <c r="S270" s="66" t="s">
        <v>34</v>
      </c>
      <c r="T270" s="66" t="s">
        <v>35</v>
      </c>
      <c r="U270" s="66" t="s">
        <v>35</v>
      </c>
      <c r="V270" s="66" t="s">
        <v>35</v>
      </c>
      <c r="W270" s="66" t="s">
        <v>35</v>
      </c>
      <c r="X270" s="66" t="s">
        <v>35</v>
      </c>
      <c r="Y270" s="76" t="s">
        <v>36</v>
      </c>
      <c r="Z270" s="66" t="s">
        <v>37</v>
      </c>
      <c r="AA270" s="66" t="s">
        <v>37</v>
      </c>
      <c r="AB270" s="73"/>
      <c r="AC270" s="87">
        <f t="shared" si="12"/>
        <v>1</v>
      </c>
      <c r="AD270" s="91">
        <v>1</v>
      </c>
      <c r="AE270" s="103" t="s">
        <v>1838</v>
      </c>
      <c r="AF270">
        <f t="shared" si="14"/>
        <v>0</v>
      </c>
      <c r="AG270">
        <f t="shared" si="13"/>
        <v>1</v>
      </c>
    </row>
    <row r="271" spans="1:33" x14ac:dyDescent="0.3">
      <c r="A271" s="84" t="s">
        <v>1627</v>
      </c>
      <c r="B271" s="93" t="s">
        <v>25</v>
      </c>
      <c r="C271" s="93" t="s">
        <v>1777</v>
      </c>
      <c r="D271" s="33" t="s">
        <v>1775</v>
      </c>
      <c r="E271" s="34" t="s">
        <v>895</v>
      </c>
      <c r="F271" s="34" t="s">
        <v>1628</v>
      </c>
      <c r="G271" s="34" t="s">
        <v>164</v>
      </c>
      <c r="H271" s="37">
        <v>2</v>
      </c>
      <c r="I271" s="34" t="s">
        <v>155</v>
      </c>
      <c r="J271" s="34" t="s">
        <v>31</v>
      </c>
      <c r="K271" s="34" t="s">
        <v>32</v>
      </c>
      <c r="L271" s="34" t="s">
        <v>1755</v>
      </c>
      <c r="M271" s="34" t="s">
        <v>33</v>
      </c>
      <c r="N271" s="47">
        <v>14</v>
      </c>
      <c r="O271" s="48">
        <v>2</v>
      </c>
      <c r="P271" s="49">
        <v>43</v>
      </c>
      <c r="Q271" s="50">
        <v>19.374755</v>
      </c>
      <c r="R271" s="50">
        <v>-98.944597000000002</v>
      </c>
      <c r="S271" s="66" t="s">
        <v>34</v>
      </c>
      <c r="T271" s="66" t="s">
        <v>175</v>
      </c>
      <c r="U271" s="66" t="s">
        <v>35</v>
      </c>
      <c r="V271" s="66" t="s">
        <v>35</v>
      </c>
      <c r="W271" s="66" t="s">
        <v>35</v>
      </c>
      <c r="X271" s="66" t="s">
        <v>35</v>
      </c>
      <c r="Y271" s="76" t="s">
        <v>36</v>
      </c>
      <c r="Z271" s="66"/>
      <c r="AA271" s="66"/>
      <c r="AB271" s="73"/>
      <c r="AC271" s="87">
        <f t="shared" si="12"/>
        <v>0.72222222222222221</v>
      </c>
      <c r="AD271" s="91">
        <v>1</v>
      </c>
      <c r="AE271" s="103" t="s">
        <v>1838</v>
      </c>
      <c r="AF271">
        <f t="shared" si="14"/>
        <v>0</v>
      </c>
      <c r="AG271">
        <f t="shared" si="13"/>
        <v>0</v>
      </c>
    </row>
    <row r="272" spans="1:33" x14ac:dyDescent="0.3">
      <c r="A272" s="84" t="s">
        <v>1111</v>
      </c>
      <c r="B272" s="93" t="s">
        <v>25</v>
      </c>
      <c r="C272" s="93" t="s">
        <v>1777</v>
      </c>
      <c r="D272" s="33" t="s">
        <v>1775</v>
      </c>
      <c r="E272" s="34" t="s">
        <v>1112</v>
      </c>
      <c r="F272" s="34" t="s">
        <v>1113</v>
      </c>
      <c r="G272" s="34" t="s">
        <v>111</v>
      </c>
      <c r="H272" s="37">
        <v>1</v>
      </c>
      <c r="I272" s="34" t="s">
        <v>112</v>
      </c>
      <c r="J272" s="34" t="s">
        <v>31</v>
      </c>
      <c r="K272" s="34" t="s">
        <v>32</v>
      </c>
      <c r="L272" s="34" t="s">
        <v>1755</v>
      </c>
      <c r="M272" s="34" t="s">
        <v>33</v>
      </c>
      <c r="N272" s="47">
        <v>8</v>
      </c>
      <c r="O272" s="48">
        <v>4</v>
      </c>
      <c r="P272" s="49">
        <v>105</v>
      </c>
      <c r="Q272" s="50">
        <v>19.144895000000002</v>
      </c>
      <c r="R272" s="50">
        <v>-98.785050999999996</v>
      </c>
      <c r="S272" s="66" t="s">
        <v>34</v>
      </c>
      <c r="T272" s="66" t="s">
        <v>175</v>
      </c>
      <c r="U272" s="66" t="s">
        <v>35</v>
      </c>
      <c r="V272" s="66" t="s">
        <v>35</v>
      </c>
      <c r="W272" s="66" t="s">
        <v>35</v>
      </c>
      <c r="X272" s="66" t="s">
        <v>35</v>
      </c>
      <c r="Y272" s="76" t="s">
        <v>36</v>
      </c>
      <c r="Z272" s="66"/>
      <c r="AA272" s="66"/>
      <c r="AB272" s="73"/>
      <c r="AC272" s="87">
        <f t="shared" si="12"/>
        <v>0.72222222222222221</v>
      </c>
      <c r="AD272" s="91">
        <v>1</v>
      </c>
      <c r="AE272" s="103" t="s">
        <v>1838</v>
      </c>
      <c r="AF272">
        <f t="shared" si="14"/>
        <v>0</v>
      </c>
      <c r="AG272">
        <f t="shared" si="13"/>
        <v>0</v>
      </c>
    </row>
    <row r="273" spans="1:33" x14ac:dyDescent="0.3">
      <c r="A273" s="84" t="s">
        <v>1039</v>
      </c>
      <c r="B273" s="93" t="s">
        <v>25</v>
      </c>
      <c r="C273" s="93" t="s">
        <v>1777</v>
      </c>
      <c r="D273" s="33" t="s">
        <v>1775</v>
      </c>
      <c r="E273" s="34" t="s">
        <v>1040</v>
      </c>
      <c r="F273" s="34" t="s">
        <v>1041</v>
      </c>
      <c r="G273" s="34" t="s">
        <v>111</v>
      </c>
      <c r="H273" s="37">
        <v>1</v>
      </c>
      <c r="I273" s="34" t="s">
        <v>112</v>
      </c>
      <c r="J273" s="34" t="s">
        <v>31</v>
      </c>
      <c r="K273" s="34" t="s">
        <v>32</v>
      </c>
      <c r="L273" s="34" t="s">
        <v>1755</v>
      </c>
      <c r="M273" s="34" t="s">
        <v>33</v>
      </c>
      <c r="N273" s="47">
        <v>20</v>
      </c>
      <c r="O273" s="48">
        <v>7</v>
      </c>
      <c r="P273" s="49">
        <v>229</v>
      </c>
      <c r="Q273" s="50">
        <v>19.664501000000001</v>
      </c>
      <c r="R273" s="50">
        <v>-99.178701000000004</v>
      </c>
      <c r="S273" s="66" t="s">
        <v>34</v>
      </c>
      <c r="T273" s="66" t="s">
        <v>175</v>
      </c>
      <c r="U273" s="66"/>
      <c r="V273" s="66"/>
      <c r="W273" s="66"/>
      <c r="X273" s="66"/>
      <c r="Y273" s="76"/>
      <c r="Z273" s="66"/>
      <c r="AA273" s="66"/>
      <c r="AB273" s="67"/>
      <c r="AC273" s="87">
        <f t="shared" si="12"/>
        <v>0.16666666666666666</v>
      </c>
      <c r="AD273" s="91">
        <v>1</v>
      </c>
      <c r="AE273" s="103" t="s">
        <v>1839</v>
      </c>
      <c r="AF273">
        <f t="shared" si="14"/>
        <v>0</v>
      </c>
      <c r="AG273">
        <f t="shared" si="13"/>
        <v>0</v>
      </c>
    </row>
    <row r="274" spans="1:33" x14ac:dyDescent="0.3">
      <c r="A274" s="84" t="s">
        <v>333</v>
      </c>
      <c r="B274" s="93" t="s">
        <v>25</v>
      </c>
      <c r="C274" s="93" t="s">
        <v>1777</v>
      </c>
      <c r="D274" s="33" t="s">
        <v>1775</v>
      </c>
      <c r="E274" s="34" t="s">
        <v>334</v>
      </c>
      <c r="F274" s="34" t="s">
        <v>335</v>
      </c>
      <c r="G274" s="34" t="s">
        <v>29</v>
      </c>
      <c r="H274" s="37">
        <v>1</v>
      </c>
      <c r="I274" s="34" t="s">
        <v>30</v>
      </c>
      <c r="J274" s="34" t="s">
        <v>31</v>
      </c>
      <c r="K274" s="34" t="s">
        <v>32</v>
      </c>
      <c r="L274" s="34" t="s">
        <v>1755</v>
      </c>
      <c r="M274" s="34" t="s">
        <v>33</v>
      </c>
      <c r="N274" s="47">
        <v>11</v>
      </c>
      <c r="O274" s="48">
        <v>2</v>
      </c>
      <c r="P274" s="49">
        <v>30</v>
      </c>
      <c r="Q274" s="50">
        <v>19.828700000000001</v>
      </c>
      <c r="R274" s="50">
        <v>-99.230800000000002</v>
      </c>
      <c r="S274" s="66" t="s">
        <v>34</v>
      </c>
      <c r="T274" s="66" t="s">
        <v>175</v>
      </c>
      <c r="U274" s="66"/>
      <c r="V274" s="66"/>
      <c r="W274" s="66"/>
      <c r="X274" s="66"/>
      <c r="Y274" s="76"/>
      <c r="Z274" s="66"/>
      <c r="AA274" s="66"/>
      <c r="AB274" s="67"/>
      <c r="AC274" s="87">
        <f t="shared" si="12"/>
        <v>0.16666666666666666</v>
      </c>
      <c r="AD274" s="91">
        <v>1</v>
      </c>
      <c r="AE274" s="103" t="s">
        <v>1839</v>
      </c>
      <c r="AF274">
        <f t="shared" si="14"/>
        <v>0</v>
      </c>
      <c r="AG274">
        <f t="shared" si="13"/>
        <v>0</v>
      </c>
    </row>
    <row r="275" spans="1:33" x14ac:dyDescent="0.3">
      <c r="A275" s="84" t="s">
        <v>336</v>
      </c>
      <c r="B275" s="93" t="s">
        <v>25</v>
      </c>
      <c r="C275" s="93" t="s">
        <v>1777</v>
      </c>
      <c r="D275" s="33" t="s">
        <v>1775</v>
      </c>
      <c r="E275" s="34" t="s">
        <v>337</v>
      </c>
      <c r="F275" s="34" t="s">
        <v>338</v>
      </c>
      <c r="G275" s="34" t="s">
        <v>29</v>
      </c>
      <c r="H275" s="37">
        <v>1</v>
      </c>
      <c r="I275" s="34" t="s">
        <v>30</v>
      </c>
      <c r="J275" s="34" t="s">
        <v>31</v>
      </c>
      <c r="K275" s="34" t="s">
        <v>32</v>
      </c>
      <c r="L275" s="34" t="s">
        <v>1755</v>
      </c>
      <c r="M275" s="34" t="s">
        <v>33</v>
      </c>
      <c r="N275" s="47">
        <v>9</v>
      </c>
      <c r="O275" s="48">
        <v>2</v>
      </c>
      <c r="P275" s="49">
        <v>18</v>
      </c>
      <c r="Q275" s="50">
        <v>19.359231000000001</v>
      </c>
      <c r="R275" s="50">
        <v>-99.353081000000003</v>
      </c>
      <c r="S275" s="66" t="s">
        <v>34</v>
      </c>
      <c r="T275" s="66" t="s">
        <v>175</v>
      </c>
      <c r="U275" s="66"/>
      <c r="V275" s="66"/>
      <c r="W275" s="66"/>
      <c r="X275" s="66"/>
      <c r="Y275" s="76"/>
      <c r="Z275" s="66"/>
      <c r="AA275" s="66"/>
      <c r="AB275" s="67"/>
      <c r="AC275" s="87">
        <f t="shared" si="12"/>
        <v>0.16666666666666666</v>
      </c>
      <c r="AD275" s="91">
        <v>1</v>
      </c>
      <c r="AE275" s="103" t="s">
        <v>1839</v>
      </c>
      <c r="AF275">
        <f t="shared" si="14"/>
        <v>0</v>
      </c>
      <c r="AG275">
        <f t="shared" si="13"/>
        <v>0</v>
      </c>
    </row>
    <row r="276" spans="1:33" x14ac:dyDescent="0.3">
      <c r="A276" s="84" t="s">
        <v>1053</v>
      </c>
      <c r="B276" s="93" t="s">
        <v>25</v>
      </c>
      <c r="C276" s="93" t="s">
        <v>1777</v>
      </c>
      <c r="D276" s="33" t="s">
        <v>1775</v>
      </c>
      <c r="E276" s="34" t="s">
        <v>1054</v>
      </c>
      <c r="F276" s="34" t="s">
        <v>1055</v>
      </c>
      <c r="G276" s="34" t="s">
        <v>111</v>
      </c>
      <c r="H276" s="37">
        <v>1</v>
      </c>
      <c r="I276" s="34" t="s">
        <v>112</v>
      </c>
      <c r="J276" s="34" t="s">
        <v>31</v>
      </c>
      <c r="K276" s="34" t="s">
        <v>32</v>
      </c>
      <c r="L276" s="34" t="s">
        <v>1755</v>
      </c>
      <c r="M276" s="34" t="s">
        <v>33</v>
      </c>
      <c r="N276" s="47">
        <v>11</v>
      </c>
      <c r="O276" s="48">
        <v>3</v>
      </c>
      <c r="P276" s="49">
        <v>50</v>
      </c>
      <c r="Q276" s="50">
        <v>19.569960999999999</v>
      </c>
      <c r="R276" s="50">
        <v>-99.755819000000002</v>
      </c>
      <c r="S276" s="66" t="s">
        <v>34</v>
      </c>
      <c r="T276" s="66" t="s">
        <v>175</v>
      </c>
      <c r="U276" s="66"/>
      <c r="V276" s="66"/>
      <c r="W276" s="66"/>
      <c r="X276" s="66"/>
      <c r="Y276" s="76"/>
      <c r="Z276" s="66"/>
      <c r="AA276" s="66"/>
      <c r="AB276" s="67"/>
      <c r="AC276" s="87">
        <f t="shared" si="12"/>
        <v>0.16666666666666666</v>
      </c>
      <c r="AD276" s="91">
        <v>1</v>
      </c>
      <c r="AE276" s="103" t="s">
        <v>1839</v>
      </c>
      <c r="AF276">
        <f t="shared" si="14"/>
        <v>0</v>
      </c>
      <c r="AG276">
        <f t="shared" si="13"/>
        <v>0</v>
      </c>
    </row>
    <row r="277" spans="1:33" x14ac:dyDescent="0.3">
      <c r="A277" s="84" t="s">
        <v>1056</v>
      </c>
      <c r="B277" s="93" t="s">
        <v>25</v>
      </c>
      <c r="C277" s="93" t="s">
        <v>1777</v>
      </c>
      <c r="D277" s="33" t="s">
        <v>1775</v>
      </c>
      <c r="E277" s="34" t="s">
        <v>1057</v>
      </c>
      <c r="F277" s="34" t="s">
        <v>1058</v>
      </c>
      <c r="G277" s="34" t="s">
        <v>111</v>
      </c>
      <c r="H277" s="37">
        <v>1</v>
      </c>
      <c r="I277" s="34" t="s">
        <v>112</v>
      </c>
      <c r="J277" s="34" t="s">
        <v>31</v>
      </c>
      <c r="K277" s="34" t="s">
        <v>32</v>
      </c>
      <c r="L277" s="34" t="s">
        <v>1755</v>
      </c>
      <c r="M277" s="34" t="s">
        <v>33</v>
      </c>
      <c r="N277" s="47">
        <v>18</v>
      </c>
      <c r="O277" s="48">
        <v>6</v>
      </c>
      <c r="P277" s="49">
        <v>196</v>
      </c>
      <c r="Q277" s="50">
        <v>19.468121</v>
      </c>
      <c r="R277" s="50">
        <v>-99.234601999999995</v>
      </c>
      <c r="S277" s="66" t="s">
        <v>34</v>
      </c>
      <c r="T277" s="66" t="s">
        <v>175</v>
      </c>
      <c r="U277" s="66"/>
      <c r="V277" s="66"/>
      <c r="W277" s="66"/>
      <c r="X277" s="66"/>
      <c r="Y277" s="66"/>
      <c r="Z277" s="66"/>
      <c r="AA277" s="66"/>
      <c r="AB277" s="67"/>
      <c r="AC277" s="87">
        <f t="shared" si="12"/>
        <v>0.16666666666666666</v>
      </c>
      <c r="AD277" s="91">
        <v>1</v>
      </c>
      <c r="AE277" s="103" t="s">
        <v>1839</v>
      </c>
      <c r="AF277">
        <f t="shared" si="14"/>
        <v>0</v>
      </c>
      <c r="AG277">
        <f t="shared" si="13"/>
        <v>0</v>
      </c>
    </row>
    <row r="278" spans="1:33" x14ac:dyDescent="0.3">
      <c r="A278" s="84" t="s">
        <v>342</v>
      </c>
      <c r="B278" s="93" t="s">
        <v>25</v>
      </c>
      <c r="C278" s="93" t="s">
        <v>1777</v>
      </c>
      <c r="D278" s="33" t="s">
        <v>1775</v>
      </c>
      <c r="E278" s="34" t="s">
        <v>343</v>
      </c>
      <c r="F278" s="34" t="s">
        <v>344</v>
      </c>
      <c r="G278" s="34" t="s">
        <v>29</v>
      </c>
      <c r="H278" s="37">
        <v>1</v>
      </c>
      <c r="I278" s="34" t="s">
        <v>30</v>
      </c>
      <c r="J278" s="34" t="s">
        <v>31</v>
      </c>
      <c r="K278" s="34" t="s">
        <v>32</v>
      </c>
      <c r="L278" s="34" t="s">
        <v>1755</v>
      </c>
      <c r="M278" s="34" t="s">
        <v>33</v>
      </c>
      <c r="N278" s="47">
        <v>8</v>
      </c>
      <c r="O278" s="48">
        <v>2</v>
      </c>
      <c r="P278" s="49">
        <v>19</v>
      </c>
      <c r="Q278" s="50">
        <v>19.803249000000001</v>
      </c>
      <c r="R278" s="50">
        <v>-100.12938699999999</v>
      </c>
      <c r="S278" s="66" t="s">
        <v>34</v>
      </c>
      <c r="T278" s="66" t="s">
        <v>175</v>
      </c>
      <c r="U278" s="66"/>
      <c r="V278" s="66"/>
      <c r="W278" s="66"/>
      <c r="X278" s="66"/>
      <c r="Y278" s="66"/>
      <c r="Z278" s="66"/>
      <c r="AA278" s="66"/>
      <c r="AB278" s="67"/>
      <c r="AC278" s="87">
        <f t="shared" si="12"/>
        <v>0.16666666666666666</v>
      </c>
      <c r="AD278" s="91">
        <v>1</v>
      </c>
      <c r="AE278" s="103" t="s">
        <v>1839</v>
      </c>
      <c r="AF278">
        <f t="shared" si="14"/>
        <v>0</v>
      </c>
      <c r="AG278">
        <f t="shared" si="13"/>
        <v>0</v>
      </c>
    </row>
    <row r="279" spans="1:33" x14ac:dyDescent="0.3">
      <c r="A279" s="84" t="s">
        <v>345</v>
      </c>
      <c r="B279" s="93" t="s">
        <v>25</v>
      </c>
      <c r="C279" s="93" t="s">
        <v>1777</v>
      </c>
      <c r="D279" s="33" t="s">
        <v>1775</v>
      </c>
      <c r="E279" s="34" t="s">
        <v>346</v>
      </c>
      <c r="F279" s="34" t="s">
        <v>347</v>
      </c>
      <c r="G279" s="34" t="s">
        <v>29</v>
      </c>
      <c r="H279" s="37">
        <v>1</v>
      </c>
      <c r="I279" s="34" t="s">
        <v>30</v>
      </c>
      <c r="J279" s="34" t="s">
        <v>31</v>
      </c>
      <c r="K279" s="34" t="s">
        <v>32</v>
      </c>
      <c r="L279" s="34" t="s">
        <v>1755</v>
      </c>
      <c r="M279" s="34" t="s">
        <v>33</v>
      </c>
      <c r="N279" s="47">
        <v>9</v>
      </c>
      <c r="O279" s="48">
        <v>2</v>
      </c>
      <c r="P279" s="49">
        <v>26</v>
      </c>
      <c r="Q279" s="50">
        <v>19.702850000000002</v>
      </c>
      <c r="R279" s="50">
        <v>-98.763812999999999</v>
      </c>
      <c r="S279" s="66" t="s">
        <v>34</v>
      </c>
      <c r="T279" s="66" t="s">
        <v>175</v>
      </c>
      <c r="U279" s="66"/>
      <c r="V279" s="66"/>
      <c r="W279" s="66"/>
      <c r="X279" s="66"/>
      <c r="Y279" s="66"/>
      <c r="Z279" s="66"/>
      <c r="AA279" s="66"/>
      <c r="AB279" s="67"/>
      <c r="AC279" s="87">
        <f t="shared" si="12"/>
        <v>0.16666666666666666</v>
      </c>
      <c r="AD279" s="91">
        <v>1</v>
      </c>
      <c r="AE279" s="103" t="s">
        <v>1839</v>
      </c>
      <c r="AF279">
        <f t="shared" si="14"/>
        <v>0</v>
      </c>
      <c r="AG279">
        <f t="shared" si="13"/>
        <v>0</v>
      </c>
    </row>
    <row r="280" spans="1:33" x14ac:dyDescent="0.3">
      <c r="A280" s="84" t="s">
        <v>1062</v>
      </c>
      <c r="B280" s="93" t="s">
        <v>25</v>
      </c>
      <c r="C280" s="93" t="s">
        <v>1777</v>
      </c>
      <c r="D280" s="33" t="s">
        <v>1775</v>
      </c>
      <c r="E280" s="34" t="s">
        <v>1063</v>
      </c>
      <c r="F280" s="34" t="s">
        <v>1064</v>
      </c>
      <c r="G280" s="34" t="s">
        <v>111</v>
      </c>
      <c r="H280" s="37">
        <v>1</v>
      </c>
      <c r="I280" s="34" t="s">
        <v>112</v>
      </c>
      <c r="J280" s="34" t="s">
        <v>31</v>
      </c>
      <c r="K280" s="34" t="s">
        <v>32</v>
      </c>
      <c r="L280" s="34" t="s">
        <v>1755</v>
      </c>
      <c r="M280" s="34" t="s">
        <v>33</v>
      </c>
      <c r="N280" s="47">
        <v>12</v>
      </c>
      <c r="O280" s="48">
        <v>2</v>
      </c>
      <c r="P280" s="49">
        <v>81</v>
      </c>
      <c r="Q280" s="50">
        <v>19.717727</v>
      </c>
      <c r="R280" s="50">
        <v>-99.953699999999998</v>
      </c>
      <c r="S280" s="66" t="s">
        <v>34</v>
      </c>
      <c r="T280" s="66" t="s">
        <v>175</v>
      </c>
      <c r="U280" s="66"/>
      <c r="V280" s="66"/>
      <c r="W280" s="66"/>
      <c r="X280" s="66"/>
      <c r="Y280" s="66"/>
      <c r="Z280" s="66"/>
      <c r="AA280" s="66"/>
      <c r="AB280" s="67"/>
      <c r="AC280" s="87">
        <f t="shared" si="12"/>
        <v>0.16666666666666666</v>
      </c>
      <c r="AD280" s="91">
        <v>1</v>
      </c>
      <c r="AE280" s="103" t="s">
        <v>1839</v>
      </c>
      <c r="AF280">
        <f t="shared" si="14"/>
        <v>0</v>
      </c>
      <c r="AG280">
        <f t="shared" si="13"/>
        <v>0</v>
      </c>
    </row>
    <row r="281" spans="1:33" x14ac:dyDescent="0.3">
      <c r="A281" s="84" t="s">
        <v>326</v>
      </c>
      <c r="B281" s="93" t="s">
        <v>25</v>
      </c>
      <c r="C281" s="93" t="s">
        <v>1777</v>
      </c>
      <c r="D281" s="33" t="s">
        <v>1775</v>
      </c>
      <c r="E281" s="34" t="s">
        <v>328</v>
      </c>
      <c r="F281" s="34" t="s">
        <v>329</v>
      </c>
      <c r="G281" s="34" t="s">
        <v>29</v>
      </c>
      <c r="H281" s="37">
        <v>1</v>
      </c>
      <c r="I281" s="34" t="s">
        <v>30</v>
      </c>
      <c r="J281" s="34" t="s">
        <v>31</v>
      </c>
      <c r="K281" s="34" t="s">
        <v>32</v>
      </c>
      <c r="L281" s="34" t="s">
        <v>1755</v>
      </c>
      <c r="M281" s="34" t="s">
        <v>33</v>
      </c>
      <c r="N281" s="47">
        <v>11</v>
      </c>
      <c r="O281" s="48">
        <v>2</v>
      </c>
      <c r="P281" s="49">
        <v>20</v>
      </c>
      <c r="Q281" s="50">
        <v>19.181763</v>
      </c>
      <c r="R281" s="50">
        <v>-99.490306000000004</v>
      </c>
      <c r="S281" s="66" t="s">
        <v>34</v>
      </c>
      <c r="T281" s="66"/>
      <c r="U281" s="66"/>
      <c r="V281" s="66"/>
      <c r="W281" s="66"/>
      <c r="X281" s="66"/>
      <c r="Y281" s="66"/>
      <c r="Z281" s="66"/>
      <c r="AA281" s="66"/>
      <c r="AB281" s="67"/>
      <c r="AC281" s="87">
        <f t="shared" si="12"/>
        <v>0.1111111111111111</v>
      </c>
      <c r="AD281" s="91">
        <v>2</v>
      </c>
      <c r="AE281" s="103" t="s">
        <v>1840</v>
      </c>
      <c r="AF281">
        <f t="shared" si="14"/>
        <v>0</v>
      </c>
      <c r="AG281">
        <f t="shared" si="13"/>
        <v>0</v>
      </c>
    </row>
    <row r="282" spans="1:33" x14ac:dyDescent="0.3">
      <c r="A282" s="84" t="s">
        <v>1036</v>
      </c>
      <c r="B282" s="93" t="s">
        <v>25</v>
      </c>
      <c r="C282" s="93" t="s">
        <v>1777</v>
      </c>
      <c r="D282" s="33" t="s">
        <v>1775</v>
      </c>
      <c r="E282" s="34" t="s">
        <v>1037</v>
      </c>
      <c r="F282" s="34" t="s">
        <v>1038</v>
      </c>
      <c r="G282" s="34" t="s">
        <v>111</v>
      </c>
      <c r="H282" s="37">
        <v>1</v>
      </c>
      <c r="I282" s="34" t="s">
        <v>112</v>
      </c>
      <c r="J282" s="34" t="s">
        <v>31</v>
      </c>
      <c r="K282" s="34" t="s">
        <v>32</v>
      </c>
      <c r="L282" s="34" t="s">
        <v>1755</v>
      </c>
      <c r="M282" s="34" t="s">
        <v>33</v>
      </c>
      <c r="N282" s="47">
        <v>31</v>
      </c>
      <c r="O282" s="48">
        <v>6</v>
      </c>
      <c r="P282" s="49">
        <v>185</v>
      </c>
      <c r="Q282" s="50">
        <v>19.546222</v>
      </c>
      <c r="R282" s="50">
        <v>-99.237508000000005</v>
      </c>
      <c r="S282" s="66" t="s">
        <v>34</v>
      </c>
      <c r="T282" s="66"/>
      <c r="U282" s="66"/>
      <c r="V282" s="66"/>
      <c r="W282" s="66"/>
      <c r="X282" s="66"/>
      <c r="Y282" s="66"/>
      <c r="Z282" s="66"/>
      <c r="AA282" s="66"/>
      <c r="AB282" s="67" t="s">
        <v>1810</v>
      </c>
      <c r="AC282" s="87">
        <f t="shared" si="12"/>
        <v>0.1111111111111111</v>
      </c>
      <c r="AD282" s="91">
        <v>2</v>
      </c>
      <c r="AE282" s="103" t="s">
        <v>1840</v>
      </c>
      <c r="AF282">
        <f t="shared" si="14"/>
        <v>0</v>
      </c>
      <c r="AG282">
        <f t="shared" si="13"/>
        <v>0</v>
      </c>
    </row>
    <row r="283" spans="1:33" x14ac:dyDescent="0.3">
      <c r="A283" s="84" t="s">
        <v>330</v>
      </c>
      <c r="B283" s="93" t="s">
        <v>25</v>
      </c>
      <c r="C283" s="93" t="s">
        <v>1777</v>
      </c>
      <c r="D283" s="33" t="s">
        <v>1775</v>
      </c>
      <c r="E283" s="34" t="s">
        <v>331</v>
      </c>
      <c r="F283" s="34" t="s">
        <v>332</v>
      </c>
      <c r="G283" s="34" t="s">
        <v>29</v>
      </c>
      <c r="H283" s="37">
        <v>1</v>
      </c>
      <c r="I283" s="34" t="s">
        <v>30</v>
      </c>
      <c r="J283" s="34" t="s">
        <v>31</v>
      </c>
      <c r="K283" s="34" t="s">
        <v>32</v>
      </c>
      <c r="L283" s="34" t="s">
        <v>1755</v>
      </c>
      <c r="M283" s="34" t="s">
        <v>33</v>
      </c>
      <c r="N283" s="47">
        <v>11</v>
      </c>
      <c r="O283" s="48">
        <v>2</v>
      </c>
      <c r="P283" s="49">
        <v>22</v>
      </c>
      <c r="Q283" s="50">
        <v>18.920839999999998</v>
      </c>
      <c r="R283" s="50">
        <v>-99.765491999999995</v>
      </c>
      <c r="S283" s="66" t="s">
        <v>34</v>
      </c>
      <c r="T283" s="66"/>
      <c r="U283" s="66"/>
      <c r="V283" s="66"/>
      <c r="W283" s="66"/>
      <c r="X283" s="66"/>
      <c r="Y283" s="66"/>
      <c r="Z283" s="66"/>
      <c r="AA283" s="66"/>
      <c r="AB283" s="67"/>
      <c r="AC283" s="87">
        <f t="shared" si="12"/>
        <v>0.1111111111111111</v>
      </c>
      <c r="AD283" s="91">
        <v>2</v>
      </c>
      <c r="AE283" s="103" t="s">
        <v>1840</v>
      </c>
      <c r="AF283">
        <f t="shared" si="14"/>
        <v>0</v>
      </c>
      <c r="AG283">
        <f t="shared" si="13"/>
        <v>0</v>
      </c>
    </row>
    <row r="284" spans="1:33" x14ac:dyDescent="0.3">
      <c r="A284" s="84" t="s">
        <v>339</v>
      </c>
      <c r="B284" s="93" t="s">
        <v>25</v>
      </c>
      <c r="C284" s="93" t="s">
        <v>1777</v>
      </c>
      <c r="D284" s="33" t="s">
        <v>1775</v>
      </c>
      <c r="E284" s="34" t="s">
        <v>340</v>
      </c>
      <c r="F284" s="34" t="s">
        <v>341</v>
      </c>
      <c r="G284" s="34" t="s">
        <v>29</v>
      </c>
      <c r="H284" s="37">
        <v>1</v>
      </c>
      <c r="I284" s="34" t="s">
        <v>30</v>
      </c>
      <c r="J284" s="34" t="s">
        <v>31</v>
      </c>
      <c r="K284" s="34" t="s">
        <v>32</v>
      </c>
      <c r="L284" s="34" t="s">
        <v>1755</v>
      </c>
      <c r="M284" s="34" t="s">
        <v>84</v>
      </c>
      <c r="N284" s="47">
        <v>6</v>
      </c>
      <c r="O284" s="48">
        <v>2</v>
      </c>
      <c r="P284" s="49">
        <v>25</v>
      </c>
      <c r="Q284" s="50">
        <v>19.1727001</v>
      </c>
      <c r="R284" s="50">
        <v>-99.418332300000003</v>
      </c>
      <c r="S284" s="66" t="s">
        <v>34</v>
      </c>
      <c r="T284" s="66"/>
      <c r="U284" s="66"/>
      <c r="V284" s="66"/>
      <c r="W284" s="66"/>
      <c r="X284" s="66"/>
      <c r="Y284" s="66"/>
      <c r="Z284" s="66"/>
      <c r="AA284" s="66"/>
      <c r="AB284" s="67"/>
      <c r="AC284" s="87">
        <f t="shared" si="12"/>
        <v>0.1111111111111111</v>
      </c>
      <c r="AD284" s="91">
        <v>2</v>
      </c>
      <c r="AE284" s="103" t="s">
        <v>1840</v>
      </c>
      <c r="AF284">
        <f t="shared" si="14"/>
        <v>0</v>
      </c>
      <c r="AG284">
        <f t="shared" si="13"/>
        <v>0</v>
      </c>
    </row>
    <row r="285" spans="1:33" x14ac:dyDescent="0.3">
      <c r="A285" s="84" t="s">
        <v>348</v>
      </c>
      <c r="B285" s="93" t="s">
        <v>25</v>
      </c>
      <c r="C285" s="93" t="s">
        <v>1777</v>
      </c>
      <c r="D285" s="33" t="s">
        <v>1775</v>
      </c>
      <c r="E285" s="34" t="s">
        <v>349</v>
      </c>
      <c r="F285" s="34" t="s">
        <v>350</v>
      </c>
      <c r="G285" s="34" t="s">
        <v>29</v>
      </c>
      <c r="H285" s="37">
        <v>1</v>
      </c>
      <c r="I285" s="34" t="s">
        <v>30</v>
      </c>
      <c r="J285" s="34" t="s">
        <v>31</v>
      </c>
      <c r="K285" s="34" t="s">
        <v>32</v>
      </c>
      <c r="L285" s="34" t="s">
        <v>1755</v>
      </c>
      <c r="M285" s="34" t="s">
        <v>33</v>
      </c>
      <c r="N285" s="47">
        <v>8</v>
      </c>
      <c r="O285" s="48">
        <v>2</v>
      </c>
      <c r="P285" s="49">
        <v>16</v>
      </c>
      <c r="Q285" s="50">
        <v>18.858986000000002</v>
      </c>
      <c r="R285" s="50">
        <v>-99.967138000000006</v>
      </c>
      <c r="S285" s="66" t="s">
        <v>34</v>
      </c>
      <c r="T285" s="66"/>
      <c r="U285" s="66"/>
      <c r="V285" s="66"/>
      <c r="W285" s="66"/>
      <c r="X285" s="66"/>
      <c r="Y285" s="66"/>
      <c r="Z285" s="66"/>
      <c r="AA285" s="66"/>
      <c r="AB285" s="67"/>
      <c r="AC285" s="87">
        <f t="shared" si="12"/>
        <v>0.1111111111111111</v>
      </c>
      <c r="AD285" s="91">
        <v>2</v>
      </c>
      <c r="AE285" s="103" t="s">
        <v>1840</v>
      </c>
      <c r="AF285">
        <f t="shared" si="14"/>
        <v>0</v>
      </c>
      <c r="AG285">
        <f t="shared" si="13"/>
        <v>0</v>
      </c>
    </row>
    <row r="286" spans="1:33" x14ac:dyDescent="0.3">
      <c r="A286" s="84" t="s">
        <v>1065</v>
      </c>
      <c r="B286" s="93" t="s">
        <v>25</v>
      </c>
      <c r="C286" s="93" t="s">
        <v>1777</v>
      </c>
      <c r="D286" s="33" t="s">
        <v>1775</v>
      </c>
      <c r="E286" s="34" t="s">
        <v>1066</v>
      </c>
      <c r="F286" s="34" t="s">
        <v>1067</v>
      </c>
      <c r="G286" s="34" t="s">
        <v>111</v>
      </c>
      <c r="H286" s="37">
        <v>1</v>
      </c>
      <c r="I286" s="34" t="s">
        <v>112</v>
      </c>
      <c r="J286" s="34" t="s">
        <v>31</v>
      </c>
      <c r="K286" s="34" t="s">
        <v>32</v>
      </c>
      <c r="L286" s="34" t="s">
        <v>1755</v>
      </c>
      <c r="M286" s="34" t="s">
        <v>33</v>
      </c>
      <c r="N286" s="47">
        <v>8</v>
      </c>
      <c r="O286" s="48">
        <v>0</v>
      </c>
      <c r="P286" s="49">
        <v>82</v>
      </c>
      <c r="Q286" s="50">
        <v>18.903510000000001</v>
      </c>
      <c r="R286" s="50">
        <v>-100.15848</v>
      </c>
      <c r="S286" s="66" t="s">
        <v>34</v>
      </c>
      <c r="T286" s="66"/>
      <c r="U286" s="66"/>
      <c r="V286" s="66"/>
      <c r="W286" s="66"/>
      <c r="X286" s="66"/>
      <c r="Y286" s="66"/>
      <c r="Z286" s="66"/>
      <c r="AA286" s="66"/>
      <c r="AB286" s="67"/>
      <c r="AC286" s="87">
        <f t="shared" si="12"/>
        <v>0.1111111111111111</v>
      </c>
      <c r="AD286" s="91">
        <v>2</v>
      </c>
      <c r="AE286" s="103" t="s">
        <v>1840</v>
      </c>
      <c r="AF286">
        <f t="shared" si="14"/>
        <v>0</v>
      </c>
      <c r="AG286">
        <f t="shared" si="13"/>
        <v>0</v>
      </c>
    </row>
    <row r="287" spans="1:33" x14ac:dyDescent="0.3">
      <c r="A287" s="84" t="s">
        <v>1068</v>
      </c>
      <c r="B287" s="93" t="s">
        <v>25</v>
      </c>
      <c r="C287" s="93" t="s">
        <v>1777</v>
      </c>
      <c r="D287" s="33" t="s">
        <v>1775</v>
      </c>
      <c r="E287" s="34" t="s">
        <v>1069</v>
      </c>
      <c r="F287" s="34" t="s">
        <v>1070</v>
      </c>
      <c r="G287" s="34" t="s">
        <v>111</v>
      </c>
      <c r="H287" s="37">
        <v>1</v>
      </c>
      <c r="I287" s="34" t="s">
        <v>112</v>
      </c>
      <c r="J287" s="34" t="s">
        <v>31</v>
      </c>
      <c r="K287" s="34" t="s">
        <v>32</v>
      </c>
      <c r="L287" s="34" t="s">
        <v>1755</v>
      </c>
      <c r="M287" s="34" t="s">
        <v>33</v>
      </c>
      <c r="N287" s="47">
        <v>11</v>
      </c>
      <c r="O287" s="48">
        <v>3</v>
      </c>
      <c r="P287" s="49">
        <v>91</v>
      </c>
      <c r="Q287" s="50">
        <v>18.961404999999999</v>
      </c>
      <c r="R287" s="50">
        <v>-99.585693000000006</v>
      </c>
      <c r="S287" s="66" t="s">
        <v>34</v>
      </c>
      <c r="T287" s="66"/>
      <c r="U287" s="66"/>
      <c r="V287" s="66"/>
      <c r="W287" s="66"/>
      <c r="X287" s="66"/>
      <c r="Y287" s="66"/>
      <c r="Z287" s="66"/>
      <c r="AA287" s="66"/>
      <c r="AB287" s="67"/>
      <c r="AC287" s="87">
        <f t="shared" si="12"/>
        <v>0.1111111111111111</v>
      </c>
      <c r="AD287" s="91">
        <v>2</v>
      </c>
      <c r="AE287" s="103" t="s">
        <v>1840</v>
      </c>
      <c r="AF287">
        <f t="shared" si="14"/>
        <v>0</v>
      </c>
      <c r="AG287">
        <f t="shared" si="13"/>
        <v>0</v>
      </c>
    </row>
    <row r="288" spans="1:33" x14ac:dyDescent="0.3">
      <c r="A288" s="84" t="s">
        <v>351</v>
      </c>
      <c r="B288" s="93" t="s">
        <v>25</v>
      </c>
      <c r="C288" s="93" t="s">
        <v>1777</v>
      </c>
      <c r="D288" s="33" t="s">
        <v>1775</v>
      </c>
      <c r="E288" s="34" t="s">
        <v>352</v>
      </c>
      <c r="F288" s="34" t="s">
        <v>353</v>
      </c>
      <c r="G288" s="34" t="s">
        <v>29</v>
      </c>
      <c r="H288" s="37">
        <v>1</v>
      </c>
      <c r="I288" s="34" t="s">
        <v>30</v>
      </c>
      <c r="J288" s="34" t="s">
        <v>31</v>
      </c>
      <c r="K288" s="34" t="s">
        <v>32</v>
      </c>
      <c r="L288" s="34" t="s">
        <v>1755</v>
      </c>
      <c r="M288" s="34" t="s">
        <v>33</v>
      </c>
      <c r="N288" s="47">
        <v>10</v>
      </c>
      <c r="O288" s="48">
        <v>2</v>
      </c>
      <c r="P288" s="49">
        <v>24</v>
      </c>
      <c r="Q288" s="50">
        <v>19.103750000000002</v>
      </c>
      <c r="R288" s="50">
        <v>-99.584969999999998</v>
      </c>
      <c r="S288" s="66" t="s">
        <v>34</v>
      </c>
      <c r="T288" s="66"/>
      <c r="U288" s="66"/>
      <c r="V288" s="66"/>
      <c r="W288" s="66"/>
      <c r="X288" s="66"/>
      <c r="Y288" s="66"/>
      <c r="Z288" s="66"/>
      <c r="AA288" s="66"/>
      <c r="AB288" s="67"/>
      <c r="AC288" s="87">
        <f t="shared" si="12"/>
        <v>0.1111111111111111</v>
      </c>
      <c r="AD288" s="91">
        <v>2</v>
      </c>
      <c r="AE288" s="103" t="s">
        <v>1840</v>
      </c>
      <c r="AF288">
        <f t="shared" si="14"/>
        <v>0</v>
      </c>
      <c r="AG288">
        <f t="shared" si="13"/>
        <v>0</v>
      </c>
    </row>
    <row r="289" spans="1:33" x14ac:dyDescent="0.3">
      <c r="A289" s="84" t="s">
        <v>357</v>
      </c>
      <c r="B289" s="93" t="s">
        <v>25</v>
      </c>
      <c r="C289" s="93" t="s">
        <v>1777</v>
      </c>
      <c r="D289" s="33" t="s">
        <v>1775</v>
      </c>
      <c r="E289" s="34" t="s">
        <v>358</v>
      </c>
      <c r="F289" s="34" t="s">
        <v>359</v>
      </c>
      <c r="G289" s="34" t="s">
        <v>29</v>
      </c>
      <c r="H289" s="37">
        <v>1</v>
      </c>
      <c r="I289" s="34" t="s">
        <v>30</v>
      </c>
      <c r="J289" s="34" t="s">
        <v>31</v>
      </c>
      <c r="K289" s="34" t="s">
        <v>32</v>
      </c>
      <c r="L289" s="34" t="s">
        <v>1755</v>
      </c>
      <c r="M289" s="34" t="s">
        <v>84</v>
      </c>
      <c r="N289" s="47">
        <v>8</v>
      </c>
      <c r="O289" s="48">
        <v>2</v>
      </c>
      <c r="P289" s="49">
        <v>22</v>
      </c>
      <c r="Q289" s="50">
        <v>18.925802999999998</v>
      </c>
      <c r="R289" s="50">
        <v>-99.942142000000004</v>
      </c>
      <c r="S289" s="66" t="s">
        <v>34</v>
      </c>
      <c r="T289" s="66"/>
      <c r="U289" s="66"/>
      <c r="V289" s="66"/>
      <c r="W289" s="66"/>
      <c r="X289" s="66"/>
      <c r="Y289" s="66"/>
      <c r="Z289" s="66"/>
      <c r="AA289" s="66"/>
      <c r="AB289" s="67"/>
      <c r="AC289" s="87">
        <f t="shared" ref="AC289:AC352" si="15">(
IF(S289="ENVIADO A LA CE/UM",1/3,IF(S289="ENTREGADO/REVISIÓN",2/3,IF(S289="ENVIADO A TICS",1,0)))+
IF(T289="EN PROCESO",1/2,IF(T289="CONCLUIDO",1,0))+
IF(OR(U289="CONCLUIDO",U289="NO APLICA"),1,IF(U289="EN REVISIÓN CENTRAL",2/3,IF(U289="ENVIADO A LA CE/UM",1/3,0)))+
IF(OR(V289="CONCLUIDO",V289="NO APLICA"),1,IF(V289="EN REVISIÓN CENTRAL",2/3,IF(V289="ENVIADO A LA CE/UM",1/3,0)))+                                                                                                                                                                                                                                                         IF(OR(W289="CONCLUIDO",W289="NO APLICA"),1,IF(W289="EN PROCESO",0.5,0))+
IF(OR(X289="CONCLUIDO",X289="NO APLICA"),1,IF(X289="EN PROCESO",0.5,0))+
IF(Y289="PROGRAMADAS",1/2,IF(Y289="CONCLUIDAS",1,0))+
IF(OR(Z289="SI",Z289="NO APLICA"),1,0)+
IF(OR(AA289="SI",AA289="NO APLICA"),1,0)
)/9</f>
        <v>0.1111111111111111</v>
      </c>
      <c r="AD289" s="91">
        <v>2</v>
      </c>
      <c r="AE289" s="103" t="s">
        <v>1840</v>
      </c>
      <c r="AF289">
        <f t="shared" si="14"/>
        <v>0</v>
      </c>
      <c r="AG289">
        <f t="shared" si="13"/>
        <v>0</v>
      </c>
    </row>
    <row r="290" spans="1:33" x14ac:dyDescent="0.3">
      <c r="A290" s="84" t="s">
        <v>360</v>
      </c>
      <c r="B290" s="93" t="s">
        <v>25</v>
      </c>
      <c r="C290" s="93" t="s">
        <v>1777</v>
      </c>
      <c r="D290" s="33" t="s">
        <v>1775</v>
      </c>
      <c r="E290" s="34" t="s">
        <v>361</v>
      </c>
      <c r="F290" s="34" t="s">
        <v>362</v>
      </c>
      <c r="G290" s="34" t="s">
        <v>29</v>
      </c>
      <c r="H290" s="37">
        <v>1</v>
      </c>
      <c r="I290" s="34" t="s">
        <v>30</v>
      </c>
      <c r="J290" s="34" t="s">
        <v>31</v>
      </c>
      <c r="K290" s="34" t="s">
        <v>32</v>
      </c>
      <c r="L290" s="34" t="s">
        <v>1755</v>
      </c>
      <c r="M290" s="34" t="s">
        <v>33</v>
      </c>
      <c r="N290" s="47">
        <v>8</v>
      </c>
      <c r="O290" s="48">
        <v>2</v>
      </c>
      <c r="P290" s="49">
        <v>30</v>
      </c>
      <c r="Q290" s="50">
        <v>18.571224999999998</v>
      </c>
      <c r="R290" s="50">
        <v>-100.31328000000001</v>
      </c>
      <c r="S290" s="66" t="s">
        <v>34</v>
      </c>
      <c r="T290" s="66"/>
      <c r="U290" s="66"/>
      <c r="V290" s="66"/>
      <c r="W290" s="66"/>
      <c r="X290" s="66"/>
      <c r="Y290" s="66"/>
      <c r="Z290" s="66"/>
      <c r="AA290" s="66"/>
      <c r="AB290" s="67"/>
      <c r="AC290" s="87">
        <f t="shared" si="15"/>
        <v>0.1111111111111111</v>
      </c>
      <c r="AD290" s="91">
        <v>2</v>
      </c>
      <c r="AE290" s="103" t="s">
        <v>1840</v>
      </c>
      <c r="AF290">
        <f t="shared" si="14"/>
        <v>0</v>
      </c>
      <c r="AG290">
        <f t="shared" si="13"/>
        <v>0</v>
      </c>
    </row>
    <row r="291" spans="1:33" x14ac:dyDescent="0.3">
      <c r="A291" s="84" t="s">
        <v>369</v>
      </c>
      <c r="B291" s="93" t="s">
        <v>25</v>
      </c>
      <c r="C291" s="93" t="s">
        <v>1777</v>
      </c>
      <c r="D291" s="33" t="s">
        <v>1775</v>
      </c>
      <c r="E291" s="34" t="s">
        <v>370</v>
      </c>
      <c r="F291" s="34" t="s">
        <v>371</v>
      </c>
      <c r="G291" s="34" t="s">
        <v>29</v>
      </c>
      <c r="H291" s="37">
        <v>1</v>
      </c>
      <c r="I291" s="34" t="s">
        <v>30</v>
      </c>
      <c r="J291" s="34" t="s">
        <v>31</v>
      </c>
      <c r="K291" s="34" t="s">
        <v>32</v>
      </c>
      <c r="L291" s="34" t="s">
        <v>1755</v>
      </c>
      <c r="M291" s="34" t="s">
        <v>33</v>
      </c>
      <c r="N291" s="47">
        <v>9</v>
      </c>
      <c r="O291" s="48">
        <v>2</v>
      </c>
      <c r="P291" s="49">
        <v>25</v>
      </c>
      <c r="Q291" s="50">
        <v>19.815152999999999</v>
      </c>
      <c r="R291" s="50">
        <v>-99.135655</v>
      </c>
      <c r="S291" s="66" t="s">
        <v>34</v>
      </c>
      <c r="T291" s="66" t="s">
        <v>175</v>
      </c>
      <c r="U291" s="66"/>
      <c r="V291" s="66"/>
      <c r="W291" s="66"/>
      <c r="X291" s="66"/>
      <c r="Y291" s="66"/>
      <c r="Z291" s="66"/>
      <c r="AA291" s="66"/>
      <c r="AB291" s="67"/>
      <c r="AC291" s="87">
        <f t="shared" si="15"/>
        <v>0.16666666666666666</v>
      </c>
      <c r="AD291" s="91">
        <v>1</v>
      </c>
      <c r="AE291" s="103" t="s">
        <v>1839</v>
      </c>
      <c r="AF291">
        <f t="shared" si="14"/>
        <v>0</v>
      </c>
      <c r="AG291">
        <f t="shared" si="13"/>
        <v>0</v>
      </c>
    </row>
    <row r="292" spans="1:33" x14ac:dyDescent="0.3">
      <c r="A292" s="84" t="s">
        <v>1071</v>
      </c>
      <c r="B292" s="93" t="s">
        <v>25</v>
      </c>
      <c r="C292" s="93" t="s">
        <v>1777</v>
      </c>
      <c r="D292" s="33" t="s">
        <v>1775</v>
      </c>
      <c r="E292" s="34" t="s">
        <v>1072</v>
      </c>
      <c r="F292" s="34" t="s">
        <v>1073</v>
      </c>
      <c r="G292" s="34" t="s">
        <v>111</v>
      </c>
      <c r="H292" s="37">
        <v>1</v>
      </c>
      <c r="I292" s="34" t="s">
        <v>112</v>
      </c>
      <c r="J292" s="34" t="s">
        <v>31</v>
      </c>
      <c r="K292" s="34" t="s">
        <v>32</v>
      </c>
      <c r="L292" s="34" t="s">
        <v>1756</v>
      </c>
      <c r="M292" s="34" t="s">
        <v>33</v>
      </c>
      <c r="N292" s="47">
        <v>21</v>
      </c>
      <c r="O292" s="48">
        <v>6</v>
      </c>
      <c r="P292" s="49">
        <v>210</v>
      </c>
      <c r="Q292" s="50">
        <v>19.316095000000001</v>
      </c>
      <c r="R292" s="50">
        <v>-99.636674999999997</v>
      </c>
      <c r="S292" s="66" t="s">
        <v>34</v>
      </c>
      <c r="T292" s="66"/>
      <c r="U292" s="66"/>
      <c r="V292" s="66"/>
      <c r="W292" s="66"/>
      <c r="X292" s="66"/>
      <c r="Y292" s="66"/>
      <c r="Z292" s="66"/>
      <c r="AA292" s="66"/>
      <c r="AB292" s="67"/>
      <c r="AC292" s="87">
        <f t="shared" si="15"/>
        <v>0.1111111111111111</v>
      </c>
      <c r="AD292" s="91">
        <v>2</v>
      </c>
      <c r="AE292" s="103" t="s">
        <v>1840</v>
      </c>
      <c r="AF292">
        <f t="shared" si="14"/>
        <v>0</v>
      </c>
      <c r="AG292">
        <f t="shared" si="13"/>
        <v>0</v>
      </c>
    </row>
    <row r="293" spans="1:33" x14ac:dyDescent="0.3">
      <c r="A293" s="84" t="s">
        <v>1638</v>
      </c>
      <c r="B293" s="93" t="s">
        <v>25</v>
      </c>
      <c r="C293" s="93" t="s">
        <v>1777</v>
      </c>
      <c r="D293" s="33" t="s">
        <v>1775</v>
      </c>
      <c r="E293" s="34" t="s">
        <v>1072</v>
      </c>
      <c r="F293" s="34" t="s">
        <v>1639</v>
      </c>
      <c r="G293" s="34" t="s">
        <v>164</v>
      </c>
      <c r="H293" s="37">
        <v>2</v>
      </c>
      <c r="I293" s="34" t="s">
        <v>155</v>
      </c>
      <c r="J293" s="34" t="s">
        <v>31</v>
      </c>
      <c r="K293" s="34" t="s">
        <v>32</v>
      </c>
      <c r="L293" s="34" t="s">
        <v>1756</v>
      </c>
      <c r="M293" s="34" t="s">
        <v>33</v>
      </c>
      <c r="N293" s="47">
        <v>22</v>
      </c>
      <c r="O293" s="48">
        <v>6</v>
      </c>
      <c r="P293" s="49">
        <v>162</v>
      </c>
      <c r="Q293" s="50">
        <v>19.27244</v>
      </c>
      <c r="R293" s="50">
        <v>-99.656936999999999</v>
      </c>
      <c r="S293" s="66" t="s">
        <v>34</v>
      </c>
      <c r="T293" s="66"/>
      <c r="U293" s="66"/>
      <c r="V293" s="66"/>
      <c r="W293" s="66"/>
      <c r="X293" s="66"/>
      <c r="Y293" s="66"/>
      <c r="Z293" s="66"/>
      <c r="AA293" s="66"/>
      <c r="AB293" s="67"/>
      <c r="AC293" s="87">
        <f t="shared" si="15"/>
        <v>0.1111111111111111</v>
      </c>
      <c r="AD293" s="91">
        <v>2</v>
      </c>
      <c r="AE293" s="103" t="s">
        <v>1840</v>
      </c>
      <c r="AF293">
        <f t="shared" si="14"/>
        <v>0</v>
      </c>
      <c r="AG293">
        <f t="shared" si="13"/>
        <v>0</v>
      </c>
    </row>
    <row r="294" spans="1:33" x14ac:dyDescent="0.3">
      <c r="A294" s="84" t="s">
        <v>1080</v>
      </c>
      <c r="B294" s="93" t="s">
        <v>25</v>
      </c>
      <c r="C294" s="93" t="s">
        <v>1777</v>
      </c>
      <c r="D294" s="33" t="s">
        <v>1775</v>
      </c>
      <c r="E294" s="34" t="s">
        <v>1081</v>
      </c>
      <c r="F294" s="34" t="s">
        <v>1082</v>
      </c>
      <c r="G294" s="34" t="s">
        <v>111</v>
      </c>
      <c r="H294" s="37">
        <v>1</v>
      </c>
      <c r="I294" s="34" t="s">
        <v>112</v>
      </c>
      <c r="J294" s="34" t="s">
        <v>31</v>
      </c>
      <c r="K294" s="34" t="s">
        <v>32</v>
      </c>
      <c r="L294" s="34" t="s">
        <v>1755</v>
      </c>
      <c r="M294" s="34" t="s">
        <v>33</v>
      </c>
      <c r="N294" s="47">
        <v>9</v>
      </c>
      <c r="O294" s="48">
        <v>3</v>
      </c>
      <c r="P294" s="49">
        <v>47</v>
      </c>
      <c r="Q294" s="50">
        <v>19.954758999999999</v>
      </c>
      <c r="R294" s="50">
        <v>-99.547045999999995</v>
      </c>
      <c r="S294" s="66" t="s">
        <v>34</v>
      </c>
      <c r="T294" s="66" t="s">
        <v>175</v>
      </c>
      <c r="U294" s="66"/>
      <c r="V294" s="66"/>
      <c r="W294" s="66"/>
      <c r="X294" s="66"/>
      <c r="Y294" s="66"/>
      <c r="Z294" s="66"/>
      <c r="AA294" s="66"/>
      <c r="AB294" s="67"/>
      <c r="AC294" s="87">
        <f t="shared" si="15"/>
        <v>0.16666666666666666</v>
      </c>
      <c r="AD294" s="91">
        <v>1</v>
      </c>
      <c r="AE294" s="103" t="s">
        <v>1839</v>
      </c>
      <c r="AF294">
        <f t="shared" si="14"/>
        <v>0</v>
      </c>
      <c r="AG294">
        <f t="shared" si="13"/>
        <v>0</v>
      </c>
    </row>
    <row r="295" spans="1:33" x14ac:dyDescent="0.3">
      <c r="A295" s="84" t="s">
        <v>378</v>
      </c>
      <c r="B295" s="93" t="s">
        <v>25</v>
      </c>
      <c r="C295" s="93" t="s">
        <v>1777</v>
      </c>
      <c r="D295" s="33" t="s">
        <v>1775</v>
      </c>
      <c r="E295" s="34" t="s">
        <v>379</v>
      </c>
      <c r="F295" s="34" t="s">
        <v>380</v>
      </c>
      <c r="G295" s="34" t="s">
        <v>29</v>
      </c>
      <c r="H295" s="37">
        <v>1</v>
      </c>
      <c r="I295" s="34" t="s">
        <v>30</v>
      </c>
      <c r="J295" s="34" t="s">
        <v>31</v>
      </c>
      <c r="K295" s="34" t="s">
        <v>32</v>
      </c>
      <c r="L295" s="34" t="s">
        <v>1755</v>
      </c>
      <c r="M295" s="34" t="s">
        <v>33</v>
      </c>
      <c r="N295" s="47">
        <v>7</v>
      </c>
      <c r="O295" s="48">
        <v>2</v>
      </c>
      <c r="P295" s="49">
        <v>28</v>
      </c>
      <c r="Q295" s="50">
        <v>19.9436158</v>
      </c>
      <c r="R295" s="50">
        <v>-99.868368399999994</v>
      </c>
      <c r="S295" s="66" t="s">
        <v>34</v>
      </c>
      <c r="T295" s="66" t="s">
        <v>175</v>
      </c>
      <c r="U295" s="66"/>
      <c r="V295" s="66"/>
      <c r="W295" s="66"/>
      <c r="X295" s="66"/>
      <c r="Y295" s="66"/>
      <c r="Z295" s="66"/>
      <c r="AA295" s="66"/>
      <c r="AB295" s="67"/>
      <c r="AC295" s="87">
        <f t="shared" si="15"/>
        <v>0.16666666666666666</v>
      </c>
      <c r="AD295" s="91">
        <v>1</v>
      </c>
      <c r="AE295" s="103" t="s">
        <v>1839</v>
      </c>
      <c r="AF295">
        <f t="shared" si="14"/>
        <v>0</v>
      </c>
      <c r="AG295">
        <f t="shared" si="13"/>
        <v>0</v>
      </c>
    </row>
    <row r="296" spans="1:33" x14ac:dyDescent="0.3">
      <c r="A296" s="84" t="s">
        <v>1083</v>
      </c>
      <c r="B296" s="93" t="s">
        <v>25</v>
      </c>
      <c r="C296" s="93" t="s">
        <v>1777</v>
      </c>
      <c r="D296" s="33" t="s">
        <v>1775</v>
      </c>
      <c r="E296" s="34" t="s">
        <v>1084</v>
      </c>
      <c r="F296" s="34" t="s">
        <v>1085</v>
      </c>
      <c r="G296" s="34" t="s">
        <v>111</v>
      </c>
      <c r="H296" s="37">
        <v>1</v>
      </c>
      <c r="I296" s="34" t="s">
        <v>112</v>
      </c>
      <c r="J296" s="34" t="s">
        <v>31</v>
      </c>
      <c r="K296" s="34" t="s">
        <v>32</v>
      </c>
      <c r="L296" s="34" t="s">
        <v>1755</v>
      </c>
      <c r="M296" s="34" t="s">
        <v>33</v>
      </c>
      <c r="N296" s="47">
        <v>10</v>
      </c>
      <c r="O296" s="48">
        <v>3</v>
      </c>
      <c r="P296" s="49">
        <v>99</v>
      </c>
      <c r="Q296" s="50">
        <v>19.789366000000001</v>
      </c>
      <c r="R296" s="50">
        <v>-99.882701999999995</v>
      </c>
      <c r="S296" s="66" t="s">
        <v>34</v>
      </c>
      <c r="T296" s="66" t="s">
        <v>175</v>
      </c>
      <c r="U296" s="66"/>
      <c r="V296" s="66"/>
      <c r="W296" s="66"/>
      <c r="X296" s="66"/>
      <c r="Y296" s="66"/>
      <c r="Z296" s="66"/>
      <c r="AA296" s="66"/>
      <c r="AB296" s="67"/>
      <c r="AC296" s="87">
        <f t="shared" si="15"/>
        <v>0.16666666666666666</v>
      </c>
      <c r="AD296" s="91">
        <v>1</v>
      </c>
      <c r="AE296" s="103" t="s">
        <v>1839</v>
      </c>
      <c r="AF296">
        <f t="shared" si="14"/>
        <v>0</v>
      </c>
      <c r="AG296">
        <f t="shared" si="13"/>
        <v>0</v>
      </c>
    </row>
    <row r="297" spans="1:33" x14ac:dyDescent="0.3">
      <c r="A297" s="84" t="s">
        <v>1074</v>
      </c>
      <c r="B297" s="93" t="s">
        <v>25</v>
      </c>
      <c r="C297" s="93" t="s">
        <v>1777</v>
      </c>
      <c r="D297" s="33" t="s">
        <v>1775</v>
      </c>
      <c r="E297" s="34" t="s">
        <v>1075</v>
      </c>
      <c r="F297" s="34" t="s">
        <v>1076</v>
      </c>
      <c r="G297" s="34" t="s">
        <v>111</v>
      </c>
      <c r="H297" s="37">
        <v>1</v>
      </c>
      <c r="I297" s="34" t="s">
        <v>112</v>
      </c>
      <c r="J297" s="34" t="s">
        <v>31</v>
      </c>
      <c r="K297" s="34" t="s">
        <v>32</v>
      </c>
      <c r="L297" s="34" t="s">
        <v>1755</v>
      </c>
      <c r="M297" s="34" t="s">
        <v>33</v>
      </c>
      <c r="N297" s="47">
        <v>11</v>
      </c>
      <c r="O297" s="48">
        <v>2</v>
      </c>
      <c r="P297" s="49">
        <v>66</v>
      </c>
      <c r="Q297" s="50">
        <v>19.203205000000001</v>
      </c>
      <c r="R297" s="50">
        <v>-100.13526</v>
      </c>
      <c r="S297" s="66" t="s">
        <v>34</v>
      </c>
      <c r="T297" s="66"/>
      <c r="U297" s="66"/>
      <c r="V297" s="66"/>
      <c r="W297" s="66"/>
      <c r="X297" s="66"/>
      <c r="Y297" s="66"/>
      <c r="Z297" s="66"/>
      <c r="AA297" s="66"/>
      <c r="AB297" s="67"/>
      <c r="AC297" s="87">
        <f t="shared" si="15"/>
        <v>0.1111111111111111</v>
      </c>
      <c r="AD297" s="91">
        <v>2</v>
      </c>
      <c r="AE297" s="103" t="s">
        <v>1840</v>
      </c>
      <c r="AF297">
        <f t="shared" si="14"/>
        <v>0</v>
      </c>
      <c r="AG297">
        <f t="shared" si="13"/>
        <v>0</v>
      </c>
    </row>
    <row r="298" spans="1:33" x14ac:dyDescent="0.3">
      <c r="A298" s="84" t="s">
        <v>381</v>
      </c>
      <c r="B298" s="93" t="s">
        <v>25</v>
      </c>
      <c r="C298" s="93" t="s">
        <v>1777</v>
      </c>
      <c r="D298" s="33" t="s">
        <v>1775</v>
      </c>
      <c r="E298" s="34" t="s">
        <v>382</v>
      </c>
      <c r="F298" s="34" t="s">
        <v>383</v>
      </c>
      <c r="G298" s="34" t="s">
        <v>29</v>
      </c>
      <c r="H298" s="37">
        <v>1</v>
      </c>
      <c r="I298" s="34" t="s">
        <v>30</v>
      </c>
      <c r="J298" s="34" t="s">
        <v>31</v>
      </c>
      <c r="K298" s="34" t="s">
        <v>32</v>
      </c>
      <c r="L298" s="34" t="s">
        <v>1755</v>
      </c>
      <c r="M298" s="34" t="s">
        <v>84</v>
      </c>
      <c r="N298" s="47">
        <v>6</v>
      </c>
      <c r="O298" s="48">
        <v>2</v>
      </c>
      <c r="P298" s="49">
        <v>31</v>
      </c>
      <c r="Q298" s="50">
        <v>19.467863000000001</v>
      </c>
      <c r="R298" s="50">
        <v>-99.605931999999996</v>
      </c>
      <c r="S298" s="66" t="s">
        <v>34</v>
      </c>
      <c r="T298" s="66" t="s">
        <v>175</v>
      </c>
      <c r="U298" s="66"/>
      <c r="V298" s="66"/>
      <c r="W298" s="66"/>
      <c r="X298" s="66"/>
      <c r="Y298" s="66"/>
      <c r="Z298" s="66"/>
      <c r="AA298" s="66"/>
      <c r="AB298" s="67"/>
      <c r="AC298" s="87">
        <f t="shared" si="15"/>
        <v>0.16666666666666666</v>
      </c>
      <c r="AD298" s="91">
        <v>1</v>
      </c>
      <c r="AE298" s="103" t="s">
        <v>1839</v>
      </c>
      <c r="AF298">
        <f t="shared" si="14"/>
        <v>0</v>
      </c>
      <c r="AG298">
        <f t="shared" si="13"/>
        <v>0</v>
      </c>
    </row>
    <row r="299" spans="1:33" x14ac:dyDescent="0.3">
      <c r="A299" s="84" t="s">
        <v>363</v>
      </c>
      <c r="B299" s="93" t="s">
        <v>25</v>
      </c>
      <c r="C299" s="93" t="s">
        <v>1777</v>
      </c>
      <c r="D299" s="33" t="s">
        <v>1775</v>
      </c>
      <c r="E299" s="34" t="s">
        <v>364</v>
      </c>
      <c r="F299" s="34" t="s">
        <v>365</v>
      </c>
      <c r="G299" s="34" t="s">
        <v>29</v>
      </c>
      <c r="H299" s="37">
        <v>1</v>
      </c>
      <c r="I299" s="34" t="s">
        <v>30</v>
      </c>
      <c r="J299" s="34" t="s">
        <v>31</v>
      </c>
      <c r="K299" s="34" t="s">
        <v>32</v>
      </c>
      <c r="L299" s="34" t="s">
        <v>1755</v>
      </c>
      <c r="M299" s="34" t="s">
        <v>33</v>
      </c>
      <c r="N299" s="47">
        <v>7</v>
      </c>
      <c r="O299" s="48">
        <v>2</v>
      </c>
      <c r="P299" s="49">
        <v>16</v>
      </c>
      <c r="Q299" s="50">
        <v>18.957221000000001</v>
      </c>
      <c r="R299" s="50">
        <v>-99.640535</v>
      </c>
      <c r="S299" s="66" t="s">
        <v>34</v>
      </c>
      <c r="T299" s="66"/>
      <c r="U299" s="66"/>
      <c r="V299" s="66"/>
      <c r="W299" s="66"/>
      <c r="X299" s="66"/>
      <c r="Y299" s="66"/>
      <c r="Z299" s="66"/>
      <c r="AA299" s="66"/>
      <c r="AB299" s="67"/>
      <c r="AC299" s="87">
        <f t="shared" si="15"/>
        <v>0.1111111111111111</v>
      </c>
      <c r="AD299" s="91">
        <v>2</v>
      </c>
      <c r="AE299" s="103" t="s">
        <v>1840</v>
      </c>
      <c r="AF299">
        <f t="shared" si="14"/>
        <v>0</v>
      </c>
      <c r="AG299">
        <f t="shared" si="13"/>
        <v>0</v>
      </c>
    </row>
    <row r="300" spans="1:33" x14ac:dyDescent="0.3">
      <c r="A300" s="84" t="s">
        <v>366</v>
      </c>
      <c r="B300" s="93" t="s">
        <v>25</v>
      </c>
      <c r="C300" s="93" t="s">
        <v>1777</v>
      </c>
      <c r="D300" s="33" t="s">
        <v>1775</v>
      </c>
      <c r="E300" s="34" t="s">
        <v>367</v>
      </c>
      <c r="F300" s="34" t="s">
        <v>368</v>
      </c>
      <c r="G300" s="34" t="s">
        <v>29</v>
      </c>
      <c r="H300" s="37">
        <v>1</v>
      </c>
      <c r="I300" s="34" t="s">
        <v>30</v>
      </c>
      <c r="J300" s="34" t="s">
        <v>31</v>
      </c>
      <c r="K300" s="34" t="s">
        <v>32</v>
      </c>
      <c r="L300" s="34" t="s">
        <v>1755</v>
      </c>
      <c r="M300" s="34" t="s">
        <v>33</v>
      </c>
      <c r="N300" s="47">
        <v>11</v>
      </c>
      <c r="O300" s="48">
        <v>2</v>
      </c>
      <c r="P300" s="49">
        <v>24</v>
      </c>
      <c r="Q300" s="50">
        <v>19.440958999999999</v>
      </c>
      <c r="R300" s="50">
        <v>-99.996043</v>
      </c>
      <c r="S300" s="66" t="s">
        <v>34</v>
      </c>
      <c r="T300" s="66"/>
      <c r="U300" s="66"/>
      <c r="V300" s="66"/>
      <c r="W300" s="66"/>
      <c r="X300" s="66"/>
      <c r="Y300" s="66"/>
      <c r="Z300" s="66"/>
      <c r="AA300" s="66"/>
      <c r="AB300" s="67"/>
      <c r="AC300" s="87">
        <f t="shared" si="15"/>
        <v>0.1111111111111111</v>
      </c>
      <c r="AD300" s="91">
        <v>2</v>
      </c>
      <c r="AE300" s="103" t="s">
        <v>1840</v>
      </c>
      <c r="AF300">
        <f t="shared" si="14"/>
        <v>0</v>
      </c>
      <c r="AG300">
        <f t="shared" si="13"/>
        <v>0</v>
      </c>
    </row>
    <row r="301" spans="1:33" x14ac:dyDescent="0.3">
      <c r="A301" s="84" t="s">
        <v>1095</v>
      </c>
      <c r="B301" s="93" t="s">
        <v>25</v>
      </c>
      <c r="C301" s="93" t="s">
        <v>1777</v>
      </c>
      <c r="D301" s="33" t="s">
        <v>1775</v>
      </c>
      <c r="E301" s="34" t="s">
        <v>1096</v>
      </c>
      <c r="F301" s="34" t="s">
        <v>1097</v>
      </c>
      <c r="G301" s="34" t="s">
        <v>111</v>
      </c>
      <c r="H301" s="37">
        <v>1</v>
      </c>
      <c r="I301" s="34" t="s">
        <v>112</v>
      </c>
      <c r="J301" s="34" t="s">
        <v>31</v>
      </c>
      <c r="K301" s="34" t="s">
        <v>32</v>
      </c>
      <c r="L301" s="34" t="s">
        <v>1755</v>
      </c>
      <c r="M301" s="34" t="s">
        <v>33</v>
      </c>
      <c r="N301" s="47">
        <v>11</v>
      </c>
      <c r="O301" s="48">
        <v>3</v>
      </c>
      <c r="P301" s="49">
        <v>53</v>
      </c>
      <c r="Q301" s="50">
        <v>19.676850099999999</v>
      </c>
      <c r="R301" s="50">
        <v>-99.092760100000007</v>
      </c>
      <c r="S301" s="66" t="s">
        <v>34</v>
      </c>
      <c r="T301" s="66" t="s">
        <v>175</v>
      </c>
      <c r="U301" s="66"/>
      <c r="V301" s="66"/>
      <c r="W301" s="66"/>
      <c r="X301" s="66"/>
      <c r="Y301" s="66"/>
      <c r="Z301" s="66"/>
      <c r="AA301" s="66"/>
      <c r="AB301" s="67"/>
      <c r="AC301" s="87">
        <f t="shared" si="15"/>
        <v>0.16666666666666666</v>
      </c>
      <c r="AD301" s="91">
        <v>1</v>
      </c>
      <c r="AE301" s="103" t="s">
        <v>1839</v>
      </c>
      <c r="AF301">
        <f t="shared" si="14"/>
        <v>0</v>
      </c>
      <c r="AG301">
        <f t="shared" si="13"/>
        <v>0</v>
      </c>
    </row>
    <row r="302" spans="1:33" x14ac:dyDescent="0.3">
      <c r="A302" s="84" t="s">
        <v>387</v>
      </c>
      <c r="B302" s="93" t="s">
        <v>25</v>
      </c>
      <c r="C302" s="93" t="s">
        <v>1777</v>
      </c>
      <c r="D302" s="33" t="s">
        <v>1775</v>
      </c>
      <c r="E302" s="34" t="s">
        <v>388</v>
      </c>
      <c r="F302" s="34" t="s">
        <v>389</v>
      </c>
      <c r="G302" s="34" t="s">
        <v>29</v>
      </c>
      <c r="H302" s="37">
        <v>1</v>
      </c>
      <c r="I302" s="34" t="s">
        <v>30</v>
      </c>
      <c r="J302" s="34" t="s">
        <v>31</v>
      </c>
      <c r="K302" s="34" t="s">
        <v>32</v>
      </c>
      <c r="L302" s="34" t="s">
        <v>1755</v>
      </c>
      <c r="M302" s="34" t="s">
        <v>33</v>
      </c>
      <c r="N302" s="47">
        <v>11</v>
      </c>
      <c r="O302" s="48">
        <v>2</v>
      </c>
      <c r="P302" s="49">
        <v>38</v>
      </c>
      <c r="Q302" s="50">
        <v>19.326934999999999</v>
      </c>
      <c r="R302" s="50">
        <v>-99.476313000000005</v>
      </c>
      <c r="S302" s="66" t="s">
        <v>34</v>
      </c>
      <c r="T302" s="66" t="s">
        <v>175</v>
      </c>
      <c r="U302" s="66"/>
      <c r="V302" s="66"/>
      <c r="W302" s="66"/>
      <c r="X302" s="66"/>
      <c r="Y302" s="66"/>
      <c r="Z302" s="66"/>
      <c r="AA302" s="66"/>
      <c r="AB302" s="67"/>
      <c r="AC302" s="87">
        <f t="shared" si="15"/>
        <v>0.16666666666666666</v>
      </c>
      <c r="AD302" s="91">
        <v>1</v>
      </c>
      <c r="AE302" s="103" t="s">
        <v>1839</v>
      </c>
      <c r="AF302">
        <f t="shared" si="14"/>
        <v>0</v>
      </c>
      <c r="AG302">
        <f t="shared" si="13"/>
        <v>0</v>
      </c>
    </row>
    <row r="303" spans="1:33" x14ac:dyDescent="0.3">
      <c r="A303" s="84" t="s">
        <v>372</v>
      </c>
      <c r="B303" s="93" t="s">
        <v>25</v>
      </c>
      <c r="C303" s="93" t="s">
        <v>1777</v>
      </c>
      <c r="D303" s="33" t="s">
        <v>1775</v>
      </c>
      <c r="E303" s="34" t="s">
        <v>373</v>
      </c>
      <c r="F303" s="34" t="s">
        <v>374</v>
      </c>
      <c r="G303" s="34" t="s">
        <v>29</v>
      </c>
      <c r="H303" s="37">
        <v>1</v>
      </c>
      <c r="I303" s="34" t="s">
        <v>30</v>
      </c>
      <c r="J303" s="34" t="s">
        <v>31</v>
      </c>
      <c r="K303" s="34" t="s">
        <v>32</v>
      </c>
      <c r="L303" s="34" t="s">
        <v>1755</v>
      </c>
      <c r="M303" s="34" t="s">
        <v>33</v>
      </c>
      <c r="N303" s="47">
        <v>10</v>
      </c>
      <c r="O303" s="48">
        <v>2</v>
      </c>
      <c r="P303" s="49">
        <v>33</v>
      </c>
      <c r="Q303" s="50">
        <v>18.921659999999999</v>
      </c>
      <c r="R303" s="50">
        <v>-100.29931000000001</v>
      </c>
      <c r="S303" s="66" t="s">
        <v>34</v>
      </c>
      <c r="T303" s="66"/>
      <c r="U303" s="66"/>
      <c r="V303" s="66"/>
      <c r="W303" s="66"/>
      <c r="X303" s="66"/>
      <c r="Y303" s="66"/>
      <c r="Z303" s="66"/>
      <c r="AA303" s="66"/>
      <c r="AB303" s="67"/>
      <c r="AC303" s="87">
        <f t="shared" si="15"/>
        <v>0.1111111111111111</v>
      </c>
      <c r="AD303" s="91">
        <v>2</v>
      </c>
      <c r="AE303" s="103" t="s">
        <v>1840</v>
      </c>
      <c r="AF303">
        <f t="shared" si="14"/>
        <v>0</v>
      </c>
      <c r="AG303">
        <f t="shared" si="13"/>
        <v>0</v>
      </c>
    </row>
    <row r="304" spans="1:33" x14ac:dyDescent="0.3">
      <c r="A304" s="84" t="s">
        <v>390</v>
      </c>
      <c r="B304" s="93" t="s">
        <v>25</v>
      </c>
      <c r="C304" s="93" t="s">
        <v>1777</v>
      </c>
      <c r="D304" s="33" t="s">
        <v>1775</v>
      </c>
      <c r="E304" s="34" t="s">
        <v>391</v>
      </c>
      <c r="F304" s="34" t="s">
        <v>392</v>
      </c>
      <c r="G304" s="34" t="s">
        <v>29</v>
      </c>
      <c r="H304" s="37">
        <v>1</v>
      </c>
      <c r="I304" s="34" t="s">
        <v>30</v>
      </c>
      <c r="J304" s="34" t="s">
        <v>31</v>
      </c>
      <c r="K304" s="34" t="s">
        <v>32</v>
      </c>
      <c r="L304" s="34" t="s">
        <v>1755</v>
      </c>
      <c r="M304" s="34" t="s">
        <v>33</v>
      </c>
      <c r="N304" s="47">
        <v>10</v>
      </c>
      <c r="O304" s="48">
        <v>2</v>
      </c>
      <c r="P304" s="49">
        <v>37</v>
      </c>
      <c r="Q304" s="50">
        <v>19.728026</v>
      </c>
      <c r="R304" s="50">
        <v>-99.479425000000006</v>
      </c>
      <c r="S304" s="66" t="s">
        <v>34</v>
      </c>
      <c r="T304" s="66" t="s">
        <v>175</v>
      </c>
      <c r="U304" s="66"/>
      <c r="V304" s="66"/>
      <c r="W304" s="66"/>
      <c r="X304" s="66"/>
      <c r="Y304" s="66"/>
      <c r="Z304" s="66"/>
      <c r="AA304" s="66"/>
      <c r="AB304" s="67"/>
      <c r="AC304" s="87">
        <f t="shared" si="15"/>
        <v>0.16666666666666666</v>
      </c>
      <c r="AD304" s="91">
        <v>1</v>
      </c>
      <c r="AE304" s="103" t="s">
        <v>1839</v>
      </c>
      <c r="AF304">
        <f t="shared" si="14"/>
        <v>0</v>
      </c>
      <c r="AG304">
        <f t="shared" si="13"/>
        <v>0</v>
      </c>
    </row>
    <row r="305" spans="1:33" x14ac:dyDescent="0.3">
      <c r="A305" s="84" t="s">
        <v>1100</v>
      </c>
      <c r="B305" s="93" t="s">
        <v>25</v>
      </c>
      <c r="C305" s="93" t="s">
        <v>1777</v>
      </c>
      <c r="D305" s="33" t="s">
        <v>1775</v>
      </c>
      <c r="E305" s="34" t="s">
        <v>1101</v>
      </c>
      <c r="F305" s="34" t="s">
        <v>1102</v>
      </c>
      <c r="G305" s="34" t="s">
        <v>111</v>
      </c>
      <c r="H305" s="37">
        <v>1</v>
      </c>
      <c r="I305" s="34" t="s">
        <v>112</v>
      </c>
      <c r="J305" s="34" t="s">
        <v>31</v>
      </c>
      <c r="K305" s="34" t="s">
        <v>32</v>
      </c>
      <c r="L305" s="34" t="s">
        <v>1755</v>
      </c>
      <c r="M305" s="34" t="s">
        <v>33</v>
      </c>
      <c r="N305" s="47">
        <v>10</v>
      </c>
      <c r="O305" s="48">
        <v>2</v>
      </c>
      <c r="P305" s="49">
        <v>94</v>
      </c>
      <c r="Q305" s="50">
        <v>19.733024</v>
      </c>
      <c r="R305" s="50">
        <v>-98.769851000000003</v>
      </c>
      <c r="S305" s="66" t="s">
        <v>34</v>
      </c>
      <c r="T305" s="66" t="s">
        <v>175</v>
      </c>
      <c r="U305" s="66"/>
      <c r="V305" s="66"/>
      <c r="W305" s="66"/>
      <c r="X305" s="66"/>
      <c r="Y305" s="66"/>
      <c r="Z305" s="66"/>
      <c r="AA305" s="66"/>
      <c r="AB305" s="67"/>
      <c r="AC305" s="87">
        <f t="shared" si="15"/>
        <v>0.16666666666666666</v>
      </c>
      <c r="AD305" s="91">
        <v>1</v>
      </c>
      <c r="AE305" s="103" t="s">
        <v>1839</v>
      </c>
      <c r="AF305">
        <f t="shared" si="14"/>
        <v>0</v>
      </c>
      <c r="AG305">
        <f t="shared" si="13"/>
        <v>0</v>
      </c>
    </row>
    <row r="306" spans="1:33" x14ac:dyDescent="0.3">
      <c r="A306" s="84" t="s">
        <v>1086</v>
      </c>
      <c r="B306" s="93" t="s">
        <v>25</v>
      </c>
      <c r="C306" s="93" t="s">
        <v>1777</v>
      </c>
      <c r="D306" s="33" t="s">
        <v>1775</v>
      </c>
      <c r="E306" s="34" t="s">
        <v>1072</v>
      </c>
      <c r="F306" s="34" t="s">
        <v>1087</v>
      </c>
      <c r="G306" s="34" t="s">
        <v>111</v>
      </c>
      <c r="H306" s="37">
        <v>1</v>
      </c>
      <c r="I306" s="34" t="s">
        <v>155</v>
      </c>
      <c r="J306" s="34" t="s">
        <v>31</v>
      </c>
      <c r="K306" s="34" t="s">
        <v>32</v>
      </c>
      <c r="L306" s="34" t="s">
        <v>1756</v>
      </c>
      <c r="M306" s="34" t="s">
        <v>33</v>
      </c>
      <c r="N306" s="47">
        <v>46</v>
      </c>
      <c r="O306" s="48">
        <v>7</v>
      </c>
      <c r="P306" s="49">
        <v>256</v>
      </c>
      <c r="Q306" s="50">
        <v>19.319683999999999</v>
      </c>
      <c r="R306" s="50">
        <v>-99.633145999999996</v>
      </c>
      <c r="S306" s="66" t="s">
        <v>34</v>
      </c>
      <c r="T306" s="66"/>
      <c r="U306" s="66"/>
      <c r="V306" s="66"/>
      <c r="W306" s="66"/>
      <c r="X306" s="66"/>
      <c r="Y306" s="66"/>
      <c r="Z306" s="66"/>
      <c r="AA306" s="66"/>
      <c r="AB306" s="67"/>
      <c r="AC306" s="87">
        <f t="shared" si="15"/>
        <v>0.1111111111111111</v>
      </c>
      <c r="AD306" s="91">
        <v>2</v>
      </c>
      <c r="AE306" s="103" t="s">
        <v>1840</v>
      </c>
      <c r="AF306">
        <f t="shared" si="14"/>
        <v>0</v>
      </c>
      <c r="AG306">
        <f t="shared" si="13"/>
        <v>0</v>
      </c>
    </row>
    <row r="307" spans="1:33" x14ac:dyDescent="0.3">
      <c r="A307" s="84" t="s">
        <v>1103</v>
      </c>
      <c r="B307" s="93" t="s">
        <v>25</v>
      </c>
      <c r="C307" s="93" t="s">
        <v>1777</v>
      </c>
      <c r="D307" s="33" t="s">
        <v>1775</v>
      </c>
      <c r="E307" s="34" t="s">
        <v>1057</v>
      </c>
      <c r="F307" s="34" t="s">
        <v>1104</v>
      </c>
      <c r="G307" s="34" t="s">
        <v>111</v>
      </c>
      <c r="H307" s="37">
        <v>1</v>
      </c>
      <c r="I307" s="34" t="s">
        <v>155</v>
      </c>
      <c r="J307" s="34" t="s">
        <v>31</v>
      </c>
      <c r="K307" s="34" t="s">
        <v>32</v>
      </c>
      <c r="L307" s="34" t="s">
        <v>1755</v>
      </c>
      <c r="M307" s="34" t="s">
        <v>33</v>
      </c>
      <c r="N307" s="47">
        <v>17</v>
      </c>
      <c r="O307" s="48">
        <v>4</v>
      </c>
      <c r="P307" s="49">
        <v>21</v>
      </c>
      <c r="Q307" s="50">
        <v>19.470444000000001</v>
      </c>
      <c r="R307" s="50">
        <v>-99.239058999999997</v>
      </c>
      <c r="S307" s="66" t="s">
        <v>34</v>
      </c>
      <c r="T307" s="66" t="s">
        <v>175</v>
      </c>
      <c r="U307" s="66"/>
      <c r="V307" s="66"/>
      <c r="W307" s="66"/>
      <c r="X307" s="66"/>
      <c r="Y307" s="66"/>
      <c r="Z307" s="66"/>
      <c r="AA307" s="66"/>
      <c r="AB307" s="67"/>
      <c r="AC307" s="87">
        <f t="shared" si="15"/>
        <v>0.16666666666666666</v>
      </c>
      <c r="AD307" s="91">
        <v>1</v>
      </c>
      <c r="AE307" s="103" t="s">
        <v>1839</v>
      </c>
      <c r="AF307">
        <f t="shared" si="14"/>
        <v>0</v>
      </c>
      <c r="AG307">
        <f t="shared" si="13"/>
        <v>0</v>
      </c>
    </row>
    <row r="308" spans="1:33" x14ac:dyDescent="0.3">
      <c r="A308" s="84" t="s">
        <v>1088</v>
      </c>
      <c r="B308" s="93" t="s">
        <v>25</v>
      </c>
      <c r="C308" s="93" t="s">
        <v>1777</v>
      </c>
      <c r="D308" s="33" t="s">
        <v>1775</v>
      </c>
      <c r="E308" s="34" t="s">
        <v>1089</v>
      </c>
      <c r="F308" s="34" t="s">
        <v>1090</v>
      </c>
      <c r="G308" s="34" t="s">
        <v>111</v>
      </c>
      <c r="H308" s="37">
        <v>1</v>
      </c>
      <c r="I308" s="34" t="s">
        <v>112</v>
      </c>
      <c r="J308" s="34" t="s">
        <v>31</v>
      </c>
      <c r="K308" s="34" t="s">
        <v>32</v>
      </c>
      <c r="L308" s="34" t="s">
        <v>1755</v>
      </c>
      <c r="M308" s="34" t="s">
        <v>84</v>
      </c>
      <c r="N308" s="47">
        <v>7</v>
      </c>
      <c r="O308" s="48">
        <v>3</v>
      </c>
      <c r="P308" s="49">
        <v>48</v>
      </c>
      <c r="Q308" s="50">
        <v>18.81888</v>
      </c>
      <c r="R308" s="50">
        <v>-99.668328000000002</v>
      </c>
      <c r="S308" s="66" t="s">
        <v>34</v>
      </c>
      <c r="T308" s="66"/>
      <c r="U308" s="66"/>
      <c r="V308" s="66"/>
      <c r="W308" s="66"/>
      <c r="X308" s="66"/>
      <c r="Y308" s="66"/>
      <c r="Z308" s="66"/>
      <c r="AA308" s="66"/>
      <c r="AB308" s="67"/>
      <c r="AC308" s="87">
        <f t="shared" si="15"/>
        <v>0.1111111111111111</v>
      </c>
      <c r="AD308" s="91">
        <v>2</v>
      </c>
      <c r="AE308" s="103" t="s">
        <v>1840</v>
      </c>
      <c r="AF308">
        <f t="shared" si="14"/>
        <v>0</v>
      </c>
      <c r="AG308">
        <f t="shared" si="13"/>
        <v>0</v>
      </c>
    </row>
    <row r="309" spans="1:33" x14ac:dyDescent="0.3">
      <c r="A309" s="84" t="s">
        <v>402</v>
      </c>
      <c r="B309" s="93" t="s">
        <v>25</v>
      </c>
      <c r="C309" s="93" t="s">
        <v>1777</v>
      </c>
      <c r="D309" s="33" t="s">
        <v>1775</v>
      </c>
      <c r="E309" s="34" t="s">
        <v>403</v>
      </c>
      <c r="F309" s="34" t="s">
        <v>404</v>
      </c>
      <c r="G309" s="34" t="s">
        <v>29</v>
      </c>
      <c r="H309" s="37">
        <v>1</v>
      </c>
      <c r="I309" s="34" t="s">
        <v>30</v>
      </c>
      <c r="J309" s="34" t="s">
        <v>31</v>
      </c>
      <c r="K309" s="34" t="s">
        <v>32</v>
      </c>
      <c r="L309" s="34" t="s">
        <v>1755</v>
      </c>
      <c r="M309" s="34" t="s">
        <v>33</v>
      </c>
      <c r="N309" s="47">
        <v>6</v>
      </c>
      <c r="O309" s="48">
        <v>2</v>
      </c>
      <c r="P309" s="49">
        <v>14</v>
      </c>
      <c r="Q309" s="50">
        <v>19.421738999999999</v>
      </c>
      <c r="R309" s="50">
        <v>-99.556623999999999</v>
      </c>
      <c r="S309" s="66" t="s">
        <v>34</v>
      </c>
      <c r="T309" s="66" t="s">
        <v>175</v>
      </c>
      <c r="U309" s="66"/>
      <c r="V309" s="66"/>
      <c r="W309" s="66"/>
      <c r="X309" s="66"/>
      <c r="Y309" s="66"/>
      <c r="Z309" s="66"/>
      <c r="AA309" s="66"/>
      <c r="AB309" s="67"/>
      <c r="AC309" s="87">
        <f t="shared" si="15"/>
        <v>0.16666666666666666</v>
      </c>
      <c r="AD309" s="91">
        <v>1</v>
      </c>
      <c r="AE309" s="103" t="s">
        <v>1839</v>
      </c>
      <c r="AF309">
        <f t="shared" si="14"/>
        <v>0</v>
      </c>
      <c r="AG309">
        <f t="shared" si="13"/>
        <v>0</v>
      </c>
    </row>
    <row r="310" spans="1:33" x14ac:dyDescent="0.3">
      <c r="A310" s="84" t="s">
        <v>405</v>
      </c>
      <c r="B310" s="93" t="s">
        <v>25</v>
      </c>
      <c r="C310" s="93" t="s">
        <v>1777</v>
      </c>
      <c r="D310" s="33" t="s">
        <v>1775</v>
      </c>
      <c r="E310" s="34" t="s">
        <v>406</v>
      </c>
      <c r="F310" s="34" t="s">
        <v>407</v>
      </c>
      <c r="G310" s="34" t="s">
        <v>29</v>
      </c>
      <c r="H310" s="37">
        <v>1</v>
      </c>
      <c r="I310" s="34" t="s">
        <v>30</v>
      </c>
      <c r="J310" s="34" t="s">
        <v>31</v>
      </c>
      <c r="K310" s="34" t="s">
        <v>32</v>
      </c>
      <c r="L310" s="34" t="s">
        <v>1755</v>
      </c>
      <c r="M310" s="34" t="s">
        <v>33</v>
      </c>
      <c r="N310" s="47">
        <v>13</v>
      </c>
      <c r="O310" s="48">
        <v>2</v>
      </c>
      <c r="P310" s="49">
        <v>36</v>
      </c>
      <c r="Q310" s="50">
        <v>19.390063999999999</v>
      </c>
      <c r="R310" s="50">
        <v>-99.542540700000004</v>
      </c>
      <c r="S310" s="66" t="s">
        <v>34</v>
      </c>
      <c r="T310" s="66" t="s">
        <v>175</v>
      </c>
      <c r="U310" s="66"/>
      <c r="V310" s="66"/>
      <c r="W310" s="66"/>
      <c r="X310" s="66"/>
      <c r="Y310" s="66"/>
      <c r="Z310" s="66"/>
      <c r="AA310" s="66"/>
      <c r="AB310" s="67"/>
      <c r="AC310" s="87">
        <f t="shared" si="15"/>
        <v>0.16666666666666666</v>
      </c>
      <c r="AD310" s="91">
        <v>1</v>
      </c>
      <c r="AE310" s="103" t="s">
        <v>1839</v>
      </c>
      <c r="AF310">
        <f t="shared" si="14"/>
        <v>0</v>
      </c>
      <c r="AG310">
        <f t="shared" si="13"/>
        <v>0</v>
      </c>
    </row>
    <row r="311" spans="1:33" x14ac:dyDescent="0.3">
      <c r="A311" s="84" t="s">
        <v>384</v>
      </c>
      <c r="B311" s="93" t="s">
        <v>25</v>
      </c>
      <c r="C311" s="93" t="s">
        <v>1777</v>
      </c>
      <c r="D311" s="33" t="s">
        <v>1775</v>
      </c>
      <c r="E311" s="34" t="s">
        <v>385</v>
      </c>
      <c r="F311" s="34" t="s">
        <v>386</v>
      </c>
      <c r="G311" s="34" t="s">
        <v>29</v>
      </c>
      <c r="H311" s="37">
        <v>1</v>
      </c>
      <c r="I311" s="34" t="s">
        <v>30</v>
      </c>
      <c r="J311" s="34" t="s">
        <v>31</v>
      </c>
      <c r="K311" s="34" t="s">
        <v>32</v>
      </c>
      <c r="L311" s="34" t="s">
        <v>1755</v>
      </c>
      <c r="M311" s="34" t="s">
        <v>33</v>
      </c>
      <c r="N311" s="47">
        <v>6</v>
      </c>
      <c r="O311" s="48">
        <v>2</v>
      </c>
      <c r="P311" s="49">
        <v>22</v>
      </c>
      <c r="Q311" s="50">
        <v>18.720703</v>
      </c>
      <c r="R311" s="50">
        <v>-99.781158000000005</v>
      </c>
      <c r="S311" s="66" t="s">
        <v>34</v>
      </c>
      <c r="T311" s="66"/>
      <c r="U311" s="66"/>
      <c r="V311" s="66"/>
      <c r="W311" s="66"/>
      <c r="X311" s="66"/>
      <c r="Y311" s="66"/>
      <c r="Z311" s="66"/>
      <c r="AA311" s="66"/>
      <c r="AB311" s="67"/>
      <c r="AC311" s="87">
        <f t="shared" si="15"/>
        <v>0.1111111111111111</v>
      </c>
      <c r="AD311" s="91">
        <v>2</v>
      </c>
      <c r="AE311" s="103" t="s">
        <v>1840</v>
      </c>
      <c r="AF311">
        <f t="shared" si="14"/>
        <v>0</v>
      </c>
      <c r="AG311">
        <f t="shared" si="13"/>
        <v>0</v>
      </c>
    </row>
    <row r="312" spans="1:33" x14ac:dyDescent="0.3">
      <c r="A312" s="84" t="s">
        <v>1108</v>
      </c>
      <c r="B312" s="93" t="s">
        <v>25</v>
      </c>
      <c r="C312" s="93" t="s">
        <v>1777</v>
      </c>
      <c r="D312" s="33" t="s">
        <v>1775</v>
      </c>
      <c r="E312" s="34" t="s">
        <v>1109</v>
      </c>
      <c r="F312" s="34" t="s">
        <v>1110</v>
      </c>
      <c r="G312" s="34" t="s">
        <v>111</v>
      </c>
      <c r="H312" s="37">
        <v>1</v>
      </c>
      <c r="I312" s="34" t="s">
        <v>112</v>
      </c>
      <c r="J312" s="34" t="s">
        <v>31</v>
      </c>
      <c r="K312" s="34" t="s">
        <v>32</v>
      </c>
      <c r="L312" s="34" t="s">
        <v>1755</v>
      </c>
      <c r="M312" s="34" t="s">
        <v>33</v>
      </c>
      <c r="N312" s="47">
        <v>11</v>
      </c>
      <c r="O312" s="48">
        <v>3</v>
      </c>
      <c r="P312" s="49">
        <v>51</v>
      </c>
      <c r="Q312" s="50">
        <v>19.919259</v>
      </c>
      <c r="R312" s="50">
        <v>-99.069467000000003</v>
      </c>
      <c r="S312" s="66" t="s">
        <v>34</v>
      </c>
      <c r="T312" s="66" t="s">
        <v>175</v>
      </c>
      <c r="U312" s="66"/>
      <c r="V312" s="66"/>
      <c r="W312" s="66"/>
      <c r="X312" s="66"/>
      <c r="Y312" s="66"/>
      <c r="Z312" s="66"/>
      <c r="AA312" s="66"/>
      <c r="AB312" s="67"/>
      <c r="AC312" s="87">
        <f t="shared" si="15"/>
        <v>0.16666666666666666</v>
      </c>
      <c r="AD312" s="91">
        <v>1</v>
      </c>
      <c r="AE312" s="103" t="s">
        <v>1839</v>
      </c>
      <c r="AF312">
        <f t="shared" si="14"/>
        <v>0</v>
      </c>
      <c r="AG312">
        <f t="shared" si="13"/>
        <v>0</v>
      </c>
    </row>
    <row r="313" spans="1:33" x14ac:dyDescent="0.3">
      <c r="A313" s="84" t="s">
        <v>396</v>
      </c>
      <c r="B313" s="93" t="s">
        <v>25</v>
      </c>
      <c r="C313" s="93" t="s">
        <v>1777</v>
      </c>
      <c r="D313" s="33" t="s">
        <v>1775</v>
      </c>
      <c r="E313" s="34" t="s">
        <v>397</v>
      </c>
      <c r="F313" s="34" t="s">
        <v>398</v>
      </c>
      <c r="G313" s="34" t="s">
        <v>29</v>
      </c>
      <c r="H313" s="37">
        <v>1</v>
      </c>
      <c r="I313" s="34" t="s">
        <v>30</v>
      </c>
      <c r="J313" s="34" t="s">
        <v>31</v>
      </c>
      <c r="K313" s="34" t="s">
        <v>32</v>
      </c>
      <c r="L313" s="34" t="s">
        <v>1755</v>
      </c>
      <c r="M313" s="34" t="s">
        <v>33</v>
      </c>
      <c r="N313" s="47">
        <v>6</v>
      </c>
      <c r="O313" s="48">
        <v>2</v>
      </c>
      <c r="P313" s="49">
        <v>31</v>
      </c>
      <c r="Q313" s="50">
        <v>18.947174</v>
      </c>
      <c r="R313" s="50">
        <v>-99.491534000000001</v>
      </c>
      <c r="S313" s="66" t="s">
        <v>34</v>
      </c>
      <c r="T313" s="66"/>
      <c r="U313" s="66"/>
      <c r="V313" s="66"/>
      <c r="W313" s="66"/>
      <c r="X313" s="66"/>
      <c r="Y313" s="66"/>
      <c r="Z313" s="66"/>
      <c r="AA313" s="66"/>
      <c r="AB313" s="67" t="s">
        <v>1808</v>
      </c>
      <c r="AC313" s="87">
        <f t="shared" si="15"/>
        <v>0.1111111111111111</v>
      </c>
      <c r="AD313" s="91">
        <v>2</v>
      </c>
      <c r="AE313" s="103" t="s">
        <v>1840</v>
      </c>
      <c r="AF313">
        <f t="shared" si="14"/>
        <v>0</v>
      </c>
      <c r="AG313">
        <f t="shared" si="13"/>
        <v>0</v>
      </c>
    </row>
    <row r="314" spans="1:33" x14ac:dyDescent="0.3">
      <c r="A314" s="84" t="s">
        <v>1622</v>
      </c>
      <c r="B314" s="93" t="s">
        <v>25</v>
      </c>
      <c r="C314" s="93" t="s">
        <v>1777</v>
      </c>
      <c r="D314" s="33" t="s">
        <v>1775</v>
      </c>
      <c r="E314" s="34" t="s">
        <v>1623</v>
      </c>
      <c r="F314" s="34" t="s">
        <v>1624</v>
      </c>
      <c r="G314" s="34" t="s">
        <v>164</v>
      </c>
      <c r="H314" s="37">
        <v>2</v>
      </c>
      <c r="I314" s="34" t="s">
        <v>155</v>
      </c>
      <c r="J314" s="34" t="s">
        <v>31</v>
      </c>
      <c r="K314" s="34" t="s">
        <v>32</v>
      </c>
      <c r="L314" s="34" t="s">
        <v>1755</v>
      </c>
      <c r="M314" s="34" t="s">
        <v>84</v>
      </c>
      <c r="N314" s="47">
        <v>8</v>
      </c>
      <c r="O314" s="48">
        <v>2</v>
      </c>
      <c r="P314" s="49">
        <v>70</v>
      </c>
      <c r="Q314" s="50">
        <v>19.657679000000002</v>
      </c>
      <c r="R314" s="50">
        <v>-100.12159</v>
      </c>
      <c r="S314" s="66" t="s">
        <v>34</v>
      </c>
      <c r="T314" s="66"/>
      <c r="U314" s="66"/>
      <c r="V314" s="66"/>
      <c r="W314" s="66"/>
      <c r="X314" s="66"/>
      <c r="Y314" s="66"/>
      <c r="Z314" s="66"/>
      <c r="AA314" s="66"/>
      <c r="AB314" s="67"/>
      <c r="AC314" s="87">
        <f t="shared" si="15"/>
        <v>0.1111111111111111</v>
      </c>
      <c r="AD314" s="91">
        <v>2</v>
      </c>
      <c r="AE314" s="103" t="s">
        <v>1840</v>
      </c>
      <c r="AF314">
        <f t="shared" si="14"/>
        <v>0</v>
      </c>
      <c r="AG314">
        <f t="shared" si="13"/>
        <v>0</v>
      </c>
    </row>
    <row r="315" spans="1:33" x14ac:dyDescent="0.3">
      <c r="A315" s="84" t="s">
        <v>411</v>
      </c>
      <c r="B315" s="93" t="s">
        <v>1812</v>
      </c>
      <c r="C315" s="93" t="s">
        <v>1777</v>
      </c>
      <c r="D315" s="33" t="s">
        <v>1775</v>
      </c>
      <c r="E315" s="34" t="s">
        <v>412</v>
      </c>
      <c r="F315" s="34" t="s">
        <v>413</v>
      </c>
      <c r="G315" s="34" t="s">
        <v>29</v>
      </c>
      <c r="H315" s="37">
        <v>1</v>
      </c>
      <c r="I315" s="34" t="s">
        <v>30</v>
      </c>
      <c r="J315" s="34" t="s">
        <v>31</v>
      </c>
      <c r="K315" s="34" t="s">
        <v>32</v>
      </c>
      <c r="L315" s="34" t="s">
        <v>1755</v>
      </c>
      <c r="M315" s="34" t="s">
        <v>84</v>
      </c>
      <c r="N315" s="47">
        <v>10</v>
      </c>
      <c r="O315" s="48">
        <v>2</v>
      </c>
      <c r="P315" s="49">
        <v>47</v>
      </c>
      <c r="Q315" s="50">
        <v>19.567789000000001</v>
      </c>
      <c r="R315" s="50">
        <v>-99.630523999999994</v>
      </c>
      <c r="S315" s="66" t="s">
        <v>34</v>
      </c>
      <c r="T315" s="66" t="s">
        <v>175</v>
      </c>
      <c r="U315" s="66"/>
      <c r="V315" s="66"/>
      <c r="W315" s="66"/>
      <c r="X315" s="66"/>
      <c r="Y315" s="66"/>
      <c r="Z315" s="66"/>
      <c r="AA315" s="66"/>
      <c r="AB315" s="67"/>
      <c r="AC315" s="87">
        <f t="shared" si="15"/>
        <v>0.16666666666666666</v>
      </c>
      <c r="AD315" s="91">
        <v>1</v>
      </c>
      <c r="AE315" s="103" t="s">
        <v>1839</v>
      </c>
      <c r="AF315">
        <f t="shared" si="14"/>
        <v>0</v>
      </c>
      <c r="AG315">
        <f t="shared" si="13"/>
        <v>0</v>
      </c>
    </row>
    <row r="316" spans="1:33" x14ac:dyDescent="0.3">
      <c r="A316" s="84" t="s">
        <v>414</v>
      </c>
      <c r="B316" s="93" t="s">
        <v>25</v>
      </c>
      <c r="C316" s="93" t="s">
        <v>1777</v>
      </c>
      <c r="D316" s="33" t="s">
        <v>1775</v>
      </c>
      <c r="E316" s="34" t="s">
        <v>415</v>
      </c>
      <c r="F316" s="34" t="s">
        <v>416</v>
      </c>
      <c r="G316" s="34" t="s">
        <v>29</v>
      </c>
      <c r="H316" s="37">
        <v>1</v>
      </c>
      <c r="I316" s="34" t="s">
        <v>30</v>
      </c>
      <c r="J316" s="34" t="s">
        <v>31</v>
      </c>
      <c r="K316" s="34" t="s">
        <v>32</v>
      </c>
      <c r="L316" s="34" t="s">
        <v>1755</v>
      </c>
      <c r="M316" s="34" t="s">
        <v>84</v>
      </c>
      <c r="N316" s="47">
        <v>10</v>
      </c>
      <c r="O316" s="48">
        <v>2</v>
      </c>
      <c r="P316" s="49">
        <v>45</v>
      </c>
      <c r="Q316" s="50">
        <v>19.639880099999999</v>
      </c>
      <c r="R316" s="50">
        <v>-99.377540100000004</v>
      </c>
      <c r="S316" s="66" t="s">
        <v>34</v>
      </c>
      <c r="T316" s="66" t="s">
        <v>175</v>
      </c>
      <c r="U316" s="66"/>
      <c r="V316" s="66"/>
      <c r="W316" s="66"/>
      <c r="X316" s="66"/>
      <c r="Y316" s="66"/>
      <c r="Z316" s="66"/>
      <c r="AA316" s="66"/>
      <c r="AB316" s="67"/>
      <c r="AC316" s="87">
        <f t="shared" si="15"/>
        <v>0.16666666666666666</v>
      </c>
      <c r="AD316" s="91">
        <v>1</v>
      </c>
      <c r="AE316" s="103" t="s">
        <v>1839</v>
      </c>
      <c r="AF316">
        <f t="shared" si="14"/>
        <v>0</v>
      </c>
      <c r="AG316">
        <f t="shared" si="13"/>
        <v>0</v>
      </c>
    </row>
    <row r="317" spans="1:33" x14ac:dyDescent="0.3">
      <c r="A317" s="84" t="s">
        <v>1617</v>
      </c>
      <c r="B317" s="93" t="s">
        <v>25</v>
      </c>
      <c r="C317" s="93" t="s">
        <v>1777</v>
      </c>
      <c r="D317" s="33" t="s">
        <v>1775</v>
      </c>
      <c r="E317" s="34" t="s">
        <v>1037</v>
      </c>
      <c r="F317" s="34" t="s">
        <v>1618</v>
      </c>
      <c r="G317" s="34" t="s">
        <v>164</v>
      </c>
      <c r="H317" s="37">
        <v>2</v>
      </c>
      <c r="I317" s="34" t="s">
        <v>155</v>
      </c>
      <c r="J317" s="34" t="s">
        <v>31</v>
      </c>
      <c r="K317" s="34" t="s">
        <v>32</v>
      </c>
      <c r="L317" s="34" t="s">
        <v>1755</v>
      </c>
      <c r="M317" s="34" t="s">
        <v>33</v>
      </c>
      <c r="N317" s="47">
        <v>8</v>
      </c>
      <c r="O317" s="48">
        <v>4</v>
      </c>
      <c r="P317" s="49">
        <v>110</v>
      </c>
      <c r="Q317" s="50">
        <v>19.597300000000001</v>
      </c>
      <c r="R317" s="50">
        <v>-99.263183999999995</v>
      </c>
      <c r="S317" s="66" t="s">
        <v>34</v>
      </c>
      <c r="T317" s="66" t="s">
        <v>175</v>
      </c>
      <c r="U317" s="66"/>
      <c r="V317" s="66"/>
      <c r="W317" s="66"/>
      <c r="X317" s="66"/>
      <c r="Y317" s="66"/>
      <c r="Z317" s="66"/>
      <c r="AA317" s="66"/>
      <c r="AB317" s="67"/>
      <c r="AC317" s="87">
        <f t="shared" si="15"/>
        <v>0.16666666666666666</v>
      </c>
      <c r="AD317" s="91">
        <v>1</v>
      </c>
      <c r="AE317" s="103" t="s">
        <v>1839</v>
      </c>
      <c r="AF317">
        <f t="shared" si="14"/>
        <v>0</v>
      </c>
      <c r="AG317">
        <f t="shared" si="13"/>
        <v>0</v>
      </c>
    </row>
    <row r="318" spans="1:33" x14ac:dyDescent="0.3">
      <c r="A318" s="84" t="s">
        <v>408</v>
      </c>
      <c r="B318" s="93" t="s">
        <v>25</v>
      </c>
      <c r="C318" s="93" t="s">
        <v>1777</v>
      </c>
      <c r="D318" s="33" t="s">
        <v>1775</v>
      </c>
      <c r="E318" s="34" t="s">
        <v>409</v>
      </c>
      <c r="F318" s="34" t="s">
        <v>410</v>
      </c>
      <c r="G318" s="34" t="s">
        <v>29</v>
      </c>
      <c r="H318" s="37">
        <v>1</v>
      </c>
      <c r="I318" s="34" t="s">
        <v>30</v>
      </c>
      <c r="J318" s="34" t="s">
        <v>31</v>
      </c>
      <c r="K318" s="34" t="s">
        <v>32</v>
      </c>
      <c r="L318" s="34" t="s">
        <v>1755</v>
      </c>
      <c r="M318" s="34" t="s">
        <v>84</v>
      </c>
      <c r="N318" s="47">
        <v>9</v>
      </c>
      <c r="O318" s="48">
        <v>2</v>
      </c>
      <c r="P318" s="49">
        <v>34</v>
      </c>
      <c r="Q318" s="50">
        <v>19.051632000000001</v>
      </c>
      <c r="R318" s="50">
        <v>-100.020031</v>
      </c>
      <c r="S318" s="66" t="s">
        <v>34</v>
      </c>
      <c r="T318" s="66"/>
      <c r="U318" s="66"/>
      <c r="V318" s="66"/>
      <c r="W318" s="66"/>
      <c r="X318" s="66"/>
      <c r="Y318" s="66"/>
      <c r="Z318" s="66"/>
      <c r="AA318" s="66"/>
      <c r="AB318" s="67"/>
      <c r="AC318" s="87">
        <f t="shared" si="15"/>
        <v>0.1111111111111111</v>
      </c>
      <c r="AD318" s="91">
        <v>2</v>
      </c>
      <c r="AE318" s="103" t="s">
        <v>1840</v>
      </c>
      <c r="AF318">
        <f t="shared" si="14"/>
        <v>0</v>
      </c>
      <c r="AG318">
        <f t="shared" si="13"/>
        <v>0</v>
      </c>
    </row>
    <row r="319" spans="1:33" x14ac:dyDescent="0.3">
      <c r="A319" s="84" t="s">
        <v>1165</v>
      </c>
      <c r="B319" s="93" t="s">
        <v>25</v>
      </c>
      <c r="C319" s="93" t="s">
        <v>1778</v>
      </c>
      <c r="D319" s="34" t="s">
        <v>1775</v>
      </c>
      <c r="E319" s="34" t="s">
        <v>1166</v>
      </c>
      <c r="F319" s="34" t="s">
        <v>1167</v>
      </c>
      <c r="G319" s="34" t="s">
        <v>111</v>
      </c>
      <c r="H319" s="37">
        <v>1</v>
      </c>
      <c r="I319" s="34" t="s">
        <v>112</v>
      </c>
      <c r="J319" s="34" t="s">
        <v>31</v>
      </c>
      <c r="K319" s="34" t="s">
        <v>32</v>
      </c>
      <c r="L319" s="34" t="s">
        <v>1755</v>
      </c>
      <c r="M319" s="34" t="s">
        <v>33</v>
      </c>
      <c r="N319" s="47">
        <v>18</v>
      </c>
      <c r="O319" s="48">
        <v>6</v>
      </c>
      <c r="P319" s="49">
        <v>93</v>
      </c>
      <c r="Q319" s="50">
        <v>19.064997999999999</v>
      </c>
      <c r="R319" s="50">
        <v>-102.325361</v>
      </c>
      <c r="S319" s="66" t="s">
        <v>34</v>
      </c>
      <c r="T319" s="66" t="s">
        <v>35</v>
      </c>
      <c r="U319" s="66" t="s">
        <v>35</v>
      </c>
      <c r="V319" s="66" t="s">
        <v>35</v>
      </c>
      <c r="W319" s="66" t="s">
        <v>35</v>
      </c>
      <c r="X319" s="66" t="s">
        <v>35</v>
      </c>
      <c r="Y319" s="66" t="s">
        <v>36</v>
      </c>
      <c r="Z319" s="66"/>
      <c r="AA319" s="66"/>
      <c r="AB319" s="67"/>
      <c r="AC319" s="87">
        <f t="shared" si="15"/>
        <v>0.77777777777777779</v>
      </c>
      <c r="AD319" s="91">
        <v>1</v>
      </c>
      <c r="AE319" s="105" t="s">
        <v>1841</v>
      </c>
      <c r="AF319">
        <f t="shared" si="14"/>
        <v>0</v>
      </c>
      <c r="AG319">
        <f t="shared" si="13"/>
        <v>0</v>
      </c>
    </row>
    <row r="320" spans="1:33" x14ac:dyDescent="0.3">
      <c r="A320" s="84" t="s">
        <v>417</v>
      </c>
      <c r="B320" s="93" t="s">
        <v>25</v>
      </c>
      <c r="C320" s="93" t="s">
        <v>1778</v>
      </c>
      <c r="D320" s="33" t="s">
        <v>1775</v>
      </c>
      <c r="E320" s="34" t="s">
        <v>419</v>
      </c>
      <c r="F320" s="34" t="s">
        <v>420</v>
      </c>
      <c r="G320" s="34" t="s">
        <v>29</v>
      </c>
      <c r="H320" s="37">
        <v>1</v>
      </c>
      <c r="I320" s="34" t="s">
        <v>30</v>
      </c>
      <c r="J320" s="34" t="s">
        <v>31</v>
      </c>
      <c r="K320" s="34" t="s">
        <v>32</v>
      </c>
      <c r="L320" s="34" t="s">
        <v>1755</v>
      </c>
      <c r="M320" s="34" t="s">
        <v>33</v>
      </c>
      <c r="N320" s="47">
        <v>6</v>
      </c>
      <c r="O320" s="48">
        <v>1</v>
      </c>
      <c r="P320" s="49">
        <v>20</v>
      </c>
      <c r="Q320" s="50">
        <v>18.357019999999999</v>
      </c>
      <c r="R320" s="50">
        <v>-102.289435</v>
      </c>
      <c r="S320" s="66" t="s">
        <v>34</v>
      </c>
      <c r="T320" s="66" t="s">
        <v>175</v>
      </c>
      <c r="U320" s="66" t="s">
        <v>35</v>
      </c>
      <c r="V320" s="66" t="s">
        <v>35</v>
      </c>
      <c r="W320" s="66" t="s">
        <v>35</v>
      </c>
      <c r="X320" s="66" t="s">
        <v>35</v>
      </c>
      <c r="Y320" s="66"/>
      <c r="Z320" s="66"/>
      <c r="AA320" s="66"/>
      <c r="AB320" s="67"/>
      <c r="AC320" s="87">
        <f t="shared" si="15"/>
        <v>0.61111111111111116</v>
      </c>
      <c r="AD320" s="91">
        <v>1</v>
      </c>
      <c r="AE320" s="105" t="s">
        <v>1841</v>
      </c>
      <c r="AF320">
        <f t="shared" si="14"/>
        <v>0</v>
      </c>
      <c r="AG320">
        <f t="shared" si="13"/>
        <v>0</v>
      </c>
    </row>
    <row r="321" spans="1:33" x14ac:dyDescent="0.3">
      <c r="A321" s="84" t="s">
        <v>421</v>
      </c>
      <c r="B321" s="93" t="s">
        <v>25</v>
      </c>
      <c r="C321" s="93" t="s">
        <v>1778</v>
      </c>
      <c r="D321" s="33" t="s">
        <v>1775</v>
      </c>
      <c r="E321" s="34" t="s">
        <v>422</v>
      </c>
      <c r="F321" s="34" t="s">
        <v>423</v>
      </c>
      <c r="G321" s="34" t="s">
        <v>29</v>
      </c>
      <c r="H321" s="37">
        <v>1</v>
      </c>
      <c r="I321" s="34" t="s">
        <v>30</v>
      </c>
      <c r="J321" s="34" t="s">
        <v>31</v>
      </c>
      <c r="K321" s="34" t="s">
        <v>32</v>
      </c>
      <c r="L321" s="34" t="s">
        <v>1755</v>
      </c>
      <c r="M321" s="34" t="s">
        <v>33</v>
      </c>
      <c r="N321" s="47">
        <v>9</v>
      </c>
      <c r="O321" s="48">
        <v>1</v>
      </c>
      <c r="P321" s="49">
        <v>18</v>
      </c>
      <c r="Q321" s="50">
        <v>18.703586000000001</v>
      </c>
      <c r="R321" s="50">
        <v>-103.663438</v>
      </c>
      <c r="S321" s="66" t="s">
        <v>34</v>
      </c>
      <c r="T321" s="66" t="s">
        <v>175</v>
      </c>
      <c r="U321" s="66" t="s">
        <v>35</v>
      </c>
      <c r="V321" s="66" t="s">
        <v>35</v>
      </c>
      <c r="W321" s="66" t="s">
        <v>35</v>
      </c>
      <c r="X321" s="66" t="s">
        <v>175</v>
      </c>
      <c r="Y321" s="66"/>
      <c r="Z321" s="66"/>
      <c r="AA321" s="66"/>
      <c r="AB321" s="67"/>
      <c r="AC321" s="87">
        <f t="shared" si="15"/>
        <v>0.55555555555555558</v>
      </c>
      <c r="AD321" s="91">
        <v>1</v>
      </c>
      <c r="AE321" s="105" t="s">
        <v>1841</v>
      </c>
      <c r="AF321">
        <f t="shared" si="14"/>
        <v>0</v>
      </c>
      <c r="AG321">
        <f t="shared" si="13"/>
        <v>0</v>
      </c>
    </row>
    <row r="322" spans="1:33" x14ac:dyDescent="0.3">
      <c r="A322" s="84" t="s">
        <v>1120</v>
      </c>
      <c r="B322" s="93" t="s">
        <v>25</v>
      </c>
      <c r="C322" s="93" t="s">
        <v>1778</v>
      </c>
      <c r="D322" s="33" t="s">
        <v>1775</v>
      </c>
      <c r="E322" s="34" t="s">
        <v>1121</v>
      </c>
      <c r="F322" s="34" t="s">
        <v>1122</v>
      </c>
      <c r="G322" s="34" t="s">
        <v>111</v>
      </c>
      <c r="H322" s="37">
        <v>1</v>
      </c>
      <c r="I322" s="34" t="s">
        <v>112</v>
      </c>
      <c r="J322" s="34" t="s">
        <v>31</v>
      </c>
      <c r="K322" s="34" t="s">
        <v>32</v>
      </c>
      <c r="L322" s="34" t="s">
        <v>1755</v>
      </c>
      <c r="M322" s="34" t="s">
        <v>33</v>
      </c>
      <c r="N322" s="47">
        <v>12</v>
      </c>
      <c r="O322" s="48">
        <v>3</v>
      </c>
      <c r="P322" s="49">
        <v>43</v>
      </c>
      <c r="Q322" s="50">
        <v>19.677040000000002</v>
      </c>
      <c r="R322" s="50">
        <v>-101.95326</v>
      </c>
      <c r="S322" s="66" t="s">
        <v>34</v>
      </c>
      <c r="T322" s="66" t="s">
        <v>175</v>
      </c>
      <c r="U322" s="66" t="s">
        <v>35</v>
      </c>
      <c r="V322" s="66" t="s">
        <v>35</v>
      </c>
      <c r="W322" s="66" t="s">
        <v>35</v>
      </c>
      <c r="X322" s="66" t="s">
        <v>175</v>
      </c>
      <c r="Y322" s="66"/>
      <c r="Z322" s="66"/>
      <c r="AA322" s="66"/>
      <c r="AB322" s="67"/>
      <c r="AC322" s="87">
        <f t="shared" si="15"/>
        <v>0.55555555555555558</v>
      </c>
      <c r="AD322" s="91">
        <v>1</v>
      </c>
      <c r="AE322" s="105" t="s">
        <v>1841</v>
      </c>
      <c r="AF322">
        <f t="shared" si="14"/>
        <v>0</v>
      </c>
      <c r="AG322">
        <f t="shared" ref="AG322:AG385" si="16">IF(AND(OR(Z322="SI",Z322="NO APLICA"),OR(AA322="SI",AA322="NO APLICA")),1,0)</f>
        <v>0</v>
      </c>
    </row>
    <row r="323" spans="1:33" x14ac:dyDescent="0.3">
      <c r="A323" s="84" t="s">
        <v>1123</v>
      </c>
      <c r="B323" s="93" t="s">
        <v>25</v>
      </c>
      <c r="C323" s="93" t="s">
        <v>1778</v>
      </c>
      <c r="D323" s="33" t="s">
        <v>1775</v>
      </c>
      <c r="E323" s="34" t="s">
        <v>635</v>
      </c>
      <c r="F323" s="34" t="s">
        <v>1124</v>
      </c>
      <c r="G323" s="34" t="s">
        <v>111</v>
      </c>
      <c r="H323" s="37">
        <v>1</v>
      </c>
      <c r="I323" s="34" t="s">
        <v>112</v>
      </c>
      <c r="J323" s="34" t="s">
        <v>31</v>
      </c>
      <c r="K323" s="34" t="s">
        <v>32</v>
      </c>
      <c r="L323" s="34" t="s">
        <v>1755</v>
      </c>
      <c r="M323" s="34" t="s">
        <v>33</v>
      </c>
      <c r="N323" s="47">
        <v>15</v>
      </c>
      <c r="O323" s="48">
        <v>3</v>
      </c>
      <c r="P323" s="49">
        <v>82</v>
      </c>
      <c r="Q323" s="50">
        <v>17.96696</v>
      </c>
      <c r="R323" s="50">
        <v>-102.20205</v>
      </c>
      <c r="S323" s="66" t="s">
        <v>34</v>
      </c>
      <c r="T323" s="66" t="s">
        <v>175</v>
      </c>
      <c r="U323" s="66" t="s">
        <v>213</v>
      </c>
      <c r="V323" s="66" t="s">
        <v>213</v>
      </c>
      <c r="W323" s="66"/>
      <c r="X323" s="66"/>
      <c r="Y323" s="66"/>
      <c r="Z323" s="66"/>
      <c r="AA323" s="66"/>
      <c r="AB323" s="67"/>
      <c r="AC323" s="87">
        <f t="shared" si="15"/>
        <v>0.31481481481481477</v>
      </c>
      <c r="AD323" s="91">
        <v>1</v>
      </c>
      <c r="AE323" s="105" t="s">
        <v>1841</v>
      </c>
      <c r="AF323">
        <f t="shared" ref="AF323:AF386" si="17">IF(OR(AND(Z323="SI",AA323="NO"),AND(Z323="NO",AA323="SI")),1,0)</f>
        <v>0</v>
      </c>
      <c r="AG323">
        <f t="shared" si="16"/>
        <v>0</v>
      </c>
    </row>
    <row r="324" spans="1:33" x14ac:dyDescent="0.3">
      <c r="A324" s="84" t="s">
        <v>1563</v>
      </c>
      <c r="B324" s="93" t="s">
        <v>25</v>
      </c>
      <c r="C324" s="93" t="s">
        <v>1778</v>
      </c>
      <c r="D324" s="33" t="s">
        <v>1775</v>
      </c>
      <c r="E324" s="34" t="s">
        <v>1126</v>
      </c>
      <c r="F324" s="34" t="s">
        <v>1564</v>
      </c>
      <c r="G324" s="34" t="s">
        <v>164</v>
      </c>
      <c r="H324" s="37">
        <v>2</v>
      </c>
      <c r="I324" s="34" t="s">
        <v>155</v>
      </c>
      <c r="J324" s="34" t="s">
        <v>31</v>
      </c>
      <c r="K324" s="34" t="s">
        <v>32</v>
      </c>
      <c r="L324" s="34" t="s">
        <v>1756</v>
      </c>
      <c r="M324" s="34" t="s">
        <v>33</v>
      </c>
      <c r="N324" s="47">
        <v>21</v>
      </c>
      <c r="O324" s="48">
        <v>8</v>
      </c>
      <c r="P324" s="49">
        <v>174</v>
      </c>
      <c r="Q324" s="50">
        <v>19.692886000000001</v>
      </c>
      <c r="R324" s="50">
        <v>-101.154067</v>
      </c>
      <c r="S324" s="66" t="s">
        <v>34</v>
      </c>
      <c r="T324" s="66" t="s">
        <v>175</v>
      </c>
      <c r="U324" s="66" t="s">
        <v>213</v>
      </c>
      <c r="V324" s="66" t="s">
        <v>213</v>
      </c>
      <c r="W324" s="66"/>
      <c r="X324" s="66"/>
      <c r="Y324" s="66"/>
      <c r="Z324" s="66"/>
      <c r="AA324" s="66"/>
      <c r="AB324" s="67"/>
      <c r="AC324" s="87">
        <f t="shared" si="15"/>
        <v>0.31481481481481477</v>
      </c>
      <c r="AD324" s="91">
        <v>1</v>
      </c>
      <c r="AE324" s="105" t="s">
        <v>1841</v>
      </c>
      <c r="AF324">
        <f t="shared" si="17"/>
        <v>0</v>
      </c>
      <c r="AG324">
        <f t="shared" si="16"/>
        <v>0</v>
      </c>
    </row>
    <row r="325" spans="1:33" x14ac:dyDescent="0.3">
      <c r="A325" s="84" t="s">
        <v>1125</v>
      </c>
      <c r="B325" s="93" t="s">
        <v>25</v>
      </c>
      <c r="C325" s="93" t="s">
        <v>1778</v>
      </c>
      <c r="D325" s="33" t="s">
        <v>1775</v>
      </c>
      <c r="E325" s="34" t="s">
        <v>1126</v>
      </c>
      <c r="F325" s="34" t="s">
        <v>1127</v>
      </c>
      <c r="G325" s="34" t="s">
        <v>111</v>
      </c>
      <c r="H325" s="37">
        <v>1</v>
      </c>
      <c r="I325" s="34" t="s">
        <v>155</v>
      </c>
      <c r="J325" s="34" t="s">
        <v>31</v>
      </c>
      <c r="K325" s="34" t="s">
        <v>32</v>
      </c>
      <c r="L325" s="34" t="s">
        <v>1755</v>
      </c>
      <c r="M325" s="34" t="s">
        <v>33</v>
      </c>
      <c r="N325" s="47">
        <v>18</v>
      </c>
      <c r="O325" s="48">
        <v>3</v>
      </c>
      <c r="P325" s="49">
        <v>26</v>
      </c>
      <c r="Q325" s="50">
        <v>19.6999058</v>
      </c>
      <c r="R325" s="50">
        <v>-101.1825135</v>
      </c>
      <c r="S325" s="66" t="s">
        <v>34</v>
      </c>
      <c r="T325" s="66" t="s">
        <v>175</v>
      </c>
      <c r="U325" s="66" t="s">
        <v>213</v>
      </c>
      <c r="V325" s="66" t="s">
        <v>213</v>
      </c>
      <c r="W325" s="66"/>
      <c r="X325" s="66"/>
      <c r="Y325" s="66"/>
      <c r="Z325" s="66"/>
      <c r="AA325" s="66"/>
      <c r="AB325" s="67"/>
      <c r="AC325" s="87">
        <f t="shared" si="15"/>
        <v>0.31481481481481477</v>
      </c>
      <c r="AD325" s="91">
        <v>1</v>
      </c>
      <c r="AE325" s="105" t="s">
        <v>1841</v>
      </c>
      <c r="AF325">
        <f t="shared" si="17"/>
        <v>0</v>
      </c>
      <c r="AG325">
        <f t="shared" si="16"/>
        <v>0</v>
      </c>
    </row>
    <row r="326" spans="1:33" ht="26.4" x14ac:dyDescent="0.3">
      <c r="A326" s="84" t="s">
        <v>1692</v>
      </c>
      <c r="B326" s="93" t="s">
        <v>25</v>
      </c>
      <c r="C326" s="93" t="s">
        <v>1778</v>
      </c>
      <c r="D326" s="33" t="s">
        <v>1775</v>
      </c>
      <c r="E326" s="34" t="s">
        <v>1126</v>
      </c>
      <c r="F326" s="90" t="s">
        <v>1796</v>
      </c>
      <c r="G326" s="34" t="s">
        <v>169</v>
      </c>
      <c r="H326" s="37">
        <v>2</v>
      </c>
      <c r="I326" s="34" t="s">
        <v>170</v>
      </c>
      <c r="J326" s="34" t="s">
        <v>31</v>
      </c>
      <c r="K326" s="34" t="s">
        <v>32</v>
      </c>
      <c r="L326" s="34" t="s">
        <v>1755</v>
      </c>
      <c r="M326" s="34" t="s">
        <v>33</v>
      </c>
      <c r="N326" s="47">
        <v>20</v>
      </c>
      <c r="O326" s="48">
        <v>0</v>
      </c>
      <c r="P326" s="49">
        <v>87</v>
      </c>
      <c r="Q326" s="50">
        <v>19.693043899999999</v>
      </c>
      <c r="R326" s="50">
        <v>-101.1554807</v>
      </c>
      <c r="S326" s="66" t="s">
        <v>34</v>
      </c>
      <c r="T326" s="66" t="s">
        <v>175</v>
      </c>
      <c r="U326" s="66" t="s">
        <v>35</v>
      </c>
      <c r="V326" s="66" t="s">
        <v>35</v>
      </c>
      <c r="W326" s="66" t="s">
        <v>175</v>
      </c>
      <c r="X326" s="66" t="s">
        <v>175</v>
      </c>
      <c r="Y326" s="66"/>
      <c r="Z326" s="66"/>
      <c r="AA326" s="66"/>
      <c r="AB326" s="67"/>
      <c r="AC326" s="87">
        <f t="shared" si="15"/>
        <v>0.5</v>
      </c>
      <c r="AD326" s="91">
        <v>1</v>
      </c>
      <c r="AE326" s="105" t="s">
        <v>1841</v>
      </c>
      <c r="AF326">
        <f t="shared" si="17"/>
        <v>0</v>
      </c>
      <c r="AG326">
        <f t="shared" si="16"/>
        <v>0</v>
      </c>
    </row>
    <row r="327" spans="1:33" x14ac:dyDescent="0.3">
      <c r="A327" s="84" t="s">
        <v>424</v>
      </c>
      <c r="B327" s="93" t="s">
        <v>25</v>
      </c>
      <c r="C327" s="93" t="s">
        <v>1778</v>
      </c>
      <c r="D327" s="33" t="s">
        <v>1775</v>
      </c>
      <c r="E327" s="34" t="s">
        <v>425</v>
      </c>
      <c r="F327" s="34" t="s">
        <v>426</v>
      </c>
      <c r="G327" s="34" t="s">
        <v>29</v>
      </c>
      <c r="H327" s="37">
        <v>1</v>
      </c>
      <c r="I327" s="34" t="s">
        <v>30</v>
      </c>
      <c r="J327" s="34" t="s">
        <v>31</v>
      </c>
      <c r="K327" s="34" t="s">
        <v>32</v>
      </c>
      <c r="L327" s="34" t="s">
        <v>1755</v>
      </c>
      <c r="M327" s="34" t="s">
        <v>33</v>
      </c>
      <c r="N327" s="47">
        <v>12</v>
      </c>
      <c r="O327" s="48">
        <v>2</v>
      </c>
      <c r="P327" s="49">
        <v>31</v>
      </c>
      <c r="Q327" s="50">
        <v>19.029256199999999</v>
      </c>
      <c r="R327" s="50">
        <v>-102.08839500000001</v>
      </c>
      <c r="S327" s="66" t="s">
        <v>34</v>
      </c>
      <c r="T327" s="66" t="s">
        <v>175</v>
      </c>
      <c r="U327" s="66" t="s">
        <v>213</v>
      </c>
      <c r="V327" s="66" t="s">
        <v>213</v>
      </c>
      <c r="W327" s="66"/>
      <c r="X327" s="66"/>
      <c r="Y327" s="66"/>
      <c r="Z327" s="66"/>
      <c r="AA327" s="66"/>
      <c r="AB327" s="67"/>
      <c r="AC327" s="87">
        <f t="shared" si="15"/>
        <v>0.31481481481481477</v>
      </c>
      <c r="AD327" s="91">
        <v>1</v>
      </c>
      <c r="AE327" s="105" t="s">
        <v>1841</v>
      </c>
      <c r="AF327">
        <f t="shared" si="17"/>
        <v>0</v>
      </c>
      <c r="AG327">
        <f t="shared" si="16"/>
        <v>0</v>
      </c>
    </row>
    <row r="328" spans="1:33" x14ac:dyDescent="0.3">
      <c r="A328" s="84" t="s">
        <v>1128</v>
      </c>
      <c r="B328" s="93" t="s">
        <v>25</v>
      </c>
      <c r="C328" s="93" t="s">
        <v>1778</v>
      </c>
      <c r="D328" s="33" t="s">
        <v>1775</v>
      </c>
      <c r="E328" s="34" t="s">
        <v>1129</v>
      </c>
      <c r="F328" s="34" t="s">
        <v>1130</v>
      </c>
      <c r="G328" s="34" t="s">
        <v>111</v>
      </c>
      <c r="H328" s="37">
        <v>1</v>
      </c>
      <c r="I328" s="34" t="s">
        <v>112</v>
      </c>
      <c r="J328" s="34" t="s">
        <v>31</v>
      </c>
      <c r="K328" s="34" t="s">
        <v>32</v>
      </c>
      <c r="L328" s="34" t="s">
        <v>1755</v>
      </c>
      <c r="M328" s="34" t="s">
        <v>33</v>
      </c>
      <c r="N328" s="47">
        <v>16</v>
      </c>
      <c r="O328" s="48">
        <v>2</v>
      </c>
      <c r="P328" s="49">
        <v>47</v>
      </c>
      <c r="Q328" s="50">
        <v>20.039826999999999</v>
      </c>
      <c r="R328" s="50">
        <v>-102.718266</v>
      </c>
      <c r="S328" s="66" t="s">
        <v>34</v>
      </c>
      <c r="T328" s="66" t="s">
        <v>175</v>
      </c>
      <c r="U328" s="66" t="s">
        <v>35</v>
      </c>
      <c r="V328" s="66" t="s">
        <v>35</v>
      </c>
      <c r="W328" s="66" t="s">
        <v>175</v>
      </c>
      <c r="X328" s="66" t="s">
        <v>175</v>
      </c>
      <c r="Y328" s="66"/>
      <c r="Z328" s="66"/>
      <c r="AA328" s="66"/>
      <c r="AB328" s="67"/>
      <c r="AC328" s="87">
        <f t="shared" si="15"/>
        <v>0.5</v>
      </c>
      <c r="AD328" s="91">
        <v>1</v>
      </c>
      <c r="AE328" s="105" t="s">
        <v>1841</v>
      </c>
      <c r="AF328">
        <f t="shared" si="17"/>
        <v>0</v>
      </c>
      <c r="AG328">
        <f t="shared" si="16"/>
        <v>0</v>
      </c>
    </row>
    <row r="329" spans="1:33" x14ac:dyDescent="0.3">
      <c r="A329" s="84" t="s">
        <v>1131</v>
      </c>
      <c r="B329" s="93" t="s">
        <v>25</v>
      </c>
      <c r="C329" s="93" t="s">
        <v>1778</v>
      </c>
      <c r="D329" s="33" t="s">
        <v>1775</v>
      </c>
      <c r="E329" s="34" t="s">
        <v>1132</v>
      </c>
      <c r="F329" s="34" t="s">
        <v>1133</v>
      </c>
      <c r="G329" s="34" t="s">
        <v>111</v>
      </c>
      <c r="H329" s="37">
        <v>1</v>
      </c>
      <c r="I329" s="34" t="s">
        <v>112</v>
      </c>
      <c r="J329" s="34" t="s">
        <v>31</v>
      </c>
      <c r="K329" s="34" t="s">
        <v>32</v>
      </c>
      <c r="L329" s="34" t="s">
        <v>1755</v>
      </c>
      <c r="M329" s="34" t="s">
        <v>33</v>
      </c>
      <c r="N329" s="47">
        <v>7</v>
      </c>
      <c r="O329" s="48">
        <v>2</v>
      </c>
      <c r="P329" s="49">
        <v>44</v>
      </c>
      <c r="Q329" s="50">
        <v>19.237169000000002</v>
      </c>
      <c r="R329" s="50">
        <v>-101.455314</v>
      </c>
      <c r="S329" s="66" t="s">
        <v>34</v>
      </c>
      <c r="T329" s="66" t="s">
        <v>175</v>
      </c>
      <c r="U329" s="66" t="s">
        <v>213</v>
      </c>
      <c r="V329" s="66" t="s">
        <v>213</v>
      </c>
      <c r="W329" s="66"/>
      <c r="X329" s="66"/>
      <c r="Y329" s="66"/>
      <c r="Z329" s="66"/>
      <c r="AA329" s="66"/>
      <c r="AB329" s="67"/>
      <c r="AC329" s="87">
        <f t="shared" si="15"/>
        <v>0.31481481481481477</v>
      </c>
      <c r="AD329" s="91">
        <v>1</v>
      </c>
      <c r="AE329" s="105" t="s">
        <v>1841</v>
      </c>
      <c r="AF329">
        <f t="shared" si="17"/>
        <v>0</v>
      </c>
      <c r="AG329">
        <f t="shared" si="16"/>
        <v>0</v>
      </c>
    </row>
    <row r="330" spans="1:33" x14ac:dyDescent="0.3">
      <c r="A330" s="84" t="s">
        <v>1134</v>
      </c>
      <c r="B330" s="93" t="s">
        <v>25</v>
      </c>
      <c r="C330" s="93" t="s">
        <v>1778</v>
      </c>
      <c r="D330" s="33" t="s">
        <v>1775</v>
      </c>
      <c r="E330" s="34" t="s">
        <v>1135</v>
      </c>
      <c r="F330" s="34" t="s">
        <v>1136</v>
      </c>
      <c r="G330" s="34" t="s">
        <v>111</v>
      </c>
      <c r="H330" s="37">
        <v>1</v>
      </c>
      <c r="I330" s="34" t="s">
        <v>112</v>
      </c>
      <c r="J330" s="34" t="s">
        <v>31</v>
      </c>
      <c r="K330" s="34" t="s">
        <v>32</v>
      </c>
      <c r="L330" s="34" t="s">
        <v>1755</v>
      </c>
      <c r="M330" s="34" t="s">
        <v>33</v>
      </c>
      <c r="N330" s="47">
        <v>20</v>
      </c>
      <c r="O330" s="48">
        <v>7</v>
      </c>
      <c r="P330" s="49">
        <v>138</v>
      </c>
      <c r="Q330" s="50">
        <v>19.390540999999999</v>
      </c>
      <c r="R330" s="50">
        <v>-102.024055</v>
      </c>
      <c r="S330" s="66" t="s">
        <v>34</v>
      </c>
      <c r="T330" s="66" t="s">
        <v>175</v>
      </c>
      <c r="U330" s="66" t="s">
        <v>213</v>
      </c>
      <c r="V330" s="66" t="s">
        <v>213</v>
      </c>
      <c r="W330" s="66"/>
      <c r="X330" s="66"/>
      <c r="Y330" s="66"/>
      <c r="Z330" s="66"/>
      <c r="AA330" s="66"/>
      <c r="AB330" s="67"/>
      <c r="AC330" s="87">
        <f t="shared" si="15"/>
        <v>0.31481481481481477</v>
      </c>
      <c r="AD330" s="91">
        <v>1</v>
      </c>
      <c r="AE330" s="105" t="s">
        <v>1841</v>
      </c>
      <c r="AF330">
        <f t="shared" si="17"/>
        <v>0</v>
      </c>
      <c r="AG330">
        <f t="shared" si="16"/>
        <v>0</v>
      </c>
    </row>
    <row r="331" spans="1:33" x14ac:dyDescent="0.3">
      <c r="A331" s="84" t="s">
        <v>1137</v>
      </c>
      <c r="B331" s="93" t="s">
        <v>25</v>
      </c>
      <c r="C331" s="93" t="s">
        <v>1778</v>
      </c>
      <c r="D331" s="33" t="s">
        <v>1775</v>
      </c>
      <c r="E331" s="34" t="s">
        <v>1138</v>
      </c>
      <c r="F331" s="34" t="s">
        <v>1139</v>
      </c>
      <c r="G331" s="34" t="s">
        <v>111</v>
      </c>
      <c r="H331" s="37">
        <v>1</v>
      </c>
      <c r="I331" s="34" t="s">
        <v>112</v>
      </c>
      <c r="J331" s="34" t="s">
        <v>31</v>
      </c>
      <c r="K331" s="34" t="s">
        <v>32</v>
      </c>
      <c r="L331" s="34" t="s">
        <v>1755</v>
      </c>
      <c r="M331" s="34" t="s">
        <v>33</v>
      </c>
      <c r="N331" s="47">
        <v>18</v>
      </c>
      <c r="O331" s="48">
        <v>5</v>
      </c>
      <c r="P331" s="49">
        <v>92</v>
      </c>
      <c r="Q331" s="50">
        <v>19.989744000000002</v>
      </c>
      <c r="R331" s="50">
        <v>-102.279183</v>
      </c>
      <c r="S331" s="66" t="s">
        <v>34</v>
      </c>
      <c r="T331" s="66" t="s">
        <v>175</v>
      </c>
      <c r="U331" s="66" t="s">
        <v>213</v>
      </c>
      <c r="V331" s="66" t="s">
        <v>213</v>
      </c>
      <c r="W331" s="66"/>
      <c r="X331" s="66"/>
      <c r="Y331" s="66"/>
      <c r="Z331" s="66"/>
      <c r="AA331" s="66"/>
      <c r="AB331" s="67"/>
      <c r="AC331" s="87">
        <f t="shared" si="15"/>
        <v>0.31481481481481477</v>
      </c>
      <c r="AD331" s="91">
        <v>1</v>
      </c>
      <c r="AE331" s="105" t="s">
        <v>1841</v>
      </c>
      <c r="AF331">
        <f t="shared" si="17"/>
        <v>0</v>
      </c>
      <c r="AG331">
        <f t="shared" si="16"/>
        <v>0</v>
      </c>
    </row>
    <row r="332" spans="1:33" x14ac:dyDescent="0.3">
      <c r="A332" s="84" t="s">
        <v>1140</v>
      </c>
      <c r="B332" s="93" t="s">
        <v>25</v>
      </c>
      <c r="C332" s="93" t="s">
        <v>1778</v>
      </c>
      <c r="D332" s="33" t="s">
        <v>1775</v>
      </c>
      <c r="E332" s="34" t="s">
        <v>1141</v>
      </c>
      <c r="F332" s="34" t="s">
        <v>1142</v>
      </c>
      <c r="G332" s="34" t="s">
        <v>111</v>
      </c>
      <c r="H332" s="37">
        <v>1</v>
      </c>
      <c r="I332" s="34" t="s">
        <v>112</v>
      </c>
      <c r="J332" s="34" t="s">
        <v>31</v>
      </c>
      <c r="K332" s="34" t="s">
        <v>32</v>
      </c>
      <c r="L332" s="34" t="s">
        <v>1755</v>
      </c>
      <c r="M332" s="34" t="s">
        <v>33</v>
      </c>
      <c r="N332" s="47">
        <v>24</v>
      </c>
      <c r="O332" s="48">
        <v>3</v>
      </c>
      <c r="P332" s="49">
        <v>101</v>
      </c>
      <c r="Q332" s="50">
        <v>19.432554</v>
      </c>
      <c r="R332" s="50">
        <v>-100.36944269999999</v>
      </c>
      <c r="S332" s="66" t="s">
        <v>34</v>
      </c>
      <c r="T332" s="66" t="s">
        <v>175</v>
      </c>
      <c r="U332" s="66" t="s">
        <v>35</v>
      </c>
      <c r="V332" s="66" t="s">
        <v>35</v>
      </c>
      <c r="W332" s="66" t="s">
        <v>35</v>
      </c>
      <c r="X332" s="66" t="s">
        <v>175</v>
      </c>
      <c r="Y332" s="66"/>
      <c r="Z332" s="66"/>
      <c r="AA332" s="66"/>
      <c r="AB332" s="67"/>
      <c r="AC332" s="87">
        <f t="shared" si="15"/>
        <v>0.55555555555555558</v>
      </c>
      <c r="AD332" s="91">
        <v>1</v>
      </c>
      <c r="AE332" s="105" t="s">
        <v>1841</v>
      </c>
      <c r="AF332">
        <f t="shared" si="17"/>
        <v>0</v>
      </c>
      <c r="AG332">
        <f t="shared" si="16"/>
        <v>0</v>
      </c>
    </row>
    <row r="333" spans="1:33" x14ac:dyDescent="0.3">
      <c r="A333" s="84" t="s">
        <v>1143</v>
      </c>
      <c r="B333" s="93" t="s">
        <v>25</v>
      </c>
      <c r="C333" s="93" t="s">
        <v>1778</v>
      </c>
      <c r="D333" s="33" t="s">
        <v>1775</v>
      </c>
      <c r="E333" s="34" t="s">
        <v>1144</v>
      </c>
      <c r="F333" s="34" t="s">
        <v>1145</v>
      </c>
      <c r="G333" s="34" t="s">
        <v>111</v>
      </c>
      <c r="H333" s="37">
        <v>1</v>
      </c>
      <c r="I333" s="34" t="s">
        <v>112</v>
      </c>
      <c r="J333" s="34" t="s">
        <v>31</v>
      </c>
      <c r="K333" s="34" t="s">
        <v>32</v>
      </c>
      <c r="L333" s="34" t="s">
        <v>1755</v>
      </c>
      <c r="M333" s="34" t="s">
        <v>33</v>
      </c>
      <c r="N333" s="47">
        <v>12</v>
      </c>
      <c r="O333" s="48">
        <v>3</v>
      </c>
      <c r="P333" s="49">
        <v>55</v>
      </c>
      <c r="Q333" s="50">
        <v>19.771175700000001</v>
      </c>
      <c r="R333" s="50">
        <v>-101.752934</v>
      </c>
      <c r="S333" s="66" t="s">
        <v>34</v>
      </c>
      <c r="T333" s="66" t="s">
        <v>175</v>
      </c>
      <c r="U333" s="66" t="s">
        <v>213</v>
      </c>
      <c r="V333" s="66" t="s">
        <v>213</v>
      </c>
      <c r="W333" s="66"/>
      <c r="X333" s="66"/>
      <c r="Y333" s="66"/>
      <c r="Z333" s="66"/>
      <c r="AA333" s="66"/>
      <c r="AB333" s="67"/>
      <c r="AC333" s="87">
        <f t="shared" si="15"/>
        <v>0.31481481481481477</v>
      </c>
      <c r="AD333" s="91">
        <v>1</v>
      </c>
      <c r="AE333" s="105" t="s">
        <v>1841</v>
      </c>
      <c r="AF333">
        <f t="shared" si="17"/>
        <v>0</v>
      </c>
      <c r="AG333">
        <f t="shared" si="16"/>
        <v>0</v>
      </c>
    </row>
    <row r="334" spans="1:33" x14ac:dyDescent="0.3">
      <c r="A334" s="84" t="s">
        <v>1146</v>
      </c>
      <c r="B334" s="93" t="s">
        <v>25</v>
      </c>
      <c r="C334" s="93" t="s">
        <v>1778</v>
      </c>
      <c r="D334" s="33" t="s">
        <v>1775</v>
      </c>
      <c r="E334" s="34" t="s">
        <v>1147</v>
      </c>
      <c r="F334" s="34" t="s">
        <v>1148</v>
      </c>
      <c r="G334" s="34" t="s">
        <v>111</v>
      </c>
      <c r="H334" s="37">
        <v>1</v>
      </c>
      <c r="I334" s="34" t="s">
        <v>112</v>
      </c>
      <c r="J334" s="34" t="s">
        <v>31</v>
      </c>
      <c r="K334" s="34" t="s">
        <v>32</v>
      </c>
      <c r="L334" s="34" t="s">
        <v>1755</v>
      </c>
      <c r="M334" s="34" t="s">
        <v>84</v>
      </c>
      <c r="N334" s="47">
        <v>15</v>
      </c>
      <c r="O334" s="48">
        <v>3</v>
      </c>
      <c r="P334" s="49">
        <v>52</v>
      </c>
      <c r="Q334" s="50">
        <v>19.530024999999998</v>
      </c>
      <c r="R334" s="50">
        <v>-101.577988</v>
      </c>
      <c r="S334" s="66" t="s">
        <v>34</v>
      </c>
      <c r="T334" s="66" t="s">
        <v>175</v>
      </c>
      <c r="U334" s="66" t="s">
        <v>213</v>
      </c>
      <c r="V334" s="66" t="s">
        <v>213</v>
      </c>
      <c r="W334" s="66"/>
      <c r="X334" s="66"/>
      <c r="Y334" s="66"/>
      <c r="Z334" s="66"/>
      <c r="AA334" s="66"/>
      <c r="AB334" s="67"/>
      <c r="AC334" s="87">
        <f t="shared" si="15"/>
        <v>0.31481481481481477</v>
      </c>
      <c r="AD334" s="91">
        <v>1</v>
      </c>
      <c r="AE334" s="105" t="s">
        <v>1841</v>
      </c>
      <c r="AF334">
        <f t="shared" si="17"/>
        <v>0</v>
      </c>
      <c r="AG334">
        <f t="shared" si="16"/>
        <v>0</v>
      </c>
    </row>
    <row r="335" spans="1:33" x14ac:dyDescent="0.3">
      <c r="A335" s="84" t="s">
        <v>1149</v>
      </c>
      <c r="B335" s="93" t="s">
        <v>25</v>
      </c>
      <c r="C335" s="93" t="s">
        <v>1778</v>
      </c>
      <c r="D335" s="33" t="s">
        <v>1775</v>
      </c>
      <c r="E335" s="34" t="s">
        <v>1126</v>
      </c>
      <c r="F335" s="34" t="s">
        <v>1150</v>
      </c>
      <c r="G335" s="34" t="s">
        <v>111</v>
      </c>
      <c r="H335" s="37">
        <v>1</v>
      </c>
      <c r="I335" s="34" t="s">
        <v>155</v>
      </c>
      <c r="J335" s="34" t="s">
        <v>31</v>
      </c>
      <c r="K335" s="34" t="s">
        <v>32</v>
      </c>
      <c r="L335" s="34" t="s">
        <v>1756</v>
      </c>
      <c r="M335" s="34" t="s">
        <v>84</v>
      </c>
      <c r="N335" s="47">
        <v>52</v>
      </c>
      <c r="O335" s="48">
        <v>16</v>
      </c>
      <c r="P335" s="49">
        <v>386</v>
      </c>
      <c r="Q335" s="50">
        <v>19.731490999999998</v>
      </c>
      <c r="R335" s="50">
        <v>-101.105271</v>
      </c>
      <c r="S335" s="66" t="s">
        <v>34</v>
      </c>
      <c r="T335" s="66" t="s">
        <v>175</v>
      </c>
      <c r="U335" s="66" t="s">
        <v>35</v>
      </c>
      <c r="V335" s="66" t="s">
        <v>35</v>
      </c>
      <c r="W335" s="66"/>
      <c r="X335" s="66"/>
      <c r="Y335" s="66"/>
      <c r="Z335" s="66"/>
      <c r="AA335" s="66"/>
      <c r="AB335" s="67"/>
      <c r="AC335" s="87">
        <f t="shared" si="15"/>
        <v>0.3888888888888889</v>
      </c>
      <c r="AD335" s="91">
        <v>1</v>
      </c>
      <c r="AE335" s="105" t="s">
        <v>1841</v>
      </c>
      <c r="AF335">
        <f t="shared" si="17"/>
        <v>0</v>
      </c>
      <c r="AG335">
        <f t="shared" si="16"/>
        <v>0</v>
      </c>
    </row>
    <row r="336" spans="1:33" x14ac:dyDescent="0.3">
      <c r="A336" s="84" t="s">
        <v>1581</v>
      </c>
      <c r="B336" s="93" t="s">
        <v>25</v>
      </c>
      <c r="C336" s="93" t="s">
        <v>1778</v>
      </c>
      <c r="D336" s="33" t="s">
        <v>1775</v>
      </c>
      <c r="E336" s="34" t="s">
        <v>1126</v>
      </c>
      <c r="F336" s="34" t="s">
        <v>1582</v>
      </c>
      <c r="G336" s="34" t="s">
        <v>164</v>
      </c>
      <c r="H336" s="37">
        <v>2</v>
      </c>
      <c r="I336" s="34" t="s">
        <v>155</v>
      </c>
      <c r="J336" s="34" t="s">
        <v>31</v>
      </c>
      <c r="K336" s="34" t="s">
        <v>32</v>
      </c>
      <c r="L336" s="34" t="s">
        <v>1755</v>
      </c>
      <c r="M336" s="34" t="s">
        <v>84</v>
      </c>
      <c r="N336" s="47">
        <v>50</v>
      </c>
      <c r="O336" s="48">
        <v>7</v>
      </c>
      <c r="P336" s="49">
        <v>201</v>
      </c>
      <c r="Q336" s="50">
        <v>19.732402</v>
      </c>
      <c r="R336" s="50">
        <v>-101.102766</v>
      </c>
      <c r="S336" s="66" t="s">
        <v>34</v>
      </c>
      <c r="T336" s="66" t="s">
        <v>175</v>
      </c>
      <c r="U336" s="66" t="s">
        <v>213</v>
      </c>
      <c r="V336" s="66" t="s">
        <v>213</v>
      </c>
      <c r="W336" s="66"/>
      <c r="X336" s="66"/>
      <c r="Y336" s="66"/>
      <c r="Z336" s="66"/>
      <c r="AA336" s="66"/>
      <c r="AB336" s="74"/>
      <c r="AC336" s="87">
        <f t="shared" si="15"/>
        <v>0.31481481481481477</v>
      </c>
      <c r="AD336" s="91">
        <v>1</v>
      </c>
      <c r="AE336" s="105" t="s">
        <v>1841</v>
      </c>
      <c r="AF336">
        <f t="shared" si="17"/>
        <v>0</v>
      </c>
      <c r="AG336">
        <f t="shared" si="16"/>
        <v>0</v>
      </c>
    </row>
    <row r="337" spans="1:33" x14ac:dyDescent="0.3">
      <c r="A337" s="84" t="s">
        <v>1151</v>
      </c>
      <c r="B337" s="93" t="s">
        <v>25</v>
      </c>
      <c r="C337" s="93" t="s">
        <v>1778</v>
      </c>
      <c r="D337" s="33" t="s">
        <v>1775</v>
      </c>
      <c r="E337" s="34" t="s">
        <v>1152</v>
      </c>
      <c r="F337" s="34" t="s">
        <v>1153</v>
      </c>
      <c r="G337" s="34" t="s">
        <v>111</v>
      </c>
      <c r="H337" s="37">
        <v>1</v>
      </c>
      <c r="I337" s="34" t="s">
        <v>112</v>
      </c>
      <c r="J337" s="34" t="s">
        <v>31</v>
      </c>
      <c r="K337" s="34" t="s">
        <v>32</v>
      </c>
      <c r="L337" s="34" t="s">
        <v>1755</v>
      </c>
      <c r="M337" s="34" t="s">
        <v>33</v>
      </c>
      <c r="N337" s="47">
        <v>15</v>
      </c>
      <c r="O337" s="48">
        <v>3</v>
      </c>
      <c r="P337" s="49">
        <v>52</v>
      </c>
      <c r="Q337" s="50">
        <v>19.908397999999998</v>
      </c>
      <c r="R337" s="50">
        <v>-100.4513</v>
      </c>
      <c r="S337" s="66" t="s">
        <v>34</v>
      </c>
      <c r="T337" s="66" t="s">
        <v>175</v>
      </c>
      <c r="U337" s="66" t="s">
        <v>35</v>
      </c>
      <c r="V337" s="66" t="s">
        <v>35</v>
      </c>
      <c r="W337" s="66" t="s">
        <v>35</v>
      </c>
      <c r="X337" s="66" t="s">
        <v>35</v>
      </c>
      <c r="Y337" s="66"/>
      <c r="Z337" s="66"/>
      <c r="AA337" s="66"/>
      <c r="AB337" s="67"/>
      <c r="AC337" s="87">
        <f t="shared" si="15"/>
        <v>0.61111111111111116</v>
      </c>
      <c r="AD337" s="91">
        <v>1</v>
      </c>
      <c r="AE337" s="105" t="s">
        <v>1841</v>
      </c>
      <c r="AF337">
        <f t="shared" si="17"/>
        <v>0</v>
      </c>
      <c r="AG337">
        <f t="shared" si="16"/>
        <v>0</v>
      </c>
    </row>
    <row r="338" spans="1:33" x14ac:dyDescent="0.3">
      <c r="A338" s="84" t="s">
        <v>1154</v>
      </c>
      <c r="B338" s="93" t="s">
        <v>25</v>
      </c>
      <c r="C338" s="93" t="s">
        <v>1778</v>
      </c>
      <c r="D338" s="33" t="s">
        <v>1775</v>
      </c>
      <c r="E338" s="34" t="s">
        <v>1155</v>
      </c>
      <c r="F338" s="34" t="s">
        <v>1156</v>
      </c>
      <c r="G338" s="34" t="s">
        <v>111</v>
      </c>
      <c r="H338" s="37">
        <v>1</v>
      </c>
      <c r="I338" s="34" t="s">
        <v>112</v>
      </c>
      <c r="J338" s="34" t="s">
        <v>31</v>
      </c>
      <c r="K338" s="34" t="s">
        <v>32</v>
      </c>
      <c r="L338" s="34" t="s">
        <v>1755</v>
      </c>
      <c r="M338" s="34" t="s">
        <v>33</v>
      </c>
      <c r="N338" s="47">
        <v>11</v>
      </c>
      <c r="O338" s="48">
        <v>3</v>
      </c>
      <c r="P338" s="49">
        <v>47</v>
      </c>
      <c r="Q338" s="50">
        <v>20.127882</v>
      </c>
      <c r="R338" s="50">
        <v>-101.52354800000001</v>
      </c>
      <c r="S338" s="66" t="s">
        <v>34</v>
      </c>
      <c r="T338" s="66" t="s">
        <v>175</v>
      </c>
      <c r="U338" s="66" t="s">
        <v>35</v>
      </c>
      <c r="V338" s="66" t="s">
        <v>35</v>
      </c>
      <c r="W338" s="66" t="s">
        <v>35</v>
      </c>
      <c r="X338" s="66" t="s">
        <v>35</v>
      </c>
      <c r="Y338" s="66"/>
      <c r="Z338" s="66"/>
      <c r="AA338" s="66"/>
      <c r="AB338" s="67"/>
      <c r="AC338" s="87">
        <f t="shared" si="15"/>
        <v>0.61111111111111116</v>
      </c>
      <c r="AD338" s="91">
        <v>1</v>
      </c>
      <c r="AE338" s="105" t="s">
        <v>1841</v>
      </c>
      <c r="AF338">
        <f t="shared" si="17"/>
        <v>0</v>
      </c>
      <c r="AG338">
        <f t="shared" si="16"/>
        <v>0</v>
      </c>
    </row>
    <row r="339" spans="1:33" x14ac:dyDescent="0.3">
      <c r="A339" s="84" t="s">
        <v>1157</v>
      </c>
      <c r="B339" s="93" t="s">
        <v>25</v>
      </c>
      <c r="C339" s="93" t="s">
        <v>1778</v>
      </c>
      <c r="D339" s="33" t="s">
        <v>1775</v>
      </c>
      <c r="E339" s="34" t="s">
        <v>305</v>
      </c>
      <c r="F339" s="34" t="s">
        <v>1158</v>
      </c>
      <c r="G339" s="34" t="s">
        <v>111</v>
      </c>
      <c r="H339" s="37">
        <v>1</v>
      </c>
      <c r="I339" s="34" t="s">
        <v>112</v>
      </c>
      <c r="J339" s="34" t="s">
        <v>31</v>
      </c>
      <c r="K339" s="34" t="s">
        <v>32</v>
      </c>
      <c r="L339" s="34" t="s">
        <v>1755</v>
      </c>
      <c r="M339" s="34" t="s">
        <v>33</v>
      </c>
      <c r="N339" s="47">
        <v>19</v>
      </c>
      <c r="O339" s="48">
        <v>3</v>
      </c>
      <c r="P339" s="49">
        <v>53</v>
      </c>
      <c r="Q339" s="50">
        <v>19.677021</v>
      </c>
      <c r="R339" s="50">
        <v>-100.517276</v>
      </c>
      <c r="S339" s="66" t="s">
        <v>34</v>
      </c>
      <c r="T339" s="66" t="s">
        <v>175</v>
      </c>
      <c r="U339" s="66" t="s">
        <v>213</v>
      </c>
      <c r="V339" s="66" t="s">
        <v>213</v>
      </c>
      <c r="W339" s="66"/>
      <c r="X339" s="66"/>
      <c r="Y339" s="66"/>
      <c r="Z339" s="66"/>
      <c r="AA339" s="66"/>
      <c r="AB339" s="67"/>
      <c r="AC339" s="87">
        <f t="shared" si="15"/>
        <v>0.31481481481481477</v>
      </c>
      <c r="AD339" s="91">
        <v>1</v>
      </c>
      <c r="AE339" s="105" t="s">
        <v>1841</v>
      </c>
      <c r="AF339">
        <f t="shared" si="17"/>
        <v>0</v>
      </c>
      <c r="AG339">
        <f t="shared" si="16"/>
        <v>0</v>
      </c>
    </row>
    <row r="340" spans="1:33" x14ac:dyDescent="0.3">
      <c r="A340" s="84" t="s">
        <v>427</v>
      </c>
      <c r="B340" s="93" t="s">
        <v>25</v>
      </c>
      <c r="C340" s="93" t="s">
        <v>1778</v>
      </c>
      <c r="D340" s="33" t="s">
        <v>1775</v>
      </c>
      <c r="E340" s="34" t="s">
        <v>428</v>
      </c>
      <c r="F340" s="34" t="s">
        <v>429</v>
      </c>
      <c r="G340" s="34" t="s">
        <v>29</v>
      </c>
      <c r="H340" s="37">
        <v>1</v>
      </c>
      <c r="I340" s="34" t="s">
        <v>30</v>
      </c>
      <c r="J340" s="34" t="s">
        <v>31</v>
      </c>
      <c r="K340" s="34" t="s">
        <v>32</v>
      </c>
      <c r="L340" s="34" t="s">
        <v>1755</v>
      </c>
      <c r="M340" s="34" t="s">
        <v>33</v>
      </c>
      <c r="N340" s="47">
        <v>12</v>
      </c>
      <c r="O340" s="48">
        <v>3</v>
      </c>
      <c r="P340" s="49">
        <v>37</v>
      </c>
      <c r="Q340" s="50">
        <v>19.234168</v>
      </c>
      <c r="R340" s="50">
        <v>-100.551917</v>
      </c>
      <c r="S340" s="66" t="s">
        <v>34</v>
      </c>
      <c r="T340" s="66" t="s">
        <v>175</v>
      </c>
      <c r="U340" s="66" t="s">
        <v>35</v>
      </c>
      <c r="V340" s="66" t="s">
        <v>35</v>
      </c>
      <c r="W340" s="66" t="s">
        <v>35</v>
      </c>
      <c r="X340" s="66" t="s">
        <v>35</v>
      </c>
      <c r="Y340" s="66"/>
      <c r="Z340" s="66"/>
      <c r="AA340" s="66"/>
      <c r="AB340" s="67"/>
      <c r="AC340" s="87">
        <f t="shared" si="15"/>
        <v>0.61111111111111116</v>
      </c>
      <c r="AD340" s="91">
        <v>1</v>
      </c>
      <c r="AE340" s="105" t="s">
        <v>1841</v>
      </c>
      <c r="AF340">
        <f t="shared" si="17"/>
        <v>0</v>
      </c>
      <c r="AG340">
        <f t="shared" si="16"/>
        <v>0</v>
      </c>
    </row>
    <row r="341" spans="1:33" x14ac:dyDescent="0.3">
      <c r="A341" s="84" t="s">
        <v>430</v>
      </c>
      <c r="B341" s="93" t="s">
        <v>25</v>
      </c>
      <c r="C341" s="93" t="s">
        <v>1778</v>
      </c>
      <c r="D341" s="33" t="s">
        <v>1775</v>
      </c>
      <c r="E341" s="34" t="s">
        <v>431</v>
      </c>
      <c r="F341" s="34" t="s">
        <v>432</v>
      </c>
      <c r="G341" s="34" t="s">
        <v>29</v>
      </c>
      <c r="H341" s="37">
        <v>1</v>
      </c>
      <c r="I341" s="34" t="s">
        <v>30</v>
      </c>
      <c r="J341" s="34" t="s">
        <v>31</v>
      </c>
      <c r="K341" s="34" t="s">
        <v>32</v>
      </c>
      <c r="L341" s="34" t="s">
        <v>1755</v>
      </c>
      <c r="M341" s="34" t="s">
        <v>33</v>
      </c>
      <c r="N341" s="47">
        <v>12</v>
      </c>
      <c r="O341" s="48">
        <v>2</v>
      </c>
      <c r="P341" s="49">
        <v>28</v>
      </c>
      <c r="Q341" s="50">
        <v>19.037299999999998</v>
      </c>
      <c r="R341" s="50">
        <v>-101.139718</v>
      </c>
      <c r="S341" s="66" t="s">
        <v>34</v>
      </c>
      <c r="T341" s="66" t="s">
        <v>175</v>
      </c>
      <c r="U341" s="66" t="s">
        <v>213</v>
      </c>
      <c r="V341" s="66" t="s">
        <v>213</v>
      </c>
      <c r="W341" s="66"/>
      <c r="X341" s="66"/>
      <c r="Y341" s="66"/>
      <c r="Z341" s="66"/>
      <c r="AA341" s="66"/>
      <c r="AB341" s="67"/>
      <c r="AC341" s="87">
        <f t="shared" si="15"/>
        <v>0.31481481481481477</v>
      </c>
      <c r="AD341" s="91">
        <v>1</v>
      </c>
      <c r="AE341" s="105" t="s">
        <v>1841</v>
      </c>
      <c r="AF341">
        <f t="shared" si="17"/>
        <v>0</v>
      </c>
      <c r="AG341">
        <f t="shared" si="16"/>
        <v>0</v>
      </c>
    </row>
    <row r="342" spans="1:33" x14ac:dyDescent="0.3">
      <c r="A342" s="84" t="s">
        <v>1159</v>
      </c>
      <c r="B342" s="93" t="s">
        <v>25</v>
      </c>
      <c r="C342" s="93" t="s">
        <v>1778</v>
      </c>
      <c r="D342" s="33" t="s">
        <v>1775</v>
      </c>
      <c r="E342" s="34" t="s">
        <v>1160</v>
      </c>
      <c r="F342" s="34" t="s">
        <v>1161</v>
      </c>
      <c r="G342" s="34" t="s">
        <v>111</v>
      </c>
      <c r="H342" s="37">
        <v>1</v>
      </c>
      <c r="I342" s="34" t="s">
        <v>112</v>
      </c>
      <c r="J342" s="34" t="s">
        <v>31</v>
      </c>
      <c r="K342" s="34" t="s">
        <v>32</v>
      </c>
      <c r="L342" s="34" t="s">
        <v>1755</v>
      </c>
      <c r="M342" s="34" t="s">
        <v>33</v>
      </c>
      <c r="N342" s="47">
        <v>11</v>
      </c>
      <c r="O342" s="48">
        <v>3</v>
      </c>
      <c r="P342" s="49">
        <v>47</v>
      </c>
      <c r="Q342" s="50">
        <v>19.603588999999999</v>
      </c>
      <c r="R342" s="50">
        <v>-102.475351</v>
      </c>
      <c r="S342" s="66" t="s">
        <v>34</v>
      </c>
      <c r="T342" s="66" t="s">
        <v>175</v>
      </c>
      <c r="U342" s="66" t="s">
        <v>213</v>
      </c>
      <c r="V342" s="66" t="s">
        <v>213</v>
      </c>
      <c r="W342" s="66"/>
      <c r="X342" s="66"/>
      <c r="Y342" s="66"/>
      <c r="Z342" s="66"/>
      <c r="AA342" s="66"/>
      <c r="AB342" s="67"/>
      <c r="AC342" s="87">
        <f t="shared" si="15"/>
        <v>0.31481481481481477</v>
      </c>
      <c r="AD342" s="91">
        <v>1</v>
      </c>
      <c r="AE342" s="105" t="s">
        <v>1841</v>
      </c>
      <c r="AF342">
        <f t="shared" si="17"/>
        <v>0</v>
      </c>
      <c r="AG342">
        <f t="shared" si="16"/>
        <v>0</v>
      </c>
    </row>
    <row r="343" spans="1:33" x14ac:dyDescent="0.3">
      <c r="A343" s="84" t="s">
        <v>1162</v>
      </c>
      <c r="B343" s="93" t="s">
        <v>25</v>
      </c>
      <c r="C343" s="93" t="s">
        <v>1778</v>
      </c>
      <c r="D343" s="33" t="s">
        <v>1775</v>
      </c>
      <c r="E343" s="34" t="s">
        <v>1163</v>
      </c>
      <c r="F343" s="34" t="s">
        <v>1164</v>
      </c>
      <c r="G343" s="34" t="s">
        <v>111</v>
      </c>
      <c r="H343" s="37">
        <v>1</v>
      </c>
      <c r="I343" s="34" t="s">
        <v>112</v>
      </c>
      <c r="J343" s="34" t="s">
        <v>31</v>
      </c>
      <c r="K343" s="34" t="s">
        <v>32</v>
      </c>
      <c r="L343" s="34" t="s">
        <v>1755</v>
      </c>
      <c r="M343" s="34" t="s">
        <v>33</v>
      </c>
      <c r="N343" s="47">
        <v>19</v>
      </c>
      <c r="O343" s="48">
        <v>5</v>
      </c>
      <c r="P343" s="49">
        <v>85</v>
      </c>
      <c r="Q343" s="50">
        <v>20.319358999999999</v>
      </c>
      <c r="R343" s="50">
        <v>-102.018441</v>
      </c>
      <c r="S343" s="66" t="s">
        <v>34</v>
      </c>
      <c r="T343" s="66" t="s">
        <v>175</v>
      </c>
      <c r="U343" s="66" t="s">
        <v>35</v>
      </c>
      <c r="V343" s="66" t="s">
        <v>35</v>
      </c>
      <c r="W343" s="66" t="s">
        <v>35</v>
      </c>
      <c r="X343" s="66" t="s">
        <v>175</v>
      </c>
      <c r="Y343" s="66"/>
      <c r="Z343" s="66"/>
      <c r="AA343" s="66"/>
      <c r="AB343" s="67"/>
      <c r="AC343" s="87">
        <f t="shared" si="15"/>
        <v>0.55555555555555558</v>
      </c>
      <c r="AD343" s="91">
        <v>1</v>
      </c>
      <c r="AE343" s="105" t="s">
        <v>1841</v>
      </c>
      <c r="AF343">
        <f t="shared" si="17"/>
        <v>0</v>
      </c>
      <c r="AG343">
        <f t="shared" si="16"/>
        <v>0</v>
      </c>
    </row>
    <row r="344" spans="1:33" x14ac:dyDescent="0.3">
      <c r="A344" s="84" t="s">
        <v>433</v>
      </c>
      <c r="B344" s="93" t="s">
        <v>25</v>
      </c>
      <c r="C344" s="93" t="s">
        <v>1778</v>
      </c>
      <c r="D344" s="33" t="s">
        <v>1775</v>
      </c>
      <c r="E344" s="34" t="s">
        <v>434</v>
      </c>
      <c r="F344" s="34" t="s">
        <v>435</v>
      </c>
      <c r="G344" s="34" t="s">
        <v>29</v>
      </c>
      <c r="H344" s="37">
        <v>1</v>
      </c>
      <c r="I344" s="34" t="s">
        <v>30</v>
      </c>
      <c r="J344" s="34" t="s">
        <v>31</v>
      </c>
      <c r="K344" s="34" t="s">
        <v>32</v>
      </c>
      <c r="L344" s="34" t="s">
        <v>1755</v>
      </c>
      <c r="M344" s="34" t="s">
        <v>33</v>
      </c>
      <c r="N344" s="47">
        <v>12</v>
      </c>
      <c r="O344" s="48">
        <v>2</v>
      </c>
      <c r="P344" s="49">
        <v>28</v>
      </c>
      <c r="Q344" s="50">
        <v>18.950931000000001</v>
      </c>
      <c r="R344" s="50">
        <v>-101.819063</v>
      </c>
      <c r="S344" s="66" t="s">
        <v>34</v>
      </c>
      <c r="T344" s="66" t="s">
        <v>175</v>
      </c>
      <c r="U344" s="66" t="s">
        <v>213</v>
      </c>
      <c r="V344" s="66" t="s">
        <v>213</v>
      </c>
      <c r="W344" s="66"/>
      <c r="X344" s="66"/>
      <c r="Y344" s="66"/>
      <c r="Z344" s="66"/>
      <c r="AA344" s="66"/>
      <c r="AB344" s="67"/>
      <c r="AC344" s="87">
        <f t="shared" si="15"/>
        <v>0.31481481481481477</v>
      </c>
      <c r="AD344" s="91">
        <v>1</v>
      </c>
      <c r="AE344" s="105" t="s">
        <v>1841</v>
      </c>
      <c r="AF344">
        <f t="shared" si="17"/>
        <v>0</v>
      </c>
      <c r="AG344">
        <f t="shared" si="16"/>
        <v>0</v>
      </c>
    </row>
    <row r="345" spans="1:33" x14ac:dyDescent="0.3">
      <c r="A345" s="84" t="s">
        <v>436</v>
      </c>
      <c r="B345" s="93" t="s">
        <v>25</v>
      </c>
      <c r="C345" s="93" t="s">
        <v>1778</v>
      </c>
      <c r="D345" s="33" t="s">
        <v>1775</v>
      </c>
      <c r="E345" s="34" t="s">
        <v>437</v>
      </c>
      <c r="F345" s="34" t="s">
        <v>438</v>
      </c>
      <c r="G345" s="34" t="s">
        <v>29</v>
      </c>
      <c r="H345" s="37">
        <v>1</v>
      </c>
      <c r="I345" s="34" t="s">
        <v>30</v>
      </c>
      <c r="J345" s="34" t="s">
        <v>31</v>
      </c>
      <c r="K345" s="34" t="s">
        <v>32</v>
      </c>
      <c r="L345" s="34" t="s">
        <v>1755</v>
      </c>
      <c r="M345" s="34" t="s">
        <v>84</v>
      </c>
      <c r="N345" s="47">
        <v>22</v>
      </c>
      <c r="O345" s="48">
        <v>3</v>
      </c>
      <c r="P345" s="49">
        <v>45</v>
      </c>
      <c r="Q345" s="50">
        <v>18.273816499999999</v>
      </c>
      <c r="R345" s="50">
        <v>-103.341942</v>
      </c>
      <c r="S345" s="66" t="s">
        <v>34</v>
      </c>
      <c r="T345" s="66" t="s">
        <v>175</v>
      </c>
      <c r="U345" s="66" t="s">
        <v>35</v>
      </c>
      <c r="V345" s="66" t="s">
        <v>35</v>
      </c>
      <c r="W345" s="66" t="s">
        <v>35</v>
      </c>
      <c r="X345" s="66" t="s">
        <v>175</v>
      </c>
      <c r="Y345" s="66"/>
      <c r="Z345" s="66"/>
      <c r="AA345" s="66"/>
      <c r="AB345" s="67"/>
      <c r="AC345" s="87">
        <f t="shared" si="15"/>
        <v>0.55555555555555558</v>
      </c>
      <c r="AD345" s="91">
        <v>1</v>
      </c>
      <c r="AE345" s="105" t="s">
        <v>1841</v>
      </c>
      <c r="AF345">
        <f t="shared" si="17"/>
        <v>0</v>
      </c>
      <c r="AG345">
        <f t="shared" si="16"/>
        <v>0</v>
      </c>
    </row>
    <row r="346" spans="1:33" x14ac:dyDescent="0.3">
      <c r="A346" s="99" t="s">
        <v>1800</v>
      </c>
      <c r="B346" s="100" t="s">
        <v>25</v>
      </c>
      <c r="C346" s="100" t="s">
        <v>450</v>
      </c>
      <c r="D346" s="33" t="s">
        <v>1775</v>
      </c>
      <c r="E346" s="36" t="s">
        <v>1190</v>
      </c>
      <c r="F346" s="36" t="s">
        <v>1802</v>
      </c>
      <c r="G346" s="36" t="s">
        <v>1803</v>
      </c>
      <c r="H346" s="36">
        <v>3</v>
      </c>
      <c r="I346" s="36" t="s">
        <v>181</v>
      </c>
      <c r="J346" s="36" t="s">
        <v>1804</v>
      </c>
      <c r="K346" s="36" t="s">
        <v>32</v>
      </c>
      <c r="L346" s="36" t="s">
        <v>1755</v>
      </c>
      <c r="M346" s="36" t="s">
        <v>33</v>
      </c>
      <c r="N346" s="83">
        <v>3</v>
      </c>
      <c r="O346" s="83">
        <v>0</v>
      </c>
      <c r="P346" s="83">
        <v>0</v>
      </c>
      <c r="Q346" s="36">
        <v>21.47908</v>
      </c>
      <c r="R346" s="36">
        <v>-104.846994</v>
      </c>
      <c r="S346" s="66" t="s">
        <v>34</v>
      </c>
      <c r="T346" s="66"/>
      <c r="U346" s="66" t="s">
        <v>35</v>
      </c>
      <c r="V346" s="66" t="s">
        <v>35</v>
      </c>
      <c r="W346" s="66" t="s">
        <v>175</v>
      </c>
      <c r="X346" s="66" t="s">
        <v>175</v>
      </c>
      <c r="Y346" s="66" t="s">
        <v>1799</v>
      </c>
      <c r="Z346" s="66" t="s">
        <v>1819</v>
      </c>
      <c r="AA346" s="66"/>
      <c r="AB346" s="67"/>
      <c r="AC346" s="87">
        <f t="shared" si="15"/>
        <v>0.61111111111111116</v>
      </c>
      <c r="AD346" s="91">
        <v>6</v>
      </c>
      <c r="AE346" s="105" t="s">
        <v>1781</v>
      </c>
      <c r="AF346">
        <f t="shared" si="17"/>
        <v>0</v>
      </c>
      <c r="AG346">
        <f t="shared" si="16"/>
        <v>0</v>
      </c>
    </row>
    <row r="347" spans="1:33" x14ac:dyDescent="0.3">
      <c r="A347" s="84" t="s">
        <v>1567</v>
      </c>
      <c r="B347" s="93" t="s">
        <v>25</v>
      </c>
      <c r="C347" s="93" t="s">
        <v>450</v>
      </c>
      <c r="D347" s="33" t="s">
        <v>1775</v>
      </c>
      <c r="E347" s="34" t="s">
        <v>1190</v>
      </c>
      <c r="F347" s="34" t="s">
        <v>1564</v>
      </c>
      <c r="G347" s="34" t="s">
        <v>164</v>
      </c>
      <c r="H347" s="37">
        <v>2</v>
      </c>
      <c r="I347" s="34" t="s">
        <v>155</v>
      </c>
      <c r="J347" s="34" t="s">
        <v>31</v>
      </c>
      <c r="K347" s="34" t="s">
        <v>32</v>
      </c>
      <c r="L347" s="34" t="s">
        <v>1755</v>
      </c>
      <c r="M347" s="34" t="s">
        <v>33</v>
      </c>
      <c r="N347" s="47">
        <v>13</v>
      </c>
      <c r="O347" s="48">
        <v>5</v>
      </c>
      <c r="P347" s="49">
        <v>77</v>
      </c>
      <c r="Q347" s="50">
        <v>21.480749500000002</v>
      </c>
      <c r="R347" s="50">
        <v>-104.84592790000001</v>
      </c>
      <c r="S347" s="66" t="s">
        <v>34</v>
      </c>
      <c r="T347" s="66"/>
      <c r="U347" s="66" t="s">
        <v>35</v>
      </c>
      <c r="V347" s="66" t="s">
        <v>35</v>
      </c>
      <c r="W347" s="66" t="s">
        <v>35</v>
      </c>
      <c r="X347" s="66" t="s">
        <v>175</v>
      </c>
      <c r="Y347" s="66" t="s">
        <v>1799</v>
      </c>
      <c r="Z347" s="66"/>
      <c r="AA347" s="66"/>
      <c r="AB347" s="67"/>
      <c r="AC347" s="87">
        <f t="shared" si="15"/>
        <v>0.55555555555555558</v>
      </c>
      <c r="AD347" s="91">
        <v>6</v>
      </c>
      <c r="AE347" s="105" t="s">
        <v>1781</v>
      </c>
      <c r="AF347">
        <f t="shared" si="17"/>
        <v>0</v>
      </c>
      <c r="AG347">
        <f t="shared" si="16"/>
        <v>0</v>
      </c>
    </row>
    <row r="348" spans="1:33" x14ac:dyDescent="0.3">
      <c r="A348" s="84" t="s">
        <v>449</v>
      </c>
      <c r="B348" s="93" t="s">
        <v>25</v>
      </c>
      <c r="C348" s="93" t="s">
        <v>450</v>
      </c>
      <c r="D348" s="33" t="s">
        <v>1775</v>
      </c>
      <c r="E348" s="34" t="s">
        <v>451</v>
      </c>
      <c r="F348" s="34" t="s">
        <v>452</v>
      </c>
      <c r="G348" s="34" t="s">
        <v>29</v>
      </c>
      <c r="H348" s="37">
        <v>1</v>
      </c>
      <c r="I348" s="34" t="s">
        <v>30</v>
      </c>
      <c r="J348" s="34" t="s">
        <v>31</v>
      </c>
      <c r="K348" s="34" t="s">
        <v>32</v>
      </c>
      <c r="L348" s="34" t="s">
        <v>1755</v>
      </c>
      <c r="M348" s="34" t="s">
        <v>33</v>
      </c>
      <c r="N348" s="47">
        <v>14</v>
      </c>
      <c r="O348" s="48">
        <v>2</v>
      </c>
      <c r="P348" s="49">
        <v>21</v>
      </c>
      <c r="Q348" s="50">
        <v>22.4898682</v>
      </c>
      <c r="R348" s="50">
        <v>-105.3677335</v>
      </c>
      <c r="S348" s="66" t="s">
        <v>34</v>
      </c>
      <c r="T348" s="66"/>
      <c r="U348" s="66" t="s">
        <v>35</v>
      </c>
      <c r="V348" s="66" t="s">
        <v>35</v>
      </c>
      <c r="W348" s="66" t="s">
        <v>175</v>
      </c>
      <c r="X348" s="66" t="s">
        <v>175</v>
      </c>
      <c r="Y348" s="66" t="s">
        <v>1799</v>
      </c>
      <c r="Z348" s="66"/>
      <c r="AA348" s="66"/>
      <c r="AB348" s="67"/>
      <c r="AC348" s="87">
        <f t="shared" si="15"/>
        <v>0.5</v>
      </c>
      <c r="AD348" s="91">
        <v>6</v>
      </c>
      <c r="AE348" s="105" t="s">
        <v>1781</v>
      </c>
      <c r="AF348">
        <f t="shared" si="17"/>
        <v>0</v>
      </c>
      <c r="AG348">
        <f t="shared" si="16"/>
        <v>0</v>
      </c>
    </row>
    <row r="349" spans="1:33" x14ac:dyDescent="0.3">
      <c r="A349" s="84" t="s">
        <v>453</v>
      </c>
      <c r="B349" s="93" t="s">
        <v>25</v>
      </c>
      <c r="C349" s="93" t="s">
        <v>450</v>
      </c>
      <c r="D349" s="33" t="s">
        <v>1775</v>
      </c>
      <c r="E349" s="34" t="s">
        <v>454</v>
      </c>
      <c r="F349" s="34" t="s">
        <v>455</v>
      </c>
      <c r="G349" s="34" t="s">
        <v>29</v>
      </c>
      <c r="H349" s="37">
        <v>1</v>
      </c>
      <c r="I349" s="34" t="s">
        <v>30</v>
      </c>
      <c r="J349" s="34" t="s">
        <v>31</v>
      </c>
      <c r="K349" s="34" t="s">
        <v>32</v>
      </c>
      <c r="L349" s="34" t="s">
        <v>1755</v>
      </c>
      <c r="M349" s="34" t="s">
        <v>33</v>
      </c>
      <c r="N349" s="47">
        <v>14</v>
      </c>
      <c r="O349" s="48">
        <v>2</v>
      </c>
      <c r="P349" s="49">
        <v>38</v>
      </c>
      <c r="Q349" s="50">
        <v>21.0370861</v>
      </c>
      <c r="R349" s="50">
        <v>-104.3780574</v>
      </c>
      <c r="S349" s="66" t="s">
        <v>34</v>
      </c>
      <c r="T349" s="66"/>
      <c r="U349" s="66" t="s">
        <v>35</v>
      </c>
      <c r="V349" s="66" t="s">
        <v>35</v>
      </c>
      <c r="W349" s="66" t="s">
        <v>175</v>
      </c>
      <c r="X349" s="66" t="s">
        <v>175</v>
      </c>
      <c r="Y349" s="66" t="s">
        <v>1799</v>
      </c>
      <c r="Z349" s="66"/>
      <c r="AA349" s="66"/>
      <c r="AB349" s="67"/>
      <c r="AC349" s="87">
        <f t="shared" si="15"/>
        <v>0.5</v>
      </c>
      <c r="AD349" s="91">
        <v>6</v>
      </c>
      <c r="AE349" s="105" t="s">
        <v>1781</v>
      </c>
      <c r="AF349">
        <f t="shared" si="17"/>
        <v>0</v>
      </c>
      <c r="AG349">
        <f t="shared" si="16"/>
        <v>0</v>
      </c>
    </row>
    <row r="350" spans="1:33" x14ac:dyDescent="0.3">
      <c r="A350" s="84" t="s">
        <v>456</v>
      </c>
      <c r="B350" s="93" t="s">
        <v>25</v>
      </c>
      <c r="C350" s="93" t="s">
        <v>450</v>
      </c>
      <c r="D350" s="33" t="s">
        <v>1775</v>
      </c>
      <c r="E350" s="34" t="s">
        <v>457</v>
      </c>
      <c r="F350" s="34" t="s">
        <v>458</v>
      </c>
      <c r="G350" s="34" t="s">
        <v>29</v>
      </c>
      <c r="H350" s="37">
        <v>1</v>
      </c>
      <c r="I350" s="34" t="s">
        <v>30</v>
      </c>
      <c r="J350" s="34" t="s">
        <v>31</v>
      </c>
      <c r="K350" s="34" t="s">
        <v>32</v>
      </c>
      <c r="L350" s="34" t="s">
        <v>1755</v>
      </c>
      <c r="M350" s="34" t="s">
        <v>33</v>
      </c>
      <c r="N350" s="47">
        <v>10</v>
      </c>
      <c r="O350" s="48">
        <v>2</v>
      </c>
      <c r="P350" s="49">
        <v>39</v>
      </c>
      <c r="Q350" s="50">
        <v>22.256481999999998</v>
      </c>
      <c r="R350" s="50">
        <v>-104.5171004</v>
      </c>
      <c r="S350" s="66" t="s">
        <v>34</v>
      </c>
      <c r="T350" s="66"/>
      <c r="U350" s="66" t="s">
        <v>35</v>
      </c>
      <c r="V350" s="66" t="s">
        <v>35</v>
      </c>
      <c r="W350" s="66" t="s">
        <v>175</v>
      </c>
      <c r="X350" s="66" t="s">
        <v>175</v>
      </c>
      <c r="Y350" s="66" t="s">
        <v>1799</v>
      </c>
      <c r="Z350" s="66"/>
      <c r="AA350" s="66"/>
      <c r="AB350" s="67"/>
      <c r="AC350" s="87">
        <f t="shared" si="15"/>
        <v>0.5</v>
      </c>
      <c r="AD350" s="91">
        <v>6</v>
      </c>
      <c r="AE350" s="105" t="s">
        <v>1781</v>
      </c>
      <c r="AF350">
        <f t="shared" si="17"/>
        <v>0</v>
      </c>
      <c r="AG350">
        <f t="shared" si="16"/>
        <v>0</v>
      </c>
    </row>
    <row r="351" spans="1:33" x14ac:dyDescent="0.3">
      <c r="A351" s="84" t="s">
        <v>1186</v>
      </c>
      <c r="B351" s="93" t="s">
        <v>25</v>
      </c>
      <c r="C351" s="93" t="s">
        <v>450</v>
      </c>
      <c r="D351" s="33" t="s">
        <v>1775</v>
      </c>
      <c r="E351" s="34" t="s">
        <v>1187</v>
      </c>
      <c r="F351" s="34" t="s">
        <v>1188</v>
      </c>
      <c r="G351" s="34" t="s">
        <v>111</v>
      </c>
      <c r="H351" s="37">
        <v>1</v>
      </c>
      <c r="I351" s="34" t="s">
        <v>112</v>
      </c>
      <c r="J351" s="34" t="s">
        <v>31</v>
      </c>
      <c r="K351" s="34" t="s">
        <v>32</v>
      </c>
      <c r="L351" s="34" t="s">
        <v>1755</v>
      </c>
      <c r="M351" s="34" t="s">
        <v>33</v>
      </c>
      <c r="N351" s="47">
        <v>11</v>
      </c>
      <c r="O351" s="48">
        <v>2</v>
      </c>
      <c r="P351" s="49">
        <v>55</v>
      </c>
      <c r="Q351" s="50">
        <v>22.115096900000001</v>
      </c>
      <c r="R351" s="50">
        <v>-105.2094934</v>
      </c>
      <c r="S351" s="66" t="s">
        <v>34</v>
      </c>
      <c r="T351" s="66"/>
      <c r="U351" s="66" t="s">
        <v>35</v>
      </c>
      <c r="V351" s="66" t="s">
        <v>35</v>
      </c>
      <c r="W351" s="66" t="s">
        <v>175</v>
      </c>
      <c r="X351" s="66" t="s">
        <v>175</v>
      </c>
      <c r="Y351" s="66" t="s">
        <v>1799</v>
      </c>
      <c r="Z351" s="66"/>
      <c r="AA351" s="66"/>
      <c r="AB351" s="67"/>
      <c r="AC351" s="87">
        <f t="shared" si="15"/>
        <v>0.5</v>
      </c>
      <c r="AD351" s="91">
        <v>6</v>
      </c>
      <c r="AE351" s="105" t="s">
        <v>1781</v>
      </c>
      <c r="AF351">
        <f t="shared" si="17"/>
        <v>0</v>
      </c>
      <c r="AG351">
        <f t="shared" si="16"/>
        <v>0</v>
      </c>
    </row>
    <row r="352" spans="1:33" x14ac:dyDescent="0.3">
      <c r="A352" s="84" t="s">
        <v>1189</v>
      </c>
      <c r="B352" s="93" t="s">
        <v>25</v>
      </c>
      <c r="C352" s="93" t="s">
        <v>450</v>
      </c>
      <c r="D352" s="33" t="s">
        <v>1775</v>
      </c>
      <c r="E352" s="34" t="s">
        <v>1190</v>
      </c>
      <c r="F352" s="34" t="s">
        <v>1191</v>
      </c>
      <c r="G352" s="34" t="s">
        <v>111</v>
      </c>
      <c r="H352" s="37">
        <v>1</v>
      </c>
      <c r="I352" s="34" t="s">
        <v>112</v>
      </c>
      <c r="J352" s="34" t="s">
        <v>31</v>
      </c>
      <c r="K352" s="34" t="s">
        <v>32</v>
      </c>
      <c r="L352" s="34" t="s">
        <v>1756</v>
      </c>
      <c r="M352" s="34" t="s">
        <v>33</v>
      </c>
      <c r="N352" s="47">
        <v>31</v>
      </c>
      <c r="O352" s="48">
        <v>5</v>
      </c>
      <c r="P352" s="49">
        <v>213</v>
      </c>
      <c r="Q352" s="50">
        <v>21.5010461</v>
      </c>
      <c r="R352" s="50">
        <v>-104.89762899999999</v>
      </c>
      <c r="S352" s="66" t="s">
        <v>34</v>
      </c>
      <c r="T352" s="66"/>
      <c r="U352" s="66" t="s">
        <v>176</v>
      </c>
      <c r="V352" s="66" t="s">
        <v>176</v>
      </c>
      <c r="W352" s="66"/>
      <c r="X352" s="66"/>
      <c r="Y352" s="66" t="s">
        <v>1799</v>
      </c>
      <c r="Z352" s="66"/>
      <c r="AA352" s="66"/>
      <c r="AB352" s="67"/>
      <c r="AC352" s="87">
        <f t="shared" si="15"/>
        <v>0.24074074074074073</v>
      </c>
      <c r="AD352" s="91">
        <v>6</v>
      </c>
      <c r="AE352" s="105" t="s">
        <v>1781</v>
      </c>
      <c r="AF352">
        <f t="shared" si="17"/>
        <v>0</v>
      </c>
      <c r="AG352">
        <f t="shared" si="16"/>
        <v>0</v>
      </c>
    </row>
    <row r="353" spans="1:33" x14ac:dyDescent="0.3">
      <c r="A353" s="84" t="s">
        <v>1192</v>
      </c>
      <c r="B353" s="93" t="s">
        <v>25</v>
      </c>
      <c r="C353" s="93" t="s">
        <v>450</v>
      </c>
      <c r="D353" s="33" t="s">
        <v>1775</v>
      </c>
      <c r="E353" s="34" t="s">
        <v>463</v>
      </c>
      <c r="F353" s="34" t="s">
        <v>1193</v>
      </c>
      <c r="G353" s="34" t="s">
        <v>111</v>
      </c>
      <c r="H353" s="37">
        <v>1</v>
      </c>
      <c r="I353" s="34" t="s">
        <v>112</v>
      </c>
      <c r="J353" s="34" t="s">
        <v>31</v>
      </c>
      <c r="K353" s="34" t="s">
        <v>32</v>
      </c>
      <c r="L353" s="34" t="s">
        <v>1755</v>
      </c>
      <c r="M353" s="34" t="s">
        <v>84</v>
      </c>
      <c r="N353" s="47">
        <v>12</v>
      </c>
      <c r="O353" s="48">
        <v>1</v>
      </c>
      <c r="P353" s="49">
        <v>42</v>
      </c>
      <c r="Q353" s="50">
        <v>20.900723299999999</v>
      </c>
      <c r="R353" s="50">
        <v>-105.4103064</v>
      </c>
      <c r="S353" s="66" t="s">
        <v>34</v>
      </c>
      <c r="T353" s="66"/>
      <c r="U353" s="66" t="s">
        <v>35</v>
      </c>
      <c r="V353" s="66" t="s">
        <v>35</v>
      </c>
      <c r="W353" s="66" t="s">
        <v>175</v>
      </c>
      <c r="X353" s="66" t="s">
        <v>175</v>
      </c>
      <c r="Y353" s="66" t="s">
        <v>1799</v>
      </c>
      <c r="Z353" s="66"/>
      <c r="AA353" s="66"/>
      <c r="AB353" s="67"/>
      <c r="AC353" s="87">
        <f t="shared" ref="AC353:AC416" si="18">(
IF(S353="ENVIADO A LA CE/UM",1/3,IF(S353="ENTREGADO/REVISIÓN",2/3,IF(S353="ENVIADO A TICS",1,0)))+
IF(T353="EN PROCESO",1/2,IF(T353="CONCLUIDO",1,0))+
IF(OR(U353="CONCLUIDO",U353="NO APLICA"),1,IF(U353="EN REVISIÓN CENTRAL",2/3,IF(U353="ENVIADO A LA CE/UM",1/3,0)))+
IF(OR(V353="CONCLUIDO",V353="NO APLICA"),1,IF(V353="EN REVISIÓN CENTRAL",2/3,IF(V353="ENVIADO A LA CE/UM",1/3,0)))+                                                                                                                                                                                                                                                         IF(OR(W353="CONCLUIDO",W353="NO APLICA"),1,IF(W353="EN PROCESO",0.5,0))+
IF(OR(X353="CONCLUIDO",X353="NO APLICA"),1,IF(X353="EN PROCESO",0.5,0))+
IF(Y353="PROGRAMADAS",1/2,IF(Y353="CONCLUIDAS",1,0))+
IF(OR(Z353="SI",Z353="NO APLICA"),1,0)+
IF(OR(AA353="SI",AA353="NO APLICA"),1,0)
)/9</f>
        <v>0.5</v>
      </c>
      <c r="AD353" s="91">
        <v>6</v>
      </c>
      <c r="AE353" s="105" t="s">
        <v>1781</v>
      </c>
      <c r="AF353">
        <f t="shared" si="17"/>
        <v>0</v>
      </c>
      <c r="AG353">
        <f t="shared" si="16"/>
        <v>0</v>
      </c>
    </row>
    <row r="354" spans="1:33" x14ac:dyDescent="0.3">
      <c r="A354" s="84" t="s">
        <v>1194</v>
      </c>
      <c r="B354" s="93" t="s">
        <v>25</v>
      </c>
      <c r="C354" s="93" t="s">
        <v>450</v>
      </c>
      <c r="D354" s="33" t="s">
        <v>1775</v>
      </c>
      <c r="E354" s="34" t="s">
        <v>1195</v>
      </c>
      <c r="F354" s="34" t="s">
        <v>1196</v>
      </c>
      <c r="G354" s="34" t="s">
        <v>111</v>
      </c>
      <c r="H354" s="37">
        <v>1</v>
      </c>
      <c r="I354" s="34" t="s">
        <v>112</v>
      </c>
      <c r="J354" s="34" t="s">
        <v>31</v>
      </c>
      <c r="K354" s="34" t="s">
        <v>32</v>
      </c>
      <c r="L354" s="34" t="s">
        <v>1755</v>
      </c>
      <c r="M354" s="34" t="s">
        <v>33</v>
      </c>
      <c r="N354" s="47">
        <v>15</v>
      </c>
      <c r="O354" s="48">
        <v>3</v>
      </c>
      <c r="P354" s="49">
        <v>47</v>
      </c>
      <c r="Q354" s="50">
        <v>21.812328600000001</v>
      </c>
      <c r="R354" s="50">
        <v>-105.20890110000001</v>
      </c>
      <c r="S354" s="66" t="s">
        <v>34</v>
      </c>
      <c r="T354" s="66"/>
      <c r="U354" s="66" t="s">
        <v>35</v>
      </c>
      <c r="V354" s="66" t="s">
        <v>35</v>
      </c>
      <c r="W354" s="66" t="s">
        <v>35</v>
      </c>
      <c r="X354" s="66" t="s">
        <v>35</v>
      </c>
      <c r="Y354" s="66" t="s">
        <v>1799</v>
      </c>
      <c r="Z354" s="66"/>
      <c r="AA354" s="66"/>
      <c r="AB354" s="67"/>
      <c r="AC354" s="87">
        <f t="shared" si="18"/>
        <v>0.61111111111111116</v>
      </c>
      <c r="AD354" s="91">
        <v>6</v>
      </c>
      <c r="AE354" s="105" t="s">
        <v>1781</v>
      </c>
      <c r="AF354">
        <f t="shared" si="17"/>
        <v>0</v>
      </c>
      <c r="AG354">
        <f t="shared" si="16"/>
        <v>0</v>
      </c>
    </row>
    <row r="355" spans="1:33" x14ac:dyDescent="0.3">
      <c r="A355" s="94" t="s">
        <v>1730</v>
      </c>
      <c r="B355" s="95" t="s">
        <v>25</v>
      </c>
      <c r="C355" s="95" t="s">
        <v>450</v>
      </c>
      <c r="D355" s="33" t="s">
        <v>1775</v>
      </c>
      <c r="E355" s="35" t="s">
        <v>1190</v>
      </c>
      <c r="F355" s="113" t="s">
        <v>1731</v>
      </c>
      <c r="G355" s="35" t="s">
        <v>180</v>
      </c>
      <c r="H355" s="39">
        <v>3</v>
      </c>
      <c r="I355" s="35" t="s">
        <v>181</v>
      </c>
      <c r="J355" s="35" t="s">
        <v>182</v>
      </c>
      <c r="K355" s="35" t="s">
        <v>32</v>
      </c>
      <c r="L355" s="35" t="s">
        <v>1755</v>
      </c>
      <c r="M355" s="35" t="s">
        <v>33</v>
      </c>
      <c r="N355" s="39">
        <v>10</v>
      </c>
      <c r="O355" s="39">
        <v>0</v>
      </c>
      <c r="P355" s="39">
        <v>1</v>
      </c>
      <c r="Q355" s="40">
        <v>21.501364800000001</v>
      </c>
      <c r="R355" s="40">
        <v>-104.89738389999999</v>
      </c>
      <c r="S355" s="66" t="s">
        <v>34</v>
      </c>
      <c r="T355" s="66"/>
      <c r="U355" s="66" t="s">
        <v>35</v>
      </c>
      <c r="V355" s="66" t="s">
        <v>35</v>
      </c>
      <c r="W355" s="66" t="s">
        <v>35</v>
      </c>
      <c r="X355" s="66" t="s">
        <v>175</v>
      </c>
      <c r="Y355" s="66" t="s">
        <v>1799</v>
      </c>
      <c r="Z355" s="66"/>
      <c r="AA355" s="66"/>
      <c r="AB355" s="67"/>
      <c r="AC355" s="87">
        <f t="shared" si="18"/>
        <v>0.55555555555555558</v>
      </c>
      <c r="AD355" s="91">
        <v>6</v>
      </c>
      <c r="AE355" s="105" t="s">
        <v>1781</v>
      </c>
      <c r="AF355">
        <f t="shared" si="17"/>
        <v>0</v>
      </c>
      <c r="AG355">
        <f t="shared" si="16"/>
        <v>0</v>
      </c>
    </row>
    <row r="356" spans="1:33" x14ac:dyDescent="0.3">
      <c r="A356" s="99" t="s">
        <v>1801</v>
      </c>
      <c r="B356" s="100" t="s">
        <v>25</v>
      </c>
      <c r="C356" s="100" t="s">
        <v>450</v>
      </c>
      <c r="D356" s="33" t="s">
        <v>1775</v>
      </c>
      <c r="E356" s="36" t="s">
        <v>1190</v>
      </c>
      <c r="F356" s="134" t="s">
        <v>1805</v>
      </c>
      <c r="G356" s="36" t="s">
        <v>1803</v>
      </c>
      <c r="H356" s="36">
        <v>3</v>
      </c>
      <c r="I356" s="36" t="s">
        <v>181</v>
      </c>
      <c r="J356" s="36" t="s">
        <v>1805</v>
      </c>
      <c r="K356" s="36" t="s">
        <v>32</v>
      </c>
      <c r="L356" s="36" t="s">
        <v>1755</v>
      </c>
      <c r="M356" s="36" t="s">
        <v>33</v>
      </c>
      <c r="N356" s="36">
        <v>4</v>
      </c>
      <c r="O356" s="36">
        <v>4</v>
      </c>
      <c r="P356" s="36">
        <v>10</v>
      </c>
      <c r="Q356" s="36">
        <v>21.479264000000001</v>
      </c>
      <c r="R356" s="36">
        <v>-104.847415</v>
      </c>
      <c r="S356" s="66" t="s">
        <v>34</v>
      </c>
      <c r="T356" s="66"/>
      <c r="U356" s="66" t="s">
        <v>35</v>
      </c>
      <c r="V356" s="66" t="s">
        <v>35</v>
      </c>
      <c r="W356" s="66" t="s">
        <v>35</v>
      </c>
      <c r="X356" s="66" t="s">
        <v>35</v>
      </c>
      <c r="Y356" s="66" t="s">
        <v>1799</v>
      </c>
      <c r="Z356" s="66"/>
      <c r="AA356" s="66"/>
      <c r="AB356" s="74"/>
      <c r="AC356" s="87">
        <f t="shared" si="18"/>
        <v>0.61111111111111116</v>
      </c>
      <c r="AD356" s="91">
        <v>6</v>
      </c>
      <c r="AE356" s="105" t="s">
        <v>1781</v>
      </c>
      <c r="AF356">
        <f t="shared" si="17"/>
        <v>0</v>
      </c>
      <c r="AG356">
        <f t="shared" si="16"/>
        <v>0</v>
      </c>
    </row>
    <row r="357" spans="1:33" x14ac:dyDescent="0.3">
      <c r="A357" s="84" t="s">
        <v>459</v>
      </c>
      <c r="B357" s="93" t="s">
        <v>25</v>
      </c>
      <c r="C357" s="93" t="s">
        <v>450</v>
      </c>
      <c r="D357" s="33" t="s">
        <v>1775</v>
      </c>
      <c r="E357" s="34" t="s">
        <v>460</v>
      </c>
      <c r="F357" s="34" t="s">
        <v>461</v>
      </c>
      <c r="G357" s="34" t="s">
        <v>29</v>
      </c>
      <c r="H357" s="37">
        <v>1</v>
      </c>
      <c r="I357" s="34" t="s">
        <v>30</v>
      </c>
      <c r="J357" s="34" t="s">
        <v>31</v>
      </c>
      <c r="K357" s="34" t="s">
        <v>32</v>
      </c>
      <c r="L357" s="34" t="s">
        <v>1755</v>
      </c>
      <c r="M357" s="34" t="s">
        <v>84</v>
      </c>
      <c r="N357" s="47">
        <v>9</v>
      </c>
      <c r="O357" s="48">
        <v>2</v>
      </c>
      <c r="P357" s="49">
        <v>17</v>
      </c>
      <c r="Q357" s="50">
        <v>21.697759000000001</v>
      </c>
      <c r="R357" s="50">
        <v>-104.08296</v>
      </c>
      <c r="S357" s="66" t="s">
        <v>34</v>
      </c>
      <c r="T357" s="66"/>
      <c r="U357" s="66" t="s">
        <v>35</v>
      </c>
      <c r="V357" s="66" t="s">
        <v>35</v>
      </c>
      <c r="W357" s="66" t="s">
        <v>35</v>
      </c>
      <c r="X357" s="66" t="s">
        <v>175</v>
      </c>
      <c r="Y357" s="66" t="s">
        <v>1799</v>
      </c>
      <c r="Z357" s="66"/>
      <c r="AA357" s="66"/>
      <c r="AB357" s="74"/>
      <c r="AC357" s="87">
        <f t="shared" si="18"/>
        <v>0.55555555555555558</v>
      </c>
      <c r="AD357" s="91">
        <v>6</v>
      </c>
      <c r="AE357" s="105" t="s">
        <v>1781</v>
      </c>
      <c r="AF357">
        <f t="shared" si="17"/>
        <v>0</v>
      </c>
      <c r="AG357">
        <f t="shared" si="16"/>
        <v>0</v>
      </c>
    </row>
    <row r="358" spans="1:33" x14ac:dyDescent="0.3">
      <c r="A358" s="84" t="s">
        <v>462</v>
      </c>
      <c r="B358" s="93" t="s">
        <v>25</v>
      </c>
      <c r="C358" s="93" t="s">
        <v>450</v>
      </c>
      <c r="D358" s="33" t="s">
        <v>1775</v>
      </c>
      <c r="E358" s="34" t="s">
        <v>463</v>
      </c>
      <c r="F358" s="34" t="s">
        <v>464</v>
      </c>
      <c r="G358" s="34" t="s">
        <v>29</v>
      </c>
      <c r="H358" s="37">
        <v>1</v>
      </c>
      <c r="I358" s="34" t="s">
        <v>30</v>
      </c>
      <c r="J358" s="34" t="s">
        <v>31</v>
      </c>
      <c r="K358" s="34" t="s">
        <v>32</v>
      </c>
      <c r="L358" s="34" t="s">
        <v>1755</v>
      </c>
      <c r="M358" s="34" t="s">
        <v>84</v>
      </c>
      <c r="N358" s="47">
        <v>10</v>
      </c>
      <c r="O358" s="48">
        <v>2</v>
      </c>
      <c r="P358" s="49">
        <v>23</v>
      </c>
      <c r="Q358" s="50">
        <v>20.746101100000001</v>
      </c>
      <c r="R358" s="50">
        <v>-105.29866920000001</v>
      </c>
      <c r="S358" s="66" t="s">
        <v>34</v>
      </c>
      <c r="T358" s="66"/>
      <c r="U358" s="66" t="s">
        <v>35</v>
      </c>
      <c r="V358" s="66" t="s">
        <v>35</v>
      </c>
      <c r="W358" s="66" t="s">
        <v>175</v>
      </c>
      <c r="X358" s="66" t="s">
        <v>175</v>
      </c>
      <c r="Y358" s="66" t="s">
        <v>1799</v>
      </c>
      <c r="Z358" s="66"/>
      <c r="AA358" s="66"/>
      <c r="AB358" s="67"/>
      <c r="AC358" s="87">
        <f t="shared" si="18"/>
        <v>0.5</v>
      </c>
      <c r="AD358" s="91">
        <v>6</v>
      </c>
      <c r="AE358" s="105" t="s">
        <v>1781</v>
      </c>
      <c r="AF358">
        <f t="shared" si="17"/>
        <v>0</v>
      </c>
      <c r="AG358">
        <f t="shared" si="16"/>
        <v>0</v>
      </c>
    </row>
    <row r="359" spans="1:33" x14ac:dyDescent="0.3">
      <c r="A359" s="84" t="s">
        <v>465</v>
      </c>
      <c r="B359" s="93" t="s">
        <v>25</v>
      </c>
      <c r="C359" s="93" t="s">
        <v>450</v>
      </c>
      <c r="D359" s="33" t="s">
        <v>1775</v>
      </c>
      <c r="E359" s="34" t="s">
        <v>466</v>
      </c>
      <c r="F359" s="34" t="s">
        <v>467</v>
      </c>
      <c r="G359" s="34" t="s">
        <v>29</v>
      </c>
      <c r="H359" s="37">
        <v>1</v>
      </c>
      <c r="I359" s="34" t="s">
        <v>30</v>
      </c>
      <c r="J359" s="34" t="s">
        <v>31</v>
      </c>
      <c r="K359" s="34" t="s">
        <v>32</v>
      </c>
      <c r="L359" s="34" t="s">
        <v>1755</v>
      </c>
      <c r="M359" s="34" t="s">
        <v>33</v>
      </c>
      <c r="N359" s="47">
        <v>10</v>
      </c>
      <c r="O359" s="48">
        <v>1</v>
      </c>
      <c r="P359" s="49">
        <v>20</v>
      </c>
      <c r="Q359" s="50">
        <v>21.2409052</v>
      </c>
      <c r="R359" s="50">
        <v>-104.8913778</v>
      </c>
      <c r="S359" s="66" t="s">
        <v>34</v>
      </c>
      <c r="T359" s="66"/>
      <c r="U359" s="66" t="s">
        <v>35</v>
      </c>
      <c r="V359" s="66" t="s">
        <v>35</v>
      </c>
      <c r="W359" s="66" t="s">
        <v>35</v>
      </c>
      <c r="X359" s="66" t="s">
        <v>35</v>
      </c>
      <c r="Y359" s="66" t="s">
        <v>1799</v>
      </c>
      <c r="Z359" s="66"/>
      <c r="AA359" s="66"/>
      <c r="AB359" s="74"/>
      <c r="AC359" s="87">
        <f t="shared" si="18"/>
        <v>0.61111111111111116</v>
      </c>
      <c r="AD359" s="91">
        <v>6</v>
      </c>
      <c r="AE359" s="105" t="s">
        <v>1781</v>
      </c>
      <c r="AF359">
        <f t="shared" si="17"/>
        <v>0</v>
      </c>
      <c r="AG359">
        <f t="shared" si="16"/>
        <v>0</v>
      </c>
    </row>
    <row r="360" spans="1:33" x14ac:dyDescent="0.3">
      <c r="A360" s="84" t="s">
        <v>468</v>
      </c>
      <c r="B360" s="93" t="s">
        <v>25</v>
      </c>
      <c r="C360" s="93" t="s">
        <v>450</v>
      </c>
      <c r="D360" s="33" t="s">
        <v>1775</v>
      </c>
      <c r="E360" s="34" t="s">
        <v>469</v>
      </c>
      <c r="F360" s="34" t="s">
        <v>470</v>
      </c>
      <c r="G360" s="34" t="s">
        <v>29</v>
      </c>
      <c r="H360" s="37">
        <v>1</v>
      </c>
      <c r="I360" s="34" t="s">
        <v>30</v>
      </c>
      <c r="J360" s="34" t="s">
        <v>31</v>
      </c>
      <c r="K360" s="34" t="s">
        <v>32</v>
      </c>
      <c r="L360" s="34" t="s">
        <v>1755</v>
      </c>
      <c r="M360" s="34" t="s">
        <v>33</v>
      </c>
      <c r="N360" s="47">
        <v>17</v>
      </c>
      <c r="O360" s="48">
        <v>3</v>
      </c>
      <c r="P360" s="49">
        <v>28</v>
      </c>
      <c r="Q360" s="50">
        <v>22.409665</v>
      </c>
      <c r="R360" s="50">
        <v>-105.45058400000001</v>
      </c>
      <c r="S360" s="66" t="s">
        <v>34</v>
      </c>
      <c r="T360" s="66"/>
      <c r="U360" s="66" t="s">
        <v>35</v>
      </c>
      <c r="V360" s="66" t="s">
        <v>35</v>
      </c>
      <c r="W360" s="66" t="s">
        <v>35</v>
      </c>
      <c r="X360" s="66" t="s">
        <v>35</v>
      </c>
      <c r="Y360" s="66" t="s">
        <v>1799</v>
      </c>
      <c r="Z360" s="66"/>
      <c r="AA360" s="66"/>
      <c r="AB360" s="67"/>
      <c r="AC360" s="87">
        <f t="shared" si="18"/>
        <v>0.61111111111111116</v>
      </c>
      <c r="AD360" s="91">
        <v>6</v>
      </c>
      <c r="AE360" s="105" t="s">
        <v>1781</v>
      </c>
      <c r="AF360">
        <f t="shared" si="17"/>
        <v>0</v>
      </c>
      <c r="AG360">
        <f t="shared" si="16"/>
        <v>0</v>
      </c>
    </row>
    <row r="361" spans="1:33" x14ac:dyDescent="0.3">
      <c r="A361" s="84" t="s">
        <v>471</v>
      </c>
      <c r="B361" s="93" t="s">
        <v>25</v>
      </c>
      <c r="C361" s="93" t="s">
        <v>450</v>
      </c>
      <c r="D361" s="33" t="s">
        <v>1775</v>
      </c>
      <c r="E361" s="34" t="s">
        <v>466</v>
      </c>
      <c r="F361" s="34" t="s">
        <v>472</v>
      </c>
      <c r="G361" s="34" t="s">
        <v>29</v>
      </c>
      <c r="H361" s="37">
        <v>1</v>
      </c>
      <c r="I361" s="34" t="s">
        <v>30</v>
      </c>
      <c r="J361" s="34" t="s">
        <v>31</v>
      </c>
      <c r="K361" s="34" t="s">
        <v>32</v>
      </c>
      <c r="L361" s="34" t="s">
        <v>1755</v>
      </c>
      <c r="M361" s="34" t="s">
        <v>33</v>
      </c>
      <c r="N361" s="47">
        <v>11</v>
      </c>
      <c r="O361" s="48">
        <v>1</v>
      </c>
      <c r="P361" s="49">
        <v>19</v>
      </c>
      <c r="Q361" s="50">
        <v>21.189</v>
      </c>
      <c r="R361" s="50">
        <v>-105.134699</v>
      </c>
      <c r="S361" s="66" t="s">
        <v>34</v>
      </c>
      <c r="T361" s="66"/>
      <c r="U361" s="66" t="s">
        <v>35</v>
      </c>
      <c r="V361" s="66" t="s">
        <v>35</v>
      </c>
      <c r="W361" s="66" t="s">
        <v>35</v>
      </c>
      <c r="X361" s="66" t="s">
        <v>35</v>
      </c>
      <c r="Y361" s="66" t="s">
        <v>1799</v>
      </c>
      <c r="Z361" s="66"/>
      <c r="AA361" s="66"/>
      <c r="AB361" s="67"/>
      <c r="AC361" s="87">
        <f t="shared" si="18"/>
        <v>0.61111111111111116</v>
      </c>
      <c r="AD361" s="91">
        <v>6</v>
      </c>
      <c r="AE361" s="105" t="s">
        <v>1781</v>
      </c>
      <c r="AF361">
        <f t="shared" si="17"/>
        <v>0</v>
      </c>
      <c r="AG361">
        <f t="shared" si="16"/>
        <v>0</v>
      </c>
    </row>
    <row r="362" spans="1:33" x14ac:dyDescent="0.3">
      <c r="A362" s="84" t="s">
        <v>473</v>
      </c>
      <c r="B362" s="93" t="s">
        <v>25</v>
      </c>
      <c r="C362" s="93" t="s">
        <v>450</v>
      </c>
      <c r="D362" s="33" t="s">
        <v>1775</v>
      </c>
      <c r="E362" s="34" t="s">
        <v>474</v>
      </c>
      <c r="F362" s="34" t="s">
        <v>475</v>
      </c>
      <c r="G362" s="34" t="s">
        <v>29</v>
      </c>
      <c r="H362" s="37">
        <v>1</v>
      </c>
      <c r="I362" s="34" t="s">
        <v>30</v>
      </c>
      <c r="J362" s="34" t="s">
        <v>31</v>
      </c>
      <c r="K362" s="34" t="s">
        <v>32</v>
      </c>
      <c r="L362" s="34" t="s">
        <v>1755</v>
      </c>
      <c r="M362" s="34" t="s">
        <v>33</v>
      </c>
      <c r="N362" s="47">
        <v>11</v>
      </c>
      <c r="O362" s="48">
        <v>2</v>
      </c>
      <c r="P362" s="49">
        <v>25</v>
      </c>
      <c r="Q362" s="50">
        <v>21.947095300000001</v>
      </c>
      <c r="R362" s="50">
        <v>-105.3119832</v>
      </c>
      <c r="S362" s="66" t="s">
        <v>34</v>
      </c>
      <c r="T362" s="66"/>
      <c r="U362" s="66" t="s">
        <v>35</v>
      </c>
      <c r="V362" s="66" t="s">
        <v>35</v>
      </c>
      <c r="W362" s="66" t="s">
        <v>35</v>
      </c>
      <c r="X362" s="66" t="s">
        <v>35</v>
      </c>
      <c r="Y362" s="66" t="s">
        <v>1799</v>
      </c>
      <c r="Z362" s="66"/>
      <c r="AA362" s="66"/>
      <c r="AB362" s="67"/>
      <c r="AC362" s="87">
        <f t="shared" si="18"/>
        <v>0.61111111111111116</v>
      </c>
      <c r="AD362" s="91">
        <v>6</v>
      </c>
      <c r="AE362" s="105" t="s">
        <v>1781</v>
      </c>
      <c r="AF362">
        <f t="shared" si="17"/>
        <v>0</v>
      </c>
      <c r="AG362">
        <f t="shared" si="16"/>
        <v>0</v>
      </c>
    </row>
    <row r="363" spans="1:33" x14ac:dyDescent="0.3">
      <c r="A363" s="84" t="s">
        <v>476</v>
      </c>
      <c r="B363" s="93" t="s">
        <v>25</v>
      </c>
      <c r="C363" s="93" t="s">
        <v>477</v>
      </c>
      <c r="D363" s="33" t="s">
        <v>1775</v>
      </c>
      <c r="E363" s="34" t="s">
        <v>478</v>
      </c>
      <c r="F363" s="34" t="s">
        <v>479</v>
      </c>
      <c r="G363" s="34" t="s">
        <v>29</v>
      </c>
      <c r="H363" s="37">
        <v>1</v>
      </c>
      <c r="I363" s="34" t="s">
        <v>30</v>
      </c>
      <c r="J363" s="34" t="s">
        <v>31</v>
      </c>
      <c r="K363" s="34" t="s">
        <v>32</v>
      </c>
      <c r="L363" s="34" t="s">
        <v>1755</v>
      </c>
      <c r="M363" s="34" t="s">
        <v>33</v>
      </c>
      <c r="N363" s="47">
        <v>5</v>
      </c>
      <c r="O363" s="48">
        <v>2</v>
      </c>
      <c r="P363" s="49">
        <v>24</v>
      </c>
      <c r="Q363" s="50">
        <v>17.450281400000001</v>
      </c>
      <c r="R363" s="50">
        <v>-97.225345599999997</v>
      </c>
      <c r="S363" s="66" t="s">
        <v>34</v>
      </c>
      <c r="T363" s="66"/>
      <c r="U363" s="66" t="s">
        <v>35</v>
      </c>
      <c r="V363" s="66" t="s">
        <v>35</v>
      </c>
      <c r="W363" s="66" t="s">
        <v>35</v>
      </c>
      <c r="X363" s="66" t="s">
        <v>35</v>
      </c>
      <c r="Y363" s="66" t="s">
        <v>36</v>
      </c>
      <c r="Z363" s="66"/>
      <c r="AA363" s="66"/>
      <c r="AB363" s="67"/>
      <c r="AC363" s="87">
        <f t="shared" si="18"/>
        <v>0.66666666666666663</v>
      </c>
      <c r="AD363" s="91">
        <v>3</v>
      </c>
      <c r="AE363" s="105" t="s">
        <v>1783</v>
      </c>
      <c r="AF363">
        <f t="shared" si="17"/>
        <v>0</v>
      </c>
      <c r="AG363">
        <f t="shared" si="16"/>
        <v>0</v>
      </c>
    </row>
    <row r="364" spans="1:33" x14ac:dyDescent="0.3">
      <c r="A364" s="84" t="s">
        <v>480</v>
      </c>
      <c r="B364" s="93" t="s">
        <v>25</v>
      </c>
      <c r="C364" s="93" t="s">
        <v>477</v>
      </c>
      <c r="D364" s="33" t="s">
        <v>1775</v>
      </c>
      <c r="E364" s="34" t="s">
        <v>481</v>
      </c>
      <c r="F364" s="34" t="s">
        <v>482</v>
      </c>
      <c r="G364" s="34" t="s">
        <v>29</v>
      </c>
      <c r="H364" s="37">
        <v>1</v>
      </c>
      <c r="I364" s="34" t="s">
        <v>30</v>
      </c>
      <c r="J364" s="34" t="s">
        <v>31</v>
      </c>
      <c r="K364" s="34" t="s">
        <v>32</v>
      </c>
      <c r="L364" s="34" t="s">
        <v>1755</v>
      </c>
      <c r="M364" s="34" t="s">
        <v>33</v>
      </c>
      <c r="N364" s="47">
        <v>7</v>
      </c>
      <c r="O364" s="48">
        <v>2</v>
      </c>
      <c r="P364" s="49">
        <v>60</v>
      </c>
      <c r="Q364" s="50">
        <v>17.024463000000001</v>
      </c>
      <c r="R364" s="50">
        <v>-97.570828000000006</v>
      </c>
      <c r="S364" s="66" t="s">
        <v>34</v>
      </c>
      <c r="T364" s="66"/>
      <c r="U364" s="66" t="s">
        <v>176</v>
      </c>
      <c r="V364" s="66" t="s">
        <v>176</v>
      </c>
      <c r="W364" s="66"/>
      <c r="X364" s="66"/>
      <c r="Y364" s="66" t="s">
        <v>36</v>
      </c>
      <c r="Z364" s="66"/>
      <c r="AA364" s="66"/>
      <c r="AB364" s="67"/>
      <c r="AC364" s="87">
        <f t="shared" si="18"/>
        <v>0.29629629629629628</v>
      </c>
      <c r="AD364" s="91">
        <v>3</v>
      </c>
      <c r="AE364" s="105" t="s">
        <v>1783</v>
      </c>
      <c r="AF364">
        <f t="shared" si="17"/>
        <v>0</v>
      </c>
      <c r="AG364">
        <f t="shared" si="16"/>
        <v>0</v>
      </c>
    </row>
    <row r="365" spans="1:33" x14ac:dyDescent="0.3">
      <c r="A365" s="84" t="s">
        <v>483</v>
      </c>
      <c r="B365" s="93" t="s">
        <v>25</v>
      </c>
      <c r="C365" s="93" t="s">
        <v>477</v>
      </c>
      <c r="D365" s="33" t="s">
        <v>1775</v>
      </c>
      <c r="E365" s="34" t="s">
        <v>484</v>
      </c>
      <c r="F365" s="34" t="s">
        <v>485</v>
      </c>
      <c r="G365" s="34" t="s">
        <v>29</v>
      </c>
      <c r="H365" s="37">
        <v>1</v>
      </c>
      <c r="I365" s="34" t="s">
        <v>30</v>
      </c>
      <c r="J365" s="34" t="s">
        <v>31</v>
      </c>
      <c r="K365" s="34" t="s">
        <v>32</v>
      </c>
      <c r="L365" s="34" t="s">
        <v>1755</v>
      </c>
      <c r="M365" s="34" t="s">
        <v>33</v>
      </c>
      <c r="N365" s="47">
        <v>10</v>
      </c>
      <c r="O365" s="48">
        <v>2</v>
      </c>
      <c r="P365" s="49">
        <v>23</v>
      </c>
      <c r="Q365" s="50">
        <v>17.053614</v>
      </c>
      <c r="R365" s="50">
        <v>-96.073087999999998</v>
      </c>
      <c r="S365" s="66" t="s">
        <v>34</v>
      </c>
      <c r="T365" s="66"/>
      <c r="U365" s="66" t="s">
        <v>176</v>
      </c>
      <c r="V365" s="66" t="s">
        <v>176</v>
      </c>
      <c r="W365" s="66"/>
      <c r="X365" s="66"/>
      <c r="Y365" s="66" t="s">
        <v>36</v>
      </c>
      <c r="Z365" s="66"/>
      <c r="AA365" s="66"/>
      <c r="AB365" s="67"/>
      <c r="AC365" s="87">
        <f t="shared" si="18"/>
        <v>0.29629629629629628</v>
      </c>
      <c r="AD365" s="91">
        <v>3</v>
      </c>
      <c r="AE365" s="105" t="s">
        <v>1783</v>
      </c>
      <c r="AF365">
        <f t="shared" si="17"/>
        <v>0</v>
      </c>
      <c r="AG365">
        <f t="shared" si="16"/>
        <v>0</v>
      </c>
    </row>
    <row r="366" spans="1:33" x14ac:dyDescent="0.3">
      <c r="A366" s="84" t="s">
        <v>1197</v>
      </c>
      <c r="B366" s="93" t="s">
        <v>25</v>
      </c>
      <c r="C366" s="93" t="s">
        <v>477</v>
      </c>
      <c r="D366" s="33" t="s">
        <v>1775</v>
      </c>
      <c r="E366" s="34" t="s">
        <v>1198</v>
      </c>
      <c r="F366" s="34" t="s">
        <v>1199</v>
      </c>
      <c r="G366" s="34" t="s">
        <v>111</v>
      </c>
      <c r="H366" s="37">
        <v>1</v>
      </c>
      <c r="I366" s="34" t="s">
        <v>112</v>
      </c>
      <c r="J366" s="34" t="s">
        <v>31</v>
      </c>
      <c r="K366" s="34" t="s">
        <v>32</v>
      </c>
      <c r="L366" s="34" t="s">
        <v>1755</v>
      </c>
      <c r="M366" s="34" t="s">
        <v>33</v>
      </c>
      <c r="N366" s="47">
        <v>8</v>
      </c>
      <c r="O366" s="48">
        <v>3</v>
      </c>
      <c r="P366" s="49">
        <v>49</v>
      </c>
      <c r="Q366" s="50">
        <v>17.811642500000001</v>
      </c>
      <c r="R366" s="50">
        <v>-97.772613399999997</v>
      </c>
      <c r="S366" s="66" t="s">
        <v>34</v>
      </c>
      <c r="T366" s="66"/>
      <c r="U366" s="66" t="s">
        <v>176</v>
      </c>
      <c r="V366" s="66" t="s">
        <v>176</v>
      </c>
      <c r="W366" s="66"/>
      <c r="X366" s="66"/>
      <c r="Y366" s="66" t="s">
        <v>36</v>
      </c>
      <c r="Z366" s="66"/>
      <c r="AA366" s="66"/>
      <c r="AB366" s="67"/>
      <c r="AC366" s="87">
        <f t="shared" si="18"/>
        <v>0.29629629629629628</v>
      </c>
      <c r="AD366" s="91">
        <v>3</v>
      </c>
      <c r="AE366" s="105" t="s">
        <v>1783</v>
      </c>
      <c r="AF366">
        <f t="shared" si="17"/>
        <v>0</v>
      </c>
      <c r="AG366">
        <f t="shared" si="16"/>
        <v>0</v>
      </c>
    </row>
    <row r="367" spans="1:33" ht="30" x14ac:dyDescent="0.3">
      <c r="A367" s="94" t="s">
        <v>1724</v>
      </c>
      <c r="B367" s="95" t="s">
        <v>25</v>
      </c>
      <c r="C367" s="95" t="s">
        <v>477</v>
      </c>
      <c r="D367" s="33" t="s">
        <v>1775</v>
      </c>
      <c r="E367" s="35" t="s">
        <v>1201</v>
      </c>
      <c r="F367" s="82" t="s">
        <v>1813</v>
      </c>
      <c r="G367" s="35" t="s">
        <v>1721</v>
      </c>
      <c r="H367" s="39">
        <v>3</v>
      </c>
      <c r="I367" s="35" t="s">
        <v>1722</v>
      </c>
      <c r="J367" s="35" t="s">
        <v>1723</v>
      </c>
      <c r="K367" s="35" t="s">
        <v>32</v>
      </c>
      <c r="L367" s="35" t="s">
        <v>1755</v>
      </c>
      <c r="M367" s="35" t="s">
        <v>33</v>
      </c>
      <c r="N367" s="39">
        <v>2</v>
      </c>
      <c r="O367" s="39">
        <v>0</v>
      </c>
      <c r="P367" s="39">
        <v>4</v>
      </c>
      <c r="Q367" s="40">
        <v>17.0745</v>
      </c>
      <c r="R367" s="40">
        <v>-96.726100000000002</v>
      </c>
      <c r="S367" s="66" t="s">
        <v>34</v>
      </c>
      <c r="T367" s="66"/>
      <c r="U367" s="66" t="s">
        <v>35</v>
      </c>
      <c r="V367" s="66" t="s">
        <v>35</v>
      </c>
      <c r="W367" s="66" t="s">
        <v>35</v>
      </c>
      <c r="X367" s="66" t="s">
        <v>35</v>
      </c>
      <c r="Y367" s="66" t="s">
        <v>36</v>
      </c>
      <c r="Z367" s="66"/>
      <c r="AA367" s="66"/>
      <c r="AB367" s="67"/>
      <c r="AC367" s="87">
        <f t="shared" si="18"/>
        <v>0.66666666666666663</v>
      </c>
      <c r="AD367" s="91">
        <v>3</v>
      </c>
      <c r="AE367" s="105" t="s">
        <v>1783</v>
      </c>
      <c r="AF367">
        <f t="shared" si="17"/>
        <v>0</v>
      </c>
      <c r="AG367">
        <f t="shared" si="16"/>
        <v>0</v>
      </c>
    </row>
    <row r="368" spans="1:33" x14ac:dyDescent="0.3">
      <c r="A368" s="84" t="s">
        <v>1200</v>
      </c>
      <c r="B368" s="93" t="s">
        <v>25</v>
      </c>
      <c r="C368" s="93" t="s">
        <v>477</v>
      </c>
      <c r="D368" s="33" t="s">
        <v>1775</v>
      </c>
      <c r="E368" s="34" t="s">
        <v>1201</v>
      </c>
      <c r="F368" s="34" t="s">
        <v>1202</v>
      </c>
      <c r="G368" s="34" t="s">
        <v>111</v>
      </c>
      <c r="H368" s="37">
        <v>1</v>
      </c>
      <c r="I368" s="34" t="s">
        <v>112</v>
      </c>
      <c r="J368" s="34" t="s">
        <v>31</v>
      </c>
      <c r="K368" s="34" t="s">
        <v>32</v>
      </c>
      <c r="L368" s="34" t="s">
        <v>1755</v>
      </c>
      <c r="M368" s="34" t="s">
        <v>33</v>
      </c>
      <c r="N368" s="47">
        <v>23</v>
      </c>
      <c r="O368" s="48">
        <v>7</v>
      </c>
      <c r="P368" s="49">
        <v>237</v>
      </c>
      <c r="Q368" s="50">
        <v>17.0820483</v>
      </c>
      <c r="R368" s="50">
        <v>-96.718172699999997</v>
      </c>
      <c r="S368" s="66" t="s">
        <v>34</v>
      </c>
      <c r="T368" s="66"/>
      <c r="U368" s="66" t="s">
        <v>213</v>
      </c>
      <c r="V368" s="66" t="s">
        <v>35</v>
      </c>
      <c r="W368" s="66"/>
      <c r="X368" s="66" t="s">
        <v>175</v>
      </c>
      <c r="Y368" s="66" t="s">
        <v>36</v>
      </c>
      <c r="Z368" s="66"/>
      <c r="AA368" s="66"/>
      <c r="AB368" s="67"/>
      <c r="AC368" s="87">
        <f t="shared" si="18"/>
        <v>0.46296296296296291</v>
      </c>
      <c r="AD368" s="91">
        <v>3</v>
      </c>
      <c r="AE368" s="105" t="s">
        <v>1783</v>
      </c>
      <c r="AF368">
        <f t="shared" si="17"/>
        <v>0</v>
      </c>
      <c r="AG368">
        <f t="shared" si="16"/>
        <v>0</v>
      </c>
    </row>
    <row r="369" spans="1:33" x14ac:dyDescent="0.3">
      <c r="A369" s="84" t="s">
        <v>1694</v>
      </c>
      <c r="B369" s="93" t="s">
        <v>25</v>
      </c>
      <c r="C369" s="93" t="s">
        <v>477</v>
      </c>
      <c r="D369" s="33" t="s">
        <v>1775</v>
      </c>
      <c r="E369" s="34" t="s">
        <v>1551</v>
      </c>
      <c r="F369" s="34" t="s">
        <v>1695</v>
      </c>
      <c r="G369" s="34" t="s">
        <v>169</v>
      </c>
      <c r="H369" s="37">
        <v>2</v>
      </c>
      <c r="I369" s="34" t="s">
        <v>170</v>
      </c>
      <c r="J369" s="34" t="s">
        <v>31</v>
      </c>
      <c r="K369" s="34" t="s">
        <v>32</v>
      </c>
      <c r="L369" s="34" t="s">
        <v>1755</v>
      </c>
      <c r="M369" s="34" t="s">
        <v>33</v>
      </c>
      <c r="N369" s="47">
        <v>13</v>
      </c>
      <c r="O369" s="48">
        <v>0</v>
      </c>
      <c r="P369" s="49">
        <v>120</v>
      </c>
      <c r="Q369" s="50">
        <v>16.912682</v>
      </c>
      <c r="R369" s="50">
        <v>-96.720197999999996</v>
      </c>
      <c r="S369" s="66" t="s">
        <v>34</v>
      </c>
      <c r="T369" s="66"/>
      <c r="U369" s="66" t="s">
        <v>35</v>
      </c>
      <c r="V369" s="66" t="s">
        <v>35</v>
      </c>
      <c r="W369" s="66" t="s">
        <v>35</v>
      </c>
      <c r="X369" s="66" t="s">
        <v>35</v>
      </c>
      <c r="Y369" s="66" t="s">
        <v>36</v>
      </c>
      <c r="Z369" s="66"/>
      <c r="AA369" s="66"/>
      <c r="AB369" s="67"/>
      <c r="AC369" s="87">
        <f t="shared" si="18"/>
        <v>0.66666666666666663</v>
      </c>
      <c r="AD369" s="91">
        <v>3</v>
      </c>
      <c r="AE369" s="105" t="s">
        <v>1783</v>
      </c>
      <c r="AF369">
        <f t="shared" si="17"/>
        <v>0</v>
      </c>
      <c r="AG369">
        <f t="shared" si="16"/>
        <v>0</v>
      </c>
    </row>
    <row r="370" spans="1:33" x14ac:dyDescent="0.3">
      <c r="A370" s="84" t="s">
        <v>1203</v>
      </c>
      <c r="B370" s="93" t="s">
        <v>25</v>
      </c>
      <c r="C370" s="93" t="s">
        <v>477</v>
      </c>
      <c r="D370" s="33" t="s">
        <v>1775</v>
      </c>
      <c r="E370" s="34" t="s">
        <v>1204</v>
      </c>
      <c r="F370" s="34" t="s">
        <v>1205</v>
      </c>
      <c r="G370" s="34" t="s">
        <v>111</v>
      </c>
      <c r="H370" s="37">
        <v>1</v>
      </c>
      <c r="I370" s="34" t="s">
        <v>112</v>
      </c>
      <c r="J370" s="34" t="s">
        <v>31</v>
      </c>
      <c r="K370" s="34" t="s">
        <v>32</v>
      </c>
      <c r="L370" s="34" t="s">
        <v>1755</v>
      </c>
      <c r="M370" s="34" t="s">
        <v>33</v>
      </c>
      <c r="N370" s="47">
        <v>10</v>
      </c>
      <c r="O370" s="48">
        <v>3</v>
      </c>
      <c r="P370" s="49">
        <v>41</v>
      </c>
      <c r="Q370" s="50">
        <v>17.808215499999999</v>
      </c>
      <c r="R370" s="50">
        <v>-96.959426699999995</v>
      </c>
      <c r="S370" s="66" t="s">
        <v>34</v>
      </c>
      <c r="T370" s="66"/>
      <c r="U370" s="66" t="s">
        <v>35</v>
      </c>
      <c r="V370" s="66" t="s">
        <v>35</v>
      </c>
      <c r="W370" s="66" t="s">
        <v>35</v>
      </c>
      <c r="X370" s="66" t="s">
        <v>175</v>
      </c>
      <c r="Y370" s="66" t="s">
        <v>36</v>
      </c>
      <c r="Z370" s="66"/>
      <c r="AA370" s="66"/>
      <c r="AB370" s="67"/>
      <c r="AC370" s="87">
        <f t="shared" si="18"/>
        <v>0.61111111111111116</v>
      </c>
      <c r="AD370" s="91">
        <v>3</v>
      </c>
      <c r="AE370" s="105" t="s">
        <v>1783</v>
      </c>
      <c r="AF370">
        <f t="shared" si="17"/>
        <v>0</v>
      </c>
      <c r="AG370">
        <f t="shared" si="16"/>
        <v>0</v>
      </c>
    </row>
    <row r="371" spans="1:33" x14ac:dyDescent="0.3">
      <c r="A371" s="84" t="s">
        <v>1206</v>
      </c>
      <c r="B371" s="93" t="s">
        <v>25</v>
      </c>
      <c r="C371" s="93" t="s">
        <v>477</v>
      </c>
      <c r="D371" s="33" t="s">
        <v>1775</v>
      </c>
      <c r="E371" s="34" t="s">
        <v>1207</v>
      </c>
      <c r="F371" s="34" t="s">
        <v>1208</v>
      </c>
      <c r="G371" s="34" t="s">
        <v>111</v>
      </c>
      <c r="H371" s="37">
        <v>1</v>
      </c>
      <c r="I371" s="34" t="s">
        <v>112</v>
      </c>
      <c r="J371" s="34" t="s">
        <v>31</v>
      </c>
      <c r="K371" s="34" t="s">
        <v>32</v>
      </c>
      <c r="L371" s="34" t="s">
        <v>1755</v>
      </c>
      <c r="M371" s="34" t="s">
        <v>33</v>
      </c>
      <c r="N371" s="47">
        <v>6</v>
      </c>
      <c r="O371" s="48">
        <v>2</v>
      </c>
      <c r="P371" s="49">
        <v>38</v>
      </c>
      <c r="Q371" s="50">
        <v>17.446353200000001</v>
      </c>
      <c r="R371" s="50">
        <v>-95.430858099999995</v>
      </c>
      <c r="S371" s="66" t="s">
        <v>34</v>
      </c>
      <c r="T371" s="66"/>
      <c r="U371" s="66" t="s">
        <v>176</v>
      </c>
      <c r="V371" s="66" t="s">
        <v>176</v>
      </c>
      <c r="W371" s="66"/>
      <c r="X371" s="66"/>
      <c r="Y371" s="66" t="s">
        <v>36</v>
      </c>
      <c r="Z371" s="66"/>
      <c r="AA371" s="66"/>
      <c r="AB371" s="67"/>
      <c r="AC371" s="87">
        <f t="shared" si="18"/>
        <v>0.29629629629629628</v>
      </c>
      <c r="AD371" s="91">
        <v>3</v>
      </c>
      <c r="AE371" s="105" t="s">
        <v>1783</v>
      </c>
      <c r="AF371">
        <f t="shared" si="17"/>
        <v>0</v>
      </c>
      <c r="AG371">
        <f t="shared" si="16"/>
        <v>0</v>
      </c>
    </row>
    <row r="372" spans="1:33" x14ac:dyDescent="0.3">
      <c r="A372" s="84" t="s">
        <v>1209</v>
      </c>
      <c r="B372" s="93" t="s">
        <v>25</v>
      </c>
      <c r="C372" s="93" t="s">
        <v>477</v>
      </c>
      <c r="D372" s="33" t="s">
        <v>1775</v>
      </c>
      <c r="E372" s="34" t="s">
        <v>1210</v>
      </c>
      <c r="F372" s="34" t="s">
        <v>1211</v>
      </c>
      <c r="G372" s="34" t="s">
        <v>111</v>
      </c>
      <c r="H372" s="37">
        <v>1</v>
      </c>
      <c r="I372" s="34" t="s">
        <v>112</v>
      </c>
      <c r="J372" s="34" t="s">
        <v>31</v>
      </c>
      <c r="K372" s="34" t="s">
        <v>32</v>
      </c>
      <c r="L372" s="34" t="s">
        <v>1755</v>
      </c>
      <c r="M372" s="34" t="s">
        <v>33</v>
      </c>
      <c r="N372" s="47">
        <v>10</v>
      </c>
      <c r="O372" s="48">
        <v>2</v>
      </c>
      <c r="P372" s="49">
        <v>42</v>
      </c>
      <c r="Q372" s="50">
        <v>16.816600000000001</v>
      </c>
      <c r="R372" s="50">
        <v>-96.786199999999994</v>
      </c>
      <c r="S372" s="66" t="s">
        <v>34</v>
      </c>
      <c r="T372" s="66"/>
      <c r="U372" s="66" t="s">
        <v>35</v>
      </c>
      <c r="V372" s="66" t="s">
        <v>35</v>
      </c>
      <c r="W372" s="66" t="s">
        <v>35</v>
      </c>
      <c r="X372" s="66" t="s">
        <v>35</v>
      </c>
      <c r="Y372" s="66" t="s">
        <v>36</v>
      </c>
      <c r="Z372" s="66"/>
      <c r="AA372" s="66"/>
      <c r="AB372" s="67"/>
      <c r="AC372" s="87">
        <f t="shared" si="18"/>
        <v>0.66666666666666663</v>
      </c>
      <c r="AD372" s="91">
        <v>3</v>
      </c>
      <c r="AE372" s="105" t="s">
        <v>1783</v>
      </c>
      <c r="AF372">
        <f t="shared" si="17"/>
        <v>0</v>
      </c>
      <c r="AG372">
        <f t="shared" si="16"/>
        <v>0</v>
      </c>
    </row>
    <row r="373" spans="1:33" x14ac:dyDescent="0.3">
      <c r="A373" s="84" t="s">
        <v>1212</v>
      </c>
      <c r="B373" s="93" t="s">
        <v>25</v>
      </c>
      <c r="C373" s="93" t="s">
        <v>477</v>
      </c>
      <c r="D373" s="33" t="s">
        <v>1775</v>
      </c>
      <c r="E373" s="34" t="s">
        <v>1213</v>
      </c>
      <c r="F373" s="34" t="s">
        <v>1214</v>
      </c>
      <c r="G373" s="34" t="s">
        <v>111</v>
      </c>
      <c r="H373" s="37">
        <v>1</v>
      </c>
      <c r="I373" s="34" t="s">
        <v>112</v>
      </c>
      <c r="J373" s="34" t="s">
        <v>31</v>
      </c>
      <c r="K373" s="34" t="s">
        <v>32</v>
      </c>
      <c r="L373" s="34" t="s">
        <v>1755</v>
      </c>
      <c r="M373" s="34" t="s">
        <v>33</v>
      </c>
      <c r="N373" s="47">
        <v>11</v>
      </c>
      <c r="O373" s="48">
        <v>5</v>
      </c>
      <c r="P373" s="49">
        <v>83</v>
      </c>
      <c r="Q373" s="50">
        <v>15.7348654</v>
      </c>
      <c r="R373" s="50">
        <v>-96.472656599999993</v>
      </c>
      <c r="S373" s="66" t="s">
        <v>34</v>
      </c>
      <c r="T373" s="66"/>
      <c r="U373" s="66" t="s">
        <v>176</v>
      </c>
      <c r="V373" s="66" t="s">
        <v>176</v>
      </c>
      <c r="W373" s="66"/>
      <c r="X373" s="66"/>
      <c r="Y373" s="66" t="s">
        <v>36</v>
      </c>
      <c r="Z373" s="66"/>
      <c r="AA373" s="66"/>
      <c r="AB373" s="67"/>
      <c r="AC373" s="87">
        <f t="shared" si="18"/>
        <v>0.29629629629629628</v>
      </c>
      <c r="AD373" s="91">
        <v>3</v>
      </c>
      <c r="AE373" s="105" t="s">
        <v>1783</v>
      </c>
      <c r="AF373">
        <f t="shared" si="17"/>
        <v>0</v>
      </c>
      <c r="AG373">
        <f t="shared" si="16"/>
        <v>0</v>
      </c>
    </row>
    <row r="374" spans="1:33" x14ac:dyDescent="0.3">
      <c r="A374" s="84" t="s">
        <v>486</v>
      </c>
      <c r="B374" s="93" t="s">
        <v>25</v>
      </c>
      <c r="C374" s="93" t="s">
        <v>477</v>
      </c>
      <c r="D374" s="33" t="s">
        <v>1775</v>
      </c>
      <c r="E374" s="34" t="s">
        <v>487</v>
      </c>
      <c r="F374" s="34" t="s">
        <v>488</v>
      </c>
      <c r="G374" s="34" t="s">
        <v>29</v>
      </c>
      <c r="H374" s="37">
        <v>1</v>
      </c>
      <c r="I374" s="34" t="s">
        <v>30</v>
      </c>
      <c r="J374" s="34" t="s">
        <v>31</v>
      </c>
      <c r="K374" s="34" t="s">
        <v>32</v>
      </c>
      <c r="L374" s="34" t="s">
        <v>1755</v>
      </c>
      <c r="M374" s="34" t="s">
        <v>33</v>
      </c>
      <c r="N374" s="47">
        <v>6</v>
      </c>
      <c r="O374" s="48">
        <v>3</v>
      </c>
      <c r="P374" s="49">
        <v>23</v>
      </c>
      <c r="Q374" s="50">
        <v>16.370761000000002</v>
      </c>
      <c r="R374" s="50">
        <v>-94.191479000000001</v>
      </c>
      <c r="S374" s="66" t="s">
        <v>34</v>
      </c>
      <c r="T374" s="66"/>
      <c r="U374" s="66" t="s">
        <v>176</v>
      </c>
      <c r="V374" s="66" t="s">
        <v>176</v>
      </c>
      <c r="W374" s="66"/>
      <c r="X374" s="66"/>
      <c r="Y374" s="66" t="s">
        <v>36</v>
      </c>
      <c r="Z374" s="66"/>
      <c r="AA374" s="66"/>
      <c r="AB374" s="67"/>
      <c r="AC374" s="87">
        <f t="shared" si="18"/>
        <v>0.29629629629629628</v>
      </c>
      <c r="AD374" s="91">
        <v>3</v>
      </c>
      <c r="AE374" s="105" t="s">
        <v>1783</v>
      </c>
      <c r="AF374">
        <f t="shared" si="17"/>
        <v>0</v>
      </c>
      <c r="AG374">
        <f t="shared" si="16"/>
        <v>0</v>
      </c>
    </row>
    <row r="375" spans="1:33" x14ac:dyDescent="0.3">
      <c r="A375" s="84" t="s">
        <v>489</v>
      </c>
      <c r="B375" s="93" t="s">
        <v>25</v>
      </c>
      <c r="C375" s="93" t="s">
        <v>477</v>
      </c>
      <c r="D375" s="33" t="s">
        <v>1775</v>
      </c>
      <c r="E375" s="34" t="s">
        <v>490</v>
      </c>
      <c r="F375" s="34" t="s">
        <v>491</v>
      </c>
      <c r="G375" s="34" t="s">
        <v>29</v>
      </c>
      <c r="H375" s="37">
        <v>1</v>
      </c>
      <c r="I375" s="34" t="s">
        <v>30</v>
      </c>
      <c r="J375" s="34" t="s">
        <v>31</v>
      </c>
      <c r="K375" s="34" t="s">
        <v>32</v>
      </c>
      <c r="L375" s="34" t="s">
        <v>1755</v>
      </c>
      <c r="M375" s="34" t="s">
        <v>33</v>
      </c>
      <c r="N375" s="47">
        <v>10</v>
      </c>
      <c r="O375" s="48">
        <v>2</v>
      </c>
      <c r="P375" s="49">
        <v>32</v>
      </c>
      <c r="Q375" s="50">
        <v>16.230820000000001</v>
      </c>
      <c r="R375" s="50">
        <v>-97.289050000000003</v>
      </c>
      <c r="S375" s="66" t="s">
        <v>34</v>
      </c>
      <c r="T375" s="66"/>
      <c r="U375" s="66" t="s">
        <v>176</v>
      </c>
      <c r="V375" s="66" t="s">
        <v>176</v>
      </c>
      <c r="W375" s="66"/>
      <c r="X375" s="66"/>
      <c r="Y375" s="66" t="s">
        <v>36</v>
      </c>
      <c r="Z375" s="66"/>
      <c r="AA375" s="66"/>
      <c r="AB375" s="67"/>
      <c r="AC375" s="87">
        <f t="shared" si="18"/>
        <v>0.29629629629629628</v>
      </c>
      <c r="AD375" s="91">
        <v>3</v>
      </c>
      <c r="AE375" s="105" t="s">
        <v>1783</v>
      </c>
      <c r="AF375">
        <f t="shared" si="17"/>
        <v>0</v>
      </c>
      <c r="AG375">
        <f t="shared" si="16"/>
        <v>0</v>
      </c>
    </row>
    <row r="376" spans="1:33" x14ac:dyDescent="0.3">
      <c r="A376" s="84" t="s">
        <v>1215</v>
      </c>
      <c r="B376" s="93" t="s">
        <v>25</v>
      </c>
      <c r="C376" s="93" t="s">
        <v>477</v>
      </c>
      <c r="D376" s="33" t="s">
        <v>1775</v>
      </c>
      <c r="E376" s="34" t="s">
        <v>1216</v>
      </c>
      <c r="F376" s="34" t="s">
        <v>1217</v>
      </c>
      <c r="G376" s="34" t="s">
        <v>111</v>
      </c>
      <c r="H376" s="37">
        <v>1</v>
      </c>
      <c r="I376" s="34" t="s">
        <v>112</v>
      </c>
      <c r="J376" s="34" t="s">
        <v>31</v>
      </c>
      <c r="K376" s="34" t="s">
        <v>32</v>
      </c>
      <c r="L376" s="34" t="s">
        <v>1755</v>
      </c>
      <c r="M376" s="34" t="s">
        <v>33</v>
      </c>
      <c r="N376" s="47">
        <v>7</v>
      </c>
      <c r="O376" s="48">
        <v>3</v>
      </c>
      <c r="P376" s="49">
        <v>70</v>
      </c>
      <c r="Q376" s="50">
        <v>16.347194300000002</v>
      </c>
      <c r="R376" s="50">
        <v>-98.048339200000001</v>
      </c>
      <c r="S376" s="66" t="s">
        <v>34</v>
      </c>
      <c r="T376" s="66"/>
      <c r="U376" s="66" t="s">
        <v>176</v>
      </c>
      <c r="V376" s="66" t="s">
        <v>176</v>
      </c>
      <c r="W376" s="66"/>
      <c r="X376" s="66"/>
      <c r="Y376" s="66" t="s">
        <v>36</v>
      </c>
      <c r="Z376" s="66"/>
      <c r="AA376" s="66"/>
      <c r="AB376" s="67"/>
      <c r="AC376" s="87">
        <f t="shared" si="18"/>
        <v>0.29629629629629628</v>
      </c>
      <c r="AD376" s="91">
        <v>3</v>
      </c>
      <c r="AE376" s="105" t="s">
        <v>1783</v>
      </c>
      <c r="AF376">
        <f t="shared" si="17"/>
        <v>0</v>
      </c>
      <c r="AG376">
        <f t="shared" si="16"/>
        <v>0</v>
      </c>
    </row>
    <row r="377" spans="1:33" x14ac:dyDescent="0.3">
      <c r="A377" s="84" t="s">
        <v>1218</v>
      </c>
      <c r="B377" s="93" t="s">
        <v>25</v>
      </c>
      <c r="C377" s="93" t="s">
        <v>477</v>
      </c>
      <c r="D377" s="33" t="s">
        <v>1775</v>
      </c>
      <c r="E377" s="34" t="s">
        <v>1219</v>
      </c>
      <c r="F377" s="34" t="s">
        <v>1220</v>
      </c>
      <c r="G377" s="34" t="s">
        <v>111</v>
      </c>
      <c r="H377" s="37">
        <v>1</v>
      </c>
      <c r="I377" s="34" t="s">
        <v>112</v>
      </c>
      <c r="J377" s="34" t="s">
        <v>31</v>
      </c>
      <c r="K377" s="34" t="s">
        <v>32</v>
      </c>
      <c r="L377" s="34" t="s">
        <v>1755</v>
      </c>
      <c r="M377" s="34" t="s">
        <v>33</v>
      </c>
      <c r="N377" s="47">
        <v>13</v>
      </c>
      <c r="O377" s="48">
        <v>5</v>
      </c>
      <c r="P377" s="49">
        <v>100</v>
      </c>
      <c r="Q377" s="50">
        <v>16.433980699999999</v>
      </c>
      <c r="R377" s="50">
        <v>-95.013031499999997</v>
      </c>
      <c r="S377" s="66" t="s">
        <v>34</v>
      </c>
      <c r="T377" s="66"/>
      <c r="U377" s="66" t="s">
        <v>176</v>
      </c>
      <c r="V377" s="66" t="s">
        <v>176</v>
      </c>
      <c r="W377" s="66"/>
      <c r="X377" s="66"/>
      <c r="Y377" s="66" t="s">
        <v>36</v>
      </c>
      <c r="Z377" s="66"/>
      <c r="AA377" s="66"/>
      <c r="AB377" s="67"/>
      <c r="AC377" s="87">
        <f t="shared" si="18"/>
        <v>0.29629629629629628</v>
      </c>
      <c r="AD377" s="91">
        <v>3</v>
      </c>
      <c r="AE377" s="105" t="s">
        <v>1783</v>
      </c>
      <c r="AF377">
        <f t="shared" si="17"/>
        <v>0</v>
      </c>
      <c r="AG377">
        <f t="shared" si="16"/>
        <v>0</v>
      </c>
    </row>
    <row r="378" spans="1:33" x14ac:dyDescent="0.3">
      <c r="A378" s="84" t="s">
        <v>1221</v>
      </c>
      <c r="B378" s="93" t="s">
        <v>25</v>
      </c>
      <c r="C378" s="93" t="s">
        <v>477</v>
      </c>
      <c r="D378" s="33" t="s">
        <v>1775</v>
      </c>
      <c r="E378" s="34" t="s">
        <v>1219</v>
      </c>
      <c r="F378" s="34" t="s">
        <v>1222</v>
      </c>
      <c r="G378" s="34" t="s">
        <v>111</v>
      </c>
      <c r="H378" s="37">
        <v>1</v>
      </c>
      <c r="I378" s="34" t="s">
        <v>112</v>
      </c>
      <c r="J378" s="34" t="s">
        <v>31</v>
      </c>
      <c r="K378" s="34" t="s">
        <v>32</v>
      </c>
      <c r="L378" s="34" t="s">
        <v>1755</v>
      </c>
      <c r="M378" s="34" t="s">
        <v>33</v>
      </c>
      <c r="N378" s="47">
        <v>0</v>
      </c>
      <c r="O378" s="48">
        <v>0</v>
      </c>
      <c r="P378" s="49">
        <v>0</v>
      </c>
      <c r="Q378" s="50">
        <v>16.455000999999999</v>
      </c>
      <c r="R378" s="50">
        <v>-95.026748999999995</v>
      </c>
      <c r="S378" s="66" t="s">
        <v>34</v>
      </c>
      <c r="T378" s="66"/>
      <c r="U378" s="66" t="s">
        <v>35</v>
      </c>
      <c r="V378" s="66" t="s">
        <v>35</v>
      </c>
      <c r="W378" s="66" t="s">
        <v>35</v>
      </c>
      <c r="X378" s="66" t="s">
        <v>35</v>
      </c>
      <c r="Y378" s="66" t="s">
        <v>36</v>
      </c>
      <c r="Z378" s="66"/>
      <c r="AA378" s="66"/>
      <c r="AB378" s="67"/>
      <c r="AC378" s="87">
        <f t="shared" si="18"/>
        <v>0.66666666666666663</v>
      </c>
      <c r="AD378" s="91">
        <v>3</v>
      </c>
      <c r="AE378" s="105" t="s">
        <v>1783</v>
      </c>
      <c r="AF378">
        <f t="shared" si="17"/>
        <v>0</v>
      </c>
      <c r="AG378">
        <f t="shared" si="16"/>
        <v>0</v>
      </c>
    </row>
    <row r="379" spans="1:33" x14ac:dyDescent="0.3">
      <c r="A379" s="84" t="s">
        <v>1223</v>
      </c>
      <c r="B379" s="93" t="s">
        <v>25</v>
      </c>
      <c r="C379" s="93" t="s">
        <v>477</v>
      </c>
      <c r="D379" s="33" t="s">
        <v>1775</v>
      </c>
      <c r="E379" s="34" t="s">
        <v>1224</v>
      </c>
      <c r="F379" s="34" t="s">
        <v>1225</v>
      </c>
      <c r="G379" s="34" t="s">
        <v>111</v>
      </c>
      <c r="H379" s="37">
        <v>1</v>
      </c>
      <c r="I379" s="34" t="s">
        <v>112</v>
      </c>
      <c r="J379" s="34" t="s">
        <v>31</v>
      </c>
      <c r="K379" s="34" t="s">
        <v>32</v>
      </c>
      <c r="L379" s="34" t="s">
        <v>1755</v>
      </c>
      <c r="M379" s="34" t="s">
        <v>33</v>
      </c>
      <c r="N379" s="47">
        <v>11</v>
      </c>
      <c r="O379" s="48">
        <v>2</v>
      </c>
      <c r="P379" s="49">
        <v>47</v>
      </c>
      <c r="Q379" s="50">
        <v>16.5586412</v>
      </c>
      <c r="R379" s="50">
        <v>-95.118069599999998</v>
      </c>
      <c r="S379" s="66" t="s">
        <v>34</v>
      </c>
      <c r="T379" s="66"/>
      <c r="U379" s="66" t="s">
        <v>176</v>
      </c>
      <c r="V379" s="66" t="s">
        <v>176</v>
      </c>
      <c r="W379" s="66"/>
      <c r="X379" s="66"/>
      <c r="Y379" s="66" t="s">
        <v>36</v>
      </c>
      <c r="Z379" s="66"/>
      <c r="AA379" s="66"/>
      <c r="AB379" s="67"/>
      <c r="AC379" s="87">
        <f t="shared" si="18"/>
        <v>0.29629629629629628</v>
      </c>
      <c r="AD379" s="91">
        <v>3</v>
      </c>
      <c r="AE379" s="105" t="s">
        <v>1783</v>
      </c>
      <c r="AF379">
        <f t="shared" si="17"/>
        <v>0</v>
      </c>
      <c r="AG379">
        <f t="shared" si="16"/>
        <v>0</v>
      </c>
    </row>
    <row r="380" spans="1:33" x14ac:dyDescent="0.3">
      <c r="A380" s="84" t="s">
        <v>1226</v>
      </c>
      <c r="B380" s="93" t="s">
        <v>25</v>
      </c>
      <c r="C380" s="93" t="s">
        <v>477</v>
      </c>
      <c r="D380" s="33" t="s">
        <v>1775</v>
      </c>
      <c r="E380" s="34" t="s">
        <v>1227</v>
      </c>
      <c r="F380" s="34" t="s">
        <v>1228</v>
      </c>
      <c r="G380" s="34" t="s">
        <v>111</v>
      </c>
      <c r="H380" s="37">
        <v>1</v>
      </c>
      <c r="I380" s="34" t="s">
        <v>112</v>
      </c>
      <c r="J380" s="34" t="s">
        <v>31</v>
      </c>
      <c r="K380" s="34" t="s">
        <v>32</v>
      </c>
      <c r="L380" s="34" t="s">
        <v>1755</v>
      </c>
      <c r="M380" s="34" t="s">
        <v>33</v>
      </c>
      <c r="N380" s="47">
        <v>15</v>
      </c>
      <c r="O380" s="48">
        <v>2</v>
      </c>
      <c r="P380" s="49">
        <v>45</v>
      </c>
      <c r="Q380" s="50">
        <v>16.290781800000001</v>
      </c>
      <c r="R380" s="50">
        <v>-95.2329182</v>
      </c>
      <c r="S380" s="66" t="s">
        <v>34</v>
      </c>
      <c r="T380" s="66"/>
      <c r="U380" s="66" t="s">
        <v>176</v>
      </c>
      <c r="V380" s="66" t="s">
        <v>176</v>
      </c>
      <c r="W380" s="66"/>
      <c r="X380" s="66"/>
      <c r="Y380" s="66" t="s">
        <v>36</v>
      </c>
      <c r="Z380" s="66"/>
      <c r="AA380" s="66"/>
      <c r="AB380" s="67"/>
      <c r="AC380" s="87">
        <f t="shared" si="18"/>
        <v>0.29629629629629628</v>
      </c>
      <c r="AD380" s="91">
        <v>3</v>
      </c>
      <c r="AE380" s="105" t="s">
        <v>1783</v>
      </c>
      <c r="AF380">
        <f t="shared" si="17"/>
        <v>0</v>
      </c>
      <c r="AG380">
        <f t="shared" si="16"/>
        <v>0</v>
      </c>
    </row>
    <row r="381" spans="1:33" x14ac:dyDescent="0.3">
      <c r="A381" s="84" t="s">
        <v>492</v>
      </c>
      <c r="B381" s="93" t="s">
        <v>25</v>
      </c>
      <c r="C381" s="93" t="s">
        <v>477</v>
      </c>
      <c r="D381" s="33" t="s">
        <v>1775</v>
      </c>
      <c r="E381" s="34" t="s">
        <v>493</v>
      </c>
      <c r="F381" s="34" t="s">
        <v>494</v>
      </c>
      <c r="G381" s="34" t="s">
        <v>29</v>
      </c>
      <c r="H381" s="37">
        <v>1</v>
      </c>
      <c r="I381" s="34" t="s">
        <v>30</v>
      </c>
      <c r="J381" s="34" t="s">
        <v>31</v>
      </c>
      <c r="K381" s="34" t="s">
        <v>32</v>
      </c>
      <c r="L381" s="34" t="s">
        <v>1755</v>
      </c>
      <c r="M381" s="34" t="s">
        <v>33</v>
      </c>
      <c r="N381" s="47">
        <v>6</v>
      </c>
      <c r="O381" s="48">
        <v>2</v>
      </c>
      <c r="P381" s="49">
        <v>18</v>
      </c>
      <c r="Q381" s="50">
        <v>16.514914300000001</v>
      </c>
      <c r="R381" s="50">
        <v>-97.386174100000005</v>
      </c>
      <c r="S381" s="66" t="s">
        <v>34</v>
      </c>
      <c r="T381" s="66"/>
      <c r="U381" s="66" t="s">
        <v>176</v>
      </c>
      <c r="V381" s="66" t="s">
        <v>176</v>
      </c>
      <c r="W381" s="66"/>
      <c r="X381" s="66"/>
      <c r="Y381" s="66" t="s">
        <v>36</v>
      </c>
      <c r="Z381" s="66"/>
      <c r="AA381" s="66"/>
      <c r="AB381" s="67"/>
      <c r="AC381" s="87">
        <f t="shared" si="18"/>
        <v>0.29629629629629628</v>
      </c>
      <c r="AD381" s="91">
        <v>3</v>
      </c>
      <c r="AE381" s="105" t="s">
        <v>1783</v>
      </c>
      <c r="AF381">
        <f t="shared" si="17"/>
        <v>0</v>
      </c>
      <c r="AG381">
        <f t="shared" si="16"/>
        <v>0</v>
      </c>
    </row>
    <row r="382" spans="1:33" x14ac:dyDescent="0.3">
      <c r="A382" s="84" t="s">
        <v>495</v>
      </c>
      <c r="B382" s="93" t="s">
        <v>25</v>
      </c>
      <c r="C382" s="93" t="s">
        <v>477</v>
      </c>
      <c r="D382" s="33" t="s">
        <v>1775</v>
      </c>
      <c r="E382" s="34" t="s">
        <v>496</v>
      </c>
      <c r="F382" s="34" t="s">
        <v>497</v>
      </c>
      <c r="G382" s="34" t="s">
        <v>29</v>
      </c>
      <c r="H382" s="37">
        <v>1</v>
      </c>
      <c r="I382" s="34" t="s">
        <v>30</v>
      </c>
      <c r="J382" s="34" t="s">
        <v>31</v>
      </c>
      <c r="K382" s="34" t="s">
        <v>32</v>
      </c>
      <c r="L382" s="34" t="s">
        <v>1755</v>
      </c>
      <c r="M382" s="34" t="s">
        <v>33</v>
      </c>
      <c r="N382" s="47">
        <v>7</v>
      </c>
      <c r="O382" s="48">
        <v>2</v>
      </c>
      <c r="P382" s="49">
        <v>23</v>
      </c>
      <c r="Q382" s="50">
        <v>16.588799999999999</v>
      </c>
      <c r="R382" s="50">
        <v>-97.2256</v>
      </c>
      <c r="S382" s="66" t="s">
        <v>34</v>
      </c>
      <c r="T382" s="66"/>
      <c r="U382" s="66" t="s">
        <v>176</v>
      </c>
      <c r="V382" s="66" t="s">
        <v>176</v>
      </c>
      <c r="W382" s="66"/>
      <c r="X382" s="66"/>
      <c r="Y382" s="66" t="s">
        <v>36</v>
      </c>
      <c r="Z382" s="66"/>
      <c r="AA382" s="66"/>
      <c r="AB382" s="67"/>
      <c r="AC382" s="87">
        <f t="shared" si="18"/>
        <v>0.29629629629629628</v>
      </c>
      <c r="AD382" s="91">
        <v>3</v>
      </c>
      <c r="AE382" s="105" t="s">
        <v>1783</v>
      </c>
      <c r="AF382">
        <f t="shared" si="17"/>
        <v>0</v>
      </c>
      <c r="AG382">
        <f t="shared" si="16"/>
        <v>0</v>
      </c>
    </row>
    <row r="383" spans="1:33" x14ac:dyDescent="0.3">
      <c r="A383" s="84" t="s">
        <v>498</v>
      </c>
      <c r="B383" s="93" t="s">
        <v>25</v>
      </c>
      <c r="C383" s="93" t="s">
        <v>477</v>
      </c>
      <c r="D383" s="33" t="s">
        <v>1775</v>
      </c>
      <c r="E383" s="34" t="s">
        <v>499</v>
      </c>
      <c r="F383" s="34" t="s">
        <v>500</v>
      </c>
      <c r="G383" s="34" t="s">
        <v>29</v>
      </c>
      <c r="H383" s="37">
        <v>1</v>
      </c>
      <c r="I383" s="34" t="s">
        <v>30</v>
      </c>
      <c r="J383" s="34" t="s">
        <v>31</v>
      </c>
      <c r="K383" s="34" t="s">
        <v>32</v>
      </c>
      <c r="L383" s="34" t="s">
        <v>1755</v>
      </c>
      <c r="M383" s="34" t="s">
        <v>33</v>
      </c>
      <c r="N383" s="47">
        <v>6</v>
      </c>
      <c r="O383" s="48">
        <v>2</v>
      </c>
      <c r="P383" s="49">
        <v>28</v>
      </c>
      <c r="Q383" s="50">
        <v>17.663733100000002</v>
      </c>
      <c r="R383" s="50">
        <v>-98.222764100000006</v>
      </c>
      <c r="S383" s="66" t="s">
        <v>34</v>
      </c>
      <c r="T383" s="66"/>
      <c r="U383" s="66" t="s">
        <v>176</v>
      </c>
      <c r="V383" s="66" t="s">
        <v>176</v>
      </c>
      <c r="W383" s="66"/>
      <c r="X383" s="66"/>
      <c r="Y383" s="66" t="s">
        <v>36</v>
      </c>
      <c r="Z383" s="66"/>
      <c r="AA383" s="66"/>
      <c r="AB383" s="67"/>
      <c r="AC383" s="87">
        <f t="shared" si="18"/>
        <v>0.29629629629629628</v>
      </c>
      <c r="AD383" s="91">
        <v>3</v>
      </c>
      <c r="AE383" s="105" t="s">
        <v>1783</v>
      </c>
      <c r="AF383">
        <f t="shared" si="17"/>
        <v>0</v>
      </c>
      <c r="AG383">
        <f t="shared" si="16"/>
        <v>0</v>
      </c>
    </row>
    <row r="384" spans="1:33" x14ac:dyDescent="0.3">
      <c r="A384" s="84" t="s">
        <v>501</v>
      </c>
      <c r="B384" s="93" t="s">
        <v>25</v>
      </c>
      <c r="C384" s="93" t="s">
        <v>477</v>
      </c>
      <c r="D384" s="33" t="s">
        <v>1775</v>
      </c>
      <c r="E384" s="34" t="s">
        <v>502</v>
      </c>
      <c r="F384" s="34" t="s">
        <v>503</v>
      </c>
      <c r="G384" s="34" t="s">
        <v>29</v>
      </c>
      <c r="H384" s="37">
        <v>1</v>
      </c>
      <c r="I384" s="34" t="s">
        <v>30</v>
      </c>
      <c r="J384" s="34" t="s">
        <v>31</v>
      </c>
      <c r="K384" s="34" t="s">
        <v>32</v>
      </c>
      <c r="L384" s="34" t="s">
        <v>1755</v>
      </c>
      <c r="M384" s="34" t="s">
        <v>33</v>
      </c>
      <c r="N384" s="47">
        <v>7</v>
      </c>
      <c r="O384" s="48">
        <v>1</v>
      </c>
      <c r="P384" s="49">
        <v>24</v>
      </c>
      <c r="Q384" s="50">
        <v>18.120239399999999</v>
      </c>
      <c r="R384" s="50">
        <v>-95.885583699999998</v>
      </c>
      <c r="S384" s="66" t="s">
        <v>34</v>
      </c>
      <c r="T384" s="66"/>
      <c r="U384" s="66" t="s">
        <v>176</v>
      </c>
      <c r="V384" s="66" t="s">
        <v>176</v>
      </c>
      <c r="W384" s="66"/>
      <c r="X384" s="66"/>
      <c r="Y384" s="66" t="s">
        <v>36</v>
      </c>
      <c r="Z384" s="66"/>
      <c r="AA384" s="66"/>
      <c r="AB384" s="67"/>
      <c r="AC384" s="87">
        <f t="shared" si="18"/>
        <v>0.29629629629629628</v>
      </c>
      <c r="AD384" s="91">
        <v>3</v>
      </c>
      <c r="AE384" s="105" t="s">
        <v>1783</v>
      </c>
      <c r="AF384">
        <f t="shared" si="17"/>
        <v>0</v>
      </c>
      <c r="AG384">
        <f t="shared" si="16"/>
        <v>0</v>
      </c>
    </row>
    <row r="385" spans="1:33" x14ac:dyDescent="0.3">
      <c r="A385" s="84" t="s">
        <v>1229</v>
      </c>
      <c r="B385" s="93" t="s">
        <v>25</v>
      </c>
      <c r="C385" s="93" t="s">
        <v>477</v>
      </c>
      <c r="D385" s="33" t="s">
        <v>1775</v>
      </c>
      <c r="E385" s="34" t="s">
        <v>1230</v>
      </c>
      <c r="F385" s="34" t="s">
        <v>1231</v>
      </c>
      <c r="G385" s="34" t="s">
        <v>111</v>
      </c>
      <c r="H385" s="37">
        <v>1</v>
      </c>
      <c r="I385" s="34" t="s">
        <v>112</v>
      </c>
      <c r="J385" s="34" t="s">
        <v>31</v>
      </c>
      <c r="K385" s="34" t="s">
        <v>32</v>
      </c>
      <c r="L385" s="34" t="s">
        <v>1755</v>
      </c>
      <c r="M385" s="34" t="s">
        <v>33</v>
      </c>
      <c r="N385" s="47">
        <v>26</v>
      </c>
      <c r="O385" s="48">
        <v>3</v>
      </c>
      <c r="P385" s="49">
        <v>102</v>
      </c>
      <c r="Q385" s="50">
        <v>16.241658999999999</v>
      </c>
      <c r="R385" s="50">
        <v>-95.209950500000005</v>
      </c>
      <c r="S385" s="66" t="s">
        <v>34</v>
      </c>
      <c r="T385" s="66"/>
      <c r="U385" s="66" t="s">
        <v>176</v>
      </c>
      <c r="V385" s="66" t="s">
        <v>176</v>
      </c>
      <c r="W385" s="66"/>
      <c r="X385" s="66"/>
      <c r="Y385" s="66" t="s">
        <v>36</v>
      </c>
      <c r="Z385" s="66"/>
      <c r="AA385" s="66"/>
      <c r="AB385" s="67"/>
      <c r="AC385" s="87">
        <f t="shared" si="18"/>
        <v>0.29629629629629628</v>
      </c>
      <c r="AD385" s="91">
        <v>3</v>
      </c>
      <c r="AE385" s="105" t="s">
        <v>1783</v>
      </c>
      <c r="AF385">
        <f t="shared" si="17"/>
        <v>0</v>
      </c>
      <c r="AG385">
        <f t="shared" si="16"/>
        <v>0</v>
      </c>
    </row>
    <row r="386" spans="1:33" x14ac:dyDescent="0.3">
      <c r="A386" s="84" t="s">
        <v>504</v>
      </c>
      <c r="B386" s="93" t="s">
        <v>25</v>
      </c>
      <c r="C386" s="93" t="s">
        <v>477</v>
      </c>
      <c r="D386" s="33" t="s">
        <v>1775</v>
      </c>
      <c r="E386" s="34" t="s">
        <v>505</v>
      </c>
      <c r="F386" s="34" t="s">
        <v>506</v>
      </c>
      <c r="G386" s="34" t="s">
        <v>29</v>
      </c>
      <c r="H386" s="37">
        <v>1</v>
      </c>
      <c r="I386" s="34" t="s">
        <v>30</v>
      </c>
      <c r="J386" s="34" t="s">
        <v>31</v>
      </c>
      <c r="K386" s="34" t="s">
        <v>32</v>
      </c>
      <c r="L386" s="34" t="s">
        <v>1755</v>
      </c>
      <c r="M386" s="34" t="s">
        <v>33</v>
      </c>
      <c r="N386" s="47">
        <v>8</v>
      </c>
      <c r="O386" s="48">
        <v>2</v>
      </c>
      <c r="P386" s="49">
        <v>25</v>
      </c>
      <c r="Q386" s="50">
        <v>16.599668999999999</v>
      </c>
      <c r="R386" s="50">
        <v>-95.984734000000003</v>
      </c>
      <c r="S386" s="66" t="s">
        <v>34</v>
      </c>
      <c r="T386" s="66"/>
      <c r="U386" s="66" t="s">
        <v>35</v>
      </c>
      <c r="V386" s="66" t="s">
        <v>35</v>
      </c>
      <c r="W386" s="66" t="s">
        <v>175</v>
      </c>
      <c r="X386" s="66" t="s">
        <v>175</v>
      </c>
      <c r="Y386" s="66" t="s">
        <v>36</v>
      </c>
      <c r="Z386" s="66"/>
      <c r="AA386" s="66"/>
      <c r="AB386" s="67"/>
      <c r="AC386" s="87">
        <f t="shared" si="18"/>
        <v>0.55555555555555558</v>
      </c>
      <c r="AD386" s="91">
        <v>3</v>
      </c>
      <c r="AE386" s="105" t="s">
        <v>1783</v>
      </c>
      <c r="AF386">
        <f t="shared" si="17"/>
        <v>0</v>
      </c>
      <c r="AG386">
        <f t="shared" ref="AG386:AG449" si="19">IF(AND(OR(Z386="SI",Z386="NO APLICA"),OR(AA386="SI",AA386="NO APLICA")),1,0)</f>
        <v>0</v>
      </c>
    </row>
    <row r="387" spans="1:33" x14ac:dyDescent="0.3">
      <c r="A387" s="84" t="s">
        <v>507</v>
      </c>
      <c r="B387" s="93" t="s">
        <v>25</v>
      </c>
      <c r="C387" s="93" t="s">
        <v>477</v>
      </c>
      <c r="D387" s="33" t="s">
        <v>1775</v>
      </c>
      <c r="E387" s="34" t="s">
        <v>508</v>
      </c>
      <c r="F387" s="34" t="s">
        <v>509</v>
      </c>
      <c r="G387" s="34" t="s">
        <v>29</v>
      </c>
      <c r="H387" s="37">
        <v>1</v>
      </c>
      <c r="I387" s="34" t="s">
        <v>30</v>
      </c>
      <c r="J387" s="34" t="s">
        <v>31</v>
      </c>
      <c r="K387" s="34" t="s">
        <v>32</v>
      </c>
      <c r="L387" s="34" t="s">
        <v>1755</v>
      </c>
      <c r="M387" s="34" t="s">
        <v>33</v>
      </c>
      <c r="N387" s="47">
        <v>8</v>
      </c>
      <c r="O387" s="48">
        <v>2</v>
      </c>
      <c r="P387" s="49">
        <v>21</v>
      </c>
      <c r="Q387" s="50">
        <v>17.773565000000001</v>
      </c>
      <c r="R387" s="50">
        <v>-96.313990000000004</v>
      </c>
      <c r="S387" s="66" t="s">
        <v>34</v>
      </c>
      <c r="T387" s="66"/>
      <c r="U387" s="66" t="s">
        <v>176</v>
      </c>
      <c r="V387" s="66" t="s">
        <v>176</v>
      </c>
      <c r="W387" s="66"/>
      <c r="X387" s="66"/>
      <c r="Y387" s="66" t="s">
        <v>36</v>
      </c>
      <c r="Z387" s="66"/>
      <c r="AA387" s="66"/>
      <c r="AB387" s="67"/>
      <c r="AC387" s="87">
        <f t="shared" si="18"/>
        <v>0.29629629629629628</v>
      </c>
      <c r="AD387" s="91">
        <v>3</v>
      </c>
      <c r="AE387" s="105" t="s">
        <v>1783</v>
      </c>
      <c r="AF387">
        <f t="shared" ref="AF387:AF450" si="20">IF(OR(AND(Z387="SI",AA387="NO"),AND(Z387="NO",AA387="SI")),1,0)</f>
        <v>0</v>
      </c>
      <c r="AG387">
        <f t="shared" si="19"/>
        <v>0</v>
      </c>
    </row>
    <row r="388" spans="1:33" x14ac:dyDescent="0.3">
      <c r="A388" s="84" t="s">
        <v>1232</v>
      </c>
      <c r="B388" s="93" t="s">
        <v>25</v>
      </c>
      <c r="C388" s="93" t="s">
        <v>477</v>
      </c>
      <c r="D388" s="33" t="s">
        <v>1775</v>
      </c>
      <c r="E388" s="34" t="s">
        <v>1233</v>
      </c>
      <c r="F388" s="34" t="s">
        <v>1234</v>
      </c>
      <c r="G388" s="34" t="s">
        <v>111</v>
      </c>
      <c r="H388" s="37">
        <v>1</v>
      </c>
      <c r="I388" s="34" t="s">
        <v>112</v>
      </c>
      <c r="J388" s="34" t="s">
        <v>31</v>
      </c>
      <c r="K388" s="34" t="s">
        <v>32</v>
      </c>
      <c r="L388" s="34" t="s">
        <v>1755</v>
      </c>
      <c r="M388" s="34" t="s">
        <v>33</v>
      </c>
      <c r="N388" s="47">
        <v>9</v>
      </c>
      <c r="O388" s="48">
        <v>3</v>
      </c>
      <c r="P388" s="49">
        <v>61</v>
      </c>
      <c r="Q388" s="50">
        <v>15.880139700000001</v>
      </c>
      <c r="R388" s="50">
        <v>-97.089251000000004</v>
      </c>
      <c r="S388" s="66" t="s">
        <v>34</v>
      </c>
      <c r="T388" s="66"/>
      <c r="U388" s="66" t="s">
        <v>176</v>
      </c>
      <c r="V388" s="66" t="s">
        <v>176</v>
      </c>
      <c r="W388" s="66"/>
      <c r="X388" s="66"/>
      <c r="Y388" s="66" t="s">
        <v>36</v>
      </c>
      <c r="Z388" s="66"/>
      <c r="AA388" s="66"/>
      <c r="AB388" s="67"/>
      <c r="AC388" s="87">
        <f t="shared" si="18"/>
        <v>0.29629629629629628</v>
      </c>
      <c r="AD388" s="91">
        <v>3</v>
      </c>
      <c r="AE388" s="105" t="s">
        <v>1783</v>
      </c>
      <c r="AF388">
        <f t="shared" si="20"/>
        <v>0</v>
      </c>
      <c r="AG388">
        <f t="shared" si="19"/>
        <v>0</v>
      </c>
    </row>
    <row r="389" spans="1:33" x14ac:dyDescent="0.3">
      <c r="A389" s="84" t="s">
        <v>510</v>
      </c>
      <c r="B389" s="93" t="s">
        <v>25</v>
      </c>
      <c r="C389" s="93" t="s">
        <v>477</v>
      </c>
      <c r="D389" s="33" t="s">
        <v>1775</v>
      </c>
      <c r="E389" s="34" t="s">
        <v>511</v>
      </c>
      <c r="F389" s="34" t="s">
        <v>512</v>
      </c>
      <c r="G389" s="34" t="s">
        <v>29</v>
      </c>
      <c r="H389" s="37">
        <v>1</v>
      </c>
      <c r="I389" s="34" t="s">
        <v>30</v>
      </c>
      <c r="J389" s="34" t="s">
        <v>31</v>
      </c>
      <c r="K389" s="34" t="s">
        <v>32</v>
      </c>
      <c r="L389" s="34" t="s">
        <v>1755</v>
      </c>
      <c r="M389" s="34" t="s">
        <v>33</v>
      </c>
      <c r="N389" s="47">
        <v>5</v>
      </c>
      <c r="O389" s="48">
        <v>2</v>
      </c>
      <c r="P389" s="49">
        <v>25</v>
      </c>
      <c r="Q389" s="50">
        <v>18.240500000000001</v>
      </c>
      <c r="R389" s="50">
        <v>-96.401799999999994</v>
      </c>
      <c r="S389" s="66" t="s">
        <v>34</v>
      </c>
      <c r="T389" s="66"/>
      <c r="U389" s="66" t="s">
        <v>176</v>
      </c>
      <c r="V389" s="66" t="s">
        <v>176</v>
      </c>
      <c r="W389" s="66"/>
      <c r="X389" s="66"/>
      <c r="Y389" s="66" t="s">
        <v>36</v>
      </c>
      <c r="Z389" s="66"/>
      <c r="AA389" s="66"/>
      <c r="AB389" s="67"/>
      <c r="AC389" s="87">
        <f t="shared" si="18"/>
        <v>0.29629629629629628</v>
      </c>
      <c r="AD389" s="91">
        <v>3</v>
      </c>
      <c r="AE389" s="105" t="s">
        <v>1783</v>
      </c>
      <c r="AF389">
        <f t="shared" si="20"/>
        <v>0</v>
      </c>
      <c r="AG389">
        <f t="shared" si="19"/>
        <v>0</v>
      </c>
    </row>
    <row r="390" spans="1:33" x14ac:dyDescent="0.3">
      <c r="A390" s="84" t="s">
        <v>513</v>
      </c>
      <c r="B390" s="93" t="s">
        <v>25</v>
      </c>
      <c r="C390" s="93" t="s">
        <v>477</v>
      </c>
      <c r="D390" s="33" t="s">
        <v>1775</v>
      </c>
      <c r="E390" s="34" t="s">
        <v>514</v>
      </c>
      <c r="F390" s="34" t="s">
        <v>515</v>
      </c>
      <c r="G390" s="34" t="s">
        <v>29</v>
      </c>
      <c r="H390" s="37">
        <v>1</v>
      </c>
      <c r="I390" s="34" t="s">
        <v>30</v>
      </c>
      <c r="J390" s="34" t="s">
        <v>31</v>
      </c>
      <c r="K390" s="34" t="s">
        <v>32</v>
      </c>
      <c r="L390" s="34" t="s">
        <v>1755</v>
      </c>
      <c r="M390" s="34" t="s">
        <v>33</v>
      </c>
      <c r="N390" s="47">
        <v>5</v>
      </c>
      <c r="O390" s="48">
        <v>2</v>
      </c>
      <c r="P390" s="49">
        <v>23</v>
      </c>
      <c r="Q390" s="50">
        <v>16.1005772</v>
      </c>
      <c r="R390" s="50">
        <v>-97.144174500000005</v>
      </c>
      <c r="S390" s="66" t="s">
        <v>34</v>
      </c>
      <c r="T390" s="66"/>
      <c r="U390" s="66" t="s">
        <v>176</v>
      </c>
      <c r="V390" s="66" t="s">
        <v>176</v>
      </c>
      <c r="W390" s="66"/>
      <c r="X390" s="66"/>
      <c r="Y390" s="66" t="s">
        <v>36</v>
      </c>
      <c r="Z390" s="66"/>
      <c r="AA390" s="66"/>
      <c r="AB390" s="67"/>
      <c r="AC390" s="87">
        <f t="shared" si="18"/>
        <v>0.29629629629629628</v>
      </c>
      <c r="AD390" s="91">
        <v>3</v>
      </c>
      <c r="AE390" s="105" t="s">
        <v>1783</v>
      </c>
      <c r="AF390">
        <f t="shared" si="20"/>
        <v>0</v>
      </c>
      <c r="AG390">
        <f t="shared" si="19"/>
        <v>0</v>
      </c>
    </row>
    <row r="391" spans="1:33" x14ac:dyDescent="0.3">
      <c r="A391" s="84" t="s">
        <v>1553</v>
      </c>
      <c r="B391" s="93" t="s">
        <v>25</v>
      </c>
      <c r="C391" s="93" t="s">
        <v>477</v>
      </c>
      <c r="D391" s="33" t="s">
        <v>1775</v>
      </c>
      <c r="E391" s="34" t="s">
        <v>1554</v>
      </c>
      <c r="F391" s="34" t="s">
        <v>1555</v>
      </c>
      <c r="G391" s="34" t="s">
        <v>164</v>
      </c>
      <c r="H391" s="37">
        <v>2</v>
      </c>
      <c r="I391" s="34" t="s">
        <v>112</v>
      </c>
      <c r="J391" s="34" t="s">
        <v>31</v>
      </c>
      <c r="K391" s="34" t="s">
        <v>32</v>
      </c>
      <c r="L391" s="34" t="s">
        <v>1755</v>
      </c>
      <c r="M391" s="34" t="s">
        <v>84</v>
      </c>
      <c r="N391" s="47">
        <v>11</v>
      </c>
      <c r="O391" s="48">
        <v>2</v>
      </c>
      <c r="P391" s="49">
        <v>56</v>
      </c>
      <c r="Q391" s="50">
        <v>17.003969399999999</v>
      </c>
      <c r="R391" s="50">
        <v>-97.907989900000004</v>
      </c>
      <c r="S391" s="66" t="s">
        <v>34</v>
      </c>
      <c r="T391" s="66"/>
      <c r="U391" s="66" t="s">
        <v>176</v>
      </c>
      <c r="V391" s="66" t="s">
        <v>176</v>
      </c>
      <c r="W391" s="66"/>
      <c r="X391" s="66"/>
      <c r="Y391" s="66" t="s">
        <v>36</v>
      </c>
      <c r="Z391" s="66"/>
      <c r="AA391" s="66"/>
      <c r="AB391" s="67"/>
      <c r="AC391" s="87">
        <f t="shared" si="18"/>
        <v>0.29629629629629628</v>
      </c>
      <c r="AD391" s="91">
        <v>3</v>
      </c>
      <c r="AE391" s="105" t="s">
        <v>1783</v>
      </c>
      <c r="AF391">
        <f t="shared" si="20"/>
        <v>0</v>
      </c>
      <c r="AG391">
        <f t="shared" si="19"/>
        <v>0</v>
      </c>
    </row>
    <row r="392" spans="1:33" x14ac:dyDescent="0.3">
      <c r="A392" s="84" t="s">
        <v>516</v>
      </c>
      <c r="B392" s="93" t="s">
        <v>25</v>
      </c>
      <c r="C392" s="93" t="s">
        <v>477</v>
      </c>
      <c r="D392" s="33" t="s">
        <v>1775</v>
      </c>
      <c r="E392" s="34" t="s">
        <v>517</v>
      </c>
      <c r="F392" s="34" t="s">
        <v>518</v>
      </c>
      <c r="G392" s="34" t="s">
        <v>29</v>
      </c>
      <c r="H392" s="37">
        <v>1</v>
      </c>
      <c r="I392" s="34" t="s">
        <v>30</v>
      </c>
      <c r="J392" s="34" t="s">
        <v>31</v>
      </c>
      <c r="K392" s="34" t="s">
        <v>32</v>
      </c>
      <c r="L392" s="34" t="s">
        <v>1755</v>
      </c>
      <c r="M392" s="34" t="s">
        <v>33</v>
      </c>
      <c r="N392" s="47">
        <v>6</v>
      </c>
      <c r="O392" s="48">
        <v>3</v>
      </c>
      <c r="P392" s="49">
        <v>22</v>
      </c>
      <c r="Q392" s="50">
        <v>15.9898486</v>
      </c>
      <c r="R392" s="50">
        <v>-97.4153807</v>
      </c>
      <c r="S392" s="66" t="s">
        <v>34</v>
      </c>
      <c r="T392" s="66"/>
      <c r="U392" s="66" t="s">
        <v>35</v>
      </c>
      <c r="V392" s="66" t="s">
        <v>35</v>
      </c>
      <c r="W392" s="66" t="s">
        <v>35</v>
      </c>
      <c r="X392" s="66" t="s">
        <v>35</v>
      </c>
      <c r="Y392" s="66" t="s">
        <v>36</v>
      </c>
      <c r="Z392" s="66"/>
      <c r="AA392" s="66"/>
      <c r="AB392" s="67"/>
      <c r="AC392" s="87">
        <f t="shared" si="18"/>
        <v>0.66666666666666663</v>
      </c>
      <c r="AD392" s="91">
        <v>3</v>
      </c>
      <c r="AE392" s="105" t="s">
        <v>1783</v>
      </c>
      <c r="AF392">
        <f t="shared" si="20"/>
        <v>0</v>
      </c>
      <c r="AG392">
        <f t="shared" si="19"/>
        <v>0</v>
      </c>
    </row>
    <row r="393" spans="1:33" x14ac:dyDescent="0.3">
      <c r="A393" s="84" t="s">
        <v>519</v>
      </c>
      <c r="B393" s="93" t="s">
        <v>25</v>
      </c>
      <c r="C393" s="93" t="s">
        <v>477</v>
      </c>
      <c r="D393" s="33" t="s">
        <v>1775</v>
      </c>
      <c r="E393" s="34" t="s">
        <v>520</v>
      </c>
      <c r="F393" s="34" t="s">
        <v>521</v>
      </c>
      <c r="G393" s="34" t="s">
        <v>29</v>
      </c>
      <c r="H393" s="37">
        <v>1</v>
      </c>
      <c r="I393" s="34" t="s">
        <v>30</v>
      </c>
      <c r="J393" s="34" t="s">
        <v>31</v>
      </c>
      <c r="K393" s="34" t="s">
        <v>32</v>
      </c>
      <c r="L393" s="34" t="s">
        <v>1755</v>
      </c>
      <c r="M393" s="34" t="s">
        <v>33</v>
      </c>
      <c r="N393" s="47">
        <v>8</v>
      </c>
      <c r="O393" s="48">
        <v>1</v>
      </c>
      <c r="P393" s="49">
        <v>23</v>
      </c>
      <c r="Q393" s="50">
        <v>18.130797000000001</v>
      </c>
      <c r="R393" s="50">
        <v>-97.075310999999999</v>
      </c>
      <c r="S393" s="66" t="s">
        <v>34</v>
      </c>
      <c r="T393" s="66"/>
      <c r="U393" s="66" t="s">
        <v>35</v>
      </c>
      <c r="V393" s="66" t="s">
        <v>35</v>
      </c>
      <c r="W393" s="66" t="s">
        <v>175</v>
      </c>
      <c r="X393" s="66" t="s">
        <v>175</v>
      </c>
      <c r="Y393" s="66" t="s">
        <v>36</v>
      </c>
      <c r="Z393" s="66"/>
      <c r="AA393" s="66"/>
      <c r="AB393" s="67"/>
      <c r="AC393" s="87">
        <f t="shared" si="18"/>
        <v>0.55555555555555558</v>
      </c>
      <c r="AD393" s="91">
        <v>3</v>
      </c>
      <c r="AE393" s="105" t="s">
        <v>1783</v>
      </c>
      <c r="AF393">
        <f t="shared" si="20"/>
        <v>0</v>
      </c>
      <c r="AG393">
        <f t="shared" si="19"/>
        <v>0</v>
      </c>
    </row>
    <row r="394" spans="1:33" x14ac:dyDescent="0.3">
      <c r="A394" s="84" t="s">
        <v>522</v>
      </c>
      <c r="B394" s="93" t="s">
        <v>25</v>
      </c>
      <c r="C394" s="93" t="s">
        <v>477</v>
      </c>
      <c r="D394" s="33" t="s">
        <v>1775</v>
      </c>
      <c r="E394" s="34" t="s">
        <v>523</v>
      </c>
      <c r="F394" s="34" t="s">
        <v>524</v>
      </c>
      <c r="G394" s="34" t="s">
        <v>29</v>
      </c>
      <c r="H394" s="37">
        <v>1</v>
      </c>
      <c r="I394" s="34" t="s">
        <v>30</v>
      </c>
      <c r="J394" s="34" t="s">
        <v>31</v>
      </c>
      <c r="K394" s="34" t="s">
        <v>32</v>
      </c>
      <c r="L394" s="34" t="s">
        <v>1755</v>
      </c>
      <c r="M394" s="34" t="s">
        <v>33</v>
      </c>
      <c r="N394" s="47">
        <v>7</v>
      </c>
      <c r="O394" s="48">
        <v>2</v>
      </c>
      <c r="P394" s="49">
        <v>26</v>
      </c>
      <c r="Q394" s="50">
        <v>16.529184999999998</v>
      </c>
      <c r="R394" s="50">
        <v>-96.978973999999994</v>
      </c>
      <c r="S394" s="66" t="s">
        <v>34</v>
      </c>
      <c r="T394" s="66"/>
      <c r="U394" s="66" t="s">
        <v>35</v>
      </c>
      <c r="V394" s="66" t="s">
        <v>35</v>
      </c>
      <c r="W394" s="66" t="s">
        <v>35</v>
      </c>
      <c r="X394" s="66" t="s">
        <v>175</v>
      </c>
      <c r="Y394" s="66" t="s">
        <v>36</v>
      </c>
      <c r="Z394" s="66"/>
      <c r="AA394" s="66"/>
      <c r="AB394" s="67"/>
      <c r="AC394" s="87">
        <f t="shared" si="18"/>
        <v>0.61111111111111116</v>
      </c>
      <c r="AD394" s="91">
        <v>3</v>
      </c>
      <c r="AE394" s="105" t="s">
        <v>1783</v>
      </c>
      <c r="AF394">
        <f t="shared" si="20"/>
        <v>0</v>
      </c>
      <c r="AG394">
        <f t="shared" si="19"/>
        <v>0</v>
      </c>
    </row>
    <row r="395" spans="1:33" x14ac:dyDescent="0.3">
      <c r="A395" s="84" t="s">
        <v>525</v>
      </c>
      <c r="B395" s="93" t="s">
        <v>25</v>
      </c>
      <c r="C395" s="93" t="s">
        <v>477</v>
      </c>
      <c r="D395" s="33" t="s">
        <v>1775</v>
      </c>
      <c r="E395" s="34" t="s">
        <v>526</v>
      </c>
      <c r="F395" s="34" t="s">
        <v>527</v>
      </c>
      <c r="G395" s="34" t="s">
        <v>29</v>
      </c>
      <c r="H395" s="37">
        <v>1</v>
      </c>
      <c r="I395" s="34" t="s">
        <v>30</v>
      </c>
      <c r="J395" s="34" t="s">
        <v>31</v>
      </c>
      <c r="K395" s="34" t="s">
        <v>32</v>
      </c>
      <c r="L395" s="34" t="s">
        <v>1755</v>
      </c>
      <c r="M395" s="34" t="s">
        <v>33</v>
      </c>
      <c r="N395" s="47">
        <v>7</v>
      </c>
      <c r="O395" s="48">
        <v>2</v>
      </c>
      <c r="P395" s="49">
        <v>22</v>
      </c>
      <c r="Q395" s="50">
        <v>15.8318727</v>
      </c>
      <c r="R395" s="50">
        <v>-96.3176232</v>
      </c>
      <c r="S395" s="66" t="s">
        <v>34</v>
      </c>
      <c r="T395" s="66"/>
      <c r="U395" s="66" t="s">
        <v>176</v>
      </c>
      <c r="V395" s="66" t="s">
        <v>176</v>
      </c>
      <c r="W395" s="66"/>
      <c r="X395" s="66"/>
      <c r="Y395" s="66" t="s">
        <v>36</v>
      </c>
      <c r="Z395" s="66"/>
      <c r="AA395" s="66"/>
      <c r="AB395" s="67"/>
      <c r="AC395" s="87">
        <f t="shared" si="18"/>
        <v>0.29629629629629628</v>
      </c>
      <c r="AD395" s="91">
        <v>3</v>
      </c>
      <c r="AE395" s="105" t="s">
        <v>1783</v>
      </c>
      <c r="AF395">
        <f t="shared" si="20"/>
        <v>0</v>
      </c>
      <c r="AG395">
        <f t="shared" si="19"/>
        <v>0</v>
      </c>
    </row>
    <row r="396" spans="1:33" x14ac:dyDescent="0.3">
      <c r="A396" s="84" t="s">
        <v>528</v>
      </c>
      <c r="B396" s="93" t="s">
        <v>25</v>
      </c>
      <c r="C396" s="93" t="s">
        <v>477</v>
      </c>
      <c r="D396" s="33" t="s">
        <v>1775</v>
      </c>
      <c r="E396" s="34" t="s">
        <v>529</v>
      </c>
      <c r="F396" s="34" t="s">
        <v>530</v>
      </c>
      <c r="G396" s="34" t="s">
        <v>29</v>
      </c>
      <c r="H396" s="37">
        <v>1</v>
      </c>
      <c r="I396" s="34" t="s">
        <v>30</v>
      </c>
      <c r="J396" s="34" t="s">
        <v>31</v>
      </c>
      <c r="K396" s="34" t="s">
        <v>32</v>
      </c>
      <c r="L396" s="34" t="s">
        <v>1755</v>
      </c>
      <c r="M396" s="34" t="s">
        <v>33</v>
      </c>
      <c r="N396" s="47">
        <v>7</v>
      </c>
      <c r="O396" s="48">
        <v>2</v>
      </c>
      <c r="P396" s="49">
        <v>25</v>
      </c>
      <c r="Q396" s="50">
        <v>16.018833699999998</v>
      </c>
      <c r="R396" s="50">
        <v>-95.666330200000004</v>
      </c>
      <c r="S396" s="66" t="s">
        <v>34</v>
      </c>
      <c r="T396" s="66"/>
      <c r="U396" s="66" t="s">
        <v>176</v>
      </c>
      <c r="V396" s="66" t="s">
        <v>176</v>
      </c>
      <c r="W396" s="66"/>
      <c r="X396" s="66"/>
      <c r="Y396" s="66" t="s">
        <v>36</v>
      </c>
      <c r="Z396" s="66"/>
      <c r="AA396" s="66"/>
      <c r="AB396" s="67"/>
      <c r="AC396" s="87">
        <f t="shared" si="18"/>
        <v>0.29629629629629628</v>
      </c>
      <c r="AD396" s="91">
        <v>3</v>
      </c>
      <c r="AE396" s="105" t="s">
        <v>1783</v>
      </c>
      <c r="AF396">
        <f t="shared" si="20"/>
        <v>0</v>
      </c>
      <c r="AG396">
        <f t="shared" si="19"/>
        <v>0</v>
      </c>
    </row>
    <row r="397" spans="1:33" x14ac:dyDescent="0.3">
      <c r="A397" s="84" t="s">
        <v>1577</v>
      </c>
      <c r="B397" s="93" t="s">
        <v>25</v>
      </c>
      <c r="C397" s="93" t="s">
        <v>477</v>
      </c>
      <c r="D397" s="33" t="s">
        <v>1775</v>
      </c>
      <c r="E397" s="34" t="s">
        <v>1551</v>
      </c>
      <c r="F397" s="34" t="s">
        <v>1578</v>
      </c>
      <c r="G397" s="34" t="s">
        <v>164</v>
      </c>
      <c r="H397" s="37">
        <v>2</v>
      </c>
      <c r="I397" s="34" t="s">
        <v>112</v>
      </c>
      <c r="J397" s="34" t="s">
        <v>31</v>
      </c>
      <c r="K397" s="34" t="s">
        <v>32</v>
      </c>
      <c r="L397" s="34" t="s">
        <v>1755</v>
      </c>
      <c r="M397" s="34" t="s">
        <v>33</v>
      </c>
      <c r="N397" s="47">
        <v>2</v>
      </c>
      <c r="O397" s="48">
        <v>0</v>
      </c>
      <c r="P397" s="49">
        <v>0</v>
      </c>
      <c r="Q397" s="50">
        <v>16.912372000000001</v>
      </c>
      <c r="R397" s="50">
        <v>-96.722317000000004</v>
      </c>
      <c r="S397" s="66" t="s">
        <v>34</v>
      </c>
      <c r="T397" s="66"/>
      <c r="U397" s="66" t="s">
        <v>35</v>
      </c>
      <c r="V397" s="66" t="s">
        <v>35</v>
      </c>
      <c r="W397" s="66" t="s">
        <v>35</v>
      </c>
      <c r="X397" s="66" t="s">
        <v>35</v>
      </c>
      <c r="Y397" s="66" t="s">
        <v>36</v>
      </c>
      <c r="Z397" s="66"/>
      <c r="AA397" s="66"/>
      <c r="AB397" s="67" t="s">
        <v>1814</v>
      </c>
      <c r="AC397" s="87">
        <f t="shared" si="18"/>
        <v>0.66666666666666663</v>
      </c>
      <c r="AD397" s="91">
        <v>3</v>
      </c>
      <c r="AE397" s="105" t="s">
        <v>1835</v>
      </c>
      <c r="AF397">
        <f t="shared" si="20"/>
        <v>0</v>
      </c>
      <c r="AG397">
        <f t="shared" si="19"/>
        <v>0</v>
      </c>
    </row>
    <row r="398" spans="1:33" x14ac:dyDescent="0.3">
      <c r="A398" s="84" t="s">
        <v>531</v>
      </c>
      <c r="B398" s="93" t="s">
        <v>25</v>
      </c>
      <c r="C398" s="93" t="s">
        <v>477</v>
      </c>
      <c r="D398" s="33" t="s">
        <v>1775</v>
      </c>
      <c r="E398" s="34" t="s">
        <v>532</v>
      </c>
      <c r="F398" s="34" t="s">
        <v>533</v>
      </c>
      <c r="G398" s="34" t="s">
        <v>29</v>
      </c>
      <c r="H398" s="37">
        <v>1</v>
      </c>
      <c r="I398" s="34" t="s">
        <v>30</v>
      </c>
      <c r="J398" s="34" t="s">
        <v>31</v>
      </c>
      <c r="K398" s="34" t="s">
        <v>32</v>
      </c>
      <c r="L398" s="34" t="s">
        <v>1755</v>
      </c>
      <c r="M398" s="34" t="s">
        <v>33</v>
      </c>
      <c r="N398" s="47">
        <v>0</v>
      </c>
      <c r="O398" s="48">
        <v>0</v>
      </c>
      <c r="P398" s="49">
        <v>0</v>
      </c>
      <c r="Q398" s="50">
        <v>17.3265268</v>
      </c>
      <c r="R398" s="50">
        <v>-96.490165599999997</v>
      </c>
      <c r="S398" s="66" t="s">
        <v>34</v>
      </c>
      <c r="T398" s="66"/>
      <c r="U398" s="66" t="s">
        <v>35</v>
      </c>
      <c r="V398" s="66" t="s">
        <v>35</v>
      </c>
      <c r="W398" s="66" t="s">
        <v>35</v>
      </c>
      <c r="X398" s="66" t="s">
        <v>35</v>
      </c>
      <c r="Y398" s="66" t="s">
        <v>36</v>
      </c>
      <c r="Z398" s="66"/>
      <c r="AA398" s="66"/>
      <c r="AB398" s="67"/>
      <c r="AC398" s="87">
        <f t="shared" si="18"/>
        <v>0.66666666666666663</v>
      </c>
      <c r="AD398" s="91">
        <v>3</v>
      </c>
      <c r="AE398" s="105" t="s">
        <v>1783</v>
      </c>
      <c r="AF398">
        <f t="shared" si="20"/>
        <v>0</v>
      </c>
      <c r="AG398">
        <f t="shared" si="19"/>
        <v>0</v>
      </c>
    </row>
    <row r="399" spans="1:33" x14ac:dyDescent="0.3">
      <c r="A399" s="84" t="s">
        <v>541</v>
      </c>
      <c r="B399" s="93" t="s">
        <v>25</v>
      </c>
      <c r="C399" s="93" t="s">
        <v>535</v>
      </c>
      <c r="D399" s="33" t="s">
        <v>1775</v>
      </c>
      <c r="E399" s="34" t="s">
        <v>542</v>
      </c>
      <c r="F399" s="34" t="s">
        <v>543</v>
      </c>
      <c r="G399" s="34" t="s">
        <v>29</v>
      </c>
      <c r="H399" s="37">
        <v>1</v>
      </c>
      <c r="I399" s="34" t="s">
        <v>30</v>
      </c>
      <c r="J399" s="34" t="s">
        <v>31</v>
      </c>
      <c r="K399" s="34" t="s">
        <v>32</v>
      </c>
      <c r="L399" s="34" t="s">
        <v>1755</v>
      </c>
      <c r="M399" s="34" t="s">
        <v>33</v>
      </c>
      <c r="N399" s="47">
        <v>7</v>
      </c>
      <c r="O399" s="48">
        <v>2</v>
      </c>
      <c r="P399" s="49">
        <v>23</v>
      </c>
      <c r="Q399" s="50">
        <v>18.268096799999999</v>
      </c>
      <c r="R399" s="50">
        <v>-97.157081899999994</v>
      </c>
      <c r="S399" s="66" t="s">
        <v>34</v>
      </c>
      <c r="T399" s="66" t="s">
        <v>175</v>
      </c>
      <c r="U399" s="66" t="s">
        <v>213</v>
      </c>
      <c r="V399" s="66" t="s">
        <v>213</v>
      </c>
      <c r="W399" s="66" t="s">
        <v>175</v>
      </c>
      <c r="X399" s="66" t="s">
        <v>175</v>
      </c>
      <c r="Y399" s="66" t="s">
        <v>1799</v>
      </c>
      <c r="Z399" s="66"/>
      <c r="AA399" s="66"/>
      <c r="AB399" s="67"/>
      <c r="AC399" s="87">
        <f t="shared" si="18"/>
        <v>0.48148148148148145</v>
      </c>
      <c r="AD399" s="91">
        <v>5</v>
      </c>
      <c r="AE399" s="105" t="s">
        <v>1843</v>
      </c>
      <c r="AF399">
        <f t="shared" si="20"/>
        <v>0</v>
      </c>
      <c r="AG399">
        <f t="shared" si="19"/>
        <v>0</v>
      </c>
    </row>
    <row r="400" spans="1:33" x14ac:dyDescent="0.3">
      <c r="A400" s="84" t="s">
        <v>556</v>
      </c>
      <c r="B400" s="93" t="s">
        <v>25</v>
      </c>
      <c r="C400" s="93" t="s">
        <v>535</v>
      </c>
      <c r="D400" s="33" t="s">
        <v>1775</v>
      </c>
      <c r="E400" s="34" t="s">
        <v>557</v>
      </c>
      <c r="F400" s="34" t="s">
        <v>558</v>
      </c>
      <c r="G400" s="34" t="s">
        <v>29</v>
      </c>
      <c r="H400" s="37">
        <v>1</v>
      </c>
      <c r="I400" s="34" t="s">
        <v>30</v>
      </c>
      <c r="J400" s="34" t="s">
        <v>31</v>
      </c>
      <c r="K400" s="34" t="s">
        <v>32</v>
      </c>
      <c r="L400" s="34" t="s">
        <v>1755</v>
      </c>
      <c r="M400" s="34" t="s">
        <v>33</v>
      </c>
      <c r="N400" s="47">
        <v>10</v>
      </c>
      <c r="O400" s="48">
        <v>2</v>
      </c>
      <c r="P400" s="49">
        <v>46</v>
      </c>
      <c r="Q400" s="50">
        <v>19.2681702</v>
      </c>
      <c r="R400" s="50">
        <v>-98.434539999999998</v>
      </c>
      <c r="S400" s="66" t="s">
        <v>34</v>
      </c>
      <c r="T400" s="66" t="s">
        <v>175</v>
      </c>
      <c r="U400" s="66" t="s">
        <v>213</v>
      </c>
      <c r="V400" s="66" t="s">
        <v>213</v>
      </c>
      <c r="W400" s="66" t="s">
        <v>175</v>
      </c>
      <c r="X400" s="66" t="s">
        <v>175</v>
      </c>
      <c r="Y400" s="66" t="s">
        <v>1799</v>
      </c>
      <c r="Z400" s="66"/>
      <c r="AA400" s="66"/>
      <c r="AB400" s="67"/>
      <c r="AC400" s="87">
        <f t="shared" si="18"/>
        <v>0.48148148148148145</v>
      </c>
      <c r="AD400" s="91">
        <v>5</v>
      </c>
      <c r="AE400" s="105" t="s">
        <v>1843</v>
      </c>
      <c r="AF400">
        <f t="shared" si="20"/>
        <v>0</v>
      </c>
      <c r="AG400">
        <f t="shared" si="19"/>
        <v>0</v>
      </c>
    </row>
    <row r="401" spans="1:33" x14ac:dyDescent="0.3">
      <c r="A401" s="84" t="s">
        <v>559</v>
      </c>
      <c r="B401" s="93" t="s">
        <v>25</v>
      </c>
      <c r="C401" s="93" t="s">
        <v>535</v>
      </c>
      <c r="D401" s="33" t="s">
        <v>1775</v>
      </c>
      <c r="E401" s="34" t="s">
        <v>560</v>
      </c>
      <c r="F401" s="34" t="s">
        <v>561</v>
      </c>
      <c r="G401" s="34" t="s">
        <v>29</v>
      </c>
      <c r="H401" s="37">
        <v>1</v>
      </c>
      <c r="I401" s="34" t="s">
        <v>30</v>
      </c>
      <c r="J401" s="34" t="s">
        <v>31</v>
      </c>
      <c r="K401" s="34" t="s">
        <v>32</v>
      </c>
      <c r="L401" s="34" t="s">
        <v>1755</v>
      </c>
      <c r="M401" s="34" t="s">
        <v>33</v>
      </c>
      <c r="N401" s="47">
        <v>9</v>
      </c>
      <c r="O401" s="48">
        <v>2</v>
      </c>
      <c r="P401" s="49">
        <v>38</v>
      </c>
      <c r="Q401" s="50">
        <v>18.1173863</v>
      </c>
      <c r="R401" s="50">
        <v>-98.313500899999994</v>
      </c>
      <c r="S401" s="66" t="s">
        <v>34</v>
      </c>
      <c r="T401" s="66" t="s">
        <v>175</v>
      </c>
      <c r="U401" s="66" t="s">
        <v>213</v>
      </c>
      <c r="V401" s="66" t="s">
        <v>213</v>
      </c>
      <c r="W401" s="66" t="s">
        <v>175</v>
      </c>
      <c r="X401" s="66" t="s">
        <v>175</v>
      </c>
      <c r="Y401" s="66" t="s">
        <v>1799</v>
      </c>
      <c r="Z401" s="66"/>
      <c r="AA401" s="66"/>
      <c r="AB401" s="67"/>
      <c r="AC401" s="87">
        <f t="shared" si="18"/>
        <v>0.48148148148148145</v>
      </c>
      <c r="AD401" s="91">
        <v>5</v>
      </c>
      <c r="AE401" s="105" t="s">
        <v>1843</v>
      </c>
      <c r="AF401">
        <f t="shared" si="20"/>
        <v>0</v>
      </c>
      <c r="AG401">
        <f t="shared" si="19"/>
        <v>0</v>
      </c>
    </row>
    <row r="402" spans="1:33" x14ac:dyDescent="0.3">
      <c r="A402" s="84" t="s">
        <v>562</v>
      </c>
      <c r="B402" s="93" t="s">
        <v>25</v>
      </c>
      <c r="C402" s="93" t="s">
        <v>535</v>
      </c>
      <c r="D402" s="33" t="s">
        <v>1775</v>
      </c>
      <c r="E402" s="34" t="s">
        <v>563</v>
      </c>
      <c r="F402" s="34" t="s">
        <v>564</v>
      </c>
      <c r="G402" s="34" t="s">
        <v>29</v>
      </c>
      <c r="H402" s="37">
        <v>1</v>
      </c>
      <c r="I402" s="34" t="s">
        <v>30</v>
      </c>
      <c r="J402" s="34" t="s">
        <v>31</v>
      </c>
      <c r="K402" s="34" t="s">
        <v>32</v>
      </c>
      <c r="L402" s="34" t="s">
        <v>1755</v>
      </c>
      <c r="M402" s="34" t="s">
        <v>33</v>
      </c>
      <c r="N402" s="47">
        <v>12</v>
      </c>
      <c r="O402" s="48">
        <v>2</v>
      </c>
      <c r="P402" s="49">
        <v>23</v>
      </c>
      <c r="Q402" s="50">
        <v>18.035221499999999</v>
      </c>
      <c r="R402" s="50">
        <v>-98.445998900000006</v>
      </c>
      <c r="S402" s="66" t="s">
        <v>34</v>
      </c>
      <c r="T402" s="66" t="s">
        <v>175</v>
      </c>
      <c r="U402" s="66" t="s">
        <v>213</v>
      </c>
      <c r="V402" s="66" t="s">
        <v>213</v>
      </c>
      <c r="W402" s="66" t="s">
        <v>175</v>
      </c>
      <c r="X402" s="66" t="s">
        <v>175</v>
      </c>
      <c r="Y402" s="66" t="s">
        <v>1799</v>
      </c>
      <c r="Z402" s="66"/>
      <c r="AA402" s="66"/>
      <c r="AB402" s="67"/>
      <c r="AC402" s="87">
        <f t="shared" si="18"/>
        <v>0.48148148148148145</v>
      </c>
      <c r="AD402" s="91">
        <v>5</v>
      </c>
      <c r="AE402" s="105" t="s">
        <v>1843</v>
      </c>
      <c r="AF402">
        <f t="shared" si="20"/>
        <v>0</v>
      </c>
      <c r="AG402">
        <f t="shared" si="19"/>
        <v>0</v>
      </c>
    </row>
    <row r="403" spans="1:33" x14ac:dyDescent="0.3">
      <c r="A403" s="84" t="s">
        <v>577</v>
      </c>
      <c r="B403" s="93" t="s">
        <v>25</v>
      </c>
      <c r="C403" s="93" t="s">
        <v>535</v>
      </c>
      <c r="D403" s="33" t="s">
        <v>1775</v>
      </c>
      <c r="E403" s="34" t="s">
        <v>578</v>
      </c>
      <c r="F403" s="34" t="s">
        <v>579</v>
      </c>
      <c r="G403" s="34" t="s">
        <v>29</v>
      </c>
      <c r="H403" s="37">
        <v>1</v>
      </c>
      <c r="I403" s="34" t="s">
        <v>30</v>
      </c>
      <c r="J403" s="34" t="s">
        <v>31</v>
      </c>
      <c r="K403" s="34" t="s">
        <v>32</v>
      </c>
      <c r="L403" s="34" t="s">
        <v>1755</v>
      </c>
      <c r="M403" s="34" t="s">
        <v>33</v>
      </c>
      <c r="N403" s="47">
        <v>7</v>
      </c>
      <c r="O403" s="48">
        <v>2</v>
      </c>
      <c r="P403" s="49">
        <v>24</v>
      </c>
      <c r="Q403" s="50">
        <v>18.379176000000001</v>
      </c>
      <c r="R403" s="50">
        <v>-97.274599199999997</v>
      </c>
      <c r="S403" s="66" t="s">
        <v>34</v>
      </c>
      <c r="T403" s="66" t="s">
        <v>175</v>
      </c>
      <c r="U403" s="66" t="s">
        <v>213</v>
      </c>
      <c r="V403" s="66" t="s">
        <v>213</v>
      </c>
      <c r="W403" s="66" t="s">
        <v>175</v>
      </c>
      <c r="X403" s="66" t="s">
        <v>175</v>
      </c>
      <c r="Y403" s="66" t="s">
        <v>1799</v>
      </c>
      <c r="Z403" s="66"/>
      <c r="AA403" s="66"/>
      <c r="AB403" s="67"/>
      <c r="AC403" s="87">
        <f t="shared" si="18"/>
        <v>0.48148148148148145</v>
      </c>
      <c r="AD403" s="91">
        <v>5</v>
      </c>
      <c r="AE403" s="105" t="s">
        <v>1843</v>
      </c>
      <c r="AF403">
        <f t="shared" si="20"/>
        <v>0</v>
      </c>
      <c r="AG403">
        <f t="shared" si="19"/>
        <v>0</v>
      </c>
    </row>
    <row r="404" spans="1:33" x14ac:dyDescent="0.3">
      <c r="A404" s="84" t="s">
        <v>580</v>
      </c>
      <c r="B404" s="93" t="s">
        <v>25</v>
      </c>
      <c r="C404" s="93" t="s">
        <v>535</v>
      </c>
      <c r="D404" s="33" t="s">
        <v>1775</v>
      </c>
      <c r="E404" s="34" t="s">
        <v>581</v>
      </c>
      <c r="F404" s="34" t="s">
        <v>582</v>
      </c>
      <c r="G404" s="34" t="s">
        <v>29</v>
      </c>
      <c r="H404" s="37">
        <v>1</v>
      </c>
      <c r="I404" s="34" t="s">
        <v>30</v>
      </c>
      <c r="J404" s="34" t="s">
        <v>31</v>
      </c>
      <c r="K404" s="34" t="s">
        <v>32</v>
      </c>
      <c r="L404" s="34" t="s">
        <v>1755</v>
      </c>
      <c r="M404" s="34" t="s">
        <v>84</v>
      </c>
      <c r="N404" s="47">
        <v>7</v>
      </c>
      <c r="O404" s="48">
        <v>2</v>
      </c>
      <c r="P404" s="49">
        <v>30</v>
      </c>
      <c r="Q404" s="50">
        <v>18.655071</v>
      </c>
      <c r="R404" s="50">
        <v>-97.631644100000003</v>
      </c>
      <c r="S404" s="66" t="s">
        <v>34</v>
      </c>
      <c r="T404" s="66" t="s">
        <v>175</v>
      </c>
      <c r="U404" s="66" t="s">
        <v>213</v>
      </c>
      <c r="V404" s="66" t="s">
        <v>213</v>
      </c>
      <c r="W404" s="66" t="s">
        <v>175</v>
      </c>
      <c r="X404" s="66" t="s">
        <v>175</v>
      </c>
      <c r="Y404" s="66" t="s">
        <v>1799</v>
      </c>
      <c r="Z404" s="66"/>
      <c r="AA404" s="66"/>
      <c r="AB404" s="67"/>
      <c r="AC404" s="87">
        <f t="shared" si="18"/>
        <v>0.48148148148148145</v>
      </c>
      <c r="AD404" s="91">
        <v>5</v>
      </c>
      <c r="AE404" s="105" t="s">
        <v>1843</v>
      </c>
      <c r="AF404">
        <f t="shared" si="20"/>
        <v>0</v>
      </c>
      <c r="AG404">
        <f t="shared" si="19"/>
        <v>0</v>
      </c>
    </row>
    <row r="405" spans="1:33" x14ac:dyDescent="0.3">
      <c r="A405" s="84" t="s">
        <v>1249</v>
      </c>
      <c r="B405" s="93" t="s">
        <v>25</v>
      </c>
      <c r="C405" s="93" t="s">
        <v>535</v>
      </c>
      <c r="D405" s="33" t="s">
        <v>1775</v>
      </c>
      <c r="E405" s="34" t="s">
        <v>1250</v>
      </c>
      <c r="F405" s="34" t="s">
        <v>1251</v>
      </c>
      <c r="G405" s="34" t="s">
        <v>111</v>
      </c>
      <c r="H405" s="37">
        <v>1</v>
      </c>
      <c r="I405" s="34" t="s">
        <v>112</v>
      </c>
      <c r="J405" s="34" t="s">
        <v>31</v>
      </c>
      <c r="K405" s="34" t="s">
        <v>32</v>
      </c>
      <c r="L405" s="34" t="s">
        <v>1755</v>
      </c>
      <c r="M405" s="34" t="s">
        <v>33</v>
      </c>
      <c r="N405" s="47">
        <v>34</v>
      </c>
      <c r="O405" s="48">
        <v>10</v>
      </c>
      <c r="P405" s="49">
        <v>192</v>
      </c>
      <c r="Q405" s="50">
        <v>19.016862100000001</v>
      </c>
      <c r="R405" s="50">
        <v>-98.265913800000007</v>
      </c>
      <c r="S405" s="66" t="s">
        <v>34</v>
      </c>
      <c r="T405" s="66" t="s">
        <v>175</v>
      </c>
      <c r="U405" s="66" t="s">
        <v>213</v>
      </c>
      <c r="V405" s="66" t="s">
        <v>213</v>
      </c>
      <c r="W405" s="66" t="s">
        <v>175</v>
      </c>
      <c r="X405" s="66" t="s">
        <v>175</v>
      </c>
      <c r="Y405" s="66" t="s">
        <v>1799</v>
      </c>
      <c r="Z405" s="66"/>
      <c r="AA405" s="66"/>
      <c r="AB405" s="67"/>
      <c r="AC405" s="87">
        <f t="shared" si="18"/>
        <v>0.48148148148148145</v>
      </c>
      <c r="AD405" s="91">
        <v>5</v>
      </c>
      <c r="AE405" s="105" t="s">
        <v>1843</v>
      </c>
      <c r="AF405">
        <f t="shared" si="20"/>
        <v>0</v>
      </c>
      <c r="AG405">
        <f t="shared" si="19"/>
        <v>0</v>
      </c>
    </row>
    <row r="406" spans="1:33" x14ac:dyDescent="0.3">
      <c r="A406" s="84" t="s">
        <v>1644</v>
      </c>
      <c r="B406" s="93" t="s">
        <v>25</v>
      </c>
      <c r="C406" s="93" t="s">
        <v>535</v>
      </c>
      <c r="D406" s="33" t="s">
        <v>1775</v>
      </c>
      <c r="E406" s="34" t="s">
        <v>1250</v>
      </c>
      <c r="F406" s="34" t="s">
        <v>1645</v>
      </c>
      <c r="G406" s="34" t="s">
        <v>941</v>
      </c>
      <c r="H406" s="37">
        <v>2</v>
      </c>
      <c r="I406" s="34" t="s">
        <v>155</v>
      </c>
      <c r="J406" s="34" t="s">
        <v>31</v>
      </c>
      <c r="K406" s="34" t="s">
        <v>32</v>
      </c>
      <c r="L406" s="34" t="s">
        <v>1756</v>
      </c>
      <c r="M406" s="34" t="s">
        <v>33</v>
      </c>
      <c r="N406" s="47">
        <v>47</v>
      </c>
      <c r="O406" s="48">
        <v>7</v>
      </c>
      <c r="P406" s="49">
        <v>246</v>
      </c>
      <c r="Q406" s="50">
        <v>19.035013200000002</v>
      </c>
      <c r="R406" s="50">
        <v>-98.244393900000006</v>
      </c>
      <c r="S406" s="66" t="s">
        <v>34</v>
      </c>
      <c r="T406" s="66" t="s">
        <v>175</v>
      </c>
      <c r="U406" s="66" t="s">
        <v>213</v>
      </c>
      <c r="V406" s="66" t="s">
        <v>213</v>
      </c>
      <c r="W406" s="66" t="s">
        <v>175</v>
      </c>
      <c r="X406" s="66" t="s">
        <v>175</v>
      </c>
      <c r="Y406" s="66" t="s">
        <v>1799</v>
      </c>
      <c r="Z406" s="66"/>
      <c r="AA406" s="66"/>
      <c r="AB406" s="67"/>
      <c r="AC406" s="87">
        <f t="shared" si="18"/>
        <v>0.48148148148148145</v>
      </c>
      <c r="AD406" s="91">
        <v>5</v>
      </c>
      <c r="AE406" s="105" t="s">
        <v>1843</v>
      </c>
      <c r="AF406">
        <f t="shared" si="20"/>
        <v>0</v>
      </c>
      <c r="AG406">
        <f t="shared" si="19"/>
        <v>0</v>
      </c>
    </row>
    <row r="407" spans="1:33" x14ac:dyDescent="0.3">
      <c r="A407" s="84" t="s">
        <v>1269</v>
      </c>
      <c r="B407" s="93" t="s">
        <v>25</v>
      </c>
      <c r="C407" s="93" t="s">
        <v>535</v>
      </c>
      <c r="D407" s="33" t="s">
        <v>1775</v>
      </c>
      <c r="E407" s="34" t="s">
        <v>535</v>
      </c>
      <c r="F407" s="34" t="s">
        <v>1270</v>
      </c>
      <c r="G407" s="34" t="s">
        <v>111</v>
      </c>
      <c r="H407" s="37">
        <v>1</v>
      </c>
      <c r="I407" s="34" t="s">
        <v>112</v>
      </c>
      <c r="J407" s="34" t="s">
        <v>31</v>
      </c>
      <c r="K407" s="34" t="s">
        <v>32</v>
      </c>
      <c r="L407" s="34" t="s">
        <v>1755</v>
      </c>
      <c r="M407" s="34" t="s">
        <v>33</v>
      </c>
      <c r="N407" s="47">
        <v>37</v>
      </c>
      <c r="O407" s="48">
        <v>9</v>
      </c>
      <c r="P407" s="49">
        <v>206</v>
      </c>
      <c r="Q407" s="50">
        <v>19.079308000000001</v>
      </c>
      <c r="R407" s="50">
        <v>-98.185216600000004</v>
      </c>
      <c r="S407" s="66" t="s">
        <v>34</v>
      </c>
      <c r="T407" s="66" t="s">
        <v>175</v>
      </c>
      <c r="U407" s="66" t="s">
        <v>213</v>
      </c>
      <c r="V407" s="66" t="s">
        <v>213</v>
      </c>
      <c r="W407" s="66" t="s">
        <v>175</v>
      </c>
      <c r="X407" s="66" t="s">
        <v>175</v>
      </c>
      <c r="Y407" s="66" t="s">
        <v>1799</v>
      </c>
      <c r="Z407" s="66"/>
      <c r="AA407" s="66"/>
      <c r="AB407" s="67"/>
      <c r="AC407" s="87">
        <f t="shared" si="18"/>
        <v>0.48148148148148145</v>
      </c>
      <c r="AD407" s="91">
        <v>5</v>
      </c>
      <c r="AE407" s="105" t="s">
        <v>1843</v>
      </c>
      <c r="AF407">
        <f t="shared" si="20"/>
        <v>0</v>
      </c>
      <c r="AG407">
        <f t="shared" si="19"/>
        <v>0</v>
      </c>
    </row>
    <row r="408" spans="1:33" x14ac:dyDescent="0.3">
      <c r="A408" s="84" t="s">
        <v>612</v>
      </c>
      <c r="B408" s="93" t="s">
        <v>25</v>
      </c>
      <c r="C408" s="93" t="s">
        <v>535</v>
      </c>
      <c r="D408" s="33" t="s">
        <v>1775</v>
      </c>
      <c r="E408" s="34" t="s">
        <v>613</v>
      </c>
      <c r="F408" s="34" t="s">
        <v>614</v>
      </c>
      <c r="G408" s="34" t="s">
        <v>29</v>
      </c>
      <c r="H408" s="37">
        <v>1</v>
      </c>
      <c r="I408" s="34" t="s">
        <v>30</v>
      </c>
      <c r="J408" s="34" t="s">
        <v>31</v>
      </c>
      <c r="K408" s="34" t="s">
        <v>32</v>
      </c>
      <c r="L408" s="34" t="s">
        <v>1755</v>
      </c>
      <c r="M408" s="34" t="s">
        <v>33</v>
      </c>
      <c r="N408" s="47">
        <v>6</v>
      </c>
      <c r="O408" s="48">
        <v>2</v>
      </c>
      <c r="P408" s="49">
        <v>19</v>
      </c>
      <c r="Q408" s="50">
        <v>18.451055799999999</v>
      </c>
      <c r="R408" s="50">
        <v>-97.832876900000002</v>
      </c>
      <c r="S408" s="66" t="s">
        <v>34</v>
      </c>
      <c r="T408" s="66" t="s">
        <v>175</v>
      </c>
      <c r="U408" s="66" t="s">
        <v>213</v>
      </c>
      <c r="V408" s="66" t="s">
        <v>213</v>
      </c>
      <c r="W408" s="66" t="s">
        <v>175</v>
      </c>
      <c r="X408" s="66" t="s">
        <v>175</v>
      </c>
      <c r="Y408" s="66" t="s">
        <v>1799</v>
      </c>
      <c r="Z408" s="66"/>
      <c r="AA408" s="66"/>
      <c r="AB408" s="67"/>
      <c r="AC408" s="87">
        <f t="shared" si="18"/>
        <v>0.48148148148148145</v>
      </c>
      <c r="AD408" s="91">
        <v>5</v>
      </c>
      <c r="AE408" s="105" t="s">
        <v>1843</v>
      </c>
      <c r="AF408">
        <f t="shared" si="20"/>
        <v>0</v>
      </c>
      <c r="AG408">
        <f t="shared" si="19"/>
        <v>0</v>
      </c>
    </row>
    <row r="409" spans="1:33" x14ac:dyDescent="0.3">
      <c r="A409" s="84" t="s">
        <v>1244</v>
      </c>
      <c r="B409" s="93" t="s">
        <v>25</v>
      </c>
      <c r="C409" s="93" t="s">
        <v>535</v>
      </c>
      <c r="D409" s="33" t="s">
        <v>1775</v>
      </c>
      <c r="E409" s="34" t="s">
        <v>535</v>
      </c>
      <c r="F409" s="34" t="s">
        <v>1245</v>
      </c>
      <c r="G409" s="34" t="s">
        <v>111</v>
      </c>
      <c r="H409" s="37">
        <v>1</v>
      </c>
      <c r="I409" s="34" t="s">
        <v>112</v>
      </c>
      <c r="J409" s="34" t="s">
        <v>31</v>
      </c>
      <c r="K409" s="34" t="s">
        <v>32</v>
      </c>
      <c r="L409" s="34" t="s">
        <v>1756</v>
      </c>
      <c r="M409" s="34" t="s">
        <v>33</v>
      </c>
      <c r="N409" s="47">
        <v>43</v>
      </c>
      <c r="O409" s="48">
        <v>6</v>
      </c>
      <c r="P409" s="49">
        <v>192</v>
      </c>
      <c r="Q409" s="50">
        <v>18.9862587</v>
      </c>
      <c r="R409" s="50">
        <v>-98.242134199999995</v>
      </c>
      <c r="S409" s="66" t="s">
        <v>34</v>
      </c>
      <c r="T409" s="66" t="s">
        <v>175</v>
      </c>
      <c r="U409" s="66" t="s">
        <v>213</v>
      </c>
      <c r="V409" s="66" t="s">
        <v>213</v>
      </c>
      <c r="W409" s="66" t="s">
        <v>175</v>
      </c>
      <c r="X409" s="66" t="s">
        <v>175</v>
      </c>
      <c r="Y409" s="66" t="s">
        <v>1799</v>
      </c>
      <c r="Z409" s="66"/>
      <c r="AA409" s="66"/>
      <c r="AB409" s="67"/>
      <c r="AC409" s="87">
        <f t="shared" si="18"/>
        <v>0.48148148148148145</v>
      </c>
      <c r="AD409" s="91">
        <v>5</v>
      </c>
      <c r="AE409" s="105" t="s">
        <v>1843</v>
      </c>
      <c r="AF409">
        <f t="shared" si="20"/>
        <v>0</v>
      </c>
      <c r="AG409">
        <f t="shared" si="19"/>
        <v>0</v>
      </c>
    </row>
    <row r="410" spans="1:33" x14ac:dyDescent="0.3">
      <c r="A410" s="84" t="s">
        <v>1696</v>
      </c>
      <c r="B410" s="93" t="s">
        <v>25</v>
      </c>
      <c r="C410" s="93" t="s">
        <v>535</v>
      </c>
      <c r="D410" s="33" t="s">
        <v>1775</v>
      </c>
      <c r="E410" s="34" t="s">
        <v>535</v>
      </c>
      <c r="F410" s="34" t="s">
        <v>1697</v>
      </c>
      <c r="G410" s="34" t="s">
        <v>169</v>
      </c>
      <c r="H410" s="37">
        <v>2</v>
      </c>
      <c r="I410" s="34" t="s">
        <v>170</v>
      </c>
      <c r="J410" s="34" t="s">
        <v>31</v>
      </c>
      <c r="K410" s="34" t="s">
        <v>32</v>
      </c>
      <c r="L410" s="34" t="s">
        <v>1755</v>
      </c>
      <c r="M410" s="34" t="s">
        <v>33</v>
      </c>
      <c r="N410" s="47">
        <v>19</v>
      </c>
      <c r="O410" s="48">
        <v>0</v>
      </c>
      <c r="P410" s="49">
        <v>256</v>
      </c>
      <c r="Q410" s="50">
        <v>18.988149100000001</v>
      </c>
      <c r="R410" s="50">
        <v>-98.182584800000001</v>
      </c>
      <c r="S410" s="66" t="s">
        <v>34</v>
      </c>
      <c r="T410" s="66" t="s">
        <v>175</v>
      </c>
      <c r="U410" s="66" t="s">
        <v>213</v>
      </c>
      <c r="V410" s="66" t="s">
        <v>213</v>
      </c>
      <c r="W410" s="66" t="s">
        <v>175</v>
      </c>
      <c r="X410" s="66" t="s">
        <v>175</v>
      </c>
      <c r="Y410" s="66" t="s">
        <v>1799</v>
      </c>
      <c r="Z410" s="66"/>
      <c r="AA410" s="66"/>
      <c r="AB410" s="67"/>
      <c r="AC410" s="87">
        <f t="shared" si="18"/>
        <v>0.48148148148148145</v>
      </c>
      <c r="AD410" s="91">
        <v>5</v>
      </c>
      <c r="AE410" s="105" t="s">
        <v>1843</v>
      </c>
      <c r="AF410">
        <f t="shared" si="20"/>
        <v>0</v>
      </c>
      <c r="AG410">
        <f t="shared" si="19"/>
        <v>0</v>
      </c>
    </row>
    <row r="411" spans="1:33" x14ac:dyDescent="0.3">
      <c r="A411" s="84" t="s">
        <v>1246</v>
      </c>
      <c r="B411" s="93" t="s">
        <v>25</v>
      </c>
      <c r="C411" s="93" t="s">
        <v>535</v>
      </c>
      <c r="D411" s="33" t="s">
        <v>1775</v>
      </c>
      <c r="E411" s="34" t="s">
        <v>1247</v>
      </c>
      <c r="F411" s="34" t="s">
        <v>1248</v>
      </c>
      <c r="G411" s="34" t="s">
        <v>111</v>
      </c>
      <c r="H411" s="37">
        <v>1</v>
      </c>
      <c r="I411" s="34" t="s">
        <v>112</v>
      </c>
      <c r="J411" s="34" t="s">
        <v>31</v>
      </c>
      <c r="K411" s="34" t="s">
        <v>32</v>
      </c>
      <c r="L411" s="34" t="s">
        <v>1755</v>
      </c>
      <c r="M411" s="34" t="s">
        <v>33</v>
      </c>
      <c r="N411" s="47">
        <v>19</v>
      </c>
      <c r="O411" s="48">
        <v>5</v>
      </c>
      <c r="P411" s="49">
        <v>162</v>
      </c>
      <c r="Q411" s="50">
        <v>18.4480425</v>
      </c>
      <c r="R411" s="50">
        <v>-97.419533000000001</v>
      </c>
      <c r="S411" s="66" t="s">
        <v>34</v>
      </c>
      <c r="T411" s="66" t="s">
        <v>175</v>
      </c>
      <c r="U411" s="66" t="s">
        <v>213</v>
      </c>
      <c r="V411" s="66" t="s">
        <v>213</v>
      </c>
      <c r="W411" s="66" t="s">
        <v>175</v>
      </c>
      <c r="X411" s="66" t="s">
        <v>175</v>
      </c>
      <c r="Y411" s="66" t="s">
        <v>1799</v>
      </c>
      <c r="Z411" s="66"/>
      <c r="AA411" s="66"/>
      <c r="AB411" s="67"/>
      <c r="AC411" s="87">
        <f t="shared" si="18"/>
        <v>0.48148148148148145</v>
      </c>
      <c r="AD411" s="91">
        <v>5</v>
      </c>
      <c r="AE411" s="105" t="s">
        <v>1843</v>
      </c>
      <c r="AF411">
        <f t="shared" si="20"/>
        <v>0</v>
      </c>
      <c r="AG411">
        <f t="shared" si="19"/>
        <v>0</v>
      </c>
    </row>
    <row r="412" spans="1:33" x14ac:dyDescent="0.3">
      <c r="A412" s="84" t="s">
        <v>568</v>
      </c>
      <c r="B412" s="93" t="s">
        <v>25</v>
      </c>
      <c r="C412" s="93" t="s">
        <v>535</v>
      </c>
      <c r="D412" s="33" t="s">
        <v>1775</v>
      </c>
      <c r="E412" s="34" t="s">
        <v>569</v>
      </c>
      <c r="F412" s="34" t="s">
        <v>570</v>
      </c>
      <c r="G412" s="34" t="s">
        <v>29</v>
      </c>
      <c r="H412" s="37">
        <v>1</v>
      </c>
      <c r="I412" s="34" t="s">
        <v>30</v>
      </c>
      <c r="J412" s="34" t="s">
        <v>31</v>
      </c>
      <c r="K412" s="34" t="s">
        <v>32</v>
      </c>
      <c r="L412" s="34" t="s">
        <v>1755</v>
      </c>
      <c r="M412" s="34" t="s">
        <v>33</v>
      </c>
      <c r="N412" s="47">
        <v>8</v>
      </c>
      <c r="O412" s="48">
        <v>2</v>
      </c>
      <c r="P412" s="49">
        <v>24</v>
      </c>
      <c r="Q412" s="50">
        <v>18.3380671</v>
      </c>
      <c r="R412" s="50">
        <v>-97.034808100000006</v>
      </c>
      <c r="S412" s="66" t="s">
        <v>34</v>
      </c>
      <c r="T412" s="66" t="s">
        <v>175</v>
      </c>
      <c r="U412" s="66" t="s">
        <v>213</v>
      </c>
      <c r="V412" s="66" t="s">
        <v>213</v>
      </c>
      <c r="W412" s="66" t="s">
        <v>175</v>
      </c>
      <c r="X412" s="66" t="s">
        <v>175</v>
      </c>
      <c r="Y412" s="66" t="s">
        <v>1799</v>
      </c>
      <c r="Z412" s="66"/>
      <c r="AA412" s="66"/>
      <c r="AB412" s="67"/>
      <c r="AC412" s="87">
        <f t="shared" si="18"/>
        <v>0.48148148148148145</v>
      </c>
      <c r="AD412" s="91">
        <v>5</v>
      </c>
      <c r="AE412" s="105" t="s">
        <v>1843</v>
      </c>
      <c r="AF412">
        <f t="shared" si="20"/>
        <v>0</v>
      </c>
      <c r="AG412">
        <f t="shared" si="19"/>
        <v>0</v>
      </c>
    </row>
    <row r="413" spans="1:33" x14ac:dyDescent="0.3">
      <c r="A413" s="84" t="s">
        <v>1568</v>
      </c>
      <c r="B413" s="93" t="s">
        <v>25</v>
      </c>
      <c r="C413" s="93" t="s">
        <v>535</v>
      </c>
      <c r="D413" s="33" t="s">
        <v>1775</v>
      </c>
      <c r="E413" s="34" t="s">
        <v>535</v>
      </c>
      <c r="F413" s="34" t="s">
        <v>1564</v>
      </c>
      <c r="G413" s="34" t="s">
        <v>164</v>
      </c>
      <c r="H413" s="37">
        <v>2</v>
      </c>
      <c r="I413" s="34" t="s">
        <v>155</v>
      </c>
      <c r="J413" s="34" t="s">
        <v>31</v>
      </c>
      <c r="K413" s="34" t="s">
        <v>32</v>
      </c>
      <c r="L413" s="34" t="s">
        <v>1755</v>
      </c>
      <c r="M413" s="34" t="s">
        <v>33</v>
      </c>
      <c r="N413" s="47">
        <v>18</v>
      </c>
      <c r="O413" s="48">
        <v>6</v>
      </c>
      <c r="P413" s="49">
        <v>98</v>
      </c>
      <c r="Q413" s="50">
        <v>18.986057200000001</v>
      </c>
      <c r="R413" s="50">
        <v>-98.240833499999994</v>
      </c>
      <c r="S413" s="66" t="s">
        <v>34</v>
      </c>
      <c r="T413" s="66" t="s">
        <v>175</v>
      </c>
      <c r="U413" s="66" t="s">
        <v>213</v>
      </c>
      <c r="V413" s="66" t="s">
        <v>213</v>
      </c>
      <c r="W413" s="66" t="s">
        <v>175</v>
      </c>
      <c r="X413" s="66" t="s">
        <v>175</v>
      </c>
      <c r="Y413" s="66" t="s">
        <v>1799</v>
      </c>
      <c r="Z413" s="66"/>
      <c r="AA413" s="66"/>
      <c r="AB413" s="67"/>
      <c r="AC413" s="87">
        <f t="shared" si="18"/>
        <v>0.48148148148148145</v>
      </c>
      <c r="AD413" s="91">
        <v>5</v>
      </c>
      <c r="AE413" s="105" t="s">
        <v>1843</v>
      </c>
      <c r="AF413">
        <f t="shared" si="20"/>
        <v>0</v>
      </c>
      <c r="AG413">
        <f t="shared" si="19"/>
        <v>0</v>
      </c>
    </row>
    <row r="414" spans="1:33" x14ac:dyDescent="0.3">
      <c r="A414" s="84" t="s">
        <v>586</v>
      </c>
      <c r="B414" s="93" t="s">
        <v>25</v>
      </c>
      <c r="C414" s="93" t="s">
        <v>535</v>
      </c>
      <c r="D414" s="33" t="s">
        <v>1775</v>
      </c>
      <c r="E414" s="34" t="s">
        <v>587</v>
      </c>
      <c r="F414" s="34" t="s">
        <v>588</v>
      </c>
      <c r="G414" s="34" t="s">
        <v>29</v>
      </c>
      <c r="H414" s="37">
        <v>1</v>
      </c>
      <c r="I414" s="34" t="s">
        <v>30</v>
      </c>
      <c r="J414" s="34" t="s">
        <v>31</v>
      </c>
      <c r="K414" s="34" t="s">
        <v>32</v>
      </c>
      <c r="L414" s="34" t="s">
        <v>1755</v>
      </c>
      <c r="M414" s="34" t="s">
        <v>33</v>
      </c>
      <c r="N414" s="47">
        <v>10</v>
      </c>
      <c r="O414" s="48">
        <v>2</v>
      </c>
      <c r="P414" s="49">
        <v>22</v>
      </c>
      <c r="Q414" s="50">
        <v>18.5302936</v>
      </c>
      <c r="R414" s="50">
        <v>-97.206224300000002</v>
      </c>
      <c r="S414" s="66" t="s">
        <v>34</v>
      </c>
      <c r="T414" s="66" t="s">
        <v>175</v>
      </c>
      <c r="U414" s="66" t="s">
        <v>213</v>
      </c>
      <c r="V414" s="66" t="s">
        <v>213</v>
      </c>
      <c r="W414" s="66" t="s">
        <v>175</v>
      </c>
      <c r="X414" s="66" t="s">
        <v>175</v>
      </c>
      <c r="Y414" s="66" t="s">
        <v>1799</v>
      </c>
      <c r="Z414" s="66"/>
      <c r="AA414" s="66"/>
      <c r="AB414" s="67"/>
      <c r="AC414" s="87">
        <f t="shared" si="18"/>
        <v>0.48148148148148145</v>
      </c>
      <c r="AD414" s="91">
        <v>5</v>
      </c>
      <c r="AE414" s="105" t="s">
        <v>1843</v>
      </c>
      <c r="AF414">
        <f t="shared" si="20"/>
        <v>0</v>
      </c>
      <c r="AG414">
        <f t="shared" si="19"/>
        <v>0</v>
      </c>
    </row>
    <row r="415" spans="1:33" x14ac:dyDescent="0.3">
      <c r="A415" s="84" t="s">
        <v>589</v>
      </c>
      <c r="B415" s="93" t="s">
        <v>25</v>
      </c>
      <c r="C415" s="93" t="s">
        <v>535</v>
      </c>
      <c r="D415" s="33" t="s">
        <v>1775</v>
      </c>
      <c r="E415" s="34" t="s">
        <v>590</v>
      </c>
      <c r="F415" s="34" t="s">
        <v>591</v>
      </c>
      <c r="G415" s="34" t="s">
        <v>29</v>
      </c>
      <c r="H415" s="37">
        <v>1</v>
      </c>
      <c r="I415" s="34" t="s">
        <v>30</v>
      </c>
      <c r="J415" s="34" t="s">
        <v>31</v>
      </c>
      <c r="K415" s="34" t="s">
        <v>32</v>
      </c>
      <c r="L415" s="34" t="s">
        <v>1755</v>
      </c>
      <c r="M415" s="34" t="s">
        <v>84</v>
      </c>
      <c r="N415" s="47">
        <v>9</v>
      </c>
      <c r="O415" s="48">
        <v>2</v>
      </c>
      <c r="P415" s="49">
        <v>28</v>
      </c>
      <c r="Q415" s="50">
        <v>18.474757199999999</v>
      </c>
      <c r="R415" s="50">
        <v>-96.864161100000004</v>
      </c>
      <c r="S415" s="66" t="s">
        <v>34</v>
      </c>
      <c r="T415" s="66" t="s">
        <v>175</v>
      </c>
      <c r="U415" s="66" t="s">
        <v>213</v>
      </c>
      <c r="V415" s="66" t="s">
        <v>213</v>
      </c>
      <c r="W415" s="66" t="s">
        <v>175</v>
      </c>
      <c r="X415" s="66" t="s">
        <v>175</v>
      </c>
      <c r="Y415" s="66" t="s">
        <v>1799</v>
      </c>
      <c r="Z415" s="66"/>
      <c r="AA415" s="66"/>
      <c r="AB415" s="67"/>
      <c r="AC415" s="87">
        <f t="shared" si="18"/>
        <v>0.48148148148148145</v>
      </c>
      <c r="AD415" s="91">
        <v>5</v>
      </c>
      <c r="AE415" s="105" t="s">
        <v>1843</v>
      </c>
      <c r="AF415">
        <f t="shared" si="20"/>
        <v>0</v>
      </c>
      <c r="AG415">
        <f t="shared" si="19"/>
        <v>0</v>
      </c>
    </row>
    <row r="416" spans="1:33" ht="15" x14ac:dyDescent="0.3">
      <c r="A416" s="94" t="s">
        <v>1726</v>
      </c>
      <c r="B416" s="95" t="s">
        <v>25</v>
      </c>
      <c r="C416" s="95" t="s">
        <v>535</v>
      </c>
      <c r="D416" s="33" t="s">
        <v>1775</v>
      </c>
      <c r="E416" s="35" t="s">
        <v>535</v>
      </c>
      <c r="F416" s="82" t="s">
        <v>1727</v>
      </c>
      <c r="G416" s="35" t="s">
        <v>1721</v>
      </c>
      <c r="H416" s="39">
        <v>3</v>
      </c>
      <c r="I416" s="35" t="s">
        <v>1722</v>
      </c>
      <c r="J416" s="35" t="s">
        <v>1723</v>
      </c>
      <c r="K416" s="35" t="s">
        <v>32</v>
      </c>
      <c r="L416" s="35" t="s">
        <v>1755</v>
      </c>
      <c r="M416" s="35" t="s">
        <v>33</v>
      </c>
      <c r="N416" s="39">
        <v>9</v>
      </c>
      <c r="O416" s="39">
        <v>1</v>
      </c>
      <c r="P416" s="39">
        <v>3</v>
      </c>
      <c r="Q416" s="40">
        <v>18.985352299999999</v>
      </c>
      <c r="R416" s="40">
        <v>-98.241913999999994</v>
      </c>
      <c r="S416" s="66" t="s">
        <v>34</v>
      </c>
      <c r="T416" s="66" t="s">
        <v>175</v>
      </c>
      <c r="U416" s="66" t="s">
        <v>213</v>
      </c>
      <c r="V416" s="66" t="s">
        <v>213</v>
      </c>
      <c r="W416" s="66" t="s">
        <v>175</v>
      </c>
      <c r="X416" s="66" t="s">
        <v>175</v>
      </c>
      <c r="Y416" s="66" t="s">
        <v>1799</v>
      </c>
      <c r="Z416" s="66"/>
      <c r="AA416" s="66"/>
      <c r="AB416" s="67"/>
      <c r="AC416" s="87">
        <f t="shared" si="18"/>
        <v>0.48148148148148145</v>
      </c>
      <c r="AD416" s="91">
        <v>5</v>
      </c>
      <c r="AE416" s="105" t="s">
        <v>1843</v>
      </c>
      <c r="AF416">
        <f t="shared" si="20"/>
        <v>0</v>
      </c>
      <c r="AG416">
        <f t="shared" si="19"/>
        <v>0</v>
      </c>
    </row>
    <row r="417" spans="1:33" x14ac:dyDescent="0.3">
      <c r="A417" s="84" t="s">
        <v>1573</v>
      </c>
      <c r="B417" s="93" t="s">
        <v>25</v>
      </c>
      <c r="C417" s="93" t="s">
        <v>535</v>
      </c>
      <c r="D417" s="33" t="s">
        <v>1775</v>
      </c>
      <c r="E417" s="34" t="s">
        <v>1247</v>
      </c>
      <c r="F417" s="34" t="s">
        <v>1574</v>
      </c>
      <c r="G417" s="34" t="s">
        <v>164</v>
      </c>
      <c r="H417" s="37">
        <v>2</v>
      </c>
      <c r="I417" s="34" t="s">
        <v>155</v>
      </c>
      <c r="J417" s="34" t="s">
        <v>31</v>
      </c>
      <c r="K417" s="34" t="s">
        <v>32</v>
      </c>
      <c r="L417" s="34" t="s">
        <v>1756</v>
      </c>
      <c r="M417" s="34" t="s">
        <v>33</v>
      </c>
      <c r="N417" s="47">
        <v>14</v>
      </c>
      <c r="O417" s="48">
        <v>4</v>
      </c>
      <c r="P417" s="49">
        <v>90</v>
      </c>
      <c r="Q417" s="50">
        <v>18.4769823</v>
      </c>
      <c r="R417" s="50">
        <v>-97.439687599999999</v>
      </c>
      <c r="S417" s="66" t="s">
        <v>34</v>
      </c>
      <c r="T417" s="66" t="s">
        <v>175</v>
      </c>
      <c r="U417" s="66" t="s">
        <v>213</v>
      </c>
      <c r="V417" s="66" t="s">
        <v>213</v>
      </c>
      <c r="W417" s="66" t="s">
        <v>175</v>
      </c>
      <c r="X417" s="66" t="s">
        <v>175</v>
      </c>
      <c r="Y417" s="66" t="s">
        <v>1799</v>
      </c>
      <c r="Z417" s="66"/>
      <c r="AA417" s="66"/>
      <c r="AB417" s="67"/>
      <c r="AC417" s="87">
        <f t="shared" ref="AC417:AC480" si="21">(
IF(S417="ENVIADO A LA CE/UM",1/3,IF(S417="ENTREGADO/REVISIÓN",2/3,IF(S417="ENVIADO A TICS",1,0)))+
IF(T417="EN PROCESO",1/2,IF(T417="CONCLUIDO",1,0))+
IF(OR(U417="CONCLUIDO",U417="NO APLICA"),1,IF(U417="EN REVISIÓN CENTRAL",2/3,IF(U417="ENVIADO A LA CE/UM",1/3,0)))+
IF(OR(V417="CONCLUIDO",V417="NO APLICA"),1,IF(V417="EN REVISIÓN CENTRAL",2/3,IF(V417="ENVIADO A LA CE/UM",1/3,0)))+                                                                                                                                                                                                                                                         IF(OR(W417="CONCLUIDO",W417="NO APLICA"),1,IF(W417="EN PROCESO",0.5,0))+
IF(OR(X417="CONCLUIDO",X417="NO APLICA"),1,IF(X417="EN PROCESO",0.5,0))+
IF(Y417="PROGRAMADAS",1/2,IF(Y417="CONCLUIDAS",1,0))+
IF(OR(Z417="SI",Z417="NO APLICA"),1,0)+
IF(OR(AA417="SI",AA417="NO APLICA"),1,0)
)/9</f>
        <v>0.48148148148148145</v>
      </c>
      <c r="AD417" s="91">
        <v>5</v>
      </c>
      <c r="AE417" s="105" t="s">
        <v>1843</v>
      </c>
      <c r="AF417">
        <f t="shared" si="20"/>
        <v>0</v>
      </c>
      <c r="AG417">
        <f t="shared" si="19"/>
        <v>0</v>
      </c>
    </row>
    <row r="418" spans="1:33" x14ac:dyDescent="0.3">
      <c r="A418" s="84" t="s">
        <v>1255</v>
      </c>
      <c r="B418" s="93" t="s">
        <v>25</v>
      </c>
      <c r="C418" s="93" t="s">
        <v>535</v>
      </c>
      <c r="D418" s="33" t="s">
        <v>1775</v>
      </c>
      <c r="E418" s="34" t="s">
        <v>1256</v>
      </c>
      <c r="F418" s="34" t="s">
        <v>1257</v>
      </c>
      <c r="G418" s="34" t="s">
        <v>111</v>
      </c>
      <c r="H418" s="37">
        <v>1</v>
      </c>
      <c r="I418" s="34" t="s">
        <v>112</v>
      </c>
      <c r="J418" s="34" t="s">
        <v>31</v>
      </c>
      <c r="K418" s="34" t="s">
        <v>32</v>
      </c>
      <c r="L418" s="34" t="s">
        <v>1755</v>
      </c>
      <c r="M418" s="34" t="s">
        <v>33</v>
      </c>
      <c r="N418" s="47">
        <v>13</v>
      </c>
      <c r="O418" s="48">
        <v>4</v>
      </c>
      <c r="P418" s="49">
        <v>58</v>
      </c>
      <c r="Q418" s="50">
        <v>18.185898000000002</v>
      </c>
      <c r="R418" s="50">
        <v>-98.056408899999994</v>
      </c>
      <c r="S418" s="66" t="s">
        <v>34</v>
      </c>
      <c r="T418" s="66" t="s">
        <v>175</v>
      </c>
      <c r="U418" s="66" t="s">
        <v>213</v>
      </c>
      <c r="V418" s="66" t="s">
        <v>213</v>
      </c>
      <c r="W418" s="66" t="s">
        <v>175</v>
      </c>
      <c r="X418" s="66" t="s">
        <v>175</v>
      </c>
      <c r="Y418" s="66" t="s">
        <v>1799</v>
      </c>
      <c r="Z418" s="66"/>
      <c r="AA418" s="66"/>
      <c r="AB418" s="67"/>
      <c r="AC418" s="87">
        <f t="shared" si="21"/>
        <v>0.48148148148148145</v>
      </c>
      <c r="AD418" s="91">
        <v>5</v>
      </c>
      <c r="AE418" s="105" t="s">
        <v>1843</v>
      </c>
      <c r="AF418">
        <f t="shared" si="20"/>
        <v>0</v>
      </c>
      <c r="AG418">
        <f t="shared" si="19"/>
        <v>0</v>
      </c>
    </row>
    <row r="419" spans="1:33" x14ac:dyDescent="0.3">
      <c r="A419" s="84" t="s">
        <v>1261</v>
      </c>
      <c r="B419" s="93" t="s">
        <v>25</v>
      </c>
      <c r="C419" s="93" t="s">
        <v>535</v>
      </c>
      <c r="D419" s="33" t="s">
        <v>1775</v>
      </c>
      <c r="E419" s="34" t="s">
        <v>1262</v>
      </c>
      <c r="F419" s="34" t="s">
        <v>1263</v>
      </c>
      <c r="G419" s="34" t="s">
        <v>111</v>
      </c>
      <c r="H419" s="37">
        <v>1</v>
      </c>
      <c r="I419" s="34" t="s">
        <v>112</v>
      </c>
      <c r="J419" s="34" t="s">
        <v>31</v>
      </c>
      <c r="K419" s="34" t="s">
        <v>32</v>
      </c>
      <c r="L419" s="34" t="s">
        <v>1755</v>
      </c>
      <c r="M419" s="34" t="s">
        <v>33</v>
      </c>
      <c r="N419" s="47">
        <v>10</v>
      </c>
      <c r="O419" s="48">
        <v>3</v>
      </c>
      <c r="P419" s="49">
        <v>55</v>
      </c>
      <c r="Q419" s="50">
        <v>19.1392168</v>
      </c>
      <c r="R419" s="50">
        <v>-98.380429399999997</v>
      </c>
      <c r="S419" s="66" t="s">
        <v>34</v>
      </c>
      <c r="T419" s="66" t="s">
        <v>175</v>
      </c>
      <c r="U419" s="66" t="s">
        <v>213</v>
      </c>
      <c r="V419" s="66" t="s">
        <v>213</v>
      </c>
      <c r="W419" s="66" t="s">
        <v>175</v>
      </c>
      <c r="X419" s="66" t="s">
        <v>175</v>
      </c>
      <c r="Y419" s="66" t="s">
        <v>1799</v>
      </c>
      <c r="Z419" s="66"/>
      <c r="AA419" s="66"/>
      <c r="AB419" s="67"/>
      <c r="AC419" s="87">
        <f t="shared" si="21"/>
        <v>0.48148148148148145</v>
      </c>
      <c r="AD419" s="91">
        <v>5</v>
      </c>
      <c r="AE419" s="105" t="s">
        <v>1843</v>
      </c>
      <c r="AF419">
        <f t="shared" si="20"/>
        <v>0</v>
      </c>
      <c r="AG419">
        <f t="shared" si="19"/>
        <v>0</v>
      </c>
    </row>
    <row r="420" spans="1:33" x14ac:dyDescent="0.3">
      <c r="A420" s="84" t="s">
        <v>1264</v>
      </c>
      <c r="B420" s="93" t="s">
        <v>25</v>
      </c>
      <c r="C420" s="93" t="s">
        <v>535</v>
      </c>
      <c r="D420" s="33" t="s">
        <v>1775</v>
      </c>
      <c r="E420" s="34" t="s">
        <v>1265</v>
      </c>
      <c r="F420" s="34" t="s">
        <v>1266</v>
      </c>
      <c r="G420" s="34" t="s">
        <v>111</v>
      </c>
      <c r="H420" s="37">
        <v>1</v>
      </c>
      <c r="I420" s="34" t="s">
        <v>112</v>
      </c>
      <c r="J420" s="34" t="s">
        <v>31</v>
      </c>
      <c r="K420" s="34" t="s">
        <v>32</v>
      </c>
      <c r="L420" s="34" t="s">
        <v>1755</v>
      </c>
      <c r="M420" s="34" t="s">
        <v>84</v>
      </c>
      <c r="N420" s="47">
        <v>16</v>
      </c>
      <c r="O420" s="48">
        <v>4</v>
      </c>
      <c r="P420" s="49">
        <v>69</v>
      </c>
      <c r="Q420" s="50">
        <v>18.902904500000002</v>
      </c>
      <c r="R420" s="50">
        <v>-98.415797999999995</v>
      </c>
      <c r="S420" s="66" t="s">
        <v>34</v>
      </c>
      <c r="T420" s="66" t="s">
        <v>175</v>
      </c>
      <c r="U420" s="66" t="s">
        <v>213</v>
      </c>
      <c r="V420" s="66" t="s">
        <v>213</v>
      </c>
      <c r="W420" s="66" t="s">
        <v>175</v>
      </c>
      <c r="X420" s="66" t="s">
        <v>175</v>
      </c>
      <c r="Y420" s="66" t="s">
        <v>1799</v>
      </c>
      <c r="Z420" s="66"/>
      <c r="AA420" s="66"/>
      <c r="AB420" s="67"/>
      <c r="AC420" s="87">
        <f t="shared" si="21"/>
        <v>0.48148148148148145</v>
      </c>
      <c r="AD420" s="91">
        <v>5</v>
      </c>
      <c r="AE420" s="105" t="s">
        <v>1843</v>
      </c>
      <c r="AF420">
        <f t="shared" si="20"/>
        <v>0</v>
      </c>
      <c r="AG420">
        <f t="shared" si="19"/>
        <v>0</v>
      </c>
    </row>
    <row r="421" spans="1:33" x14ac:dyDescent="0.3">
      <c r="A421" s="84" t="s">
        <v>1267</v>
      </c>
      <c r="B421" s="93" t="s">
        <v>25</v>
      </c>
      <c r="C421" s="93" t="s">
        <v>535</v>
      </c>
      <c r="D421" s="33" t="s">
        <v>1775</v>
      </c>
      <c r="E421" s="34" t="s">
        <v>535</v>
      </c>
      <c r="F421" s="34" t="s">
        <v>1268</v>
      </c>
      <c r="G421" s="34" t="s">
        <v>111</v>
      </c>
      <c r="H421" s="37">
        <v>1</v>
      </c>
      <c r="I421" s="34" t="s">
        <v>155</v>
      </c>
      <c r="J421" s="34" t="s">
        <v>31</v>
      </c>
      <c r="K421" s="34" t="s">
        <v>32</v>
      </c>
      <c r="L421" s="34" t="s">
        <v>1756</v>
      </c>
      <c r="M421" s="34" t="s">
        <v>33</v>
      </c>
      <c r="N421" s="47">
        <v>20</v>
      </c>
      <c r="O421" s="48">
        <v>5</v>
      </c>
      <c r="P421" s="49">
        <v>104</v>
      </c>
      <c r="Q421" s="50">
        <v>19.0866662</v>
      </c>
      <c r="R421" s="50">
        <v>-98.198704899999996</v>
      </c>
      <c r="S421" s="66" t="s">
        <v>34</v>
      </c>
      <c r="T421" s="66" t="s">
        <v>175</v>
      </c>
      <c r="U421" s="66" t="s">
        <v>213</v>
      </c>
      <c r="V421" s="66" t="s">
        <v>213</v>
      </c>
      <c r="W421" s="66" t="s">
        <v>175</v>
      </c>
      <c r="X421" s="66" t="s">
        <v>175</v>
      </c>
      <c r="Y421" s="66" t="s">
        <v>1799</v>
      </c>
      <c r="Z421" s="66"/>
      <c r="AA421" s="66"/>
      <c r="AB421" s="67"/>
      <c r="AC421" s="87">
        <f t="shared" si="21"/>
        <v>0.48148148148148145</v>
      </c>
      <c r="AD421" s="91">
        <v>5</v>
      </c>
      <c r="AE421" s="105" t="s">
        <v>1843</v>
      </c>
      <c r="AF421">
        <f t="shared" si="20"/>
        <v>0</v>
      </c>
      <c r="AG421">
        <f t="shared" si="19"/>
        <v>0</v>
      </c>
    </row>
    <row r="422" spans="1:33" x14ac:dyDescent="0.3">
      <c r="A422" s="84" t="s">
        <v>1280</v>
      </c>
      <c r="B422" s="93" t="s">
        <v>25</v>
      </c>
      <c r="C422" s="93" t="s">
        <v>535</v>
      </c>
      <c r="D422" s="33" t="s">
        <v>1775</v>
      </c>
      <c r="E422" s="34" t="s">
        <v>1281</v>
      </c>
      <c r="F422" s="34" t="s">
        <v>1282</v>
      </c>
      <c r="G422" s="34" t="s">
        <v>111</v>
      </c>
      <c r="H422" s="37">
        <v>1</v>
      </c>
      <c r="I422" s="34" t="s">
        <v>112</v>
      </c>
      <c r="J422" s="34" t="s">
        <v>31</v>
      </c>
      <c r="K422" s="34" t="s">
        <v>32</v>
      </c>
      <c r="L422" s="34" t="s">
        <v>1755</v>
      </c>
      <c r="M422" s="34" t="s">
        <v>33</v>
      </c>
      <c r="N422" s="47">
        <v>19</v>
      </c>
      <c r="O422" s="48">
        <v>4</v>
      </c>
      <c r="P422" s="49">
        <v>96</v>
      </c>
      <c r="Q422" s="50">
        <v>18.590724399999999</v>
      </c>
      <c r="R422" s="50">
        <v>-98.451244700000004</v>
      </c>
      <c r="S422" s="66" t="s">
        <v>34</v>
      </c>
      <c r="T422" s="66" t="s">
        <v>175</v>
      </c>
      <c r="U422" s="66" t="s">
        <v>213</v>
      </c>
      <c r="V422" s="66" t="s">
        <v>213</v>
      </c>
      <c r="W422" s="66" t="s">
        <v>175</v>
      </c>
      <c r="X422" s="66" t="s">
        <v>175</v>
      </c>
      <c r="Y422" s="66" t="s">
        <v>1799</v>
      </c>
      <c r="Z422" s="66"/>
      <c r="AA422" s="66"/>
      <c r="AB422" s="67"/>
      <c r="AC422" s="87">
        <f t="shared" si="21"/>
        <v>0.48148148148148145</v>
      </c>
      <c r="AD422" s="91">
        <v>5</v>
      </c>
      <c r="AE422" s="105" t="s">
        <v>1843</v>
      </c>
      <c r="AF422">
        <f t="shared" si="20"/>
        <v>0</v>
      </c>
      <c r="AG422">
        <f t="shared" si="19"/>
        <v>0</v>
      </c>
    </row>
    <row r="423" spans="1:33" x14ac:dyDescent="0.3">
      <c r="A423" s="84" t="s">
        <v>615</v>
      </c>
      <c r="B423" s="93" t="s">
        <v>25</v>
      </c>
      <c r="C423" s="93" t="s">
        <v>535</v>
      </c>
      <c r="D423" s="33" t="s">
        <v>1775</v>
      </c>
      <c r="E423" s="34" t="s">
        <v>616</v>
      </c>
      <c r="F423" s="34" t="s">
        <v>617</v>
      </c>
      <c r="G423" s="34" t="s">
        <v>29</v>
      </c>
      <c r="H423" s="37">
        <v>1</v>
      </c>
      <c r="I423" s="34" t="s">
        <v>30</v>
      </c>
      <c r="J423" s="34" t="s">
        <v>31</v>
      </c>
      <c r="K423" s="34" t="s">
        <v>32</v>
      </c>
      <c r="L423" s="34" t="s">
        <v>1755</v>
      </c>
      <c r="M423" s="34" t="s">
        <v>33</v>
      </c>
      <c r="N423" s="47">
        <v>4</v>
      </c>
      <c r="O423" s="48">
        <v>2</v>
      </c>
      <c r="P423" s="49">
        <v>19</v>
      </c>
      <c r="Q423" s="50">
        <v>18.598345299999998</v>
      </c>
      <c r="R423" s="50">
        <v>-98.065132500000004</v>
      </c>
      <c r="S423" s="66" t="s">
        <v>34</v>
      </c>
      <c r="T423" s="66" t="s">
        <v>175</v>
      </c>
      <c r="U423" s="66" t="s">
        <v>213</v>
      </c>
      <c r="V423" s="66" t="s">
        <v>213</v>
      </c>
      <c r="W423" s="66" t="s">
        <v>175</v>
      </c>
      <c r="X423" s="66" t="s">
        <v>175</v>
      </c>
      <c r="Y423" s="66" t="s">
        <v>1799</v>
      </c>
      <c r="Z423" s="66"/>
      <c r="AA423" s="66"/>
      <c r="AB423" s="67"/>
      <c r="AC423" s="87">
        <f t="shared" si="21"/>
        <v>0.48148148148148145</v>
      </c>
      <c r="AD423" s="91">
        <v>5</v>
      </c>
      <c r="AE423" s="105" t="s">
        <v>1843</v>
      </c>
      <c r="AF423">
        <f t="shared" si="20"/>
        <v>0</v>
      </c>
      <c r="AG423">
        <f t="shared" si="19"/>
        <v>0</v>
      </c>
    </row>
    <row r="424" spans="1:33" x14ac:dyDescent="0.3">
      <c r="A424" s="84" t="s">
        <v>534</v>
      </c>
      <c r="B424" s="93" t="s">
        <v>25</v>
      </c>
      <c r="C424" s="93" t="s">
        <v>535</v>
      </c>
      <c r="D424" s="33" t="s">
        <v>1775</v>
      </c>
      <c r="E424" s="34" t="s">
        <v>536</v>
      </c>
      <c r="F424" s="34" t="s">
        <v>537</v>
      </c>
      <c r="G424" s="34" t="s">
        <v>29</v>
      </c>
      <c r="H424" s="37">
        <v>1</v>
      </c>
      <c r="I424" s="34" t="s">
        <v>30</v>
      </c>
      <c r="J424" s="34" t="s">
        <v>31</v>
      </c>
      <c r="K424" s="34" t="s">
        <v>32</v>
      </c>
      <c r="L424" s="34" t="s">
        <v>1755</v>
      </c>
      <c r="M424" s="34" t="s">
        <v>33</v>
      </c>
      <c r="N424" s="47">
        <v>9</v>
      </c>
      <c r="O424" s="48">
        <v>2</v>
      </c>
      <c r="P424" s="49">
        <v>28</v>
      </c>
      <c r="Q424" s="50">
        <v>20.007110699999998</v>
      </c>
      <c r="R424" s="50">
        <v>-97.855073500000003</v>
      </c>
      <c r="S424" s="66" t="s">
        <v>34</v>
      </c>
      <c r="T424" s="66" t="s">
        <v>175</v>
      </c>
      <c r="U424" s="66" t="s">
        <v>35</v>
      </c>
      <c r="V424" s="66" t="s">
        <v>213</v>
      </c>
      <c r="W424" s="66" t="s">
        <v>175</v>
      </c>
      <c r="X424" s="66"/>
      <c r="Y424" s="66"/>
      <c r="Z424" s="66"/>
      <c r="AA424" s="66"/>
      <c r="AB424" s="67" t="s">
        <v>1795</v>
      </c>
      <c r="AC424" s="87">
        <f t="shared" si="21"/>
        <v>0.40740740740740738</v>
      </c>
      <c r="AD424" s="91">
        <v>7</v>
      </c>
      <c r="AE424" s="64" t="s">
        <v>1844</v>
      </c>
      <c r="AF424">
        <f t="shared" si="20"/>
        <v>0</v>
      </c>
      <c r="AG424">
        <f t="shared" si="19"/>
        <v>0</v>
      </c>
    </row>
    <row r="425" spans="1:33" x14ac:dyDescent="0.3">
      <c r="A425" s="84" t="s">
        <v>538</v>
      </c>
      <c r="B425" s="93" t="s">
        <v>25</v>
      </c>
      <c r="C425" s="93" t="s">
        <v>535</v>
      </c>
      <c r="D425" s="33" t="s">
        <v>1775</v>
      </c>
      <c r="E425" s="34" t="s">
        <v>539</v>
      </c>
      <c r="F425" s="34" t="s">
        <v>540</v>
      </c>
      <c r="G425" s="34" t="s">
        <v>29</v>
      </c>
      <c r="H425" s="37">
        <v>1</v>
      </c>
      <c r="I425" s="34" t="s">
        <v>30</v>
      </c>
      <c r="J425" s="34" t="s">
        <v>31</v>
      </c>
      <c r="K425" s="34" t="s">
        <v>32</v>
      </c>
      <c r="L425" s="34" t="s">
        <v>1755</v>
      </c>
      <c r="M425" s="34" t="s">
        <v>33</v>
      </c>
      <c r="N425" s="47">
        <v>5</v>
      </c>
      <c r="O425" s="48">
        <v>2</v>
      </c>
      <c r="P425" s="49">
        <v>14</v>
      </c>
      <c r="Q425" s="50">
        <v>20.094164500000002</v>
      </c>
      <c r="R425" s="50">
        <v>-97.409838399999998</v>
      </c>
      <c r="S425" s="66" t="s">
        <v>34</v>
      </c>
      <c r="T425" s="66" t="s">
        <v>175</v>
      </c>
      <c r="U425" s="66" t="s">
        <v>35</v>
      </c>
      <c r="V425" s="66" t="s">
        <v>35</v>
      </c>
      <c r="W425" s="66" t="s">
        <v>175</v>
      </c>
      <c r="X425" s="66" t="s">
        <v>35</v>
      </c>
      <c r="Y425" s="66"/>
      <c r="Z425" s="66"/>
      <c r="AA425" s="66"/>
      <c r="AB425" s="67" t="s">
        <v>1795</v>
      </c>
      <c r="AC425" s="87">
        <f t="shared" si="21"/>
        <v>0.55555555555555558</v>
      </c>
      <c r="AD425" s="91">
        <v>7</v>
      </c>
      <c r="AE425" s="64" t="s">
        <v>1844</v>
      </c>
      <c r="AF425">
        <f t="shared" si="20"/>
        <v>0</v>
      </c>
      <c r="AG425">
        <f t="shared" si="19"/>
        <v>0</v>
      </c>
    </row>
    <row r="426" spans="1:33" x14ac:dyDescent="0.3">
      <c r="A426" s="84" t="s">
        <v>544</v>
      </c>
      <c r="B426" s="93" t="s">
        <v>25</v>
      </c>
      <c r="C426" s="93" t="s">
        <v>535</v>
      </c>
      <c r="D426" s="33" t="s">
        <v>1775</v>
      </c>
      <c r="E426" s="34" t="s">
        <v>545</v>
      </c>
      <c r="F426" s="34" t="s">
        <v>546</v>
      </c>
      <c r="G426" s="34" t="s">
        <v>29</v>
      </c>
      <c r="H426" s="37">
        <v>1</v>
      </c>
      <c r="I426" s="34" t="s">
        <v>30</v>
      </c>
      <c r="J426" s="34" t="s">
        <v>31</v>
      </c>
      <c r="K426" s="34" t="s">
        <v>32</v>
      </c>
      <c r="L426" s="34" t="s">
        <v>1755</v>
      </c>
      <c r="M426" s="34" t="s">
        <v>33</v>
      </c>
      <c r="N426" s="47">
        <v>7</v>
      </c>
      <c r="O426" s="48">
        <v>2</v>
      </c>
      <c r="P426" s="49">
        <v>16</v>
      </c>
      <c r="Q426" s="50">
        <v>19.599952099999999</v>
      </c>
      <c r="R426" s="50">
        <v>-97.615153500000005</v>
      </c>
      <c r="S426" s="66" t="s">
        <v>34</v>
      </c>
      <c r="T426" s="66" t="s">
        <v>175</v>
      </c>
      <c r="U426" s="66" t="s">
        <v>213</v>
      </c>
      <c r="V426" s="66" t="s">
        <v>213</v>
      </c>
      <c r="W426" s="66"/>
      <c r="X426" s="66"/>
      <c r="Y426" s="66"/>
      <c r="Z426" s="66"/>
      <c r="AA426" s="66"/>
      <c r="AB426" s="67" t="s">
        <v>1795</v>
      </c>
      <c r="AC426" s="87">
        <f t="shared" si="21"/>
        <v>0.31481481481481477</v>
      </c>
      <c r="AD426" s="91">
        <v>7</v>
      </c>
      <c r="AE426" s="64" t="s">
        <v>1844</v>
      </c>
      <c r="AF426">
        <f t="shared" si="20"/>
        <v>0</v>
      </c>
      <c r="AG426">
        <f t="shared" si="19"/>
        <v>0</v>
      </c>
    </row>
    <row r="427" spans="1:33" x14ac:dyDescent="0.3">
      <c r="A427" s="84" t="s">
        <v>1238</v>
      </c>
      <c r="B427" s="93" t="s">
        <v>25</v>
      </c>
      <c r="C427" s="93" t="s">
        <v>535</v>
      </c>
      <c r="D427" s="33" t="s">
        <v>1775</v>
      </c>
      <c r="E427" s="34" t="s">
        <v>1239</v>
      </c>
      <c r="F427" s="34" t="s">
        <v>1240</v>
      </c>
      <c r="G427" s="34" t="s">
        <v>111</v>
      </c>
      <c r="H427" s="37">
        <v>1</v>
      </c>
      <c r="I427" s="34" t="s">
        <v>112</v>
      </c>
      <c r="J427" s="34" t="s">
        <v>31</v>
      </c>
      <c r="K427" s="34" t="s">
        <v>32</v>
      </c>
      <c r="L427" s="34" t="s">
        <v>1755</v>
      </c>
      <c r="M427" s="34" t="s">
        <v>33</v>
      </c>
      <c r="N427" s="47">
        <v>10</v>
      </c>
      <c r="O427" s="48">
        <v>3</v>
      </c>
      <c r="P427" s="49">
        <v>44</v>
      </c>
      <c r="Q427" s="50">
        <v>18.9890106</v>
      </c>
      <c r="R427" s="50">
        <v>-97.449621899999997</v>
      </c>
      <c r="S427" s="66" t="s">
        <v>34</v>
      </c>
      <c r="T427" s="66" t="s">
        <v>175</v>
      </c>
      <c r="U427" s="66" t="s">
        <v>213</v>
      </c>
      <c r="V427" s="66" t="s">
        <v>213</v>
      </c>
      <c r="W427" s="66"/>
      <c r="X427" s="66"/>
      <c r="Y427" s="66"/>
      <c r="Z427" s="66"/>
      <c r="AA427" s="66"/>
      <c r="AB427" s="67" t="s">
        <v>1795</v>
      </c>
      <c r="AC427" s="87">
        <f t="shared" si="21"/>
        <v>0.31481481481481477</v>
      </c>
      <c r="AD427" s="91">
        <v>7</v>
      </c>
      <c r="AE427" s="64" t="s">
        <v>1844</v>
      </c>
      <c r="AF427">
        <f t="shared" si="20"/>
        <v>0</v>
      </c>
      <c r="AG427">
        <f t="shared" si="19"/>
        <v>0</v>
      </c>
    </row>
    <row r="428" spans="1:33" x14ac:dyDescent="0.3">
      <c r="A428" s="84" t="s">
        <v>547</v>
      </c>
      <c r="B428" s="93" t="s">
        <v>25</v>
      </c>
      <c r="C428" s="93" t="s">
        <v>535</v>
      </c>
      <c r="D428" s="33" t="s">
        <v>1775</v>
      </c>
      <c r="E428" s="34" t="s">
        <v>548</v>
      </c>
      <c r="F428" s="34" t="s">
        <v>549</v>
      </c>
      <c r="G428" s="34" t="s">
        <v>29</v>
      </c>
      <c r="H428" s="37">
        <v>1</v>
      </c>
      <c r="I428" s="34" t="s">
        <v>30</v>
      </c>
      <c r="J428" s="34" t="s">
        <v>31</v>
      </c>
      <c r="K428" s="34" t="s">
        <v>32</v>
      </c>
      <c r="L428" s="34" t="s">
        <v>1755</v>
      </c>
      <c r="M428" s="34" t="s">
        <v>33</v>
      </c>
      <c r="N428" s="47">
        <v>7</v>
      </c>
      <c r="O428" s="48">
        <v>2</v>
      </c>
      <c r="P428" s="49">
        <v>26</v>
      </c>
      <c r="Q428" s="50">
        <v>20.0959121</v>
      </c>
      <c r="R428" s="50">
        <v>-97.624335200000004</v>
      </c>
      <c r="S428" s="66" t="s">
        <v>34</v>
      </c>
      <c r="T428" s="66" t="s">
        <v>175</v>
      </c>
      <c r="U428" s="66" t="s">
        <v>213</v>
      </c>
      <c r="V428" s="66" t="s">
        <v>213</v>
      </c>
      <c r="W428" s="66"/>
      <c r="X428" s="66"/>
      <c r="Y428" s="66"/>
      <c r="Z428" s="66"/>
      <c r="AA428" s="66"/>
      <c r="AB428" s="67" t="s">
        <v>1795</v>
      </c>
      <c r="AC428" s="87">
        <f t="shared" si="21"/>
        <v>0.31481481481481477</v>
      </c>
      <c r="AD428" s="91">
        <v>7</v>
      </c>
      <c r="AE428" s="64" t="s">
        <v>1844</v>
      </c>
      <c r="AF428">
        <f t="shared" si="20"/>
        <v>0</v>
      </c>
      <c r="AG428">
        <f t="shared" si="19"/>
        <v>0</v>
      </c>
    </row>
    <row r="429" spans="1:33" x14ac:dyDescent="0.3">
      <c r="A429" s="84" t="s">
        <v>550</v>
      </c>
      <c r="B429" s="93" t="s">
        <v>25</v>
      </c>
      <c r="C429" s="93" t="s">
        <v>535</v>
      </c>
      <c r="D429" s="33" t="s">
        <v>1775</v>
      </c>
      <c r="E429" s="34" t="s">
        <v>551</v>
      </c>
      <c r="F429" s="34" t="s">
        <v>552</v>
      </c>
      <c r="G429" s="34" t="s">
        <v>29</v>
      </c>
      <c r="H429" s="37">
        <v>1</v>
      </c>
      <c r="I429" s="34" t="s">
        <v>30</v>
      </c>
      <c r="J429" s="34" t="s">
        <v>31</v>
      </c>
      <c r="K429" s="34" t="s">
        <v>32</v>
      </c>
      <c r="L429" s="34" t="s">
        <v>1755</v>
      </c>
      <c r="M429" s="34" t="s">
        <v>33</v>
      </c>
      <c r="N429" s="47">
        <v>7</v>
      </c>
      <c r="O429" s="48">
        <v>2</v>
      </c>
      <c r="P429" s="49">
        <v>22</v>
      </c>
      <c r="Q429" s="50">
        <v>19.622851699999998</v>
      </c>
      <c r="R429" s="50">
        <v>-97.818262300000001</v>
      </c>
      <c r="S429" s="66" t="s">
        <v>34</v>
      </c>
      <c r="T429" s="66" t="s">
        <v>175</v>
      </c>
      <c r="U429" s="66" t="s">
        <v>35</v>
      </c>
      <c r="V429" s="66" t="s">
        <v>35</v>
      </c>
      <c r="W429" s="66" t="s">
        <v>35</v>
      </c>
      <c r="X429" s="66" t="s">
        <v>35</v>
      </c>
      <c r="Y429" s="66"/>
      <c r="Z429" s="66"/>
      <c r="AA429" s="66"/>
      <c r="AB429" s="67" t="s">
        <v>1795</v>
      </c>
      <c r="AC429" s="87">
        <f t="shared" si="21"/>
        <v>0.61111111111111116</v>
      </c>
      <c r="AD429" s="91">
        <v>7</v>
      </c>
      <c r="AE429" s="64" t="s">
        <v>1844</v>
      </c>
      <c r="AF429">
        <f t="shared" si="20"/>
        <v>0</v>
      </c>
      <c r="AG429">
        <f t="shared" si="19"/>
        <v>0</v>
      </c>
    </row>
    <row r="430" spans="1:33" x14ac:dyDescent="0.3">
      <c r="A430" s="84" t="s">
        <v>1241</v>
      </c>
      <c r="B430" s="93" t="s">
        <v>25</v>
      </c>
      <c r="C430" s="93" t="s">
        <v>535</v>
      </c>
      <c r="D430" s="33" t="s">
        <v>1775</v>
      </c>
      <c r="E430" s="34" t="s">
        <v>1242</v>
      </c>
      <c r="F430" s="34" t="s">
        <v>1243</v>
      </c>
      <c r="G430" s="34" t="s">
        <v>111</v>
      </c>
      <c r="H430" s="37">
        <v>1</v>
      </c>
      <c r="I430" s="34" t="s">
        <v>112</v>
      </c>
      <c r="J430" s="34" t="s">
        <v>31</v>
      </c>
      <c r="K430" s="34" t="s">
        <v>32</v>
      </c>
      <c r="L430" s="34" t="s">
        <v>1755</v>
      </c>
      <c r="M430" s="34" t="s">
        <v>33</v>
      </c>
      <c r="N430" s="47">
        <v>17</v>
      </c>
      <c r="O430" s="48">
        <v>4</v>
      </c>
      <c r="P430" s="49">
        <v>66</v>
      </c>
      <c r="Q430" s="50">
        <v>19.457643900000001</v>
      </c>
      <c r="R430" s="50">
        <v>-97.680264800000003</v>
      </c>
      <c r="S430" s="66" t="s">
        <v>34</v>
      </c>
      <c r="T430" s="66" t="s">
        <v>175</v>
      </c>
      <c r="U430" s="66" t="s">
        <v>213</v>
      </c>
      <c r="V430" s="66" t="s">
        <v>213</v>
      </c>
      <c r="W430" s="66"/>
      <c r="X430" s="66"/>
      <c r="Y430" s="66"/>
      <c r="Z430" s="66"/>
      <c r="AA430" s="66"/>
      <c r="AB430" s="67" t="s">
        <v>1795</v>
      </c>
      <c r="AC430" s="87">
        <f t="shared" si="21"/>
        <v>0.31481481481481477</v>
      </c>
      <c r="AD430" s="91">
        <v>7</v>
      </c>
      <c r="AE430" s="64" t="s">
        <v>1844</v>
      </c>
      <c r="AF430">
        <f t="shared" si="20"/>
        <v>0</v>
      </c>
      <c r="AG430">
        <f t="shared" si="19"/>
        <v>0</v>
      </c>
    </row>
    <row r="431" spans="1:33" x14ac:dyDescent="0.3">
      <c r="A431" s="84" t="s">
        <v>553</v>
      </c>
      <c r="B431" s="93" t="s">
        <v>25</v>
      </c>
      <c r="C431" s="93" t="s">
        <v>535</v>
      </c>
      <c r="D431" s="33" t="s">
        <v>1775</v>
      </c>
      <c r="E431" s="34" t="s">
        <v>554</v>
      </c>
      <c r="F431" s="34" t="s">
        <v>555</v>
      </c>
      <c r="G431" s="34" t="s">
        <v>29</v>
      </c>
      <c r="H431" s="37">
        <v>1</v>
      </c>
      <c r="I431" s="34" t="s">
        <v>30</v>
      </c>
      <c r="J431" s="34" t="s">
        <v>31</v>
      </c>
      <c r="K431" s="34" t="s">
        <v>32</v>
      </c>
      <c r="L431" s="34" t="s">
        <v>1755</v>
      </c>
      <c r="M431" s="34" t="s">
        <v>33</v>
      </c>
      <c r="N431" s="47">
        <v>5</v>
      </c>
      <c r="O431" s="48">
        <v>0</v>
      </c>
      <c r="P431" s="49">
        <v>22</v>
      </c>
      <c r="Q431" s="50">
        <v>18.824774000000001</v>
      </c>
      <c r="R431" s="50">
        <v>-97.509792000000004</v>
      </c>
      <c r="S431" s="66" t="s">
        <v>34</v>
      </c>
      <c r="T431" s="66" t="s">
        <v>175</v>
      </c>
      <c r="U431" s="66" t="s">
        <v>213</v>
      </c>
      <c r="V431" s="66" t="s">
        <v>213</v>
      </c>
      <c r="W431" s="66"/>
      <c r="X431" s="66"/>
      <c r="Y431" s="66"/>
      <c r="Z431" s="66"/>
      <c r="AA431" s="66"/>
      <c r="AB431" s="67" t="s">
        <v>1795</v>
      </c>
      <c r="AC431" s="87">
        <f t="shared" si="21"/>
        <v>0.31481481481481477</v>
      </c>
      <c r="AD431" s="91">
        <v>7</v>
      </c>
      <c r="AE431" s="64" t="s">
        <v>1844</v>
      </c>
      <c r="AF431">
        <f t="shared" si="20"/>
        <v>0</v>
      </c>
      <c r="AG431">
        <f t="shared" si="19"/>
        <v>0</v>
      </c>
    </row>
    <row r="432" spans="1:33" x14ac:dyDescent="0.3">
      <c r="A432" s="84" t="s">
        <v>565</v>
      </c>
      <c r="B432" s="93" t="s">
        <v>25</v>
      </c>
      <c r="C432" s="93" t="s">
        <v>535</v>
      </c>
      <c r="D432" s="33" t="s">
        <v>1775</v>
      </c>
      <c r="E432" s="34" t="s">
        <v>566</v>
      </c>
      <c r="F432" s="34" t="s">
        <v>567</v>
      </c>
      <c r="G432" s="34" t="s">
        <v>29</v>
      </c>
      <c r="H432" s="37">
        <v>1</v>
      </c>
      <c r="I432" s="34" t="s">
        <v>30</v>
      </c>
      <c r="J432" s="34" t="s">
        <v>31</v>
      </c>
      <c r="K432" s="34" t="s">
        <v>32</v>
      </c>
      <c r="L432" s="34" t="s">
        <v>1755</v>
      </c>
      <c r="M432" s="34" t="s">
        <v>33</v>
      </c>
      <c r="N432" s="47">
        <v>8</v>
      </c>
      <c r="O432" s="48">
        <v>2</v>
      </c>
      <c r="P432" s="49">
        <v>17</v>
      </c>
      <c r="Q432" s="50">
        <v>20.005520799999999</v>
      </c>
      <c r="R432" s="50">
        <v>-97.721253099999998</v>
      </c>
      <c r="S432" s="66" t="s">
        <v>34</v>
      </c>
      <c r="T432" s="66" t="s">
        <v>175</v>
      </c>
      <c r="U432" s="66" t="s">
        <v>213</v>
      </c>
      <c r="V432" s="66" t="s">
        <v>213</v>
      </c>
      <c r="W432" s="66"/>
      <c r="X432" s="66"/>
      <c r="Y432" s="66"/>
      <c r="Z432" s="66"/>
      <c r="AA432" s="66"/>
      <c r="AB432" s="67" t="s">
        <v>1795</v>
      </c>
      <c r="AC432" s="87">
        <f t="shared" si="21"/>
        <v>0.31481481481481477</v>
      </c>
      <c r="AD432" s="91">
        <v>7</v>
      </c>
      <c r="AE432" s="64" t="s">
        <v>1844</v>
      </c>
      <c r="AF432">
        <f t="shared" si="20"/>
        <v>0</v>
      </c>
      <c r="AG432">
        <f t="shared" si="19"/>
        <v>0</v>
      </c>
    </row>
    <row r="433" spans="1:33" x14ac:dyDescent="0.3">
      <c r="A433" s="84" t="s">
        <v>571</v>
      </c>
      <c r="B433" s="93" t="s">
        <v>25</v>
      </c>
      <c r="C433" s="93" t="s">
        <v>535</v>
      </c>
      <c r="D433" s="33" t="s">
        <v>1775</v>
      </c>
      <c r="E433" s="34" t="s">
        <v>572</v>
      </c>
      <c r="F433" s="34" t="s">
        <v>573</v>
      </c>
      <c r="G433" s="34" t="s">
        <v>29</v>
      </c>
      <c r="H433" s="37">
        <v>1</v>
      </c>
      <c r="I433" s="34" t="s">
        <v>30</v>
      </c>
      <c r="J433" s="34" t="s">
        <v>31</v>
      </c>
      <c r="K433" s="34" t="s">
        <v>32</v>
      </c>
      <c r="L433" s="34" t="s">
        <v>1755</v>
      </c>
      <c r="M433" s="34" t="s">
        <v>33</v>
      </c>
      <c r="N433" s="47">
        <v>8</v>
      </c>
      <c r="O433" s="48">
        <v>2</v>
      </c>
      <c r="P433" s="49">
        <v>13</v>
      </c>
      <c r="Q433" s="50">
        <v>20.137400700000001</v>
      </c>
      <c r="R433" s="50">
        <v>-97.928800100000004</v>
      </c>
      <c r="S433" s="66" t="s">
        <v>34</v>
      </c>
      <c r="T433" s="66" t="s">
        <v>175</v>
      </c>
      <c r="U433" s="66" t="s">
        <v>213</v>
      </c>
      <c r="V433" s="66" t="s">
        <v>213</v>
      </c>
      <c r="W433" s="66"/>
      <c r="X433" s="66"/>
      <c r="Y433" s="66"/>
      <c r="Z433" s="66"/>
      <c r="AA433" s="66"/>
      <c r="AB433" s="67" t="s">
        <v>1795</v>
      </c>
      <c r="AC433" s="87">
        <f t="shared" si="21"/>
        <v>0.31481481481481477</v>
      </c>
      <c r="AD433" s="91">
        <v>7</v>
      </c>
      <c r="AE433" s="64" t="s">
        <v>1844</v>
      </c>
      <c r="AF433">
        <f t="shared" si="20"/>
        <v>0</v>
      </c>
      <c r="AG433">
        <f t="shared" si="19"/>
        <v>0</v>
      </c>
    </row>
    <row r="434" spans="1:33" x14ac:dyDescent="0.3">
      <c r="A434" s="84" t="s">
        <v>574</v>
      </c>
      <c r="B434" s="93" t="s">
        <v>25</v>
      </c>
      <c r="C434" s="93" t="s">
        <v>535</v>
      </c>
      <c r="D434" s="33" t="s">
        <v>1775</v>
      </c>
      <c r="E434" s="34" t="s">
        <v>575</v>
      </c>
      <c r="F434" s="34" t="s">
        <v>576</v>
      </c>
      <c r="G434" s="34" t="s">
        <v>29</v>
      </c>
      <c r="H434" s="37">
        <v>1</v>
      </c>
      <c r="I434" s="34" t="s">
        <v>30</v>
      </c>
      <c r="J434" s="34" t="s">
        <v>31</v>
      </c>
      <c r="K434" s="34" t="s">
        <v>32</v>
      </c>
      <c r="L434" s="34" t="s">
        <v>1755</v>
      </c>
      <c r="M434" s="34" t="s">
        <v>33</v>
      </c>
      <c r="N434" s="47">
        <v>8</v>
      </c>
      <c r="O434" s="48">
        <v>2</v>
      </c>
      <c r="P434" s="49">
        <v>33</v>
      </c>
      <c r="Q434" s="50">
        <v>18.978186900000001</v>
      </c>
      <c r="R434" s="50">
        <v>-97.799322900000007</v>
      </c>
      <c r="S434" s="66" t="s">
        <v>34</v>
      </c>
      <c r="T434" s="66" t="s">
        <v>175</v>
      </c>
      <c r="U434" s="66" t="s">
        <v>35</v>
      </c>
      <c r="V434" s="66" t="s">
        <v>35</v>
      </c>
      <c r="W434" s="66" t="s">
        <v>175</v>
      </c>
      <c r="X434" s="66" t="s">
        <v>175</v>
      </c>
      <c r="Y434" s="66"/>
      <c r="Z434" s="66"/>
      <c r="AA434" s="66"/>
      <c r="AB434" s="67" t="s">
        <v>1795</v>
      </c>
      <c r="AC434" s="87">
        <f t="shared" si="21"/>
        <v>0.5</v>
      </c>
      <c r="AD434" s="91">
        <v>7</v>
      </c>
      <c r="AE434" s="64" t="s">
        <v>1844</v>
      </c>
      <c r="AF434">
        <f t="shared" si="20"/>
        <v>0</v>
      </c>
      <c r="AG434">
        <f t="shared" si="19"/>
        <v>0</v>
      </c>
    </row>
    <row r="435" spans="1:33" x14ac:dyDescent="0.3">
      <c r="A435" s="84" t="s">
        <v>583</v>
      </c>
      <c r="B435" s="93" t="s">
        <v>25</v>
      </c>
      <c r="C435" s="93" t="s">
        <v>535</v>
      </c>
      <c r="D435" s="33" t="s">
        <v>1775</v>
      </c>
      <c r="E435" s="34" t="s">
        <v>584</v>
      </c>
      <c r="F435" s="34" t="s">
        <v>585</v>
      </c>
      <c r="G435" s="34" t="s">
        <v>29</v>
      </c>
      <c r="H435" s="37">
        <v>1</v>
      </c>
      <c r="I435" s="34" t="s">
        <v>30</v>
      </c>
      <c r="J435" s="34" t="s">
        <v>31</v>
      </c>
      <c r="K435" s="34" t="s">
        <v>32</v>
      </c>
      <c r="L435" s="34" t="s">
        <v>1755</v>
      </c>
      <c r="M435" s="34" t="s">
        <v>33</v>
      </c>
      <c r="N435" s="47">
        <v>8</v>
      </c>
      <c r="O435" s="48">
        <v>2</v>
      </c>
      <c r="P435" s="49">
        <v>20</v>
      </c>
      <c r="Q435" s="50">
        <v>20.531479600000001</v>
      </c>
      <c r="R435" s="50">
        <v>-97.851676299999994</v>
      </c>
      <c r="S435" s="66" t="s">
        <v>34</v>
      </c>
      <c r="T435" s="66" t="s">
        <v>175</v>
      </c>
      <c r="U435" s="66" t="s">
        <v>213</v>
      </c>
      <c r="V435" s="66" t="s">
        <v>35</v>
      </c>
      <c r="W435" s="66"/>
      <c r="X435" s="66" t="s">
        <v>35</v>
      </c>
      <c r="Y435" s="66"/>
      <c r="Z435" s="66"/>
      <c r="AA435" s="66"/>
      <c r="AB435" s="67" t="s">
        <v>1795</v>
      </c>
      <c r="AC435" s="87">
        <f t="shared" si="21"/>
        <v>0.46296296296296291</v>
      </c>
      <c r="AD435" s="91">
        <v>7</v>
      </c>
      <c r="AE435" s="64" t="s">
        <v>1844</v>
      </c>
      <c r="AF435">
        <f t="shared" si="20"/>
        <v>0</v>
      </c>
      <c r="AG435">
        <f t="shared" si="19"/>
        <v>0</v>
      </c>
    </row>
    <row r="436" spans="1:33" x14ac:dyDescent="0.3">
      <c r="A436" s="84" t="s">
        <v>592</v>
      </c>
      <c r="B436" s="93" t="s">
        <v>25</v>
      </c>
      <c r="C436" s="93" t="s">
        <v>535</v>
      </c>
      <c r="D436" s="33" t="s">
        <v>1775</v>
      </c>
      <c r="E436" s="34" t="s">
        <v>593</v>
      </c>
      <c r="F436" s="34" t="s">
        <v>594</v>
      </c>
      <c r="G436" s="34" t="s">
        <v>29</v>
      </c>
      <c r="H436" s="37">
        <v>1</v>
      </c>
      <c r="I436" s="34" t="s">
        <v>30</v>
      </c>
      <c r="J436" s="34" t="s">
        <v>31</v>
      </c>
      <c r="K436" s="34" t="s">
        <v>32</v>
      </c>
      <c r="L436" s="34" t="s">
        <v>1755</v>
      </c>
      <c r="M436" s="34" t="s">
        <v>33</v>
      </c>
      <c r="N436" s="47">
        <v>6</v>
      </c>
      <c r="O436" s="48">
        <v>2</v>
      </c>
      <c r="P436" s="49">
        <v>22</v>
      </c>
      <c r="Q436" s="50">
        <v>19.287557400000001</v>
      </c>
      <c r="R436" s="50">
        <v>-97.332424200000005</v>
      </c>
      <c r="S436" s="66" t="s">
        <v>34</v>
      </c>
      <c r="T436" s="66" t="s">
        <v>175</v>
      </c>
      <c r="U436" s="66" t="s">
        <v>213</v>
      </c>
      <c r="V436" s="66" t="s">
        <v>213</v>
      </c>
      <c r="W436" s="66"/>
      <c r="X436" s="66"/>
      <c r="Y436" s="66"/>
      <c r="Z436" s="66"/>
      <c r="AA436" s="66"/>
      <c r="AB436" s="67" t="s">
        <v>1795</v>
      </c>
      <c r="AC436" s="87">
        <f t="shared" si="21"/>
        <v>0.31481481481481477</v>
      </c>
      <c r="AD436" s="91">
        <v>7</v>
      </c>
      <c r="AE436" s="64" t="s">
        <v>1844</v>
      </c>
      <c r="AF436">
        <f t="shared" si="20"/>
        <v>0</v>
      </c>
      <c r="AG436">
        <f t="shared" si="19"/>
        <v>0</v>
      </c>
    </row>
    <row r="437" spans="1:33" x14ac:dyDescent="0.3">
      <c r="A437" s="84" t="s">
        <v>595</v>
      </c>
      <c r="B437" s="93" t="s">
        <v>25</v>
      </c>
      <c r="C437" s="93" t="s">
        <v>535</v>
      </c>
      <c r="D437" s="33" t="s">
        <v>1775</v>
      </c>
      <c r="E437" s="34" t="s">
        <v>596</v>
      </c>
      <c r="F437" s="34" t="s">
        <v>597</v>
      </c>
      <c r="G437" s="34" t="s">
        <v>29</v>
      </c>
      <c r="H437" s="37">
        <v>1</v>
      </c>
      <c r="I437" s="34" t="s">
        <v>30</v>
      </c>
      <c r="J437" s="34" t="s">
        <v>31</v>
      </c>
      <c r="K437" s="34" t="s">
        <v>32</v>
      </c>
      <c r="L437" s="34" t="s">
        <v>1755</v>
      </c>
      <c r="M437" s="34" t="s">
        <v>33</v>
      </c>
      <c r="N437" s="47">
        <v>10</v>
      </c>
      <c r="O437" s="48">
        <v>2</v>
      </c>
      <c r="P437" s="49">
        <v>27</v>
      </c>
      <c r="Q437" s="50">
        <v>19.899813099999999</v>
      </c>
      <c r="R437" s="50">
        <v>-97.589125199999998</v>
      </c>
      <c r="S437" s="66" t="s">
        <v>34</v>
      </c>
      <c r="T437" s="66" t="s">
        <v>175</v>
      </c>
      <c r="U437" s="66" t="s">
        <v>213</v>
      </c>
      <c r="V437" s="66" t="s">
        <v>35</v>
      </c>
      <c r="W437" s="66"/>
      <c r="X437" s="66" t="s">
        <v>175</v>
      </c>
      <c r="Y437" s="66"/>
      <c r="Z437" s="66"/>
      <c r="AA437" s="66"/>
      <c r="AB437" s="67" t="s">
        <v>1795</v>
      </c>
      <c r="AC437" s="87">
        <f t="shared" si="21"/>
        <v>0.40740740740740738</v>
      </c>
      <c r="AD437" s="91">
        <v>7</v>
      </c>
      <c r="AE437" s="64" t="s">
        <v>1844</v>
      </c>
      <c r="AF437">
        <f t="shared" si="20"/>
        <v>0</v>
      </c>
      <c r="AG437">
        <f t="shared" si="19"/>
        <v>0</v>
      </c>
    </row>
    <row r="438" spans="1:33" x14ac:dyDescent="0.3">
      <c r="A438" s="84" t="s">
        <v>1252</v>
      </c>
      <c r="B438" s="93" t="s">
        <v>25</v>
      </c>
      <c r="C438" s="93" t="s">
        <v>535</v>
      </c>
      <c r="D438" s="33" t="s">
        <v>1775</v>
      </c>
      <c r="E438" s="34" t="s">
        <v>1253</v>
      </c>
      <c r="F438" s="34" t="s">
        <v>1254</v>
      </c>
      <c r="G438" s="34" t="s">
        <v>111</v>
      </c>
      <c r="H438" s="37">
        <v>1</v>
      </c>
      <c r="I438" s="34" t="s">
        <v>112</v>
      </c>
      <c r="J438" s="34" t="s">
        <v>31</v>
      </c>
      <c r="K438" s="34" t="s">
        <v>32</v>
      </c>
      <c r="L438" s="34" t="s">
        <v>1755</v>
      </c>
      <c r="M438" s="34" t="s">
        <v>33</v>
      </c>
      <c r="N438" s="47">
        <v>16</v>
      </c>
      <c r="O438" s="48">
        <v>6</v>
      </c>
      <c r="P438" s="49">
        <v>148</v>
      </c>
      <c r="Q438" s="50">
        <v>19.821950300000001</v>
      </c>
      <c r="R438" s="50">
        <v>-97.376941599999995</v>
      </c>
      <c r="S438" s="66" t="s">
        <v>34</v>
      </c>
      <c r="T438" s="66" t="s">
        <v>175</v>
      </c>
      <c r="U438" s="66" t="s">
        <v>213</v>
      </c>
      <c r="V438" s="66" t="s">
        <v>213</v>
      </c>
      <c r="W438" s="66"/>
      <c r="X438" s="66"/>
      <c r="Y438" s="66"/>
      <c r="Z438" s="66"/>
      <c r="AA438" s="66"/>
      <c r="AB438" s="67" t="s">
        <v>1795</v>
      </c>
      <c r="AC438" s="87">
        <f t="shared" si="21"/>
        <v>0.31481481481481477</v>
      </c>
      <c r="AD438" s="91">
        <v>7</v>
      </c>
      <c r="AE438" s="64" t="s">
        <v>1844</v>
      </c>
      <c r="AF438">
        <f t="shared" si="20"/>
        <v>0</v>
      </c>
      <c r="AG438">
        <f t="shared" si="19"/>
        <v>0</v>
      </c>
    </row>
    <row r="439" spans="1:33" x14ac:dyDescent="0.3">
      <c r="A439" s="84" t="s">
        <v>598</v>
      </c>
      <c r="B439" s="93" t="s">
        <v>25</v>
      </c>
      <c r="C439" s="93" t="s">
        <v>535</v>
      </c>
      <c r="D439" s="33" t="s">
        <v>1775</v>
      </c>
      <c r="E439" s="34" t="s">
        <v>599</v>
      </c>
      <c r="F439" s="34" t="s">
        <v>600</v>
      </c>
      <c r="G439" s="34" t="s">
        <v>29</v>
      </c>
      <c r="H439" s="37">
        <v>1</v>
      </c>
      <c r="I439" s="34" t="s">
        <v>30</v>
      </c>
      <c r="J439" s="34" t="s">
        <v>31</v>
      </c>
      <c r="K439" s="34" t="s">
        <v>32</v>
      </c>
      <c r="L439" s="34" t="s">
        <v>1755</v>
      </c>
      <c r="M439" s="34" t="s">
        <v>33</v>
      </c>
      <c r="N439" s="47">
        <v>6</v>
      </c>
      <c r="O439" s="48">
        <v>2</v>
      </c>
      <c r="P439" s="49">
        <v>30</v>
      </c>
      <c r="Q439" s="50">
        <v>19.2480984</v>
      </c>
      <c r="R439" s="50">
        <v>-97.756586400000003</v>
      </c>
      <c r="S439" s="66" t="s">
        <v>34</v>
      </c>
      <c r="T439" s="66" t="s">
        <v>175</v>
      </c>
      <c r="U439" s="66" t="s">
        <v>213</v>
      </c>
      <c r="V439" s="66" t="s">
        <v>213</v>
      </c>
      <c r="W439" s="66"/>
      <c r="X439" s="66"/>
      <c r="Y439" s="66"/>
      <c r="Z439" s="66"/>
      <c r="AA439" s="66"/>
      <c r="AB439" s="67" t="s">
        <v>1795</v>
      </c>
      <c r="AC439" s="87">
        <f t="shared" si="21"/>
        <v>0.31481481481481477</v>
      </c>
      <c r="AD439" s="91">
        <v>7</v>
      </c>
      <c r="AE439" s="64" t="s">
        <v>1844</v>
      </c>
      <c r="AF439">
        <f t="shared" si="20"/>
        <v>0</v>
      </c>
      <c r="AG439">
        <f t="shared" si="19"/>
        <v>0</v>
      </c>
    </row>
    <row r="440" spans="1:33" x14ac:dyDescent="0.3">
      <c r="A440" s="84" t="s">
        <v>1258</v>
      </c>
      <c r="B440" s="93" t="s">
        <v>25</v>
      </c>
      <c r="C440" s="93" t="s">
        <v>535</v>
      </c>
      <c r="D440" s="33" t="s">
        <v>1775</v>
      </c>
      <c r="E440" s="34" t="s">
        <v>1259</v>
      </c>
      <c r="F440" s="34" t="s">
        <v>1260</v>
      </c>
      <c r="G440" s="34" t="s">
        <v>111</v>
      </c>
      <c r="H440" s="37">
        <v>1</v>
      </c>
      <c r="I440" s="34" t="s">
        <v>112</v>
      </c>
      <c r="J440" s="34" t="s">
        <v>31</v>
      </c>
      <c r="K440" s="34" t="s">
        <v>32</v>
      </c>
      <c r="L440" s="34" t="s">
        <v>1755</v>
      </c>
      <c r="M440" s="34" t="s">
        <v>84</v>
      </c>
      <c r="N440" s="47">
        <v>10</v>
      </c>
      <c r="O440" s="48">
        <v>3</v>
      </c>
      <c r="P440" s="49">
        <v>56</v>
      </c>
      <c r="Q440" s="50">
        <v>19.841002899999999</v>
      </c>
      <c r="R440" s="50">
        <v>-97.498489199999995</v>
      </c>
      <c r="S440" s="66" t="s">
        <v>34</v>
      </c>
      <c r="T440" s="66" t="s">
        <v>175</v>
      </c>
      <c r="U440" s="66" t="s">
        <v>213</v>
      </c>
      <c r="V440" s="66" t="s">
        <v>213</v>
      </c>
      <c r="W440" s="66"/>
      <c r="X440" s="66"/>
      <c r="Y440" s="66"/>
      <c r="Z440" s="66"/>
      <c r="AA440" s="66"/>
      <c r="AB440" s="67" t="s">
        <v>1795</v>
      </c>
      <c r="AC440" s="87">
        <f t="shared" si="21"/>
        <v>0.31481481481481477</v>
      </c>
      <c r="AD440" s="91">
        <v>7</v>
      </c>
      <c r="AE440" s="64" t="s">
        <v>1844</v>
      </c>
      <c r="AF440">
        <f t="shared" si="20"/>
        <v>0</v>
      </c>
      <c r="AG440">
        <f t="shared" si="19"/>
        <v>0</v>
      </c>
    </row>
    <row r="441" spans="1:33" x14ac:dyDescent="0.3">
      <c r="A441" s="84" t="s">
        <v>601</v>
      </c>
      <c r="B441" s="93" t="s">
        <v>25</v>
      </c>
      <c r="C441" s="93" t="s">
        <v>535</v>
      </c>
      <c r="D441" s="33" t="s">
        <v>1775</v>
      </c>
      <c r="E441" s="34" t="s">
        <v>602</v>
      </c>
      <c r="F441" s="34" t="s">
        <v>603</v>
      </c>
      <c r="G441" s="34" t="s">
        <v>29</v>
      </c>
      <c r="H441" s="37">
        <v>1</v>
      </c>
      <c r="I441" s="34" t="s">
        <v>30</v>
      </c>
      <c r="J441" s="34" t="s">
        <v>31</v>
      </c>
      <c r="K441" s="34" t="s">
        <v>32</v>
      </c>
      <c r="L441" s="34" t="s">
        <v>1755</v>
      </c>
      <c r="M441" s="34" t="s">
        <v>33</v>
      </c>
      <c r="N441" s="47">
        <v>8</v>
      </c>
      <c r="O441" s="48">
        <v>2</v>
      </c>
      <c r="P441" s="49">
        <v>23</v>
      </c>
      <c r="Q441" s="50">
        <v>19.115588299999999</v>
      </c>
      <c r="R441" s="50">
        <v>-97.947517199999993</v>
      </c>
      <c r="S441" s="66" t="s">
        <v>34</v>
      </c>
      <c r="T441" s="66" t="s">
        <v>175</v>
      </c>
      <c r="U441" s="66" t="s">
        <v>213</v>
      </c>
      <c r="V441" s="66" t="s">
        <v>213</v>
      </c>
      <c r="W441" s="66"/>
      <c r="X441" s="66"/>
      <c r="Y441" s="66"/>
      <c r="Z441" s="66"/>
      <c r="AA441" s="66"/>
      <c r="AB441" s="67" t="s">
        <v>1795</v>
      </c>
      <c r="AC441" s="87">
        <f t="shared" si="21"/>
        <v>0.31481481481481477</v>
      </c>
      <c r="AD441" s="91">
        <v>7</v>
      </c>
      <c r="AE441" s="64" t="s">
        <v>1844</v>
      </c>
      <c r="AF441">
        <f t="shared" si="20"/>
        <v>0</v>
      </c>
      <c r="AG441">
        <f t="shared" si="19"/>
        <v>0</v>
      </c>
    </row>
    <row r="442" spans="1:33" x14ac:dyDescent="0.3">
      <c r="A442" s="84" t="s">
        <v>604</v>
      </c>
      <c r="B442" s="93" t="s">
        <v>25</v>
      </c>
      <c r="C442" s="93" t="s">
        <v>535</v>
      </c>
      <c r="D442" s="33" t="s">
        <v>1775</v>
      </c>
      <c r="E442" s="34" t="s">
        <v>554</v>
      </c>
      <c r="F442" s="34" t="s">
        <v>605</v>
      </c>
      <c r="G442" s="34" t="s">
        <v>29</v>
      </c>
      <c r="H442" s="37">
        <v>1</v>
      </c>
      <c r="I442" s="34" t="s">
        <v>30</v>
      </c>
      <c r="J442" s="34" t="s">
        <v>31</v>
      </c>
      <c r="K442" s="34" t="s">
        <v>32</v>
      </c>
      <c r="L442" s="34" t="s">
        <v>1755</v>
      </c>
      <c r="M442" s="34" t="s">
        <v>33</v>
      </c>
      <c r="N442" s="47">
        <v>7</v>
      </c>
      <c r="O442" s="48">
        <v>2</v>
      </c>
      <c r="P442" s="49">
        <v>26</v>
      </c>
      <c r="Q442" s="50">
        <v>18.826962600000002</v>
      </c>
      <c r="R442" s="50">
        <v>-97.537684200000001</v>
      </c>
      <c r="S442" s="66" t="s">
        <v>34</v>
      </c>
      <c r="T442" s="66" t="s">
        <v>175</v>
      </c>
      <c r="U442" s="66" t="s">
        <v>213</v>
      </c>
      <c r="V442" s="66" t="s">
        <v>35</v>
      </c>
      <c r="W442" s="66"/>
      <c r="X442" s="66" t="s">
        <v>175</v>
      </c>
      <c r="Y442" s="66"/>
      <c r="Z442" s="66"/>
      <c r="AA442" s="66"/>
      <c r="AB442" s="67" t="s">
        <v>1795</v>
      </c>
      <c r="AC442" s="87">
        <f t="shared" si="21"/>
        <v>0.40740740740740738</v>
      </c>
      <c r="AD442" s="91">
        <v>7</v>
      </c>
      <c r="AE442" s="64" t="s">
        <v>1844</v>
      </c>
      <c r="AF442">
        <f t="shared" si="20"/>
        <v>0</v>
      </c>
      <c r="AG442">
        <f t="shared" si="19"/>
        <v>0</v>
      </c>
    </row>
    <row r="443" spans="1:33" x14ac:dyDescent="0.3">
      <c r="A443" s="84" t="s">
        <v>606</v>
      </c>
      <c r="B443" s="93" t="s">
        <v>25</v>
      </c>
      <c r="C443" s="93" t="s">
        <v>535</v>
      </c>
      <c r="D443" s="33" t="s">
        <v>1775</v>
      </c>
      <c r="E443" s="34" t="s">
        <v>607</v>
      </c>
      <c r="F443" s="34" t="s">
        <v>608</v>
      </c>
      <c r="G443" s="34" t="s">
        <v>29</v>
      </c>
      <c r="H443" s="37">
        <v>1</v>
      </c>
      <c r="I443" s="34" t="s">
        <v>30</v>
      </c>
      <c r="J443" s="34" t="s">
        <v>31</v>
      </c>
      <c r="K443" s="34" t="s">
        <v>32</v>
      </c>
      <c r="L443" s="34" t="s">
        <v>1755</v>
      </c>
      <c r="M443" s="34" t="s">
        <v>33</v>
      </c>
      <c r="N443" s="47">
        <v>8</v>
      </c>
      <c r="O443" s="48">
        <v>3</v>
      </c>
      <c r="P443" s="49">
        <v>43</v>
      </c>
      <c r="Q443" s="50">
        <v>20.256616900000001</v>
      </c>
      <c r="R443" s="50">
        <v>-97.965180399999994</v>
      </c>
      <c r="S443" s="66" t="s">
        <v>34</v>
      </c>
      <c r="T443" s="66" t="s">
        <v>175</v>
      </c>
      <c r="U443" s="66" t="s">
        <v>35</v>
      </c>
      <c r="V443" s="66" t="s">
        <v>213</v>
      </c>
      <c r="W443" s="66" t="s">
        <v>35</v>
      </c>
      <c r="X443" s="66"/>
      <c r="Y443" s="66"/>
      <c r="Z443" s="66"/>
      <c r="AA443" s="66"/>
      <c r="AB443" s="67" t="s">
        <v>1795</v>
      </c>
      <c r="AC443" s="87">
        <f t="shared" si="21"/>
        <v>0.46296296296296291</v>
      </c>
      <c r="AD443" s="91">
        <v>7</v>
      </c>
      <c r="AE443" s="64" t="s">
        <v>1844</v>
      </c>
      <c r="AF443">
        <f t="shared" si="20"/>
        <v>0</v>
      </c>
      <c r="AG443">
        <f t="shared" si="19"/>
        <v>0</v>
      </c>
    </row>
    <row r="444" spans="1:33" x14ac:dyDescent="0.3">
      <c r="A444" s="84" t="s">
        <v>609</v>
      </c>
      <c r="B444" s="93" t="s">
        <v>25</v>
      </c>
      <c r="C444" s="93" t="s">
        <v>535</v>
      </c>
      <c r="D444" s="33" t="s">
        <v>1775</v>
      </c>
      <c r="E444" s="34" t="s">
        <v>610</v>
      </c>
      <c r="F444" s="34" t="s">
        <v>611</v>
      </c>
      <c r="G444" s="34" t="s">
        <v>29</v>
      </c>
      <c r="H444" s="37">
        <v>1</v>
      </c>
      <c r="I444" s="34" t="s">
        <v>30</v>
      </c>
      <c r="J444" s="34" t="s">
        <v>31</v>
      </c>
      <c r="K444" s="34" t="s">
        <v>32</v>
      </c>
      <c r="L444" s="34" t="s">
        <v>1755</v>
      </c>
      <c r="M444" s="34" t="s">
        <v>33</v>
      </c>
      <c r="N444" s="47">
        <v>8</v>
      </c>
      <c r="O444" s="48">
        <v>2</v>
      </c>
      <c r="P444" s="49">
        <v>19</v>
      </c>
      <c r="Q444" s="50">
        <v>19.256586500000001</v>
      </c>
      <c r="R444" s="50">
        <v>-97.1398923</v>
      </c>
      <c r="S444" s="66" t="s">
        <v>34</v>
      </c>
      <c r="T444" s="66" t="s">
        <v>175</v>
      </c>
      <c r="U444" s="66" t="s">
        <v>35</v>
      </c>
      <c r="V444" s="66" t="s">
        <v>213</v>
      </c>
      <c r="W444" s="66" t="s">
        <v>35</v>
      </c>
      <c r="X444" s="66"/>
      <c r="Y444" s="66"/>
      <c r="Z444" s="66"/>
      <c r="AA444" s="66"/>
      <c r="AB444" s="67" t="s">
        <v>1795</v>
      </c>
      <c r="AC444" s="87">
        <f t="shared" si="21"/>
        <v>0.46296296296296291</v>
      </c>
      <c r="AD444" s="91">
        <v>7</v>
      </c>
      <c r="AE444" s="64" t="s">
        <v>1844</v>
      </c>
      <c r="AF444">
        <f t="shared" si="20"/>
        <v>0</v>
      </c>
      <c r="AG444">
        <f t="shared" si="19"/>
        <v>0</v>
      </c>
    </row>
    <row r="445" spans="1:33" x14ac:dyDescent="0.3">
      <c r="A445" s="84" t="s">
        <v>1271</v>
      </c>
      <c r="B445" s="93" t="s">
        <v>25</v>
      </c>
      <c r="C445" s="93" t="s">
        <v>535</v>
      </c>
      <c r="D445" s="33" t="s">
        <v>1775</v>
      </c>
      <c r="E445" s="34" t="s">
        <v>1272</v>
      </c>
      <c r="F445" s="34" t="s">
        <v>1273</v>
      </c>
      <c r="G445" s="34" t="s">
        <v>111</v>
      </c>
      <c r="H445" s="37">
        <v>1</v>
      </c>
      <c r="I445" s="34" t="s">
        <v>112</v>
      </c>
      <c r="J445" s="34" t="s">
        <v>31</v>
      </c>
      <c r="K445" s="34" t="s">
        <v>32</v>
      </c>
      <c r="L445" s="34" t="s">
        <v>1755</v>
      </c>
      <c r="M445" s="34" t="s">
        <v>33</v>
      </c>
      <c r="N445" s="47">
        <v>14</v>
      </c>
      <c r="O445" s="48">
        <v>3</v>
      </c>
      <c r="P445" s="49">
        <v>57</v>
      </c>
      <c r="Q445" s="50">
        <v>18.993343299999999</v>
      </c>
      <c r="R445" s="50">
        <v>-97.904352900000006</v>
      </c>
      <c r="S445" s="66" t="s">
        <v>34</v>
      </c>
      <c r="T445" s="66" t="s">
        <v>175</v>
      </c>
      <c r="U445" s="66" t="s">
        <v>213</v>
      </c>
      <c r="V445" s="66" t="s">
        <v>213</v>
      </c>
      <c r="W445" s="66"/>
      <c r="X445" s="66"/>
      <c r="Y445" s="66"/>
      <c r="Z445" s="66"/>
      <c r="AA445" s="66"/>
      <c r="AB445" s="67" t="s">
        <v>1795</v>
      </c>
      <c r="AC445" s="87">
        <f t="shared" si="21"/>
        <v>0.31481481481481477</v>
      </c>
      <c r="AD445" s="91">
        <v>7</v>
      </c>
      <c r="AE445" s="64" t="s">
        <v>1844</v>
      </c>
      <c r="AF445">
        <f t="shared" si="20"/>
        <v>0</v>
      </c>
      <c r="AG445">
        <f t="shared" si="19"/>
        <v>0</v>
      </c>
    </row>
    <row r="446" spans="1:33" x14ac:dyDescent="0.3">
      <c r="A446" s="84" t="s">
        <v>1274</v>
      </c>
      <c r="B446" s="93" t="s">
        <v>25</v>
      </c>
      <c r="C446" s="93" t="s">
        <v>535</v>
      </c>
      <c r="D446" s="33" t="s">
        <v>1775</v>
      </c>
      <c r="E446" s="34" t="s">
        <v>1275</v>
      </c>
      <c r="F446" s="34" t="s">
        <v>1276</v>
      </c>
      <c r="G446" s="34" t="s">
        <v>111</v>
      </c>
      <c r="H446" s="37">
        <v>1</v>
      </c>
      <c r="I446" s="34" t="s">
        <v>112</v>
      </c>
      <c r="J446" s="34" t="s">
        <v>31</v>
      </c>
      <c r="K446" s="34" t="s">
        <v>32</v>
      </c>
      <c r="L446" s="34" t="s">
        <v>1755</v>
      </c>
      <c r="M446" s="34" t="s">
        <v>33</v>
      </c>
      <c r="N446" s="47">
        <v>13</v>
      </c>
      <c r="O446" s="48">
        <v>3</v>
      </c>
      <c r="P446" s="49">
        <v>95</v>
      </c>
      <c r="Q446" s="50">
        <v>19.919967</v>
      </c>
      <c r="R446" s="50">
        <v>-97.962584399999997</v>
      </c>
      <c r="S446" s="66" t="s">
        <v>34</v>
      </c>
      <c r="T446" s="66" t="s">
        <v>175</v>
      </c>
      <c r="U446" s="66" t="s">
        <v>35</v>
      </c>
      <c r="V446" s="66" t="s">
        <v>213</v>
      </c>
      <c r="W446" s="66" t="s">
        <v>175</v>
      </c>
      <c r="X446" s="66"/>
      <c r="Y446" s="66"/>
      <c r="Z446" s="66"/>
      <c r="AA446" s="66"/>
      <c r="AB446" s="67" t="s">
        <v>1795</v>
      </c>
      <c r="AC446" s="87">
        <f t="shared" si="21"/>
        <v>0.40740740740740738</v>
      </c>
      <c r="AD446" s="91">
        <v>7</v>
      </c>
      <c r="AE446" s="64" t="s">
        <v>1844</v>
      </c>
      <c r="AF446">
        <f t="shared" si="20"/>
        <v>0</v>
      </c>
      <c r="AG446">
        <f t="shared" si="19"/>
        <v>0</v>
      </c>
    </row>
    <row r="447" spans="1:33" x14ac:dyDescent="0.3">
      <c r="A447" s="84" t="s">
        <v>1277</v>
      </c>
      <c r="B447" s="93" t="s">
        <v>25</v>
      </c>
      <c r="C447" s="93" t="s">
        <v>535</v>
      </c>
      <c r="D447" s="33" t="s">
        <v>1775</v>
      </c>
      <c r="E447" s="34" t="s">
        <v>1278</v>
      </c>
      <c r="F447" s="34" t="s">
        <v>1279</v>
      </c>
      <c r="G447" s="34" t="s">
        <v>111</v>
      </c>
      <c r="H447" s="37">
        <v>1</v>
      </c>
      <c r="I447" s="34" t="s">
        <v>112</v>
      </c>
      <c r="J447" s="34" t="s">
        <v>31</v>
      </c>
      <c r="K447" s="34" t="s">
        <v>32</v>
      </c>
      <c r="L447" s="34" t="s">
        <v>1755</v>
      </c>
      <c r="M447" s="34" t="s">
        <v>33</v>
      </c>
      <c r="N447" s="47">
        <v>8</v>
      </c>
      <c r="O447" s="48">
        <v>3</v>
      </c>
      <c r="P447" s="49">
        <v>55</v>
      </c>
      <c r="Q447" s="50">
        <v>20.186311100000001</v>
      </c>
      <c r="R447" s="50">
        <v>-98.069181200000003</v>
      </c>
      <c r="S447" s="66" t="s">
        <v>34</v>
      </c>
      <c r="T447" s="66" t="s">
        <v>175</v>
      </c>
      <c r="U447" s="66" t="s">
        <v>213</v>
      </c>
      <c r="V447" s="66" t="s">
        <v>213</v>
      </c>
      <c r="W447" s="66"/>
      <c r="X447" s="66"/>
      <c r="Y447" s="66"/>
      <c r="Z447" s="66"/>
      <c r="AA447" s="66"/>
      <c r="AB447" s="67" t="s">
        <v>1795</v>
      </c>
      <c r="AC447" s="87">
        <f t="shared" si="21"/>
        <v>0.31481481481481477</v>
      </c>
      <c r="AD447" s="91">
        <v>7</v>
      </c>
      <c r="AE447" s="64" t="s">
        <v>1844</v>
      </c>
      <c r="AF447">
        <f t="shared" si="20"/>
        <v>0</v>
      </c>
      <c r="AG447">
        <f t="shared" si="19"/>
        <v>0</v>
      </c>
    </row>
    <row r="448" spans="1:33" x14ac:dyDescent="0.3">
      <c r="A448" s="84" t="s">
        <v>1283</v>
      </c>
      <c r="B448" s="93" t="s">
        <v>25</v>
      </c>
      <c r="C448" s="93" t="s">
        <v>535</v>
      </c>
      <c r="D448" s="33" t="s">
        <v>1775</v>
      </c>
      <c r="E448" s="34" t="s">
        <v>1284</v>
      </c>
      <c r="F448" s="34" t="s">
        <v>1285</v>
      </c>
      <c r="G448" s="34" t="s">
        <v>111</v>
      </c>
      <c r="H448" s="37">
        <v>1</v>
      </c>
      <c r="I448" s="34" t="s">
        <v>112</v>
      </c>
      <c r="J448" s="34" t="s">
        <v>31</v>
      </c>
      <c r="K448" s="34" t="s">
        <v>32</v>
      </c>
      <c r="L448" s="34" t="s">
        <v>1755</v>
      </c>
      <c r="M448" s="34" t="s">
        <v>84</v>
      </c>
      <c r="N448" s="47">
        <v>17</v>
      </c>
      <c r="O448" s="48">
        <v>3</v>
      </c>
      <c r="P448" s="49">
        <v>59</v>
      </c>
      <c r="Q448" s="50">
        <v>20.009822700000001</v>
      </c>
      <c r="R448" s="50">
        <v>-97.531135000000006</v>
      </c>
      <c r="S448" s="66" t="s">
        <v>34</v>
      </c>
      <c r="T448" s="66" t="s">
        <v>175</v>
      </c>
      <c r="U448" s="66" t="s">
        <v>35</v>
      </c>
      <c r="V448" s="66" t="s">
        <v>35</v>
      </c>
      <c r="W448" s="66" t="s">
        <v>175</v>
      </c>
      <c r="X448" s="66" t="s">
        <v>35</v>
      </c>
      <c r="Y448" s="66"/>
      <c r="Z448" s="66"/>
      <c r="AA448" s="66"/>
      <c r="AB448" s="67" t="s">
        <v>1795</v>
      </c>
      <c r="AC448" s="87">
        <f t="shared" si="21"/>
        <v>0.55555555555555558</v>
      </c>
      <c r="AD448" s="91">
        <v>7</v>
      </c>
      <c r="AE448" s="64" t="s">
        <v>1844</v>
      </c>
      <c r="AF448">
        <f t="shared" si="20"/>
        <v>0</v>
      </c>
      <c r="AG448">
        <f t="shared" si="19"/>
        <v>0</v>
      </c>
    </row>
    <row r="449" spans="1:33" x14ac:dyDescent="0.3">
      <c r="A449" s="84" t="s">
        <v>618</v>
      </c>
      <c r="B449" s="93" t="s">
        <v>25</v>
      </c>
      <c r="C449" s="93" t="s">
        <v>535</v>
      </c>
      <c r="D449" s="33" t="s">
        <v>1775</v>
      </c>
      <c r="E449" s="34" t="s">
        <v>619</v>
      </c>
      <c r="F449" s="34" t="s">
        <v>620</v>
      </c>
      <c r="G449" s="34" t="s">
        <v>29</v>
      </c>
      <c r="H449" s="37">
        <v>1</v>
      </c>
      <c r="I449" s="34" t="s">
        <v>30</v>
      </c>
      <c r="J449" s="34" t="s">
        <v>31</v>
      </c>
      <c r="K449" s="34" t="s">
        <v>32</v>
      </c>
      <c r="L449" s="34" t="s">
        <v>1755</v>
      </c>
      <c r="M449" s="34" t="s">
        <v>33</v>
      </c>
      <c r="N449" s="47">
        <v>8</v>
      </c>
      <c r="O449" s="48">
        <v>2</v>
      </c>
      <c r="P449" s="49">
        <v>32</v>
      </c>
      <c r="Q449" s="50">
        <v>19.818607</v>
      </c>
      <c r="R449" s="50">
        <v>-97.813686000000004</v>
      </c>
      <c r="S449" s="66" t="s">
        <v>34</v>
      </c>
      <c r="T449" s="66" t="s">
        <v>175</v>
      </c>
      <c r="U449" s="66" t="s">
        <v>35</v>
      </c>
      <c r="V449" s="66" t="s">
        <v>213</v>
      </c>
      <c r="W449" s="66" t="s">
        <v>35</v>
      </c>
      <c r="X449" s="66"/>
      <c r="Y449" s="66"/>
      <c r="Z449" s="66"/>
      <c r="AA449" s="66"/>
      <c r="AB449" s="67" t="s">
        <v>1795</v>
      </c>
      <c r="AC449" s="87">
        <f t="shared" si="21"/>
        <v>0.46296296296296291</v>
      </c>
      <c r="AD449" s="91">
        <v>7</v>
      </c>
      <c r="AE449" s="64" t="s">
        <v>1844</v>
      </c>
      <c r="AF449">
        <f t="shared" si="20"/>
        <v>0</v>
      </c>
      <c r="AG449">
        <f t="shared" si="19"/>
        <v>0</v>
      </c>
    </row>
    <row r="450" spans="1:33" x14ac:dyDescent="0.3">
      <c r="A450" s="84" t="s">
        <v>1286</v>
      </c>
      <c r="B450" s="93" t="s">
        <v>25</v>
      </c>
      <c r="C450" s="93" t="s">
        <v>535</v>
      </c>
      <c r="D450" s="33" t="s">
        <v>1775</v>
      </c>
      <c r="E450" s="34" t="s">
        <v>1287</v>
      </c>
      <c r="F450" s="34" t="s">
        <v>1288</v>
      </c>
      <c r="G450" s="34" t="s">
        <v>111</v>
      </c>
      <c r="H450" s="37">
        <v>1</v>
      </c>
      <c r="I450" s="34" t="s">
        <v>112</v>
      </c>
      <c r="J450" s="34" t="s">
        <v>31</v>
      </c>
      <c r="K450" s="34" t="s">
        <v>32</v>
      </c>
      <c r="L450" s="34" t="s">
        <v>1755</v>
      </c>
      <c r="M450" s="34" t="s">
        <v>33</v>
      </c>
      <c r="N450" s="47">
        <v>11</v>
      </c>
      <c r="O450" s="48">
        <v>3</v>
      </c>
      <c r="P450" s="49">
        <v>50</v>
      </c>
      <c r="Q450" s="50">
        <v>18.879314900000001</v>
      </c>
      <c r="R450" s="50">
        <v>-97.714111700000004</v>
      </c>
      <c r="S450" s="66" t="s">
        <v>34</v>
      </c>
      <c r="T450" s="66" t="s">
        <v>175</v>
      </c>
      <c r="U450" s="66" t="s">
        <v>35</v>
      </c>
      <c r="V450" s="66" t="s">
        <v>35</v>
      </c>
      <c r="W450" s="66" t="s">
        <v>35</v>
      </c>
      <c r="X450" s="66" t="s">
        <v>175</v>
      </c>
      <c r="Y450" s="66"/>
      <c r="Z450" s="66"/>
      <c r="AA450" s="66"/>
      <c r="AB450" s="67" t="s">
        <v>1795</v>
      </c>
      <c r="AC450" s="87">
        <f t="shared" si="21"/>
        <v>0.55555555555555558</v>
      </c>
      <c r="AD450" s="91">
        <v>7</v>
      </c>
      <c r="AE450" s="64" t="s">
        <v>1844</v>
      </c>
      <c r="AF450">
        <f t="shared" si="20"/>
        <v>0</v>
      </c>
      <c r="AG450">
        <f t="shared" ref="AG450:AG513" si="22">IF(AND(OR(Z450="SI",Z450="NO APLICA"),OR(AA450="SI",AA450="NO APLICA")),1,0)</f>
        <v>0</v>
      </c>
    </row>
    <row r="451" spans="1:33" x14ac:dyDescent="0.3">
      <c r="A451" s="84" t="s">
        <v>621</v>
      </c>
      <c r="B451" s="93" t="s">
        <v>25</v>
      </c>
      <c r="C451" s="93" t="s">
        <v>535</v>
      </c>
      <c r="D451" s="33" t="s">
        <v>1775</v>
      </c>
      <c r="E451" s="34" t="s">
        <v>622</v>
      </c>
      <c r="F451" s="34" t="s">
        <v>623</v>
      </c>
      <c r="G451" s="34" t="s">
        <v>29</v>
      </c>
      <c r="H451" s="37">
        <v>1</v>
      </c>
      <c r="I451" s="34" t="s">
        <v>30</v>
      </c>
      <c r="J451" s="34" t="s">
        <v>31</v>
      </c>
      <c r="K451" s="34" t="s">
        <v>32</v>
      </c>
      <c r="L451" s="34" t="s">
        <v>1755</v>
      </c>
      <c r="M451" s="34" t="s">
        <v>33</v>
      </c>
      <c r="N451" s="47">
        <v>8</v>
      </c>
      <c r="O451" s="48">
        <v>2</v>
      </c>
      <c r="P451" s="49">
        <v>27</v>
      </c>
      <c r="Q451" s="50">
        <v>20.277867799999999</v>
      </c>
      <c r="R451" s="50">
        <v>-98.1575433</v>
      </c>
      <c r="S451" s="66" t="s">
        <v>34</v>
      </c>
      <c r="T451" s="66" t="s">
        <v>175</v>
      </c>
      <c r="U451" s="66" t="s">
        <v>35</v>
      </c>
      <c r="V451" s="66" t="s">
        <v>35</v>
      </c>
      <c r="W451" s="66" t="s">
        <v>175</v>
      </c>
      <c r="X451" s="66" t="s">
        <v>35</v>
      </c>
      <c r="Y451" s="66"/>
      <c r="Z451" s="66"/>
      <c r="AA451" s="66"/>
      <c r="AB451" s="67" t="s">
        <v>1795</v>
      </c>
      <c r="AC451" s="87">
        <f t="shared" si="21"/>
        <v>0.55555555555555558</v>
      </c>
      <c r="AD451" s="91">
        <v>7</v>
      </c>
      <c r="AE451" s="64" t="s">
        <v>1844</v>
      </c>
      <c r="AF451">
        <f t="shared" ref="AF451:AF514" si="23">IF(OR(AND(Z451="SI",AA451="NO"),AND(Z451="NO",AA451="SI")),1,0)</f>
        <v>0</v>
      </c>
      <c r="AG451">
        <f t="shared" si="22"/>
        <v>0</v>
      </c>
    </row>
    <row r="452" spans="1:33" x14ac:dyDescent="0.3">
      <c r="A452" s="84" t="s">
        <v>624</v>
      </c>
      <c r="B452" s="93" t="s">
        <v>25</v>
      </c>
      <c r="C452" s="93" t="s">
        <v>535</v>
      </c>
      <c r="D452" s="33" t="s">
        <v>1775</v>
      </c>
      <c r="E452" s="34" t="s">
        <v>625</v>
      </c>
      <c r="F452" s="34" t="s">
        <v>626</v>
      </c>
      <c r="G452" s="34" t="s">
        <v>29</v>
      </c>
      <c r="H452" s="37">
        <v>1</v>
      </c>
      <c r="I452" s="34" t="s">
        <v>30</v>
      </c>
      <c r="J452" s="34" t="s">
        <v>31</v>
      </c>
      <c r="K452" s="34" t="s">
        <v>32</v>
      </c>
      <c r="L452" s="34" t="s">
        <v>1755</v>
      </c>
      <c r="M452" s="34" t="s">
        <v>33</v>
      </c>
      <c r="N452" s="47">
        <v>9</v>
      </c>
      <c r="O452" s="48">
        <v>2</v>
      </c>
      <c r="P452" s="49">
        <v>24</v>
      </c>
      <c r="Q452" s="50">
        <v>20.477243999999999</v>
      </c>
      <c r="R452" s="50">
        <v>-97.685379999999995</v>
      </c>
      <c r="S452" s="66" t="s">
        <v>34</v>
      </c>
      <c r="T452" s="66" t="s">
        <v>175</v>
      </c>
      <c r="U452" s="66" t="s">
        <v>213</v>
      </c>
      <c r="V452" s="66" t="s">
        <v>35</v>
      </c>
      <c r="W452" s="66"/>
      <c r="X452" s="66" t="s">
        <v>175</v>
      </c>
      <c r="Y452" s="66"/>
      <c r="Z452" s="66"/>
      <c r="AA452" s="66"/>
      <c r="AB452" s="67" t="s">
        <v>1795</v>
      </c>
      <c r="AC452" s="87">
        <f t="shared" si="21"/>
        <v>0.40740740740740738</v>
      </c>
      <c r="AD452" s="91">
        <v>7</v>
      </c>
      <c r="AE452" s="64" t="s">
        <v>1844</v>
      </c>
      <c r="AF452">
        <f t="shared" si="23"/>
        <v>0</v>
      </c>
      <c r="AG452">
        <f t="shared" si="22"/>
        <v>0</v>
      </c>
    </row>
    <row r="453" spans="1:33" x14ac:dyDescent="0.3">
      <c r="A453" s="84" t="s">
        <v>646</v>
      </c>
      <c r="B453" s="93" t="s">
        <v>25</v>
      </c>
      <c r="C453" s="93" t="s">
        <v>1779</v>
      </c>
      <c r="D453" s="33" t="s">
        <v>1775</v>
      </c>
      <c r="E453" s="34" t="s">
        <v>648</v>
      </c>
      <c r="F453" s="34" t="s">
        <v>649</v>
      </c>
      <c r="G453" s="34" t="s">
        <v>29</v>
      </c>
      <c r="H453" s="37">
        <v>1</v>
      </c>
      <c r="I453" s="34" t="s">
        <v>30</v>
      </c>
      <c r="J453" s="34" t="s">
        <v>31</v>
      </c>
      <c r="K453" s="34" t="s">
        <v>32</v>
      </c>
      <c r="L453" s="34" t="s">
        <v>1755</v>
      </c>
      <c r="M453" s="34" t="s">
        <v>33</v>
      </c>
      <c r="N453" s="47">
        <v>7</v>
      </c>
      <c r="O453" s="48">
        <v>3</v>
      </c>
      <c r="P453" s="49">
        <v>28</v>
      </c>
      <c r="Q453" s="50">
        <v>21.625724000000002</v>
      </c>
      <c r="R453" s="50">
        <v>-99.016046000000003</v>
      </c>
      <c r="S453" s="66" t="s">
        <v>34</v>
      </c>
      <c r="T453" s="66" t="s">
        <v>175</v>
      </c>
      <c r="U453" s="66" t="s">
        <v>213</v>
      </c>
      <c r="V453" s="66" t="s">
        <v>213</v>
      </c>
      <c r="W453" s="66"/>
      <c r="X453" s="66"/>
      <c r="Y453" s="66" t="s">
        <v>36</v>
      </c>
      <c r="Z453" s="66"/>
      <c r="AA453" s="66"/>
      <c r="AB453" s="67"/>
      <c r="AC453" s="87">
        <f t="shared" si="21"/>
        <v>0.42592592592592587</v>
      </c>
      <c r="AD453" s="91">
        <v>5</v>
      </c>
      <c r="AE453" s="105" t="s">
        <v>1845</v>
      </c>
      <c r="AF453">
        <f t="shared" si="23"/>
        <v>0</v>
      </c>
      <c r="AG453">
        <f t="shared" si="22"/>
        <v>0</v>
      </c>
    </row>
    <row r="454" spans="1:33" x14ac:dyDescent="0.3">
      <c r="A454" s="84" t="s">
        <v>650</v>
      </c>
      <c r="B454" s="93" t="s">
        <v>25</v>
      </c>
      <c r="C454" s="93" t="s">
        <v>1779</v>
      </c>
      <c r="D454" s="33" t="s">
        <v>1775</v>
      </c>
      <c r="E454" s="34" t="s">
        <v>651</v>
      </c>
      <c r="F454" s="34" t="s">
        <v>652</v>
      </c>
      <c r="G454" s="34" t="s">
        <v>29</v>
      </c>
      <c r="H454" s="37">
        <v>1</v>
      </c>
      <c r="I454" s="34" t="s">
        <v>30</v>
      </c>
      <c r="J454" s="34" t="s">
        <v>31</v>
      </c>
      <c r="K454" s="34" t="s">
        <v>32</v>
      </c>
      <c r="L454" s="34" t="s">
        <v>1755</v>
      </c>
      <c r="M454" s="34" t="s">
        <v>33</v>
      </c>
      <c r="N454" s="47">
        <v>6</v>
      </c>
      <c r="O454" s="48">
        <v>1</v>
      </c>
      <c r="P454" s="49">
        <v>16</v>
      </c>
      <c r="Q454" s="50">
        <v>22.399570000000001</v>
      </c>
      <c r="R454" s="50">
        <v>-99.606881999999999</v>
      </c>
      <c r="S454" s="66" t="s">
        <v>34</v>
      </c>
      <c r="T454" s="66" t="s">
        <v>175</v>
      </c>
      <c r="U454" s="66" t="s">
        <v>213</v>
      </c>
      <c r="V454" s="66" t="s">
        <v>213</v>
      </c>
      <c r="W454" s="66"/>
      <c r="X454" s="66"/>
      <c r="Y454" s="66" t="s">
        <v>36</v>
      </c>
      <c r="Z454" s="66"/>
      <c r="AA454" s="66"/>
      <c r="AB454" s="67"/>
      <c r="AC454" s="87">
        <f t="shared" si="21"/>
        <v>0.42592592592592587</v>
      </c>
      <c r="AD454" s="91">
        <v>5</v>
      </c>
      <c r="AE454" s="105" t="s">
        <v>1845</v>
      </c>
      <c r="AF454">
        <f t="shared" si="23"/>
        <v>0</v>
      </c>
      <c r="AG454">
        <f t="shared" si="22"/>
        <v>0</v>
      </c>
    </row>
    <row r="455" spans="1:33" x14ac:dyDescent="0.3">
      <c r="A455" s="84" t="s">
        <v>1304</v>
      </c>
      <c r="B455" s="93" t="s">
        <v>25</v>
      </c>
      <c r="C455" s="93" t="s">
        <v>1779</v>
      </c>
      <c r="D455" s="33" t="s">
        <v>1775</v>
      </c>
      <c r="E455" s="34" t="s">
        <v>1305</v>
      </c>
      <c r="F455" s="34" t="s">
        <v>1306</v>
      </c>
      <c r="G455" s="34" t="s">
        <v>111</v>
      </c>
      <c r="H455" s="37">
        <v>1</v>
      </c>
      <c r="I455" s="34" t="s">
        <v>112</v>
      </c>
      <c r="J455" s="34" t="s">
        <v>31</v>
      </c>
      <c r="K455" s="34" t="s">
        <v>32</v>
      </c>
      <c r="L455" s="34" t="s">
        <v>1755</v>
      </c>
      <c r="M455" s="34" t="s">
        <v>33</v>
      </c>
      <c r="N455" s="47">
        <v>13</v>
      </c>
      <c r="O455" s="48">
        <v>6</v>
      </c>
      <c r="P455" s="49">
        <v>206</v>
      </c>
      <c r="Q455" s="50">
        <v>21.948257000000002</v>
      </c>
      <c r="R455" s="50">
        <v>-98.993797999999998</v>
      </c>
      <c r="S455" s="66" t="s">
        <v>34</v>
      </c>
      <c r="T455" s="66" t="s">
        <v>175</v>
      </c>
      <c r="U455" s="66" t="s">
        <v>213</v>
      </c>
      <c r="V455" s="66" t="s">
        <v>213</v>
      </c>
      <c r="W455" s="66"/>
      <c r="X455" s="66"/>
      <c r="Y455" s="66" t="s">
        <v>36</v>
      </c>
      <c r="Z455" s="66"/>
      <c r="AA455" s="66"/>
      <c r="AB455" s="67"/>
      <c r="AC455" s="87">
        <f t="shared" si="21"/>
        <v>0.42592592592592587</v>
      </c>
      <c r="AD455" s="91">
        <v>5</v>
      </c>
      <c r="AE455" s="105" t="s">
        <v>1845</v>
      </c>
      <c r="AF455">
        <f t="shared" si="23"/>
        <v>0</v>
      </c>
      <c r="AG455">
        <f t="shared" si="22"/>
        <v>0</v>
      </c>
    </row>
    <row r="456" spans="1:33" x14ac:dyDescent="0.3">
      <c r="A456" s="84" t="s">
        <v>1307</v>
      </c>
      <c r="B456" s="93" t="s">
        <v>25</v>
      </c>
      <c r="C456" s="93" t="s">
        <v>1779</v>
      </c>
      <c r="D456" s="33" t="s">
        <v>1775</v>
      </c>
      <c r="E456" s="34" t="s">
        <v>1308</v>
      </c>
      <c r="F456" s="34" t="s">
        <v>1309</v>
      </c>
      <c r="G456" s="34" t="s">
        <v>111</v>
      </c>
      <c r="H456" s="37">
        <v>1</v>
      </c>
      <c r="I456" s="34" t="s">
        <v>112</v>
      </c>
      <c r="J456" s="34" t="s">
        <v>31</v>
      </c>
      <c r="K456" s="34" t="s">
        <v>32</v>
      </c>
      <c r="L456" s="34" t="s">
        <v>1755</v>
      </c>
      <c r="M456" s="34" t="s">
        <v>33</v>
      </c>
      <c r="N456" s="47">
        <v>17</v>
      </c>
      <c r="O456" s="48">
        <v>4</v>
      </c>
      <c r="P456" s="49">
        <v>130</v>
      </c>
      <c r="Q456" s="50">
        <v>21.919696399999999</v>
      </c>
      <c r="R456" s="50">
        <v>-99.991885100000005</v>
      </c>
      <c r="S456" s="66" t="s">
        <v>34</v>
      </c>
      <c r="T456" s="66" t="s">
        <v>175</v>
      </c>
      <c r="U456" s="66" t="s">
        <v>213</v>
      </c>
      <c r="V456" s="66" t="s">
        <v>213</v>
      </c>
      <c r="W456" s="66"/>
      <c r="X456" s="66"/>
      <c r="Y456" s="66" t="s">
        <v>36</v>
      </c>
      <c r="Z456" s="66"/>
      <c r="AA456" s="66"/>
      <c r="AB456" s="67"/>
      <c r="AC456" s="87">
        <f t="shared" si="21"/>
        <v>0.42592592592592587</v>
      </c>
      <c r="AD456" s="91">
        <v>5</v>
      </c>
      <c r="AE456" s="105" t="s">
        <v>1845</v>
      </c>
      <c r="AF456">
        <f t="shared" si="23"/>
        <v>0</v>
      </c>
      <c r="AG456">
        <f t="shared" si="22"/>
        <v>0</v>
      </c>
    </row>
    <row r="457" spans="1:33" x14ac:dyDescent="0.3">
      <c r="A457" s="84" t="s">
        <v>653</v>
      </c>
      <c r="B457" s="93" t="s">
        <v>25</v>
      </c>
      <c r="C457" s="93" t="s">
        <v>1779</v>
      </c>
      <c r="D457" s="33" t="s">
        <v>1775</v>
      </c>
      <c r="E457" s="34" t="s">
        <v>654</v>
      </c>
      <c r="F457" s="34" t="s">
        <v>655</v>
      </c>
      <c r="G457" s="34" t="s">
        <v>29</v>
      </c>
      <c r="H457" s="37">
        <v>1</v>
      </c>
      <c r="I457" s="34" t="s">
        <v>30</v>
      </c>
      <c r="J457" s="34" t="s">
        <v>31</v>
      </c>
      <c r="K457" s="34" t="s">
        <v>32</v>
      </c>
      <c r="L457" s="34" t="s">
        <v>1755</v>
      </c>
      <c r="M457" s="34" t="s">
        <v>33</v>
      </c>
      <c r="N457" s="47">
        <v>8</v>
      </c>
      <c r="O457" s="48">
        <v>1</v>
      </c>
      <c r="P457" s="49">
        <v>22</v>
      </c>
      <c r="Q457" s="50">
        <v>22.618849999999998</v>
      </c>
      <c r="R457" s="50">
        <v>-101.72011999999999</v>
      </c>
      <c r="S457" s="66" t="s">
        <v>34</v>
      </c>
      <c r="T457" s="66" t="s">
        <v>175</v>
      </c>
      <c r="U457" s="66" t="s">
        <v>213</v>
      </c>
      <c r="V457" s="66" t="s">
        <v>213</v>
      </c>
      <c r="W457" s="66"/>
      <c r="X457" s="66"/>
      <c r="Y457" s="66" t="s">
        <v>36</v>
      </c>
      <c r="Z457" s="66"/>
      <c r="AA457" s="66"/>
      <c r="AB457" s="67"/>
      <c r="AC457" s="87">
        <f t="shared" si="21"/>
        <v>0.42592592592592587</v>
      </c>
      <c r="AD457" s="91">
        <v>5</v>
      </c>
      <c r="AE457" s="105" t="s">
        <v>1845</v>
      </c>
      <c r="AF457">
        <f t="shared" si="23"/>
        <v>0</v>
      </c>
      <c r="AG457">
        <f t="shared" si="22"/>
        <v>0</v>
      </c>
    </row>
    <row r="458" spans="1:33" x14ac:dyDescent="0.3">
      <c r="A458" s="84" t="s">
        <v>1698</v>
      </c>
      <c r="B458" s="93" t="s">
        <v>25</v>
      </c>
      <c r="C458" s="93" t="s">
        <v>1779</v>
      </c>
      <c r="D458" s="33" t="s">
        <v>1775</v>
      </c>
      <c r="E458" s="34" t="s">
        <v>1316</v>
      </c>
      <c r="F458" s="34" t="s">
        <v>1699</v>
      </c>
      <c r="G458" s="34" t="s">
        <v>169</v>
      </c>
      <c r="H458" s="37">
        <v>2</v>
      </c>
      <c r="I458" s="34" t="s">
        <v>170</v>
      </c>
      <c r="J458" s="34" t="s">
        <v>31</v>
      </c>
      <c r="K458" s="34" t="s">
        <v>32</v>
      </c>
      <c r="L458" s="34" t="s">
        <v>1755</v>
      </c>
      <c r="M458" s="34" t="s">
        <v>33</v>
      </c>
      <c r="N458" s="47">
        <v>20</v>
      </c>
      <c r="O458" s="48">
        <v>0</v>
      </c>
      <c r="P458" s="49">
        <v>92</v>
      </c>
      <c r="Q458" s="50">
        <v>22.209494899999999</v>
      </c>
      <c r="R458" s="50">
        <v>-100.9015162</v>
      </c>
      <c r="S458" s="66" t="s">
        <v>34</v>
      </c>
      <c r="T458" s="66" t="s">
        <v>175</v>
      </c>
      <c r="U458" s="66" t="s">
        <v>213</v>
      </c>
      <c r="V458" s="66" t="s">
        <v>213</v>
      </c>
      <c r="W458" s="66"/>
      <c r="X458" s="66"/>
      <c r="Y458" s="66" t="s">
        <v>36</v>
      </c>
      <c r="Z458" s="66"/>
      <c r="AA458" s="66"/>
      <c r="AB458" s="67"/>
      <c r="AC458" s="87">
        <f t="shared" si="21"/>
        <v>0.42592592592592587</v>
      </c>
      <c r="AD458" s="91">
        <v>5</v>
      </c>
      <c r="AE458" s="105" t="s">
        <v>1845</v>
      </c>
      <c r="AF458">
        <f t="shared" si="23"/>
        <v>0</v>
      </c>
      <c r="AG458">
        <f t="shared" si="22"/>
        <v>0</v>
      </c>
    </row>
    <row r="459" spans="1:33" x14ac:dyDescent="0.3">
      <c r="A459" s="84" t="s">
        <v>656</v>
      </c>
      <c r="B459" s="93" t="s">
        <v>25</v>
      </c>
      <c r="C459" s="93" t="s">
        <v>1779</v>
      </c>
      <c r="D459" s="33" t="s">
        <v>1775</v>
      </c>
      <c r="E459" s="34" t="s">
        <v>657</v>
      </c>
      <c r="F459" s="34" t="s">
        <v>658</v>
      </c>
      <c r="G459" s="34" t="s">
        <v>29</v>
      </c>
      <c r="H459" s="37">
        <v>1</v>
      </c>
      <c r="I459" s="34" t="s">
        <v>30</v>
      </c>
      <c r="J459" s="34" t="s">
        <v>31</v>
      </c>
      <c r="K459" s="34" t="s">
        <v>32</v>
      </c>
      <c r="L459" s="34" t="s">
        <v>1755</v>
      </c>
      <c r="M459" s="34" t="s">
        <v>33</v>
      </c>
      <c r="N459" s="47">
        <v>6</v>
      </c>
      <c r="O459" s="48">
        <v>1</v>
      </c>
      <c r="P459" s="49">
        <v>20</v>
      </c>
      <c r="Q459" s="50">
        <v>21.277280000000001</v>
      </c>
      <c r="R459" s="50">
        <v>-98.75067</v>
      </c>
      <c r="S459" s="66" t="s">
        <v>34</v>
      </c>
      <c r="T459" s="66" t="s">
        <v>175</v>
      </c>
      <c r="U459" s="66" t="s">
        <v>213</v>
      </c>
      <c r="V459" s="66" t="s">
        <v>213</v>
      </c>
      <c r="W459" s="66"/>
      <c r="X459" s="66"/>
      <c r="Y459" s="66" t="s">
        <v>36</v>
      </c>
      <c r="Z459" s="66"/>
      <c r="AA459" s="66"/>
      <c r="AB459" s="67"/>
      <c r="AC459" s="87">
        <f t="shared" si="21"/>
        <v>0.42592592592592587</v>
      </c>
      <c r="AD459" s="91">
        <v>5</v>
      </c>
      <c r="AE459" s="105" t="s">
        <v>1845</v>
      </c>
      <c r="AF459">
        <f t="shared" si="23"/>
        <v>0</v>
      </c>
      <c r="AG459">
        <f t="shared" si="22"/>
        <v>0</v>
      </c>
    </row>
    <row r="460" spans="1:33" x14ac:dyDescent="0.3">
      <c r="A460" s="84" t="s">
        <v>659</v>
      </c>
      <c r="B460" s="93" t="s">
        <v>25</v>
      </c>
      <c r="C460" s="93" t="s">
        <v>1779</v>
      </c>
      <c r="D460" s="33" t="s">
        <v>1775</v>
      </c>
      <c r="E460" s="34" t="s">
        <v>660</v>
      </c>
      <c r="F460" s="34" t="s">
        <v>661</v>
      </c>
      <c r="G460" s="34" t="s">
        <v>29</v>
      </c>
      <c r="H460" s="37">
        <v>1</v>
      </c>
      <c r="I460" s="34" t="s">
        <v>30</v>
      </c>
      <c r="J460" s="34" t="s">
        <v>31</v>
      </c>
      <c r="K460" s="34" t="s">
        <v>32</v>
      </c>
      <c r="L460" s="34" t="s">
        <v>1755</v>
      </c>
      <c r="M460" s="34" t="s">
        <v>33</v>
      </c>
      <c r="N460" s="47">
        <v>7</v>
      </c>
      <c r="O460" s="48">
        <v>1</v>
      </c>
      <c r="P460" s="49">
        <v>17</v>
      </c>
      <c r="Q460" s="50">
        <v>22.639489999999999</v>
      </c>
      <c r="R460" s="50">
        <v>-100.83897</v>
      </c>
      <c r="S460" s="66" t="s">
        <v>34</v>
      </c>
      <c r="T460" s="66" t="s">
        <v>175</v>
      </c>
      <c r="U460" s="66" t="s">
        <v>213</v>
      </c>
      <c r="V460" s="66" t="s">
        <v>213</v>
      </c>
      <c r="W460" s="66"/>
      <c r="X460" s="66"/>
      <c r="Y460" s="66" t="s">
        <v>36</v>
      </c>
      <c r="Z460" s="66"/>
      <c r="AA460" s="66"/>
      <c r="AB460" s="67"/>
      <c r="AC460" s="87">
        <f t="shared" si="21"/>
        <v>0.42592592592592587</v>
      </c>
      <c r="AD460" s="91">
        <v>5</v>
      </c>
      <c r="AE460" s="105" t="s">
        <v>1845</v>
      </c>
      <c r="AF460">
        <f t="shared" si="23"/>
        <v>0</v>
      </c>
      <c r="AG460">
        <f t="shared" si="22"/>
        <v>0</v>
      </c>
    </row>
    <row r="461" spans="1:33" x14ac:dyDescent="0.3">
      <c r="A461" s="84" t="s">
        <v>662</v>
      </c>
      <c r="B461" s="93" t="s">
        <v>25</v>
      </c>
      <c r="C461" s="93" t="s">
        <v>1779</v>
      </c>
      <c r="D461" s="33" t="s">
        <v>1775</v>
      </c>
      <c r="E461" s="34" t="s">
        <v>663</v>
      </c>
      <c r="F461" s="34" t="s">
        <v>664</v>
      </c>
      <c r="G461" s="34" t="s">
        <v>29</v>
      </c>
      <c r="H461" s="37">
        <v>1</v>
      </c>
      <c r="I461" s="34" t="s">
        <v>30</v>
      </c>
      <c r="J461" s="34" t="s">
        <v>31</v>
      </c>
      <c r="K461" s="34" t="s">
        <v>32</v>
      </c>
      <c r="L461" s="34" t="s">
        <v>1755</v>
      </c>
      <c r="M461" s="34" t="s">
        <v>84</v>
      </c>
      <c r="N461" s="47">
        <v>9</v>
      </c>
      <c r="O461" s="48">
        <v>2</v>
      </c>
      <c r="P461" s="49">
        <v>38</v>
      </c>
      <c r="Q461" s="50">
        <v>22.2149444</v>
      </c>
      <c r="R461" s="50">
        <v>-98.379060999999993</v>
      </c>
      <c r="S461" s="66" t="s">
        <v>34</v>
      </c>
      <c r="T461" s="66" t="s">
        <v>175</v>
      </c>
      <c r="U461" s="66" t="s">
        <v>213</v>
      </c>
      <c r="V461" s="66" t="s">
        <v>213</v>
      </c>
      <c r="W461" s="66"/>
      <c r="X461" s="66"/>
      <c r="Y461" s="66" t="s">
        <v>36</v>
      </c>
      <c r="Z461" s="66"/>
      <c r="AA461" s="66"/>
      <c r="AB461" s="67"/>
      <c r="AC461" s="87">
        <f t="shared" si="21"/>
        <v>0.42592592592592587</v>
      </c>
      <c r="AD461" s="91">
        <v>5</v>
      </c>
      <c r="AE461" s="105" t="s">
        <v>1845</v>
      </c>
      <c r="AF461">
        <f t="shared" si="23"/>
        <v>0</v>
      </c>
      <c r="AG461">
        <f t="shared" si="22"/>
        <v>0</v>
      </c>
    </row>
    <row r="462" spans="1:33" x14ac:dyDescent="0.3">
      <c r="A462" s="84" t="s">
        <v>1310</v>
      </c>
      <c r="B462" s="93" t="s">
        <v>25</v>
      </c>
      <c r="C462" s="93" t="s">
        <v>1779</v>
      </c>
      <c r="D462" s="33" t="s">
        <v>1775</v>
      </c>
      <c r="E462" s="34" t="s">
        <v>1311</v>
      </c>
      <c r="F462" s="34" t="s">
        <v>1312</v>
      </c>
      <c r="G462" s="34" t="s">
        <v>111</v>
      </c>
      <c r="H462" s="37">
        <v>1</v>
      </c>
      <c r="I462" s="34" t="s">
        <v>112</v>
      </c>
      <c r="J462" s="34" t="s">
        <v>31</v>
      </c>
      <c r="K462" s="34" t="s">
        <v>32</v>
      </c>
      <c r="L462" s="34" t="s">
        <v>1755</v>
      </c>
      <c r="M462" s="34" t="s">
        <v>33</v>
      </c>
      <c r="N462" s="47">
        <v>18</v>
      </c>
      <c r="O462" s="48">
        <v>4</v>
      </c>
      <c r="P462" s="49">
        <v>109</v>
      </c>
      <c r="Q462" s="50">
        <v>23.669090000000001</v>
      </c>
      <c r="R462" s="50">
        <v>-100.653531</v>
      </c>
      <c r="S462" s="66" t="s">
        <v>34</v>
      </c>
      <c r="T462" s="66" t="s">
        <v>175</v>
      </c>
      <c r="U462" s="66" t="s">
        <v>213</v>
      </c>
      <c r="V462" s="66" t="s">
        <v>213</v>
      </c>
      <c r="W462" s="66"/>
      <c r="X462" s="66"/>
      <c r="Y462" s="66" t="s">
        <v>36</v>
      </c>
      <c r="Z462" s="66"/>
      <c r="AA462" s="66"/>
      <c r="AB462" s="67"/>
      <c r="AC462" s="87">
        <f t="shared" si="21"/>
        <v>0.42592592592592587</v>
      </c>
      <c r="AD462" s="91">
        <v>5</v>
      </c>
      <c r="AE462" s="105" t="s">
        <v>1845</v>
      </c>
      <c r="AF462">
        <f t="shared" si="23"/>
        <v>0</v>
      </c>
      <c r="AG462">
        <f t="shared" si="22"/>
        <v>0</v>
      </c>
    </row>
    <row r="463" spans="1:33" x14ac:dyDescent="0.3">
      <c r="A463" s="84" t="s">
        <v>1313</v>
      </c>
      <c r="B463" s="93" t="s">
        <v>25</v>
      </c>
      <c r="C463" s="93" t="s">
        <v>1779</v>
      </c>
      <c r="D463" s="33" t="s">
        <v>1775</v>
      </c>
      <c r="E463" s="34" t="s">
        <v>647</v>
      </c>
      <c r="F463" s="34" t="s">
        <v>1314</v>
      </c>
      <c r="G463" s="34" t="s">
        <v>111</v>
      </c>
      <c r="H463" s="37">
        <v>1</v>
      </c>
      <c r="I463" s="34" t="s">
        <v>155</v>
      </c>
      <c r="J463" s="34" t="s">
        <v>31</v>
      </c>
      <c r="K463" s="34" t="s">
        <v>32</v>
      </c>
      <c r="L463" s="34" t="s">
        <v>1756</v>
      </c>
      <c r="M463" s="34" t="s">
        <v>33</v>
      </c>
      <c r="N463" s="47">
        <v>93</v>
      </c>
      <c r="O463" s="48">
        <v>12</v>
      </c>
      <c r="P463" s="49">
        <v>366</v>
      </c>
      <c r="Q463" s="50">
        <v>22.147998000000001</v>
      </c>
      <c r="R463" s="50">
        <v>-101.014679</v>
      </c>
      <c r="S463" s="66" t="s">
        <v>34</v>
      </c>
      <c r="T463" s="66" t="s">
        <v>175</v>
      </c>
      <c r="U463" s="66" t="s">
        <v>213</v>
      </c>
      <c r="V463" s="66" t="s">
        <v>213</v>
      </c>
      <c r="W463" s="66"/>
      <c r="X463" s="66"/>
      <c r="Y463" s="66" t="s">
        <v>36</v>
      </c>
      <c r="Z463" s="66"/>
      <c r="AA463" s="66"/>
      <c r="AB463" s="67"/>
      <c r="AC463" s="87">
        <f t="shared" si="21"/>
        <v>0.42592592592592587</v>
      </c>
      <c r="AD463" s="91">
        <v>5</v>
      </c>
      <c r="AE463" s="105" t="s">
        <v>1845</v>
      </c>
      <c r="AF463">
        <f t="shared" si="23"/>
        <v>0</v>
      </c>
      <c r="AG463">
        <f t="shared" si="22"/>
        <v>0</v>
      </c>
    </row>
    <row r="464" spans="1:33" x14ac:dyDescent="0.3">
      <c r="A464" s="84" t="s">
        <v>665</v>
      </c>
      <c r="B464" s="93" t="s">
        <v>25</v>
      </c>
      <c r="C464" s="93" t="s">
        <v>1779</v>
      </c>
      <c r="D464" s="33" t="s">
        <v>1775</v>
      </c>
      <c r="E464" s="34" t="s">
        <v>666</v>
      </c>
      <c r="F464" s="34" t="s">
        <v>667</v>
      </c>
      <c r="G464" s="34" t="s">
        <v>29</v>
      </c>
      <c r="H464" s="37">
        <v>1</v>
      </c>
      <c r="I464" s="34" t="s">
        <v>30</v>
      </c>
      <c r="J464" s="34" t="s">
        <v>31</v>
      </c>
      <c r="K464" s="34" t="s">
        <v>32</v>
      </c>
      <c r="L464" s="34" t="s">
        <v>1755</v>
      </c>
      <c r="M464" s="34" t="s">
        <v>33</v>
      </c>
      <c r="N464" s="47">
        <v>3</v>
      </c>
      <c r="O464" s="48">
        <v>2</v>
      </c>
      <c r="P464" s="49">
        <v>20</v>
      </c>
      <c r="Q464" s="50">
        <v>22.014194400000001</v>
      </c>
      <c r="R464" s="50">
        <v>-98.788833299999993</v>
      </c>
      <c r="S464" s="66" t="s">
        <v>34</v>
      </c>
      <c r="T464" s="66" t="s">
        <v>175</v>
      </c>
      <c r="U464" s="66" t="s">
        <v>213</v>
      </c>
      <c r="V464" s="66" t="s">
        <v>213</v>
      </c>
      <c r="W464" s="66"/>
      <c r="X464" s="66"/>
      <c r="Y464" s="66" t="s">
        <v>36</v>
      </c>
      <c r="Z464" s="66"/>
      <c r="AA464" s="66"/>
      <c r="AB464" s="67"/>
      <c r="AC464" s="87">
        <f t="shared" si="21"/>
        <v>0.42592592592592587</v>
      </c>
      <c r="AD464" s="91">
        <v>5</v>
      </c>
      <c r="AE464" s="105" t="s">
        <v>1845</v>
      </c>
      <c r="AF464">
        <f t="shared" si="23"/>
        <v>0</v>
      </c>
      <c r="AG464">
        <f t="shared" si="22"/>
        <v>0</v>
      </c>
    </row>
    <row r="465" spans="1:33" x14ac:dyDescent="0.3">
      <c r="A465" s="84" t="s">
        <v>668</v>
      </c>
      <c r="B465" s="93" t="s">
        <v>25</v>
      </c>
      <c r="C465" s="93" t="s">
        <v>1779</v>
      </c>
      <c r="D465" s="33" t="s">
        <v>1775</v>
      </c>
      <c r="E465" s="34" t="s">
        <v>669</v>
      </c>
      <c r="F465" s="34" t="s">
        <v>670</v>
      </c>
      <c r="G465" s="34" t="s">
        <v>29</v>
      </c>
      <c r="H465" s="37">
        <v>1</v>
      </c>
      <c r="I465" s="34" t="s">
        <v>30</v>
      </c>
      <c r="J465" s="34" t="s">
        <v>31</v>
      </c>
      <c r="K465" s="34" t="s">
        <v>32</v>
      </c>
      <c r="L465" s="34" t="s">
        <v>1755</v>
      </c>
      <c r="M465" s="34" t="s">
        <v>33</v>
      </c>
      <c r="N465" s="47">
        <v>10</v>
      </c>
      <c r="O465" s="48">
        <v>2</v>
      </c>
      <c r="P465" s="49">
        <v>14</v>
      </c>
      <c r="Q465" s="50">
        <v>21.372530000000001</v>
      </c>
      <c r="R465" s="50">
        <v>-99.006029999999996</v>
      </c>
      <c r="S465" s="66" t="s">
        <v>34</v>
      </c>
      <c r="T465" s="66" t="s">
        <v>175</v>
      </c>
      <c r="U465" s="66" t="s">
        <v>213</v>
      </c>
      <c r="V465" s="66" t="s">
        <v>213</v>
      </c>
      <c r="W465" s="66"/>
      <c r="X465" s="66"/>
      <c r="Y465" s="66" t="s">
        <v>36</v>
      </c>
      <c r="Z465" s="66"/>
      <c r="AA465" s="66"/>
      <c r="AB465" s="67"/>
      <c r="AC465" s="87">
        <f t="shared" si="21"/>
        <v>0.42592592592592587</v>
      </c>
      <c r="AD465" s="91">
        <v>5</v>
      </c>
      <c r="AE465" s="105" t="s">
        <v>1845</v>
      </c>
      <c r="AF465">
        <f t="shared" si="23"/>
        <v>0</v>
      </c>
      <c r="AG465">
        <f t="shared" si="22"/>
        <v>0</v>
      </c>
    </row>
    <row r="466" spans="1:33" x14ac:dyDescent="0.3">
      <c r="A466" s="84" t="s">
        <v>1575</v>
      </c>
      <c r="B466" s="93" t="s">
        <v>25</v>
      </c>
      <c r="C466" s="93" t="s">
        <v>1779</v>
      </c>
      <c r="D466" s="33" t="s">
        <v>1775</v>
      </c>
      <c r="E466" s="34" t="s">
        <v>647</v>
      </c>
      <c r="F466" s="34" t="s">
        <v>1576</v>
      </c>
      <c r="G466" s="34" t="s">
        <v>164</v>
      </c>
      <c r="H466" s="37">
        <v>2</v>
      </c>
      <c r="I466" s="34" t="s">
        <v>155</v>
      </c>
      <c r="J466" s="34" t="s">
        <v>31</v>
      </c>
      <c r="K466" s="34" t="s">
        <v>32</v>
      </c>
      <c r="L466" s="34" t="s">
        <v>1756</v>
      </c>
      <c r="M466" s="34" t="s">
        <v>33</v>
      </c>
      <c r="N466" s="47">
        <v>26</v>
      </c>
      <c r="O466" s="48">
        <v>9</v>
      </c>
      <c r="P466" s="49">
        <v>178</v>
      </c>
      <c r="Q466" s="50">
        <v>22.116164000000001</v>
      </c>
      <c r="R466" s="50">
        <v>-100.98585</v>
      </c>
      <c r="S466" s="66" t="s">
        <v>34</v>
      </c>
      <c r="T466" s="66" t="s">
        <v>175</v>
      </c>
      <c r="U466" s="66" t="s">
        <v>213</v>
      </c>
      <c r="V466" s="66" t="s">
        <v>213</v>
      </c>
      <c r="W466" s="66"/>
      <c r="X466" s="66"/>
      <c r="Y466" s="66" t="s">
        <v>36</v>
      </c>
      <c r="Z466" s="66"/>
      <c r="AA466" s="66"/>
      <c r="AB466" s="67"/>
      <c r="AC466" s="87">
        <f t="shared" si="21"/>
        <v>0.42592592592592587</v>
      </c>
      <c r="AD466" s="91">
        <v>5</v>
      </c>
      <c r="AE466" s="105" t="s">
        <v>1845</v>
      </c>
      <c r="AF466">
        <f t="shared" si="23"/>
        <v>0</v>
      </c>
      <c r="AG466">
        <f t="shared" si="22"/>
        <v>0</v>
      </c>
    </row>
    <row r="467" spans="1:33" x14ac:dyDescent="0.3">
      <c r="A467" s="84" t="s">
        <v>1315</v>
      </c>
      <c r="B467" s="93" t="s">
        <v>25</v>
      </c>
      <c r="C467" s="93" t="s">
        <v>1779</v>
      </c>
      <c r="D467" s="33" t="s">
        <v>1775</v>
      </c>
      <c r="E467" s="34" t="s">
        <v>1316</v>
      </c>
      <c r="F467" s="34" t="s">
        <v>1317</v>
      </c>
      <c r="G467" s="34" t="s">
        <v>111</v>
      </c>
      <c r="H467" s="37">
        <v>1</v>
      </c>
      <c r="I467" s="34" t="s">
        <v>112</v>
      </c>
      <c r="J467" s="34" t="s">
        <v>31</v>
      </c>
      <c r="K467" s="34" t="s">
        <v>32</v>
      </c>
      <c r="L467" s="34" t="s">
        <v>1756</v>
      </c>
      <c r="M467" s="34" t="s">
        <v>33</v>
      </c>
      <c r="N467" s="47">
        <v>20</v>
      </c>
      <c r="O467" s="48">
        <v>8</v>
      </c>
      <c r="P467" s="49">
        <v>148</v>
      </c>
      <c r="Q467" s="50">
        <v>22.164570999999999</v>
      </c>
      <c r="R467" s="50">
        <v>-100.938266</v>
      </c>
      <c r="S467" s="66" t="s">
        <v>34</v>
      </c>
      <c r="T467" s="66" t="s">
        <v>175</v>
      </c>
      <c r="U467" s="66" t="s">
        <v>213</v>
      </c>
      <c r="V467" s="66" t="s">
        <v>213</v>
      </c>
      <c r="W467" s="66"/>
      <c r="X467" s="66"/>
      <c r="Y467" s="66" t="s">
        <v>36</v>
      </c>
      <c r="Z467" s="66"/>
      <c r="AA467" s="66"/>
      <c r="AB467" s="67"/>
      <c r="AC467" s="87">
        <f t="shared" si="21"/>
        <v>0.42592592592592587</v>
      </c>
      <c r="AD467" s="91">
        <v>5</v>
      </c>
      <c r="AE467" s="105" t="s">
        <v>1845</v>
      </c>
      <c r="AF467">
        <f t="shared" si="23"/>
        <v>0</v>
      </c>
      <c r="AG467">
        <f t="shared" si="22"/>
        <v>0</v>
      </c>
    </row>
    <row r="468" spans="1:33" x14ac:dyDescent="0.3">
      <c r="A468" s="84" t="s">
        <v>1318</v>
      </c>
      <c r="B468" s="93" t="s">
        <v>25</v>
      </c>
      <c r="C468" s="93" t="s">
        <v>672</v>
      </c>
      <c r="D468" s="33" t="s">
        <v>1775</v>
      </c>
      <c r="E468" s="34" t="s">
        <v>705</v>
      </c>
      <c r="F468" s="34" t="s">
        <v>1319</v>
      </c>
      <c r="G468" s="34" t="s">
        <v>111</v>
      </c>
      <c r="H468" s="37">
        <v>1</v>
      </c>
      <c r="I468" s="34" t="s">
        <v>112</v>
      </c>
      <c r="J468" s="34" t="s">
        <v>31</v>
      </c>
      <c r="K468" s="34" t="s">
        <v>32</v>
      </c>
      <c r="L468" s="34" t="s">
        <v>1755</v>
      </c>
      <c r="M468" s="34" t="s">
        <v>33</v>
      </c>
      <c r="N468" s="47">
        <v>51</v>
      </c>
      <c r="O468" s="48">
        <v>9</v>
      </c>
      <c r="P468" s="49">
        <v>242</v>
      </c>
      <c r="Q468" s="50">
        <v>24.8325414</v>
      </c>
      <c r="R468" s="50">
        <v>-107.3660201</v>
      </c>
      <c r="S468" s="66" t="s">
        <v>34</v>
      </c>
      <c r="T468" s="66"/>
      <c r="U468" s="66" t="s">
        <v>35</v>
      </c>
      <c r="V468" s="66" t="s">
        <v>35</v>
      </c>
      <c r="W468" s="66" t="s">
        <v>175</v>
      </c>
      <c r="X468" s="66" t="s">
        <v>35</v>
      </c>
      <c r="Y468" s="66" t="s">
        <v>1799</v>
      </c>
      <c r="Z468" s="66"/>
      <c r="AA468" s="66"/>
      <c r="AB468" s="67"/>
      <c r="AC468" s="87">
        <f t="shared" si="21"/>
        <v>0.55555555555555558</v>
      </c>
      <c r="AD468" s="91">
        <v>6</v>
      </c>
      <c r="AE468" s="105" t="s">
        <v>1785</v>
      </c>
      <c r="AF468">
        <f t="shared" si="23"/>
        <v>0</v>
      </c>
      <c r="AG468">
        <f t="shared" si="22"/>
        <v>0</v>
      </c>
    </row>
    <row r="469" spans="1:33" x14ac:dyDescent="0.3">
      <c r="A469" s="84" t="s">
        <v>1320</v>
      </c>
      <c r="B469" s="93" t="s">
        <v>25</v>
      </c>
      <c r="C469" s="93" t="s">
        <v>672</v>
      </c>
      <c r="D469" s="33" t="s">
        <v>1775</v>
      </c>
      <c r="E469" s="34" t="s">
        <v>699</v>
      </c>
      <c r="F469" s="34" t="s">
        <v>1321</v>
      </c>
      <c r="G469" s="34" t="s">
        <v>111</v>
      </c>
      <c r="H469" s="37">
        <v>1</v>
      </c>
      <c r="I469" s="34" t="s">
        <v>112</v>
      </c>
      <c r="J469" s="34" t="s">
        <v>31</v>
      </c>
      <c r="K469" s="34" t="s">
        <v>32</v>
      </c>
      <c r="L469" s="34" t="s">
        <v>1756</v>
      </c>
      <c r="M469" s="34" t="s">
        <v>33</v>
      </c>
      <c r="N469" s="47">
        <v>21</v>
      </c>
      <c r="O469" s="48">
        <v>7</v>
      </c>
      <c r="P469" s="49">
        <v>192</v>
      </c>
      <c r="Q469" s="50">
        <v>25.771093100000002</v>
      </c>
      <c r="R469" s="50">
        <v>-108.988561</v>
      </c>
      <c r="S469" s="66" t="s">
        <v>34</v>
      </c>
      <c r="T469" s="66"/>
      <c r="U469" s="66" t="s">
        <v>35</v>
      </c>
      <c r="V469" s="66" t="s">
        <v>35</v>
      </c>
      <c r="W469" s="66" t="s">
        <v>35</v>
      </c>
      <c r="X469" s="66" t="s">
        <v>35</v>
      </c>
      <c r="Y469" s="66" t="s">
        <v>1799</v>
      </c>
      <c r="Z469" s="66"/>
      <c r="AA469" s="66"/>
      <c r="AB469" s="67"/>
      <c r="AC469" s="87">
        <f t="shared" si="21"/>
        <v>0.61111111111111116</v>
      </c>
      <c r="AD469" s="91">
        <v>6</v>
      </c>
      <c r="AE469" s="105" t="s">
        <v>1785</v>
      </c>
      <c r="AF469">
        <f t="shared" si="23"/>
        <v>0</v>
      </c>
      <c r="AG469">
        <f t="shared" si="22"/>
        <v>0</v>
      </c>
    </row>
    <row r="470" spans="1:33" x14ac:dyDescent="0.3">
      <c r="A470" s="84" t="s">
        <v>671</v>
      </c>
      <c r="B470" s="93" t="s">
        <v>25</v>
      </c>
      <c r="C470" s="93" t="s">
        <v>672</v>
      </c>
      <c r="D470" s="33" t="s">
        <v>1775</v>
      </c>
      <c r="E470" s="34" t="s">
        <v>673</v>
      </c>
      <c r="F470" s="34" t="s">
        <v>674</v>
      </c>
      <c r="G470" s="34" t="s">
        <v>29</v>
      </c>
      <c r="H470" s="37">
        <v>1</v>
      </c>
      <c r="I470" s="34" t="s">
        <v>30</v>
      </c>
      <c r="J470" s="34" t="s">
        <v>31</v>
      </c>
      <c r="K470" s="34" t="s">
        <v>32</v>
      </c>
      <c r="L470" s="34" t="s">
        <v>1755</v>
      </c>
      <c r="M470" s="34" t="s">
        <v>33</v>
      </c>
      <c r="N470" s="47">
        <v>5</v>
      </c>
      <c r="O470" s="48">
        <v>1</v>
      </c>
      <c r="P470" s="49">
        <v>33</v>
      </c>
      <c r="Q470" s="50">
        <v>25.368026700000001</v>
      </c>
      <c r="R470" s="50">
        <v>-108.1564539</v>
      </c>
      <c r="S470" s="66" t="s">
        <v>34</v>
      </c>
      <c r="T470" s="66"/>
      <c r="U470" s="66" t="s">
        <v>35</v>
      </c>
      <c r="V470" s="66" t="s">
        <v>35</v>
      </c>
      <c r="W470" s="66" t="s">
        <v>35</v>
      </c>
      <c r="X470" s="66" t="s">
        <v>35</v>
      </c>
      <c r="Y470" s="66" t="s">
        <v>1799</v>
      </c>
      <c r="Z470" s="66"/>
      <c r="AA470" s="66"/>
      <c r="AB470" s="67"/>
      <c r="AC470" s="87">
        <f t="shared" si="21"/>
        <v>0.61111111111111116</v>
      </c>
      <c r="AD470" s="91">
        <v>6</v>
      </c>
      <c r="AE470" s="105" t="s">
        <v>1785</v>
      </c>
      <c r="AF470">
        <f t="shared" si="23"/>
        <v>0</v>
      </c>
      <c r="AG470">
        <f t="shared" si="22"/>
        <v>0</v>
      </c>
    </row>
    <row r="471" spans="1:33" x14ac:dyDescent="0.3">
      <c r="A471" s="84" t="s">
        <v>675</v>
      </c>
      <c r="B471" s="93" t="s">
        <v>25</v>
      </c>
      <c r="C471" s="93" t="s">
        <v>672</v>
      </c>
      <c r="D471" s="33" t="s">
        <v>1775</v>
      </c>
      <c r="E471" s="34" t="s">
        <v>676</v>
      </c>
      <c r="F471" s="34" t="s">
        <v>677</v>
      </c>
      <c r="G471" s="34" t="s">
        <v>29</v>
      </c>
      <c r="H471" s="37">
        <v>1</v>
      </c>
      <c r="I471" s="34" t="s">
        <v>30</v>
      </c>
      <c r="J471" s="34" t="s">
        <v>31</v>
      </c>
      <c r="K471" s="34" t="s">
        <v>32</v>
      </c>
      <c r="L471" s="34" t="s">
        <v>1755</v>
      </c>
      <c r="M471" s="34" t="s">
        <v>33</v>
      </c>
      <c r="N471" s="47">
        <v>8</v>
      </c>
      <c r="O471" s="48">
        <v>2</v>
      </c>
      <c r="P471" s="49">
        <v>15</v>
      </c>
      <c r="Q471" s="50">
        <v>25.351084700000001</v>
      </c>
      <c r="R471" s="50">
        <v>-107.5551293</v>
      </c>
      <c r="S471" s="66" t="s">
        <v>34</v>
      </c>
      <c r="T471" s="66"/>
      <c r="U471" s="66" t="s">
        <v>35</v>
      </c>
      <c r="V471" s="66" t="s">
        <v>35</v>
      </c>
      <c r="W471" s="66" t="s">
        <v>175</v>
      </c>
      <c r="X471" s="66"/>
      <c r="Y471" s="66" t="s">
        <v>1799</v>
      </c>
      <c r="Z471" s="66"/>
      <c r="AA471" s="66"/>
      <c r="AB471" s="67"/>
      <c r="AC471" s="87">
        <f t="shared" si="21"/>
        <v>0.44444444444444442</v>
      </c>
      <c r="AD471" s="91">
        <v>6</v>
      </c>
      <c r="AE471" s="105" t="s">
        <v>1785</v>
      </c>
      <c r="AF471">
        <f t="shared" si="23"/>
        <v>0</v>
      </c>
      <c r="AG471">
        <f t="shared" si="22"/>
        <v>0</v>
      </c>
    </row>
    <row r="472" spans="1:33" x14ac:dyDescent="0.3">
      <c r="A472" s="84" t="s">
        <v>678</v>
      </c>
      <c r="B472" s="93" t="s">
        <v>25</v>
      </c>
      <c r="C472" s="93" t="s">
        <v>672</v>
      </c>
      <c r="D472" s="33" t="s">
        <v>1775</v>
      </c>
      <c r="E472" s="34" t="s">
        <v>679</v>
      </c>
      <c r="F472" s="34" t="s">
        <v>680</v>
      </c>
      <c r="G472" s="34" t="s">
        <v>29</v>
      </c>
      <c r="H472" s="37">
        <v>1</v>
      </c>
      <c r="I472" s="34" t="s">
        <v>30</v>
      </c>
      <c r="J472" s="34" t="s">
        <v>31</v>
      </c>
      <c r="K472" s="34" t="s">
        <v>32</v>
      </c>
      <c r="L472" s="34" t="s">
        <v>1755</v>
      </c>
      <c r="M472" s="34" t="s">
        <v>33</v>
      </c>
      <c r="N472" s="47">
        <v>6</v>
      </c>
      <c r="O472" s="48">
        <v>3</v>
      </c>
      <c r="P472" s="49">
        <v>20</v>
      </c>
      <c r="Q472" s="50">
        <v>23.2853976</v>
      </c>
      <c r="R472" s="50">
        <v>-106.066862</v>
      </c>
      <c r="S472" s="66" t="s">
        <v>34</v>
      </c>
      <c r="T472" s="66"/>
      <c r="U472" s="66" t="s">
        <v>35</v>
      </c>
      <c r="V472" s="66" t="s">
        <v>35</v>
      </c>
      <c r="W472" s="66" t="s">
        <v>35</v>
      </c>
      <c r="X472" s="66" t="s">
        <v>35</v>
      </c>
      <c r="Y472" s="66" t="s">
        <v>1799</v>
      </c>
      <c r="Z472" s="66"/>
      <c r="AA472" s="66"/>
      <c r="AB472" s="67"/>
      <c r="AC472" s="87">
        <f t="shared" si="21"/>
        <v>0.61111111111111116</v>
      </c>
      <c r="AD472" s="91">
        <v>6</v>
      </c>
      <c r="AE472" s="105" t="s">
        <v>1785</v>
      </c>
      <c r="AF472">
        <f t="shared" si="23"/>
        <v>0</v>
      </c>
      <c r="AG472">
        <f t="shared" si="22"/>
        <v>0</v>
      </c>
    </row>
    <row r="473" spans="1:33" x14ac:dyDescent="0.3">
      <c r="A473" s="84" t="s">
        <v>681</v>
      </c>
      <c r="B473" s="93" t="s">
        <v>25</v>
      </c>
      <c r="C473" s="93" t="s">
        <v>672</v>
      </c>
      <c r="D473" s="33" t="s">
        <v>1775</v>
      </c>
      <c r="E473" s="34" t="s">
        <v>682</v>
      </c>
      <c r="F473" s="34" t="s">
        <v>683</v>
      </c>
      <c r="G473" s="34" t="s">
        <v>29</v>
      </c>
      <c r="H473" s="37">
        <v>1</v>
      </c>
      <c r="I473" s="34" t="s">
        <v>30</v>
      </c>
      <c r="J473" s="34" t="s">
        <v>31</v>
      </c>
      <c r="K473" s="34" t="s">
        <v>32</v>
      </c>
      <c r="L473" s="34" t="s">
        <v>1755</v>
      </c>
      <c r="M473" s="34" t="s">
        <v>33</v>
      </c>
      <c r="N473" s="47">
        <v>11</v>
      </c>
      <c r="O473" s="48">
        <v>2</v>
      </c>
      <c r="P473" s="49">
        <v>16</v>
      </c>
      <c r="Q473" s="50">
        <v>24.410132399999998</v>
      </c>
      <c r="R473" s="50">
        <v>-106.6910791</v>
      </c>
      <c r="S473" s="66" t="s">
        <v>34</v>
      </c>
      <c r="T473" s="66"/>
      <c r="U473" s="66" t="s">
        <v>213</v>
      </c>
      <c r="V473" s="66" t="s">
        <v>213</v>
      </c>
      <c r="W473" s="66"/>
      <c r="X473" s="66"/>
      <c r="Y473" s="66" t="s">
        <v>1799</v>
      </c>
      <c r="Z473" s="66"/>
      <c r="AA473" s="66"/>
      <c r="AB473" s="67"/>
      <c r="AC473" s="87">
        <f t="shared" si="21"/>
        <v>0.31481481481481477</v>
      </c>
      <c r="AD473" s="91">
        <v>6</v>
      </c>
      <c r="AE473" s="105" t="s">
        <v>1785</v>
      </c>
      <c r="AF473">
        <f t="shared" si="23"/>
        <v>0</v>
      </c>
      <c r="AG473">
        <f t="shared" si="22"/>
        <v>0</v>
      </c>
    </row>
    <row r="474" spans="1:33" x14ac:dyDescent="0.3">
      <c r="A474" s="84" t="s">
        <v>1700</v>
      </c>
      <c r="B474" s="93" t="s">
        <v>25</v>
      </c>
      <c r="C474" s="93" t="s">
        <v>672</v>
      </c>
      <c r="D474" s="33" t="s">
        <v>1775</v>
      </c>
      <c r="E474" s="34" t="s">
        <v>705</v>
      </c>
      <c r="F474" s="34" t="s">
        <v>170</v>
      </c>
      <c r="G474" s="34" t="s">
        <v>169</v>
      </c>
      <c r="H474" s="37">
        <v>2</v>
      </c>
      <c r="I474" s="34" t="s">
        <v>170</v>
      </c>
      <c r="J474" s="34" t="s">
        <v>31</v>
      </c>
      <c r="K474" s="34" t="s">
        <v>32</v>
      </c>
      <c r="L474" s="34" t="s">
        <v>1755</v>
      </c>
      <c r="M474" s="34" t="s">
        <v>33</v>
      </c>
      <c r="N474" s="47">
        <v>16</v>
      </c>
      <c r="O474" s="48">
        <v>0</v>
      </c>
      <c r="P474" s="49">
        <v>58</v>
      </c>
      <c r="Q474" s="50">
        <v>24.8168142</v>
      </c>
      <c r="R474" s="50">
        <v>-107.4280536</v>
      </c>
      <c r="S474" s="66" t="s">
        <v>34</v>
      </c>
      <c r="T474" s="66"/>
      <c r="U474" s="66" t="s">
        <v>1819</v>
      </c>
      <c r="V474" s="66" t="s">
        <v>35</v>
      </c>
      <c r="W474" s="66"/>
      <c r="X474" s="66"/>
      <c r="Y474" s="66" t="s">
        <v>1799</v>
      </c>
      <c r="Z474" s="66"/>
      <c r="AA474" s="66"/>
      <c r="AB474" s="67"/>
      <c r="AC474" s="87">
        <f t="shared" si="21"/>
        <v>0.3888888888888889</v>
      </c>
      <c r="AD474" s="91">
        <v>6</v>
      </c>
      <c r="AE474" s="105" t="s">
        <v>1785</v>
      </c>
      <c r="AF474">
        <f t="shared" si="23"/>
        <v>0</v>
      </c>
      <c r="AG474">
        <f t="shared" si="22"/>
        <v>0</v>
      </c>
    </row>
    <row r="475" spans="1:33" x14ac:dyDescent="0.3">
      <c r="A475" s="84" t="s">
        <v>684</v>
      </c>
      <c r="B475" s="93" t="s">
        <v>25</v>
      </c>
      <c r="C475" s="93" t="s">
        <v>672</v>
      </c>
      <c r="D475" s="33" t="s">
        <v>1775</v>
      </c>
      <c r="E475" s="34" t="s">
        <v>685</v>
      </c>
      <c r="F475" s="34" t="s">
        <v>686</v>
      </c>
      <c r="G475" s="34" t="s">
        <v>29</v>
      </c>
      <c r="H475" s="37">
        <v>1</v>
      </c>
      <c r="I475" s="34" t="s">
        <v>30</v>
      </c>
      <c r="J475" s="34" t="s">
        <v>31</v>
      </c>
      <c r="K475" s="34" t="s">
        <v>32</v>
      </c>
      <c r="L475" s="34" t="s">
        <v>1755</v>
      </c>
      <c r="M475" s="34" t="s">
        <v>33</v>
      </c>
      <c r="N475" s="47">
        <v>13</v>
      </c>
      <c r="O475" s="48">
        <v>2</v>
      </c>
      <c r="P475" s="49">
        <v>23</v>
      </c>
      <c r="Q475" s="50">
        <v>26.712886600000001</v>
      </c>
      <c r="R475" s="50">
        <v>-108.3234903</v>
      </c>
      <c r="S475" s="66" t="s">
        <v>34</v>
      </c>
      <c r="T475" s="66"/>
      <c r="U475" s="66" t="s">
        <v>35</v>
      </c>
      <c r="V475" s="66" t="s">
        <v>35</v>
      </c>
      <c r="W475" s="66" t="s">
        <v>35</v>
      </c>
      <c r="X475" s="66"/>
      <c r="Y475" s="66" t="s">
        <v>1799</v>
      </c>
      <c r="Z475" s="66"/>
      <c r="AA475" s="66"/>
      <c r="AB475" s="67"/>
      <c r="AC475" s="87">
        <f t="shared" si="21"/>
        <v>0.5</v>
      </c>
      <c r="AD475" s="91">
        <v>6</v>
      </c>
      <c r="AE475" s="105" t="s">
        <v>1785</v>
      </c>
      <c r="AF475">
        <f t="shared" si="23"/>
        <v>0</v>
      </c>
      <c r="AG475">
        <f t="shared" si="22"/>
        <v>0</v>
      </c>
    </row>
    <row r="476" spans="1:33" x14ac:dyDescent="0.3">
      <c r="A476" s="84" t="s">
        <v>1322</v>
      </c>
      <c r="B476" s="93" t="s">
        <v>25</v>
      </c>
      <c r="C476" s="93" t="s">
        <v>672</v>
      </c>
      <c r="D476" s="33" t="s">
        <v>1775</v>
      </c>
      <c r="E476" s="34" t="s">
        <v>1323</v>
      </c>
      <c r="F476" s="34" t="s">
        <v>1324</v>
      </c>
      <c r="G476" s="34" t="s">
        <v>111</v>
      </c>
      <c r="H476" s="37">
        <v>1</v>
      </c>
      <c r="I476" s="34" t="s">
        <v>112</v>
      </c>
      <c r="J476" s="34" t="s">
        <v>31</v>
      </c>
      <c r="K476" s="34" t="s">
        <v>32</v>
      </c>
      <c r="L476" s="34" t="s">
        <v>1755</v>
      </c>
      <c r="M476" s="34" t="s">
        <v>33</v>
      </c>
      <c r="N476" s="47">
        <v>18</v>
      </c>
      <c r="O476" s="48">
        <v>7</v>
      </c>
      <c r="P476" s="49">
        <v>92</v>
      </c>
      <c r="Q476" s="50">
        <v>25.5530893</v>
      </c>
      <c r="R476" s="50">
        <v>-108.4751021</v>
      </c>
      <c r="S476" s="66" t="s">
        <v>34</v>
      </c>
      <c r="T476" s="66"/>
      <c r="U476" s="66" t="s">
        <v>35</v>
      </c>
      <c r="V476" s="66" t="s">
        <v>35</v>
      </c>
      <c r="W476" s="66" t="s">
        <v>35</v>
      </c>
      <c r="X476" s="66" t="s">
        <v>35</v>
      </c>
      <c r="Y476" s="66" t="s">
        <v>1799</v>
      </c>
      <c r="Z476" s="66"/>
      <c r="AA476" s="66"/>
      <c r="AB476" s="67"/>
      <c r="AC476" s="87">
        <f t="shared" si="21"/>
        <v>0.61111111111111116</v>
      </c>
      <c r="AD476" s="91">
        <v>6</v>
      </c>
      <c r="AE476" s="105" t="s">
        <v>1785</v>
      </c>
      <c r="AF476">
        <f t="shared" si="23"/>
        <v>0</v>
      </c>
      <c r="AG476">
        <f t="shared" si="22"/>
        <v>0</v>
      </c>
    </row>
    <row r="477" spans="1:33" x14ac:dyDescent="0.3">
      <c r="A477" s="84" t="s">
        <v>687</v>
      </c>
      <c r="B477" s="93" t="s">
        <v>25</v>
      </c>
      <c r="C477" s="93" t="s">
        <v>672</v>
      </c>
      <c r="D477" s="33" t="s">
        <v>1775</v>
      </c>
      <c r="E477" s="34" t="s">
        <v>688</v>
      </c>
      <c r="F477" s="34" t="s">
        <v>689</v>
      </c>
      <c r="G477" s="34" t="s">
        <v>29</v>
      </c>
      <c r="H477" s="37">
        <v>1</v>
      </c>
      <c r="I477" s="34" t="s">
        <v>30</v>
      </c>
      <c r="J477" s="34" t="s">
        <v>31</v>
      </c>
      <c r="K477" s="34" t="s">
        <v>32</v>
      </c>
      <c r="L477" s="34" t="s">
        <v>1755</v>
      </c>
      <c r="M477" s="34" t="s">
        <v>33</v>
      </c>
      <c r="N477" s="47">
        <v>8</v>
      </c>
      <c r="O477" s="48">
        <v>2</v>
      </c>
      <c r="P477" s="49">
        <v>24</v>
      </c>
      <c r="Q477" s="50">
        <v>25.481985099999999</v>
      </c>
      <c r="R477" s="50">
        <v>-107.92313729999999</v>
      </c>
      <c r="S477" s="66" t="s">
        <v>34</v>
      </c>
      <c r="T477" s="66"/>
      <c r="U477" s="66" t="s">
        <v>35</v>
      </c>
      <c r="V477" s="66" t="s">
        <v>35</v>
      </c>
      <c r="W477" s="66"/>
      <c r="X477" s="66"/>
      <c r="Y477" s="66" t="s">
        <v>1799</v>
      </c>
      <c r="Z477" s="66"/>
      <c r="AA477" s="66"/>
      <c r="AB477" s="67"/>
      <c r="AC477" s="87">
        <f t="shared" si="21"/>
        <v>0.3888888888888889</v>
      </c>
      <c r="AD477" s="91">
        <v>6</v>
      </c>
      <c r="AE477" s="105" t="s">
        <v>1785</v>
      </c>
      <c r="AF477">
        <f t="shared" si="23"/>
        <v>0</v>
      </c>
      <c r="AG477">
        <f t="shared" si="22"/>
        <v>0</v>
      </c>
    </row>
    <row r="478" spans="1:33" x14ac:dyDescent="0.3">
      <c r="A478" s="84" t="s">
        <v>690</v>
      </c>
      <c r="B478" s="93" t="s">
        <v>25</v>
      </c>
      <c r="C478" s="93" t="s">
        <v>672</v>
      </c>
      <c r="D478" s="33" t="s">
        <v>1775</v>
      </c>
      <c r="E478" s="34" t="s">
        <v>691</v>
      </c>
      <c r="F478" s="34" t="s">
        <v>692</v>
      </c>
      <c r="G478" s="34" t="s">
        <v>29</v>
      </c>
      <c r="H478" s="37">
        <v>1</v>
      </c>
      <c r="I478" s="34" t="s">
        <v>30</v>
      </c>
      <c r="J478" s="34" t="s">
        <v>31</v>
      </c>
      <c r="K478" s="34" t="s">
        <v>32</v>
      </c>
      <c r="L478" s="34" t="s">
        <v>1755</v>
      </c>
      <c r="M478" s="34" t="s">
        <v>33</v>
      </c>
      <c r="N478" s="47">
        <v>9</v>
      </c>
      <c r="O478" s="48">
        <v>2</v>
      </c>
      <c r="P478" s="49">
        <v>21</v>
      </c>
      <c r="Q478" s="50">
        <v>22.994930799999999</v>
      </c>
      <c r="R478" s="50">
        <v>-105.8566385</v>
      </c>
      <c r="S478" s="66" t="s">
        <v>34</v>
      </c>
      <c r="T478" s="66"/>
      <c r="U478" s="66" t="s">
        <v>35</v>
      </c>
      <c r="V478" s="66" t="s">
        <v>35</v>
      </c>
      <c r="W478" s="66" t="s">
        <v>35</v>
      </c>
      <c r="X478" s="66" t="s">
        <v>35</v>
      </c>
      <c r="Y478" s="66" t="s">
        <v>1799</v>
      </c>
      <c r="Z478" s="66"/>
      <c r="AA478" s="66"/>
      <c r="AB478" s="67"/>
      <c r="AC478" s="87">
        <f t="shared" si="21"/>
        <v>0.61111111111111116</v>
      </c>
      <c r="AD478" s="91">
        <v>6</v>
      </c>
      <c r="AE478" s="105" t="s">
        <v>1785</v>
      </c>
      <c r="AF478">
        <f t="shared" si="23"/>
        <v>0</v>
      </c>
      <c r="AG478">
        <f t="shared" si="22"/>
        <v>0</v>
      </c>
    </row>
    <row r="479" spans="1:33" x14ac:dyDescent="0.3">
      <c r="A479" s="84" t="s">
        <v>693</v>
      </c>
      <c r="B479" s="93" t="s">
        <v>25</v>
      </c>
      <c r="C479" s="93" t="s">
        <v>672</v>
      </c>
      <c r="D479" s="33" t="s">
        <v>1775</v>
      </c>
      <c r="E479" s="34" t="s">
        <v>672</v>
      </c>
      <c r="F479" s="34" t="s">
        <v>694</v>
      </c>
      <c r="G479" s="34" t="s">
        <v>29</v>
      </c>
      <c r="H479" s="37">
        <v>1</v>
      </c>
      <c r="I479" s="34" t="s">
        <v>30</v>
      </c>
      <c r="J479" s="34" t="s">
        <v>31</v>
      </c>
      <c r="K479" s="34" t="s">
        <v>32</v>
      </c>
      <c r="L479" s="34" t="s">
        <v>1755</v>
      </c>
      <c r="M479" s="34" t="s">
        <v>33</v>
      </c>
      <c r="N479" s="47">
        <v>9</v>
      </c>
      <c r="O479" s="48">
        <v>3</v>
      </c>
      <c r="P479" s="49">
        <v>19</v>
      </c>
      <c r="Q479" s="50">
        <v>25.8167987</v>
      </c>
      <c r="R479" s="50">
        <v>-108.2297748</v>
      </c>
      <c r="S479" s="66" t="s">
        <v>34</v>
      </c>
      <c r="T479" s="66"/>
      <c r="U479" s="66" t="s">
        <v>35</v>
      </c>
      <c r="V479" s="66" t="s">
        <v>35</v>
      </c>
      <c r="W479" s="66" t="s">
        <v>35</v>
      </c>
      <c r="X479" s="66" t="s">
        <v>35</v>
      </c>
      <c r="Y479" s="66" t="s">
        <v>1799</v>
      </c>
      <c r="Z479" s="66"/>
      <c r="AA479" s="66"/>
      <c r="AB479" s="67"/>
      <c r="AC479" s="87">
        <f t="shared" si="21"/>
        <v>0.61111111111111116</v>
      </c>
      <c r="AD479" s="91">
        <v>6</v>
      </c>
      <c r="AE479" s="105" t="s">
        <v>1785</v>
      </c>
      <c r="AF479">
        <f t="shared" si="23"/>
        <v>0</v>
      </c>
      <c r="AG479">
        <f t="shared" si="22"/>
        <v>0</v>
      </c>
    </row>
    <row r="480" spans="1:33" x14ac:dyDescent="0.3">
      <c r="A480" s="84" t="s">
        <v>695</v>
      </c>
      <c r="B480" s="93" t="s">
        <v>25</v>
      </c>
      <c r="C480" s="93" t="s">
        <v>672</v>
      </c>
      <c r="D480" s="33" t="s">
        <v>1775</v>
      </c>
      <c r="E480" s="34" t="s">
        <v>696</v>
      </c>
      <c r="F480" s="34" t="s">
        <v>697</v>
      </c>
      <c r="G480" s="34" t="s">
        <v>29</v>
      </c>
      <c r="H480" s="37">
        <v>1</v>
      </c>
      <c r="I480" s="34" t="s">
        <v>30</v>
      </c>
      <c r="J480" s="34" t="s">
        <v>31</v>
      </c>
      <c r="K480" s="34" t="s">
        <v>32</v>
      </c>
      <c r="L480" s="34" t="s">
        <v>1755</v>
      </c>
      <c r="M480" s="34" t="s">
        <v>33</v>
      </c>
      <c r="N480" s="47">
        <v>7</v>
      </c>
      <c r="O480" s="48">
        <v>2</v>
      </c>
      <c r="P480" s="49">
        <v>18</v>
      </c>
      <c r="Q480" s="50">
        <v>24.760544599999999</v>
      </c>
      <c r="R480" s="50">
        <v>-107.68260789999999</v>
      </c>
      <c r="S480" s="66" t="s">
        <v>34</v>
      </c>
      <c r="T480" s="66"/>
      <c r="U480" s="66" t="s">
        <v>35</v>
      </c>
      <c r="V480" s="66" t="s">
        <v>35</v>
      </c>
      <c r="W480" s="66" t="s">
        <v>35</v>
      </c>
      <c r="X480" s="66" t="s">
        <v>35</v>
      </c>
      <c r="Y480" s="66" t="s">
        <v>1799</v>
      </c>
      <c r="Z480" s="66"/>
      <c r="AA480" s="66"/>
      <c r="AB480" s="67"/>
      <c r="AC480" s="87">
        <f t="shared" si="21"/>
        <v>0.61111111111111116</v>
      </c>
      <c r="AD480" s="91">
        <v>6</v>
      </c>
      <c r="AE480" s="105" t="s">
        <v>1785</v>
      </c>
      <c r="AF480">
        <f t="shared" si="23"/>
        <v>0</v>
      </c>
      <c r="AG480">
        <f t="shared" si="22"/>
        <v>0</v>
      </c>
    </row>
    <row r="481" spans="1:33" x14ac:dyDescent="0.3">
      <c r="A481" s="84" t="s">
        <v>698</v>
      </c>
      <c r="B481" s="93" t="s">
        <v>25</v>
      </c>
      <c r="C481" s="93" t="s">
        <v>672</v>
      </c>
      <c r="D481" s="33" t="s">
        <v>1775</v>
      </c>
      <c r="E481" s="34" t="s">
        <v>699</v>
      </c>
      <c r="F481" s="34" t="s">
        <v>700</v>
      </c>
      <c r="G481" s="34" t="s">
        <v>29</v>
      </c>
      <c r="H481" s="37">
        <v>1</v>
      </c>
      <c r="I481" s="34" t="s">
        <v>30</v>
      </c>
      <c r="J481" s="34" t="s">
        <v>31</v>
      </c>
      <c r="K481" s="34" t="s">
        <v>32</v>
      </c>
      <c r="L481" s="34" t="s">
        <v>1755</v>
      </c>
      <c r="M481" s="34" t="s">
        <v>33</v>
      </c>
      <c r="N481" s="47">
        <v>7</v>
      </c>
      <c r="O481" s="48">
        <v>0</v>
      </c>
      <c r="P481" s="49">
        <v>29</v>
      </c>
      <c r="Q481" s="50">
        <v>26.2662908</v>
      </c>
      <c r="R481" s="50">
        <v>-109.03464200000001</v>
      </c>
      <c r="S481" s="66" t="s">
        <v>34</v>
      </c>
      <c r="T481" s="66"/>
      <c r="U481" s="66" t="s">
        <v>35</v>
      </c>
      <c r="V481" s="66" t="s">
        <v>35</v>
      </c>
      <c r="W481" s="66" t="s">
        <v>175</v>
      </c>
      <c r="X481" s="66" t="s">
        <v>35</v>
      </c>
      <c r="Y481" s="66" t="s">
        <v>1799</v>
      </c>
      <c r="Z481" s="66"/>
      <c r="AA481" s="66"/>
      <c r="AB481" s="67"/>
      <c r="AC481" s="87">
        <f t="shared" ref="AC481:AC544" si="24">(
IF(S481="ENVIADO A LA CE/UM",1/3,IF(S481="ENTREGADO/REVISIÓN",2/3,IF(S481="ENVIADO A TICS",1,0)))+
IF(T481="EN PROCESO",1/2,IF(T481="CONCLUIDO",1,0))+
IF(OR(U481="CONCLUIDO",U481="NO APLICA"),1,IF(U481="EN REVISIÓN CENTRAL",2/3,IF(U481="ENVIADO A LA CE/UM",1/3,0)))+
IF(OR(V481="CONCLUIDO",V481="NO APLICA"),1,IF(V481="EN REVISIÓN CENTRAL",2/3,IF(V481="ENVIADO A LA CE/UM",1/3,0)))+                                                                                                                                                                                                                                                         IF(OR(W481="CONCLUIDO",W481="NO APLICA"),1,IF(W481="EN PROCESO",0.5,0))+
IF(OR(X481="CONCLUIDO",X481="NO APLICA"),1,IF(X481="EN PROCESO",0.5,0))+
IF(Y481="PROGRAMADAS",1/2,IF(Y481="CONCLUIDAS",1,0))+
IF(OR(Z481="SI",Z481="NO APLICA"),1,0)+
IF(OR(AA481="SI",AA481="NO APLICA"),1,0)
)/9</f>
        <v>0.55555555555555558</v>
      </c>
      <c r="AD481" s="91">
        <v>6</v>
      </c>
      <c r="AE481" s="105" t="s">
        <v>1785</v>
      </c>
      <c r="AF481">
        <f t="shared" si="23"/>
        <v>0</v>
      </c>
      <c r="AG481">
        <f t="shared" si="22"/>
        <v>0</v>
      </c>
    </row>
    <row r="482" spans="1:33" x14ac:dyDescent="0.3">
      <c r="A482" s="84" t="s">
        <v>1325</v>
      </c>
      <c r="B482" s="93" t="s">
        <v>25</v>
      </c>
      <c r="C482" s="93" t="s">
        <v>672</v>
      </c>
      <c r="D482" s="33" t="s">
        <v>1775</v>
      </c>
      <c r="E482" s="34" t="s">
        <v>1326</v>
      </c>
      <c r="F482" s="34" t="s">
        <v>1327</v>
      </c>
      <c r="G482" s="34" t="s">
        <v>111</v>
      </c>
      <c r="H482" s="37">
        <v>1</v>
      </c>
      <c r="I482" s="34" t="s">
        <v>112</v>
      </c>
      <c r="J482" s="34" t="s">
        <v>31</v>
      </c>
      <c r="K482" s="34" t="s">
        <v>32</v>
      </c>
      <c r="L482" s="34" t="s">
        <v>1756</v>
      </c>
      <c r="M482" s="34" t="s">
        <v>33</v>
      </c>
      <c r="N482" s="47">
        <v>31</v>
      </c>
      <c r="O482" s="48">
        <v>6</v>
      </c>
      <c r="P482" s="49">
        <v>148</v>
      </c>
      <c r="Q482" s="50">
        <v>23.291899999999998</v>
      </c>
      <c r="R482" s="50">
        <v>-106.45269999999999</v>
      </c>
      <c r="S482" s="66" t="s">
        <v>34</v>
      </c>
      <c r="T482" s="66"/>
      <c r="U482" s="66" t="s">
        <v>213</v>
      </c>
      <c r="V482" s="66" t="s">
        <v>213</v>
      </c>
      <c r="W482" s="66"/>
      <c r="X482" s="66"/>
      <c r="Y482" s="66" t="s">
        <v>1799</v>
      </c>
      <c r="Z482" s="66"/>
      <c r="AA482" s="66"/>
      <c r="AB482" s="67"/>
      <c r="AC482" s="87">
        <f t="shared" si="24"/>
        <v>0.31481481481481477</v>
      </c>
      <c r="AD482" s="91">
        <v>6</v>
      </c>
      <c r="AE482" s="105" t="s">
        <v>1785</v>
      </c>
      <c r="AF482">
        <f t="shared" si="23"/>
        <v>0</v>
      </c>
      <c r="AG482">
        <f t="shared" si="22"/>
        <v>0</v>
      </c>
    </row>
    <row r="483" spans="1:33" x14ac:dyDescent="0.3">
      <c r="A483" s="84" t="s">
        <v>701</v>
      </c>
      <c r="B483" s="93" t="s">
        <v>25</v>
      </c>
      <c r="C483" s="93" t="s">
        <v>672</v>
      </c>
      <c r="D483" s="33" t="s">
        <v>1775</v>
      </c>
      <c r="E483" s="34" t="s">
        <v>702</v>
      </c>
      <c r="F483" s="34" t="s">
        <v>703</v>
      </c>
      <c r="G483" s="34" t="s">
        <v>29</v>
      </c>
      <c r="H483" s="37">
        <v>1</v>
      </c>
      <c r="I483" s="34" t="s">
        <v>30</v>
      </c>
      <c r="J483" s="34" t="s">
        <v>31</v>
      </c>
      <c r="K483" s="34" t="s">
        <v>32</v>
      </c>
      <c r="L483" s="34" t="s">
        <v>1755</v>
      </c>
      <c r="M483" s="34" t="s">
        <v>33</v>
      </c>
      <c r="N483" s="47">
        <v>13</v>
      </c>
      <c r="O483" s="48">
        <v>2</v>
      </c>
      <c r="P483" s="49">
        <v>19</v>
      </c>
      <c r="Q483" s="50">
        <v>23.944625200000001</v>
      </c>
      <c r="R483" s="50">
        <v>-106.4231693</v>
      </c>
      <c r="S483" s="66" t="s">
        <v>34</v>
      </c>
      <c r="T483" s="66"/>
      <c r="U483" s="66" t="s">
        <v>213</v>
      </c>
      <c r="V483" s="66" t="s">
        <v>213</v>
      </c>
      <c r="W483" s="66"/>
      <c r="X483" s="66"/>
      <c r="Y483" s="66" t="s">
        <v>1799</v>
      </c>
      <c r="Z483" s="66"/>
      <c r="AA483" s="66"/>
      <c r="AB483" s="67"/>
      <c r="AC483" s="87">
        <f t="shared" si="24"/>
        <v>0.31481481481481477</v>
      </c>
      <c r="AD483" s="91">
        <v>6</v>
      </c>
      <c r="AE483" s="105" t="s">
        <v>1785</v>
      </c>
      <c r="AF483">
        <f t="shared" si="23"/>
        <v>0</v>
      </c>
      <c r="AG483">
        <f t="shared" si="22"/>
        <v>0</v>
      </c>
    </row>
    <row r="484" spans="1:33" x14ac:dyDescent="0.3">
      <c r="A484" s="84" t="s">
        <v>1654</v>
      </c>
      <c r="B484" s="93" t="s">
        <v>25</v>
      </c>
      <c r="C484" s="93" t="s">
        <v>672</v>
      </c>
      <c r="D484" s="33" t="s">
        <v>1775</v>
      </c>
      <c r="E484" s="34" t="s">
        <v>705</v>
      </c>
      <c r="F484" s="34" t="s">
        <v>1655</v>
      </c>
      <c r="G484" s="34" t="s">
        <v>941</v>
      </c>
      <c r="H484" s="37">
        <v>2</v>
      </c>
      <c r="I484" s="34" t="s">
        <v>155</v>
      </c>
      <c r="J484" s="34" t="s">
        <v>31</v>
      </c>
      <c r="K484" s="34" t="s">
        <v>32</v>
      </c>
      <c r="L484" s="34" t="s">
        <v>1756</v>
      </c>
      <c r="M484" s="34" t="s">
        <v>33</v>
      </c>
      <c r="N484" s="47">
        <v>47</v>
      </c>
      <c r="O484" s="48">
        <v>4</v>
      </c>
      <c r="P484" s="49">
        <v>138</v>
      </c>
      <c r="Q484" s="50">
        <v>24.798774999999999</v>
      </c>
      <c r="R484" s="50">
        <v>-107.39942449999999</v>
      </c>
      <c r="S484" s="66" t="s">
        <v>34</v>
      </c>
      <c r="T484" s="66"/>
      <c r="U484" s="66" t="s">
        <v>213</v>
      </c>
      <c r="V484" s="66" t="s">
        <v>213</v>
      </c>
      <c r="W484" s="66"/>
      <c r="X484" s="66"/>
      <c r="Y484" s="66" t="s">
        <v>1799</v>
      </c>
      <c r="Z484" s="66"/>
      <c r="AA484" s="66"/>
      <c r="AB484" s="67"/>
      <c r="AC484" s="87">
        <f t="shared" si="24"/>
        <v>0.31481481481481477</v>
      </c>
      <c r="AD484" s="91">
        <v>6</v>
      </c>
      <c r="AE484" s="105" t="s">
        <v>1785</v>
      </c>
      <c r="AF484">
        <f t="shared" si="23"/>
        <v>0</v>
      </c>
      <c r="AG484">
        <f t="shared" si="22"/>
        <v>0</v>
      </c>
    </row>
    <row r="485" spans="1:33" x14ac:dyDescent="0.3">
      <c r="A485" s="84" t="s">
        <v>704</v>
      </c>
      <c r="B485" s="93" t="s">
        <v>25</v>
      </c>
      <c r="C485" s="93" t="s">
        <v>672</v>
      </c>
      <c r="D485" s="33" t="s">
        <v>1775</v>
      </c>
      <c r="E485" s="34" t="s">
        <v>705</v>
      </c>
      <c r="F485" s="34" t="s">
        <v>706</v>
      </c>
      <c r="G485" s="34" t="s">
        <v>29</v>
      </c>
      <c r="H485" s="37">
        <v>1</v>
      </c>
      <c r="I485" s="34" t="s">
        <v>30</v>
      </c>
      <c r="J485" s="34" t="s">
        <v>31</v>
      </c>
      <c r="K485" s="34" t="s">
        <v>32</v>
      </c>
      <c r="L485" s="34" t="s">
        <v>1755</v>
      </c>
      <c r="M485" s="34" t="s">
        <v>33</v>
      </c>
      <c r="N485" s="47">
        <v>7</v>
      </c>
      <c r="O485" s="48">
        <v>2</v>
      </c>
      <c r="P485" s="49">
        <v>18</v>
      </c>
      <c r="Q485" s="50">
        <v>24.2915204</v>
      </c>
      <c r="R485" s="50">
        <v>-107.1508884</v>
      </c>
      <c r="S485" s="66" t="s">
        <v>34</v>
      </c>
      <c r="T485" s="66"/>
      <c r="U485" s="66" t="s">
        <v>213</v>
      </c>
      <c r="V485" s="66" t="s">
        <v>213</v>
      </c>
      <c r="W485" s="66"/>
      <c r="X485" s="66"/>
      <c r="Y485" s="66" t="s">
        <v>1799</v>
      </c>
      <c r="Z485" s="66"/>
      <c r="AA485" s="66"/>
      <c r="AB485" s="67"/>
      <c r="AC485" s="87">
        <f t="shared" si="24"/>
        <v>0.31481481481481477</v>
      </c>
      <c r="AD485" s="91">
        <v>6</v>
      </c>
      <c r="AE485" s="105" t="s">
        <v>1785</v>
      </c>
      <c r="AF485">
        <f t="shared" si="23"/>
        <v>0</v>
      </c>
      <c r="AG485">
        <f t="shared" si="22"/>
        <v>0</v>
      </c>
    </row>
    <row r="486" spans="1:33" x14ac:dyDescent="0.3">
      <c r="A486" s="84" t="s">
        <v>1328</v>
      </c>
      <c r="B486" s="93" t="s">
        <v>25</v>
      </c>
      <c r="C486" s="93" t="s">
        <v>672</v>
      </c>
      <c r="D486" s="33" t="s">
        <v>1775</v>
      </c>
      <c r="E486" s="34" t="s">
        <v>1329</v>
      </c>
      <c r="F486" s="34" t="s">
        <v>1330</v>
      </c>
      <c r="G486" s="34" t="s">
        <v>111</v>
      </c>
      <c r="H486" s="37">
        <v>1</v>
      </c>
      <c r="I486" s="34" t="s">
        <v>112</v>
      </c>
      <c r="J486" s="34" t="s">
        <v>31</v>
      </c>
      <c r="K486" s="34" t="s">
        <v>32</v>
      </c>
      <c r="L486" s="34" t="s">
        <v>1755</v>
      </c>
      <c r="M486" s="34" t="s">
        <v>33</v>
      </c>
      <c r="N486" s="47">
        <v>12</v>
      </c>
      <c r="O486" s="48">
        <v>2</v>
      </c>
      <c r="P486" s="49">
        <v>51</v>
      </c>
      <c r="Q486" s="50">
        <v>23.9334366</v>
      </c>
      <c r="R486" s="50">
        <v>-106.8759673</v>
      </c>
      <c r="S486" s="66" t="s">
        <v>34</v>
      </c>
      <c r="T486" s="66"/>
      <c r="U486" s="66" t="s">
        <v>35</v>
      </c>
      <c r="V486" s="66" t="s">
        <v>35</v>
      </c>
      <c r="W486" s="66" t="s">
        <v>35</v>
      </c>
      <c r="X486" s="66" t="s">
        <v>35</v>
      </c>
      <c r="Y486" s="66" t="s">
        <v>1799</v>
      </c>
      <c r="Z486" s="66"/>
      <c r="AA486" s="66"/>
      <c r="AB486" s="67"/>
      <c r="AC486" s="87">
        <f t="shared" si="24"/>
        <v>0.61111111111111116</v>
      </c>
      <c r="AD486" s="91">
        <v>6</v>
      </c>
      <c r="AE486" s="105" t="s">
        <v>1785</v>
      </c>
      <c r="AF486">
        <f t="shared" si="23"/>
        <v>0</v>
      </c>
      <c r="AG486">
        <f t="shared" si="22"/>
        <v>0</v>
      </c>
    </row>
    <row r="487" spans="1:33" x14ac:dyDescent="0.3">
      <c r="A487" s="84" t="s">
        <v>1569</v>
      </c>
      <c r="B487" s="93" t="s">
        <v>25</v>
      </c>
      <c r="C487" s="93" t="s">
        <v>672</v>
      </c>
      <c r="D487" s="33" t="s">
        <v>1775</v>
      </c>
      <c r="E487" s="34" t="s">
        <v>705</v>
      </c>
      <c r="F487" s="34" t="s">
        <v>1564</v>
      </c>
      <c r="G487" s="34" t="s">
        <v>164</v>
      </c>
      <c r="H487" s="37">
        <v>2</v>
      </c>
      <c r="I487" s="34" t="s">
        <v>155</v>
      </c>
      <c r="J487" s="34" t="s">
        <v>31</v>
      </c>
      <c r="K487" s="34" t="s">
        <v>32</v>
      </c>
      <c r="L487" s="34" t="s">
        <v>1756</v>
      </c>
      <c r="M487" s="34" t="s">
        <v>33</v>
      </c>
      <c r="N487" s="47">
        <v>22</v>
      </c>
      <c r="O487" s="48">
        <v>7</v>
      </c>
      <c r="P487" s="49">
        <v>173</v>
      </c>
      <c r="Q487" s="50">
        <v>24.795667000000002</v>
      </c>
      <c r="R487" s="50">
        <v>-107.45043200000001</v>
      </c>
      <c r="S487" s="66" t="s">
        <v>34</v>
      </c>
      <c r="T487" s="66"/>
      <c r="U487" s="66" t="s">
        <v>35</v>
      </c>
      <c r="V487" s="66" t="s">
        <v>35</v>
      </c>
      <c r="W487" s="66"/>
      <c r="X487" s="66"/>
      <c r="Y487" s="66" t="s">
        <v>1799</v>
      </c>
      <c r="Z487" s="66"/>
      <c r="AA487" s="66"/>
      <c r="AB487" s="67"/>
      <c r="AC487" s="87">
        <f t="shared" si="24"/>
        <v>0.3888888888888889</v>
      </c>
      <c r="AD487" s="91">
        <v>6</v>
      </c>
      <c r="AE487" s="105" t="s">
        <v>1785</v>
      </c>
      <c r="AF487">
        <f t="shared" si="23"/>
        <v>0</v>
      </c>
      <c r="AG487">
        <f t="shared" si="22"/>
        <v>0</v>
      </c>
    </row>
    <row r="488" spans="1:33" ht="15" x14ac:dyDescent="0.3">
      <c r="A488" s="94" t="s">
        <v>1732</v>
      </c>
      <c r="B488" s="95" t="s">
        <v>25</v>
      </c>
      <c r="C488" s="95" t="s">
        <v>672</v>
      </c>
      <c r="D488" s="33" t="s">
        <v>1775</v>
      </c>
      <c r="E488" s="35" t="s">
        <v>705</v>
      </c>
      <c r="F488" s="82" t="s">
        <v>1733</v>
      </c>
      <c r="G488" s="35" t="s">
        <v>180</v>
      </c>
      <c r="H488" s="39">
        <v>3</v>
      </c>
      <c r="I488" s="35" t="s">
        <v>181</v>
      </c>
      <c r="J488" s="35" t="s">
        <v>182</v>
      </c>
      <c r="K488" s="35" t="s">
        <v>32</v>
      </c>
      <c r="L488" s="35" t="s">
        <v>1755</v>
      </c>
      <c r="M488" s="35" t="s">
        <v>33</v>
      </c>
      <c r="N488" s="39">
        <v>11</v>
      </c>
      <c r="O488" s="39">
        <v>0</v>
      </c>
      <c r="P488" s="39">
        <v>4</v>
      </c>
      <c r="Q488" s="40">
        <v>24.820399999999999</v>
      </c>
      <c r="R488" s="40">
        <v>-107.405</v>
      </c>
      <c r="S488" s="66" t="s">
        <v>34</v>
      </c>
      <c r="T488" s="66"/>
      <c r="U488" s="66" t="s">
        <v>35</v>
      </c>
      <c r="V488" s="66" t="s">
        <v>35</v>
      </c>
      <c r="W488" s="66" t="s">
        <v>35</v>
      </c>
      <c r="X488" s="66" t="s">
        <v>175</v>
      </c>
      <c r="Y488" s="66" t="s">
        <v>1799</v>
      </c>
      <c r="Z488" s="66"/>
      <c r="AA488" s="66"/>
      <c r="AB488" s="67"/>
      <c r="AC488" s="87">
        <f t="shared" si="24"/>
        <v>0.55555555555555558</v>
      </c>
      <c r="AD488" s="91">
        <v>6</v>
      </c>
      <c r="AE488" s="105" t="s">
        <v>1785</v>
      </c>
      <c r="AF488">
        <f t="shared" si="23"/>
        <v>0</v>
      </c>
      <c r="AG488">
        <f t="shared" si="22"/>
        <v>0</v>
      </c>
    </row>
    <row r="489" spans="1:33" x14ac:dyDescent="0.3">
      <c r="A489" s="84" t="s">
        <v>1331</v>
      </c>
      <c r="B489" s="93" t="s">
        <v>25</v>
      </c>
      <c r="C489" s="93" t="s">
        <v>672</v>
      </c>
      <c r="D489" s="33" t="s">
        <v>1775</v>
      </c>
      <c r="E489" s="34" t="s">
        <v>1332</v>
      </c>
      <c r="F489" s="34" t="s">
        <v>1333</v>
      </c>
      <c r="G489" s="34" t="s">
        <v>111</v>
      </c>
      <c r="H489" s="37">
        <v>1</v>
      </c>
      <c r="I489" s="34" t="s">
        <v>112</v>
      </c>
      <c r="J489" s="34" t="s">
        <v>31</v>
      </c>
      <c r="K489" s="34" t="s">
        <v>32</v>
      </c>
      <c r="L489" s="34" t="s">
        <v>1755</v>
      </c>
      <c r="M489" s="34" t="s">
        <v>33</v>
      </c>
      <c r="N489" s="47">
        <v>17</v>
      </c>
      <c r="O489" s="48">
        <v>3</v>
      </c>
      <c r="P489" s="49">
        <v>79</v>
      </c>
      <c r="Q489" s="50">
        <v>22.831477799999998</v>
      </c>
      <c r="R489" s="50">
        <v>-105.77733449999999</v>
      </c>
      <c r="S489" s="66" t="s">
        <v>34</v>
      </c>
      <c r="T489" s="66"/>
      <c r="U489" s="66" t="s">
        <v>35</v>
      </c>
      <c r="V489" s="66" t="s">
        <v>35</v>
      </c>
      <c r="W489" s="66" t="s">
        <v>35</v>
      </c>
      <c r="X489" s="66" t="s">
        <v>35</v>
      </c>
      <c r="Y489" s="66" t="s">
        <v>1799</v>
      </c>
      <c r="Z489" s="66"/>
      <c r="AA489" s="66"/>
      <c r="AB489" s="67"/>
      <c r="AC489" s="87">
        <f t="shared" si="24"/>
        <v>0.61111111111111116</v>
      </c>
      <c r="AD489" s="91">
        <v>6</v>
      </c>
      <c r="AE489" s="105" t="s">
        <v>1785</v>
      </c>
      <c r="AF489">
        <f t="shared" si="23"/>
        <v>0</v>
      </c>
      <c r="AG489">
        <f t="shared" si="22"/>
        <v>0</v>
      </c>
    </row>
    <row r="490" spans="1:33" x14ac:dyDescent="0.3">
      <c r="A490" s="84" t="s">
        <v>1334</v>
      </c>
      <c r="B490" s="93" t="s">
        <v>25</v>
      </c>
      <c r="C490" s="93" t="s">
        <v>672</v>
      </c>
      <c r="D490" s="33" t="s">
        <v>1775</v>
      </c>
      <c r="E490" s="34" t="s">
        <v>1335</v>
      </c>
      <c r="F490" s="34" t="s">
        <v>1336</v>
      </c>
      <c r="G490" s="34" t="s">
        <v>111</v>
      </c>
      <c r="H490" s="37">
        <v>1</v>
      </c>
      <c r="I490" s="34" t="s">
        <v>112</v>
      </c>
      <c r="J490" s="34" t="s">
        <v>31</v>
      </c>
      <c r="K490" s="34" t="s">
        <v>32</v>
      </c>
      <c r="L490" s="34" t="s">
        <v>1755</v>
      </c>
      <c r="M490" s="34" t="s">
        <v>33</v>
      </c>
      <c r="N490" s="47">
        <v>13</v>
      </c>
      <c r="O490" s="48">
        <v>1</v>
      </c>
      <c r="P490" s="49">
        <v>48</v>
      </c>
      <c r="Q490" s="50">
        <v>24.311874199999998</v>
      </c>
      <c r="R490" s="50">
        <v>-107.36495909999999</v>
      </c>
      <c r="S490" s="66" t="s">
        <v>34</v>
      </c>
      <c r="T490" s="66"/>
      <c r="U490" s="66" t="s">
        <v>35</v>
      </c>
      <c r="V490" s="66" t="s">
        <v>35</v>
      </c>
      <c r="W490" s="66" t="s">
        <v>35</v>
      </c>
      <c r="X490" s="66" t="s">
        <v>35</v>
      </c>
      <c r="Y490" s="66" t="s">
        <v>1799</v>
      </c>
      <c r="Z490" s="66"/>
      <c r="AA490" s="66"/>
      <c r="AB490" s="67"/>
      <c r="AC490" s="87">
        <f t="shared" si="24"/>
        <v>0.61111111111111116</v>
      </c>
      <c r="AD490" s="91">
        <v>6</v>
      </c>
      <c r="AE490" s="105" t="s">
        <v>1785</v>
      </c>
      <c r="AF490">
        <f t="shared" si="23"/>
        <v>0</v>
      </c>
      <c r="AG490">
        <f t="shared" si="22"/>
        <v>0</v>
      </c>
    </row>
    <row r="491" spans="1:33" x14ac:dyDescent="0.3">
      <c r="A491" s="94" t="s">
        <v>1734</v>
      </c>
      <c r="B491" s="95" t="s">
        <v>25</v>
      </c>
      <c r="C491" s="95" t="s">
        <v>954</v>
      </c>
      <c r="D491" s="33" t="s">
        <v>1775</v>
      </c>
      <c r="E491" s="35" t="s">
        <v>1350</v>
      </c>
      <c r="F491" s="35" t="s">
        <v>1735</v>
      </c>
      <c r="G491" s="35" t="s">
        <v>180</v>
      </c>
      <c r="H491" s="39">
        <v>3</v>
      </c>
      <c r="I491" s="35" t="s">
        <v>181</v>
      </c>
      <c r="J491" s="35" t="s">
        <v>182</v>
      </c>
      <c r="K491" s="35" t="s">
        <v>32</v>
      </c>
      <c r="L491" s="35" t="s">
        <v>1755</v>
      </c>
      <c r="M491" s="35" t="s">
        <v>33</v>
      </c>
      <c r="N491" s="39">
        <v>16</v>
      </c>
      <c r="O491" s="39">
        <v>0</v>
      </c>
      <c r="P491" s="39">
        <v>6</v>
      </c>
      <c r="Q491" s="40">
        <v>29.064399999999999</v>
      </c>
      <c r="R491" s="40">
        <v>-110.962194</v>
      </c>
      <c r="S491" s="66" t="s">
        <v>34</v>
      </c>
      <c r="T491" s="66" t="s">
        <v>35</v>
      </c>
      <c r="U491" s="66" t="s">
        <v>35</v>
      </c>
      <c r="V491" s="66" t="s">
        <v>35</v>
      </c>
      <c r="W491" s="66" t="s">
        <v>35</v>
      </c>
      <c r="X491" s="66" t="s">
        <v>35</v>
      </c>
      <c r="Y491" s="66" t="s">
        <v>36</v>
      </c>
      <c r="Z491" s="66"/>
      <c r="AA491" s="66"/>
      <c r="AB491" s="67"/>
      <c r="AC491" s="87">
        <f t="shared" si="24"/>
        <v>0.77777777777777779</v>
      </c>
      <c r="AD491" s="91">
        <v>5</v>
      </c>
      <c r="AE491" s="105" t="s">
        <v>1846</v>
      </c>
      <c r="AF491">
        <f t="shared" si="23"/>
        <v>0</v>
      </c>
      <c r="AG491">
        <f t="shared" si="22"/>
        <v>0</v>
      </c>
    </row>
    <row r="492" spans="1:33" x14ac:dyDescent="0.3">
      <c r="A492" s="84" t="s">
        <v>1701</v>
      </c>
      <c r="B492" s="93" t="s">
        <v>25</v>
      </c>
      <c r="C492" s="93" t="s">
        <v>954</v>
      </c>
      <c r="D492" s="33" t="s">
        <v>1775</v>
      </c>
      <c r="E492" s="34" t="s">
        <v>1350</v>
      </c>
      <c r="F492" s="38" t="s">
        <v>1702</v>
      </c>
      <c r="G492" s="34" t="s">
        <v>169</v>
      </c>
      <c r="H492" s="37">
        <v>2</v>
      </c>
      <c r="I492" s="34" t="s">
        <v>170</v>
      </c>
      <c r="J492" s="34" t="s">
        <v>31</v>
      </c>
      <c r="K492" s="34" t="s">
        <v>32</v>
      </c>
      <c r="L492" s="34" t="s">
        <v>1755</v>
      </c>
      <c r="M492" s="34" t="s">
        <v>33</v>
      </c>
      <c r="N492" s="47">
        <v>12</v>
      </c>
      <c r="O492" s="48">
        <v>0</v>
      </c>
      <c r="P492" s="49">
        <v>87</v>
      </c>
      <c r="Q492" s="50">
        <v>29.0813168</v>
      </c>
      <c r="R492" s="50">
        <v>-111.0050473</v>
      </c>
      <c r="S492" s="66" t="s">
        <v>34</v>
      </c>
      <c r="T492" s="66" t="s">
        <v>35</v>
      </c>
      <c r="U492" s="66" t="s">
        <v>35</v>
      </c>
      <c r="V492" s="66" t="s">
        <v>35</v>
      </c>
      <c r="W492" s="66" t="s">
        <v>35</v>
      </c>
      <c r="X492" s="66" t="s">
        <v>35</v>
      </c>
      <c r="Y492" s="66" t="s">
        <v>36</v>
      </c>
      <c r="Z492" s="66"/>
      <c r="AA492" s="66"/>
      <c r="AB492" s="67"/>
      <c r="AC492" s="87">
        <f t="shared" si="24"/>
        <v>0.77777777777777779</v>
      </c>
      <c r="AD492" s="91">
        <v>5</v>
      </c>
      <c r="AE492" s="105" t="s">
        <v>1846</v>
      </c>
      <c r="AF492">
        <f t="shared" si="23"/>
        <v>0</v>
      </c>
      <c r="AG492">
        <f t="shared" si="22"/>
        <v>0</v>
      </c>
    </row>
    <row r="493" spans="1:33" x14ac:dyDescent="0.3">
      <c r="A493" s="84" t="s">
        <v>960</v>
      </c>
      <c r="B493" s="93" t="s">
        <v>25</v>
      </c>
      <c r="C493" s="93" t="s">
        <v>954</v>
      </c>
      <c r="D493" s="33" t="s">
        <v>1775</v>
      </c>
      <c r="E493" s="52" t="s">
        <v>961</v>
      </c>
      <c r="F493" s="38" t="s">
        <v>962</v>
      </c>
      <c r="G493" s="34" t="s">
        <v>29</v>
      </c>
      <c r="H493" s="37">
        <v>1</v>
      </c>
      <c r="I493" s="34" t="s">
        <v>30</v>
      </c>
      <c r="J493" s="34" t="s">
        <v>31</v>
      </c>
      <c r="K493" s="34" t="s">
        <v>32</v>
      </c>
      <c r="L493" s="34" t="s">
        <v>1755</v>
      </c>
      <c r="M493" s="34" t="s">
        <v>33</v>
      </c>
      <c r="N493" s="47">
        <v>9</v>
      </c>
      <c r="O493" s="48">
        <v>2</v>
      </c>
      <c r="P493" s="49">
        <v>26</v>
      </c>
      <c r="Q493" s="50">
        <v>29.802230000000002</v>
      </c>
      <c r="R493" s="50">
        <v>-109.6813356</v>
      </c>
      <c r="S493" s="66" t="s">
        <v>34</v>
      </c>
      <c r="T493" s="66" t="s">
        <v>35</v>
      </c>
      <c r="U493" s="66" t="s">
        <v>35</v>
      </c>
      <c r="V493" s="66" t="s">
        <v>35</v>
      </c>
      <c r="W493" s="66" t="s">
        <v>35</v>
      </c>
      <c r="X493" s="66" t="s">
        <v>35</v>
      </c>
      <c r="Y493" s="66" t="s">
        <v>36</v>
      </c>
      <c r="Z493" s="66"/>
      <c r="AA493" s="66"/>
      <c r="AB493" s="67"/>
      <c r="AC493" s="87">
        <f t="shared" si="24"/>
        <v>0.77777777777777779</v>
      </c>
      <c r="AD493" s="91">
        <v>5</v>
      </c>
      <c r="AE493" s="105" t="s">
        <v>1846</v>
      </c>
      <c r="AF493">
        <f t="shared" si="23"/>
        <v>0</v>
      </c>
      <c r="AG493">
        <f t="shared" si="22"/>
        <v>0</v>
      </c>
    </row>
    <row r="494" spans="1:33" x14ac:dyDescent="0.3">
      <c r="A494" s="84" t="s">
        <v>1362</v>
      </c>
      <c r="B494" s="93" t="s">
        <v>25</v>
      </c>
      <c r="C494" s="93" t="s">
        <v>954</v>
      </c>
      <c r="D494" s="33" t="s">
        <v>1775</v>
      </c>
      <c r="E494" s="34" t="s">
        <v>1363</v>
      </c>
      <c r="F494" s="38" t="s">
        <v>1364</v>
      </c>
      <c r="G494" s="34" t="s">
        <v>111</v>
      </c>
      <c r="H494" s="37">
        <v>1</v>
      </c>
      <c r="I494" s="34" t="s">
        <v>112</v>
      </c>
      <c r="J494" s="34" t="s">
        <v>31</v>
      </c>
      <c r="K494" s="34" t="s">
        <v>32</v>
      </c>
      <c r="L494" s="34" t="s">
        <v>1755</v>
      </c>
      <c r="M494" s="34" t="s">
        <v>33</v>
      </c>
      <c r="N494" s="47">
        <v>8</v>
      </c>
      <c r="O494" s="48">
        <v>3</v>
      </c>
      <c r="P494" s="49">
        <v>59</v>
      </c>
      <c r="Q494" s="50">
        <v>32.470050000000001</v>
      </c>
      <c r="R494" s="50">
        <v>-114.7779322</v>
      </c>
      <c r="S494" s="66" t="s">
        <v>34</v>
      </c>
      <c r="T494" s="66" t="s">
        <v>35</v>
      </c>
      <c r="U494" s="66" t="s">
        <v>35</v>
      </c>
      <c r="V494" s="66" t="s">
        <v>35</v>
      </c>
      <c r="W494" s="66" t="s">
        <v>35</v>
      </c>
      <c r="X494" s="66" t="s">
        <v>35</v>
      </c>
      <c r="Y494" s="66" t="s">
        <v>36</v>
      </c>
      <c r="Z494" s="66"/>
      <c r="AA494" s="66"/>
      <c r="AB494" s="67"/>
      <c r="AC494" s="87">
        <f t="shared" si="24"/>
        <v>0.77777777777777779</v>
      </c>
      <c r="AD494" s="91">
        <v>5</v>
      </c>
      <c r="AE494" s="105" t="s">
        <v>1846</v>
      </c>
      <c r="AF494">
        <f t="shared" si="23"/>
        <v>0</v>
      </c>
      <c r="AG494">
        <f t="shared" si="22"/>
        <v>0</v>
      </c>
    </row>
    <row r="495" spans="1:33" x14ac:dyDescent="0.3">
      <c r="A495" s="84" t="s">
        <v>1570</v>
      </c>
      <c r="B495" s="93" t="s">
        <v>25</v>
      </c>
      <c r="C495" s="93" t="s">
        <v>755</v>
      </c>
      <c r="D495" s="33" t="s">
        <v>1775</v>
      </c>
      <c r="E495" s="34" t="s">
        <v>1441</v>
      </c>
      <c r="F495" s="34" t="s">
        <v>1564</v>
      </c>
      <c r="G495" s="34" t="s">
        <v>164</v>
      </c>
      <c r="H495" s="37">
        <v>2</v>
      </c>
      <c r="I495" s="34" t="s">
        <v>155</v>
      </c>
      <c r="J495" s="34" t="s">
        <v>31</v>
      </c>
      <c r="K495" s="34" t="s">
        <v>32</v>
      </c>
      <c r="L495" s="34" t="s">
        <v>1755</v>
      </c>
      <c r="M495" s="34" t="s">
        <v>33</v>
      </c>
      <c r="N495" s="47">
        <v>10</v>
      </c>
      <c r="O495" s="48">
        <v>3</v>
      </c>
      <c r="P495" s="49">
        <v>65</v>
      </c>
      <c r="Q495" s="50">
        <v>19.368702800000001</v>
      </c>
      <c r="R495" s="50">
        <v>-98.212519900000004</v>
      </c>
      <c r="S495" s="66" t="s">
        <v>34</v>
      </c>
      <c r="T495" s="66" t="s">
        <v>35</v>
      </c>
      <c r="U495" s="66" t="s">
        <v>35</v>
      </c>
      <c r="V495" s="66" t="s">
        <v>35</v>
      </c>
      <c r="W495" s="66" t="s">
        <v>35</v>
      </c>
      <c r="X495" s="66" t="s">
        <v>35</v>
      </c>
      <c r="Y495" s="66" t="s">
        <v>36</v>
      </c>
      <c r="Z495" s="66" t="s">
        <v>37</v>
      </c>
      <c r="AA495" s="66" t="s">
        <v>37</v>
      </c>
      <c r="AB495" s="67"/>
      <c r="AC495" s="87">
        <f t="shared" si="24"/>
        <v>1</v>
      </c>
      <c r="AD495" s="91">
        <v>5</v>
      </c>
      <c r="AE495" s="105" t="s">
        <v>1846</v>
      </c>
      <c r="AF495">
        <f t="shared" si="23"/>
        <v>0</v>
      </c>
      <c r="AG495">
        <f t="shared" si="22"/>
        <v>1</v>
      </c>
    </row>
    <row r="496" spans="1:33" x14ac:dyDescent="0.3">
      <c r="A496" s="84" t="s">
        <v>1602</v>
      </c>
      <c r="B496" s="93" t="s">
        <v>25</v>
      </c>
      <c r="C496" s="93" t="s">
        <v>954</v>
      </c>
      <c r="D496" s="33" t="s">
        <v>1775</v>
      </c>
      <c r="E496" s="34" t="s">
        <v>1603</v>
      </c>
      <c r="F496" s="38" t="s">
        <v>1604</v>
      </c>
      <c r="G496" s="34" t="s">
        <v>111</v>
      </c>
      <c r="H496" s="37">
        <v>1</v>
      </c>
      <c r="I496" s="34" t="s">
        <v>112</v>
      </c>
      <c r="J496" s="34" t="s">
        <v>31</v>
      </c>
      <c r="K496" s="34" t="s">
        <v>32</v>
      </c>
      <c r="L496" s="34" t="s">
        <v>1755</v>
      </c>
      <c r="M496" s="34" t="s">
        <v>33</v>
      </c>
      <c r="N496" s="47">
        <v>15</v>
      </c>
      <c r="O496" s="48">
        <v>1</v>
      </c>
      <c r="P496" s="49">
        <v>49</v>
      </c>
      <c r="Q496" s="50">
        <v>31.319126000000001</v>
      </c>
      <c r="R496" s="50">
        <v>-109.5827257</v>
      </c>
      <c r="S496" s="66" t="s">
        <v>34</v>
      </c>
      <c r="T496" s="66" t="s">
        <v>35</v>
      </c>
      <c r="U496" s="66" t="s">
        <v>35</v>
      </c>
      <c r="V496" s="66" t="s">
        <v>35</v>
      </c>
      <c r="W496" s="66" t="s">
        <v>35</v>
      </c>
      <c r="X496" s="66" t="s">
        <v>35</v>
      </c>
      <c r="Y496" s="66" t="s">
        <v>36</v>
      </c>
      <c r="Z496" s="66"/>
      <c r="AA496" s="66"/>
      <c r="AB496" s="67" t="s">
        <v>1867</v>
      </c>
      <c r="AC496" s="87">
        <f t="shared" si="24"/>
        <v>0.77777777777777779</v>
      </c>
      <c r="AD496" s="91">
        <v>5</v>
      </c>
      <c r="AE496" s="105" t="s">
        <v>1846</v>
      </c>
      <c r="AF496">
        <f t="shared" si="23"/>
        <v>0</v>
      </c>
      <c r="AG496">
        <f t="shared" si="22"/>
        <v>0</v>
      </c>
    </row>
    <row r="497" spans="1:33" x14ac:dyDescent="0.3">
      <c r="A497" s="84" t="s">
        <v>953</v>
      </c>
      <c r="B497" s="93" t="s">
        <v>25</v>
      </c>
      <c r="C497" s="93" t="s">
        <v>954</v>
      </c>
      <c r="D497" s="33" t="s">
        <v>1775</v>
      </c>
      <c r="E497" s="34" t="s">
        <v>955</v>
      </c>
      <c r="F497" s="38" t="s">
        <v>956</v>
      </c>
      <c r="G497" s="34" t="s">
        <v>29</v>
      </c>
      <c r="H497" s="37">
        <v>1</v>
      </c>
      <c r="I497" s="34" t="s">
        <v>30</v>
      </c>
      <c r="J497" s="34" t="s">
        <v>31</v>
      </c>
      <c r="K497" s="34" t="s">
        <v>32</v>
      </c>
      <c r="L497" s="34" t="s">
        <v>1755</v>
      </c>
      <c r="M497" s="34" t="s">
        <v>33</v>
      </c>
      <c r="N497" s="47">
        <v>17</v>
      </c>
      <c r="O497" s="48">
        <v>0</v>
      </c>
      <c r="P497" s="49">
        <v>0</v>
      </c>
      <c r="Q497" s="50">
        <v>27.647220000000001</v>
      </c>
      <c r="R497" s="50">
        <v>-110.29603</v>
      </c>
      <c r="S497" s="66" t="s">
        <v>34</v>
      </c>
      <c r="T497" s="66" t="s">
        <v>35</v>
      </c>
      <c r="U497" s="66" t="s">
        <v>35</v>
      </c>
      <c r="V497" s="66" t="s">
        <v>35</v>
      </c>
      <c r="W497" s="66" t="s">
        <v>175</v>
      </c>
      <c r="X497" s="66" t="s">
        <v>175</v>
      </c>
      <c r="Y497" s="66" t="s">
        <v>36</v>
      </c>
      <c r="Z497" s="66"/>
      <c r="AA497" s="66"/>
      <c r="AB497" s="67"/>
      <c r="AC497" s="87">
        <f t="shared" si="24"/>
        <v>0.66666666666666663</v>
      </c>
      <c r="AD497" s="91">
        <v>5</v>
      </c>
      <c r="AE497" s="105" t="s">
        <v>1846</v>
      </c>
      <c r="AF497">
        <f t="shared" si="23"/>
        <v>0</v>
      </c>
      <c r="AG497">
        <f t="shared" si="22"/>
        <v>0</v>
      </c>
    </row>
    <row r="498" spans="1:33" x14ac:dyDescent="0.3">
      <c r="A498" s="84" t="s">
        <v>957</v>
      </c>
      <c r="B498" s="93" t="s">
        <v>25</v>
      </c>
      <c r="C498" s="93" t="s">
        <v>954</v>
      </c>
      <c r="D498" s="33" t="s">
        <v>1775</v>
      </c>
      <c r="E498" s="34" t="s">
        <v>958</v>
      </c>
      <c r="F498" s="38" t="s">
        <v>959</v>
      </c>
      <c r="G498" s="34" t="s">
        <v>29</v>
      </c>
      <c r="H498" s="37">
        <v>1</v>
      </c>
      <c r="I498" s="34" t="s">
        <v>30</v>
      </c>
      <c r="J498" s="34" t="s">
        <v>31</v>
      </c>
      <c r="K498" s="34" t="s">
        <v>32</v>
      </c>
      <c r="L498" s="34" t="s">
        <v>1755</v>
      </c>
      <c r="M498" s="34" t="s">
        <v>33</v>
      </c>
      <c r="N498" s="47">
        <v>7</v>
      </c>
      <c r="O498" s="48">
        <v>1</v>
      </c>
      <c r="P498" s="49">
        <v>45</v>
      </c>
      <c r="Q498" s="50">
        <v>27.0263353</v>
      </c>
      <c r="R498" s="50">
        <v>-108.943254</v>
      </c>
      <c r="S498" s="66" t="s">
        <v>34</v>
      </c>
      <c r="T498" s="66" t="s">
        <v>35</v>
      </c>
      <c r="U498" s="66" t="s">
        <v>35</v>
      </c>
      <c r="V498" s="66" t="s">
        <v>35</v>
      </c>
      <c r="W498" s="66" t="s">
        <v>35</v>
      </c>
      <c r="X498" s="66" t="s">
        <v>35</v>
      </c>
      <c r="Y498" s="66" t="s">
        <v>36</v>
      </c>
      <c r="Z498" s="66"/>
      <c r="AA498" s="66"/>
      <c r="AB498" s="67"/>
      <c r="AC498" s="87">
        <f t="shared" si="24"/>
        <v>0.77777777777777779</v>
      </c>
      <c r="AD498" s="91">
        <v>5</v>
      </c>
      <c r="AE498" s="105" t="s">
        <v>1846</v>
      </c>
      <c r="AF498">
        <f t="shared" si="23"/>
        <v>0</v>
      </c>
      <c r="AG498">
        <f t="shared" si="22"/>
        <v>0</v>
      </c>
    </row>
    <row r="499" spans="1:33" x14ac:dyDescent="0.3">
      <c r="A499" s="84" t="s">
        <v>966</v>
      </c>
      <c r="B499" s="93" t="s">
        <v>25</v>
      </c>
      <c r="C499" s="93" t="s">
        <v>954</v>
      </c>
      <c r="D499" s="33" t="s">
        <v>1775</v>
      </c>
      <c r="E499" s="34" t="s">
        <v>967</v>
      </c>
      <c r="F499" s="38" t="s">
        <v>968</v>
      </c>
      <c r="G499" s="34" t="s">
        <v>111</v>
      </c>
      <c r="H499" s="37">
        <v>1</v>
      </c>
      <c r="I499" s="34" t="s">
        <v>112</v>
      </c>
      <c r="J499" s="34" t="s">
        <v>31</v>
      </c>
      <c r="K499" s="34" t="s">
        <v>32</v>
      </c>
      <c r="L499" s="34" t="s">
        <v>1755</v>
      </c>
      <c r="M499" s="34" t="s">
        <v>33</v>
      </c>
      <c r="N499" s="47">
        <v>33</v>
      </c>
      <c r="O499" s="48">
        <v>5</v>
      </c>
      <c r="P499" s="49">
        <v>278</v>
      </c>
      <c r="Q499" s="50">
        <v>27.483370300000001</v>
      </c>
      <c r="R499" s="50">
        <v>-109.9548751</v>
      </c>
      <c r="S499" s="66" t="s">
        <v>34</v>
      </c>
      <c r="T499" s="66" t="s">
        <v>35</v>
      </c>
      <c r="U499" s="66" t="s">
        <v>35</v>
      </c>
      <c r="V499" s="66" t="s">
        <v>35</v>
      </c>
      <c r="W499" s="66" t="s">
        <v>35</v>
      </c>
      <c r="X499" s="66" t="s">
        <v>35</v>
      </c>
      <c r="Y499" s="66" t="s">
        <v>36</v>
      </c>
      <c r="Z499" s="66"/>
      <c r="AA499" s="66"/>
      <c r="AB499" s="67"/>
      <c r="AC499" s="87">
        <f t="shared" si="24"/>
        <v>0.77777777777777779</v>
      </c>
      <c r="AD499" s="91">
        <v>5</v>
      </c>
      <c r="AE499" s="105" t="s">
        <v>1846</v>
      </c>
      <c r="AF499">
        <f t="shared" si="23"/>
        <v>0</v>
      </c>
      <c r="AG499">
        <f t="shared" si="22"/>
        <v>0</v>
      </c>
    </row>
    <row r="500" spans="1:33" x14ac:dyDescent="0.3">
      <c r="A500" s="84" t="s">
        <v>1358</v>
      </c>
      <c r="B500" s="93" t="s">
        <v>25</v>
      </c>
      <c r="C500" s="93" t="s">
        <v>954</v>
      </c>
      <c r="D500" s="33" t="s">
        <v>1775</v>
      </c>
      <c r="E500" s="34" t="s">
        <v>955</v>
      </c>
      <c r="F500" s="38" t="s">
        <v>1359</v>
      </c>
      <c r="G500" s="34" t="s">
        <v>111</v>
      </c>
      <c r="H500" s="37">
        <v>1</v>
      </c>
      <c r="I500" s="34" t="s">
        <v>112</v>
      </c>
      <c r="J500" s="34" t="s">
        <v>31</v>
      </c>
      <c r="K500" s="34" t="s">
        <v>32</v>
      </c>
      <c r="L500" s="34" t="s">
        <v>1755</v>
      </c>
      <c r="M500" s="34" t="s">
        <v>33</v>
      </c>
      <c r="N500" s="47">
        <v>12</v>
      </c>
      <c r="O500" s="48">
        <v>3</v>
      </c>
      <c r="P500" s="49">
        <v>81</v>
      </c>
      <c r="Q500" s="50">
        <v>27.918989400000001</v>
      </c>
      <c r="R500" s="50">
        <v>-110.8996277</v>
      </c>
      <c r="S500" s="66" t="s">
        <v>34</v>
      </c>
      <c r="T500" s="66" t="s">
        <v>35</v>
      </c>
      <c r="U500" s="66" t="s">
        <v>35</v>
      </c>
      <c r="V500" s="66" t="s">
        <v>35</v>
      </c>
      <c r="W500" s="66" t="s">
        <v>35</v>
      </c>
      <c r="X500" s="66" t="s">
        <v>35</v>
      </c>
      <c r="Y500" s="66" t="s">
        <v>36</v>
      </c>
      <c r="Z500" s="66"/>
      <c r="AA500" s="66"/>
      <c r="AB500" s="67"/>
      <c r="AC500" s="87">
        <f t="shared" si="24"/>
        <v>0.77777777777777779</v>
      </c>
      <c r="AD500" s="91">
        <v>5</v>
      </c>
      <c r="AE500" s="105" t="s">
        <v>1846</v>
      </c>
      <c r="AF500">
        <f t="shared" si="23"/>
        <v>0</v>
      </c>
      <c r="AG500">
        <f t="shared" si="22"/>
        <v>0</v>
      </c>
    </row>
    <row r="501" spans="1:33" x14ac:dyDescent="0.3">
      <c r="A501" s="84" t="s">
        <v>1595</v>
      </c>
      <c r="B501" s="93" t="s">
        <v>25</v>
      </c>
      <c r="C501" s="93" t="s">
        <v>954</v>
      </c>
      <c r="D501" s="33" t="s">
        <v>1775</v>
      </c>
      <c r="E501" s="34" t="s">
        <v>1350</v>
      </c>
      <c r="F501" s="38" t="s">
        <v>1596</v>
      </c>
      <c r="G501" s="34" t="s">
        <v>164</v>
      </c>
      <c r="H501" s="37">
        <v>2</v>
      </c>
      <c r="I501" s="34" t="s">
        <v>155</v>
      </c>
      <c r="J501" s="34" t="s">
        <v>31</v>
      </c>
      <c r="K501" s="34" t="s">
        <v>32</v>
      </c>
      <c r="L501" s="34" t="s">
        <v>1756</v>
      </c>
      <c r="M501" s="34" t="s">
        <v>33</v>
      </c>
      <c r="N501" s="47">
        <v>48</v>
      </c>
      <c r="O501" s="48">
        <v>10</v>
      </c>
      <c r="P501" s="49">
        <v>263</v>
      </c>
      <c r="Q501" s="50">
        <v>29.116381100000002</v>
      </c>
      <c r="R501" s="50">
        <v>-110.9718024</v>
      </c>
      <c r="S501" s="66" t="s">
        <v>34</v>
      </c>
      <c r="T501" s="66" t="s">
        <v>35</v>
      </c>
      <c r="U501" s="66" t="s">
        <v>35</v>
      </c>
      <c r="V501" s="66" t="s">
        <v>35</v>
      </c>
      <c r="W501" s="66" t="s">
        <v>175</v>
      </c>
      <c r="X501" s="66" t="s">
        <v>175</v>
      </c>
      <c r="Y501" s="66" t="s">
        <v>36</v>
      </c>
      <c r="Z501" s="66"/>
      <c r="AA501" s="66"/>
      <c r="AB501" s="67"/>
      <c r="AC501" s="87">
        <f t="shared" si="24"/>
        <v>0.66666666666666663</v>
      </c>
      <c r="AD501" s="91">
        <v>5</v>
      </c>
      <c r="AE501" s="105" t="s">
        <v>1846</v>
      </c>
      <c r="AF501">
        <f t="shared" si="23"/>
        <v>0</v>
      </c>
      <c r="AG501">
        <f t="shared" si="22"/>
        <v>0</v>
      </c>
    </row>
    <row r="502" spans="1:33" x14ac:dyDescent="0.3">
      <c r="A502" s="84" t="s">
        <v>1337</v>
      </c>
      <c r="B502" s="93" t="s">
        <v>25</v>
      </c>
      <c r="C502" s="93" t="s">
        <v>954</v>
      </c>
      <c r="D502" s="33" t="s">
        <v>1775</v>
      </c>
      <c r="E502" s="34" t="s">
        <v>1338</v>
      </c>
      <c r="F502" s="38" t="s">
        <v>1339</v>
      </c>
      <c r="G502" s="34" t="s">
        <v>111</v>
      </c>
      <c r="H502" s="37">
        <v>1</v>
      </c>
      <c r="I502" s="34" t="s">
        <v>112</v>
      </c>
      <c r="J502" s="34" t="s">
        <v>31</v>
      </c>
      <c r="K502" s="34" t="s">
        <v>32</v>
      </c>
      <c r="L502" s="34" t="s">
        <v>1755</v>
      </c>
      <c r="M502" s="34" t="s">
        <v>33</v>
      </c>
      <c r="N502" s="47">
        <v>14</v>
      </c>
      <c r="O502" s="48">
        <v>3</v>
      </c>
      <c r="P502" s="49">
        <v>91</v>
      </c>
      <c r="Q502" s="50">
        <v>27.060081199999999</v>
      </c>
      <c r="R502" s="50">
        <v>-109.43993380000001</v>
      </c>
      <c r="S502" s="66" t="s">
        <v>34</v>
      </c>
      <c r="T502" s="66" t="s">
        <v>35</v>
      </c>
      <c r="U502" s="66" t="s">
        <v>35</v>
      </c>
      <c r="V502" s="66" t="s">
        <v>35</v>
      </c>
      <c r="W502" s="66" t="s">
        <v>175</v>
      </c>
      <c r="X502" s="66" t="s">
        <v>35</v>
      </c>
      <c r="Y502" s="66" t="s">
        <v>36</v>
      </c>
      <c r="Z502" s="66"/>
      <c r="AA502" s="66"/>
      <c r="AB502" s="67"/>
      <c r="AC502" s="87">
        <f t="shared" si="24"/>
        <v>0.72222222222222221</v>
      </c>
      <c r="AD502" s="91">
        <v>5</v>
      </c>
      <c r="AE502" s="105" t="s">
        <v>1846</v>
      </c>
      <c r="AF502">
        <f t="shared" si="23"/>
        <v>0</v>
      </c>
      <c r="AG502">
        <f t="shared" si="22"/>
        <v>0</v>
      </c>
    </row>
    <row r="503" spans="1:33" x14ac:dyDescent="0.3">
      <c r="A503" s="84" t="s">
        <v>1340</v>
      </c>
      <c r="B503" s="93" t="s">
        <v>25</v>
      </c>
      <c r="C503" s="93" t="s">
        <v>954</v>
      </c>
      <c r="D503" s="33" t="s">
        <v>1775</v>
      </c>
      <c r="E503" s="34" t="s">
        <v>1341</v>
      </c>
      <c r="F503" s="38" t="s">
        <v>1342</v>
      </c>
      <c r="G503" s="34" t="s">
        <v>111</v>
      </c>
      <c r="H503" s="37">
        <v>1</v>
      </c>
      <c r="I503" s="34" t="s">
        <v>112</v>
      </c>
      <c r="J503" s="34" t="s">
        <v>31</v>
      </c>
      <c r="K503" s="34" t="s">
        <v>32</v>
      </c>
      <c r="L503" s="34" t="s">
        <v>1755</v>
      </c>
      <c r="M503" s="34" t="s">
        <v>33</v>
      </c>
      <c r="N503" s="47">
        <v>17</v>
      </c>
      <c r="O503" s="48">
        <v>4</v>
      </c>
      <c r="P503" s="49">
        <v>93</v>
      </c>
      <c r="Q503" s="50">
        <v>31.309418000000001</v>
      </c>
      <c r="R503" s="50">
        <v>-110.944518</v>
      </c>
      <c r="S503" s="66" t="s">
        <v>34</v>
      </c>
      <c r="T503" s="66" t="s">
        <v>35</v>
      </c>
      <c r="U503" s="66" t="s">
        <v>35</v>
      </c>
      <c r="V503" s="66" t="s">
        <v>35</v>
      </c>
      <c r="W503" s="66" t="s">
        <v>175</v>
      </c>
      <c r="X503" s="66" t="s">
        <v>175</v>
      </c>
      <c r="Y503" s="66" t="s">
        <v>36</v>
      </c>
      <c r="Z503" s="66"/>
      <c r="AA503" s="66"/>
      <c r="AB503" s="67"/>
      <c r="AC503" s="87">
        <f t="shared" si="24"/>
        <v>0.66666666666666663</v>
      </c>
      <c r="AD503" s="91">
        <v>5</v>
      </c>
      <c r="AE503" s="105" t="s">
        <v>1846</v>
      </c>
      <c r="AF503">
        <f t="shared" si="23"/>
        <v>0</v>
      </c>
      <c r="AG503">
        <f t="shared" si="22"/>
        <v>0</v>
      </c>
    </row>
    <row r="504" spans="1:33" x14ac:dyDescent="0.3">
      <c r="A504" s="84" t="s">
        <v>1587</v>
      </c>
      <c r="B504" s="93" t="s">
        <v>25</v>
      </c>
      <c r="C504" s="93" t="s">
        <v>954</v>
      </c>
      <c r="D504" s="33" t="s">
        <v>1775</v>
      </c>
      <c r="E504" s="34" t="s">
        <v>1588</v>
      </c>
      <c r="F504" s="38" t="s">
        <v>1589</v>
      </c>
      <c r="G504" s="34" t="s">
        <v>111</v>
      </c>
      <c r="H504" s="37">
        <v>1</v>
      </c>
      <c r="I504" s="34" t="s">
        <v>112</v>
      </c>
      <c r="J504" s="34" t="s">
        <v>31</v>
      </c>
      <c r="K504" s="34" t="s">
        <v>32</v>
      </c>
      <c r="L504" s="34" t="s">
        <v>1755</v>
      </c>
      <c r="M504" s="34" t="s">
        <v>33</v>
      </c>
      <c r="N504" s="47">
        <v>9</v>
      </c>
      <c r="O504" s="48">
        <v>4</v>
      </c>
      <c r="P504" s="49">
        <v>55</v>
      </c>
      <c r="Q504" s="50">
        <v>30.704348299999999</v>
      </c>
      <c r="R504" s="50">
        <v>-112.1791726</v>
      </c>
      <c r="S504" s="66" t="s">
        <v>34</v>
      </c>
      <c r="T504" s="66" t="s">
        <v>35</v>
      </c>
      <c r="U504" s="66" t="s">
        <v>35</v>
      </c>
      <c r="V504" s="66" t="s">
        <v>35</v>
      </c>
      <c r="W504" s="66" t="s">
        <v>35</v>
      </c>
      <c r="X504" s="66" t="s">
        <v>35</v>
      </c>
      <c r="Y504" s="66" t="s">
        <v>36</v>
      </c>
      <c r="Z504" s="66"/>
      <c r="AA504" s="66"/>
      <c r="AB504" s="67"/>
      <c r="AC504" s="87">
        <f t="shared" si="24"/>
        <v>0.77777777777777779</v>
      </c>
      <c r="AD504" s="91">
        <v>5</v>
      </c>
      <c r="AE504" s="105" t="s">
        <v>1846</v>
      </c>
      <c r="AF504">
        <f t="shared" si="23"/>
        <v>0</v>
      </c>
      <c r="AG504">
        <f t="shared" si="22"/>
        <v>0</v>
      </c>
    </row>
    <row r="505" spans="1:33" x14ac:dyDescent="0.3">
      <c r="A505" s="84" t="s">
        <v>1343</v>
      </c>
      <c r="B505" s="93" t="s">
        <v>25</v>
      </c>
      <c r="C505" s="93" t="s">
        <v>954</v>
      </c>
      <c r="D505" s="33" t="s">
        <v>1775</v>
      </c>
      <c r="E505" s="34" t="s">
        <v>1344</v>
      </c>
      <c r="F505" s="38" t="s">
        <v>1345</v>
      </c>
      <c r="G505" s="34" t="s">
        <v>111</v>
      </c>
      <c r="H505" s="37">
        <v>1</v>
      </c>
      <c r="I505" s="34" t="s">
        <v>112</v>
      </c>
      <c r="J505" s="34" t="s">
        <v>31</v>
      </c>
      <c r="K505" s="34" t="s">
        <v>32</v>
      </c>
      <c r="L505" s="34" t="s">
        <v>1755</v>
      </c>
      <c r="M505" s="34" t="s">
        <v>33</v>
      </c>
      <c r="N505" s="47">
        <v>15</v>
      </c>
      <c r="O505" s="48">
        <v>3</v>
      </c>
      <c r="P505" s="49">
        <v>48</v>
      </c>
      <c r="Q505" s="50">
        <v>30.998305999999999</v>
      </c>
      <c r="R505" s="50">
        <v>-110.25402</v>
      </c>
      <c r="S505" s="66" t="s">
        <v>34</v>
      </c>
      <c r="T505" s="66" t="s">
        <v>35</v>
      </c>
      <c r="U505" s="66" t="s">
        <v>35</v>
      </c>
      <c r="V505" s="66" t="s">
        <v>35</v>
      </c>
      <c r="W505" s="66" t="s">
        <v>35</v>
      </c>
      <c r="X505" s="66" t="s">
        <v>35</v>
      </c>
      <c r="Y505" s="66" t="s">
        <v>36</v>
      </c>
      <c r="Z505" s="66"/>
      <c r="AA505" s="66"/>
      <c r="AB505" s="67"/>
      <c r="AC505" s="87">
        <f t="shared" si="24"/>
        <v>0.77777777777777779</v>
      </c>
      <c r="AD505" s="91">
        <v>5</v>
      </c>
      <c r="AE505" s="105" t="s">
        <v>1846</v>
      </c>
      <c r="AF505">
        <f t="shared" si="23"/>
        <v>0</v>
      </c>
      <c r="AG505">
        <f t="shared" si="22"/>
        <v>0</v>
      </c>
    </row>
    <row r="506" spans="1:33" x14ac:dyDescent="0.3">
      <c r="A506" s="84" t="s">
        <v>1360</v>
      </c>
      <c r="B506" s="93" t="s">
        <v>25</v>
      </c>
      <c r="C506" s="93" t="s">
        <v>954</v>
      </c>
      <c r="D506" s="33" t="s">
        <v>1775</v>
      </c>
      <c r="E506" s="34" t="s">
        <v>1350</v>
      </c>
      <c r="F506" s="38" t="s">
        <v>1361</v>
      </c>
      <c r="G506" s="34" t="s">
        <v>111</v>
      </c>
      <c r="H506" s="37">
        <v>1</v>
      </c>
      <c r="I506" s="34" t="s">
        <v>112</v>
      </c>
      <c r="J506" s="34" t="s">
        <v>31</v>
      </c>
      <c r="K506" s="34" t="s">
        <v>32</v>
      </c>
      <c r="L506" s="34" t="s">
        <v>1756</v>
      </c>
      <c r="M506" s="34" t="s">
        <v>33</v>
      </c>
      <c r="N506" s="47">
        <v>54</v>
      </c>
      <c r="O506" s="48">
        <v>12</v>
      </c>
      <c r="P506" s="49">
        <v>269</v>
      </c>
      <c r="Q506" s="50">
        <v>29.08175</v>
      </c>
      <c r="R506" s="50">
        <v>-111.003861</v>
      </c>
      <c r="S506" s="66" t="s">
        <v>34</v>
      </c>
      <c r="T506" s="66" t="s">
        <v>35</v>
      </c>
      <c r="U506" s="66" t="s">
        <v>35</v>
      </c>
      <c r="V506" s="66" t="s">
        <v>35</v>
      </c>
      <c r="W506" s="66" t="s">
        <v>175</v>
      </c>
      <c r="X506" s="66" t="s">
        <v>175</v>
      </c>
      <c r="Y506" s="66" t="s">
        <v>36</v>
      </c>
      <c r="Z506" s="66"/>
      <c r="AA506" s="66"/>
      <c r="AB506" s="67"/>
      <c r="AC506" s="87">
        <f t="shared" si="24"/>
        <v>0.66666666666666663</v>
      </c>
      <c r="AD506" s="91">
        <v>5</v>
      </c>
      <c r="AE506" s="105" t="s">
        <v>1846</v>
      </c>
      <c r="AF506">
        <f t="shared" si="23"/>
        <v>0</v>
      </c>
      <c r="AG506">
        <f t="shared" si="22"/>
        <v>0</v>
      </c>
    </row>
    <row r="507" spans="1:33" x14ac:dyDescent="0.3">
      <c r="A507" s="84" t="s">
        <v>1346</v>
      </c>
      <c r="B507" s="93" t="s">
        <v>25</v>
      </c>
      <c r="C507" s="93" t="s">
        <v>954</v>
      </c>
      <c r="D507" s="33" t="s">
        <v>1775</v>
      </c>
      <c r="E507" s="34" t="s">
        <v>1347</v>
      </c>
      <c r="F507" s="38" t="s">
        <v>1348</v>
      </c>
      <c r="G507" s="34" t="s">
        <v>111</v>
      </c>
      <c r="H507" s="37">
        <v>1</v>
      </c>
      <c r="I507" s="34" t="s">
        <v>112</v>
      </c>
      <c r="J507" s="34" t="s">
        <v>31</v>
      </c>
      <c r="K507" s="34" t="s">
        <v>32</v>
      </c>
      <c r="L507" s="34" t="s">
        <v>1755</v>
      </c>
      <c r="M507" s="34" t="s">
        <v>33</v>
      </c>
      <c r="N507" s="47">
        <v>12</v>
      </c>
      <c r="O507" s="48">
        <v>2</v>
      </c>
      <c r="P507" s="49">
        <v>69</v>
      </c>
      <c r="Q507" s="50">
        <v>26.842471199999999</v>
      </c>
      <c r="R507" s="50">
        <v>-109.6410047</v>
      </c>
      <c r="S507" s="66" t="s">
        <v>34</v>
      </c>
      <c r="T507" s="66" t="s">
        <v>35</v>
      </c>
      <c r="U507" s="66" t="s">
        <v>35</v>
      </c>
      <c r="V507" s="66" t="s">
        <v>35</v>
      </c>
      <c r="W507" s="66" t="s">
        <v>175</v>
      </c>
      <c r="X507" s="66" t="s">
        <v>35</v>
      </c>
      <c r="Y507" s="66" t="s">
        <v>36</v>
      </c>
      <c r="Z507" s="66"/>
      <c r="AA507" s="66"/>
      <c r="AB507" s="67"/>
      <c r="AC507" s="87">
        <f t="shared" si="24"/>
        <v>0.72222222222222221</v>
      </c>
      <c r="AD507" s="91">
        <v>5</v>
      </c>
      <c r="AE507" s="105" t="s">
        <v>1846</v>
      </c>
      <c r="AF507">
        <f t="shared" si="23"/>
        <v>0</v>
      </c>
      <c r="AG507">
        <f t="shared" si="22"/>
        <v>0</v>
      </c>
    </row>
    <row r="508" spans="1:33" x14ac:dyDescent="0.3">
      <c r="A508" s="84" t="s">
        <v>1349</v>
      </c>
      <c r="B508" s="93" t="s">
        <v>25</v>
      </c>
      <c r="C508" s="93" t="s">
        <v>954</v>
      </c>
      <c r="D508" s="33" t="s">
        <v>1775</v>
      </c>
      <c r="E508" s="34" t="s">
        <v>1350</v>
      </c>
      <c r="F508" s="38" t="s">
        <v>1351</v>
      </c>
      <c r="G508" s="34" t="s">
        <v>164</v>
      </c>
      <c r="H508" s="37">
        <v>2</v>
      </c>
      <c r="I508" s="34" t="s">
        <v>155</v>
      </c>
      <c r="J508" s="34" t="s">
        <v>31</v>
      </c>
      <c r="K508" s="34" t="s">
        <v>32</v>
      </c>
      <c r="L508" s="34" t="s">
        <v>1755</v>
      </c>
      <c r="M508" s="34" t="s">
        <v>33</v>
      </c>
      <c r="N508" s="47">
        <v>0</v>
      </c>
      <c r="O508" s="48">
        <v>0</v>
      </c>
      <c r="P508" s="49">
        <v>0</v>
      </c>
      <c r="Q508" s="50">
        <v>29.115781200000001</v>
      </c>
      <c r="R508" s="50">
        <v>-110.9727041</v>
      </c>
      <c r="S508" s="66" t="s">
        <v>34</v>
      </c>
      <c r="T508" s="66" t="s">
        <v>35</v>
      </c>
      <c r="U508" s="66" t="s">
        <v>35</v>
      </c>
      <c r="V508" s="66" t="s">
        <v>35</v>
      </c>
      <c r="W508" s="66" t="s">
        <v>175</v>
      </c>
      <c r="X508" s="66" t="s">
        <v>175</v>
      </c>
      <c r="Y508" s="66" t="s">
        <v>36</v>
      </c>
      <c r="Z508" s="66"/>
      <c r="AA508" s="66"/>
      <c r="AB508" s="67"/>
      <c r="AC508" s="87">
        <f t="shared" si="24"/>
        <v>0.66666666666666663</v>
      </c>
      <c r="AD508" s="91">
        <v>5</v>
      </c>
      <c r="AE508" s="105" t="s">
        <v>1846</v>
      </c>
      <c r="AF508">
        <f t="shared" si="23"/>
        <v>0</v>
      </c>
      <c r="AG508">
        <f t="shared" si="22"/>
        <v>0</v>
      </c>
    </row>
    <row r="509" spans="1:33" x14ac:dyDescent="0.3">
      <c r="A509" s="84" t="s">
        <v>1365</v>
      </c>
      <c r="B509" s="93" t="s">
        <v>25</v>
      </c>
      <c r="C509" s="93" t="s">
        <v>724</v>
      </c>
      <c r="D509" s="33" t="s">
        <v>1775</v>
      </c>
      <c r="E509" s="34" t="s">
        <v>1366</v>
      </c>
      <c r="F509" s="34" t="s">
        <v>1367</v>
      </c>
      <c r="G509" s="34" t="s">
        <v>111</v>
      </c>
      <c r="H509" s="37">
        <v>1</v>
      </c>
      <c r="I509" s="34" t="s">
        <v>112</v>
      </c>
      <c r="J509" s="34" t="s">
        <v>31</v>
      </c>
      <c r="K509" s="34" t="s">
        <v>32</v>
      </c>
      <c r="L509" s="34" t="s">
        <v>1755</v>
      </c>
      <c r="M509" s="34" t="s">
        <v>33</v>
      </c>
      <c r="N509" s="47">
        <v>16</v>
      </c>
      <c r="O509" s="48">
        <v>2</v>
      </c>
      <c r="P509" s="49">
        <v>40</v>
      </c>
      <c r="Q509" s="50">
        <v>17.811900000000001</v>
      </c>
      <c r="R509" s="50">
        <v>-91.533500000000004</v>
      </c>
      <c r="S509" s="66" t="s">
        <v>34</v>
      </c>
      <c r="T509" s="66" t="s">
        <v>35</v>
      </c>
      <c r="U509" s="66" t="s">
        <v>35</v>
      </c>
      <c r="V509" s="66" t="s">
        <v>35</v>
      </c>
      <c r="W509" s="66" t="s">
        <v>175</v>
      </c>
      <c r="X509" s="66" t="s">
        <v>175</v>
      </c>
      <c r="Y509" s="66"/>
      <c r="Z509" s="66"/>
      <c r="AA509" s="66"/>
      <c r="AB509" s="70" t="s">
        <v>1795</v>
      </c>
      <c r="AC509" s="87">
        <f t="shared" si="24"/>
        <v>0.55555555555555558</v>
      </c>
      <c r="AD509" s="91">
        <v>8</v>
      </c>
      <c r="AE509" s="105" t="s">
        <v>1847</v>
      </c>
      <c r="AF509">
        <f t="shared" si="23"/>
        <v>0</v>
      </c>
      <c r="AG509">
        <f t="shared" si="22"/>
        <v>0</v>
      </c>
    </row>
    <row r="510" spans="1:33" x14ac:dyDescent="0.3">
      <c r="A510" s="84" t="s">
        <v>1368</v>
      </c>
      <c r="B510" s="93" t="s">
        <v>25</v>
      </c>
      <c r="C510" s="93" t="s">
        <v>724</v>
      </c>
      <c r="D510" s="33" t="s">
        <v>1775</v>
      </c>
      <c r="E510" s="34" t="s">
        <v>1369</v>
      </c>
      <c r="F510" s="34" t="s">
        <v>1370</v>
      </c>
      <c r="G510" s="34" t="s">
        <v>111</v>
      </c>
      <c r="H510" s="37">
        <v>1</v>
      </c>
      <c r="I510" s="34" t="s">
        <v>112</v>
      </c>
      <c r="J510" s="34" t="s">
        <v>31</v>
      </c>
      <c r="K510" s="34" t="s">
        <v>32</v>
      </c>
      <c r="L510" s="34" t="s">
        <v>1755</v>
      </c>
      <c r="M510" s="34" t="s">
        <v>33</v>
      </c>
      <c r="N510" s="47">
        <v>9</v>
      </c>
      <c r="O510" s="48">
        <v>3</v>
      </c>
      <c r="P510" s="49">
        <v>51</v>
      </c>
      <c r="Q510" s="50">
        <v>17.990542399999999</v>
      </c>
      <c r="R510" s="50">
        <v>-93.382786300000006</v>
      </c>
      <c r="S510" s="66" t="s">
        <v>34</v>
      </c>
      <c r="T510" s="66" t="s">
        <v>35</v>
      </c>
      <c r="U510" s="66" t="s">
        <v>35</v>
      </c>
      <c r="V510" s="66" t="s">
        <v>35</v>
      </c>
      <c r="W510" s="66" t="s">
        <v>175</v>
      </c>
      <c r="X510" s="66" t="s">
        <v>175</v>
      </c>
      <c r="Y510" s="66"/>
      <c r="Z510" s="66"/>
      <c r="AA510" s="66"/>
      <c r="AB510" s="70" t="s">
        <v>1795</v>
      </c>
      <c r="AC510" s="87">
        <f t="shared" si="24"/>
        <v>0.55555555555555558</v>
      </c>
      <c r="AD510" s="91">
        <v>8</v>
      </c>
      <c r="AE510" s="105" t="s">
        <v>1847</v>
      </c>
      <c r="AF510">
        <f t="shared" si="23"/>
        <v>0</v>
      </c>
      <c r="AG510">
        <f t="shared" si="22"/>
        <v>0</v>
      </c>
    </row>
    <row r="511" spans="1:33" x14ac:dyDescent="0.3">
      <c r="A511" s="84" t="s">
        <v>1674</v>
      </c>
      <c r="B511" s="93" t="s">
        <v>25</v>
      </c>
      <c r="C511" s="93" t="s">
        <v>724</v>
      </c>
      <c r="D511" s="33" t="s">
        <v>1775</v>
      </c>
      <c r="E511" s="34" t="s">
        <v>1372</v>
      </c>
      <c r="F511" s="34" t="s">
        <v>1675</v>
      </c>
      <c r="G511" s="34" t="s">
        <v>941</v>
      </c>
      <c r="H511" s="37">
        <v>2</v>
      </c>
      <c r="I511" s="34" t="s">
        <v>155</v>
      </c>
      <c r="J511" s="34" t="s">
        <v>31</v>
      </c>
      <c r="K511" s="34" t="s">
        <v>32</v>
      </c>
      <c r="L511" s="34" t="s">
        <v>1756</v>
      </c>
      <c r="M511" s="34" t="s">
        <v>33</v>
      </c>
      <c r="N511" s="47">
        <v>45</v>
      </c>
      <c r="O511" s="48">
        <v>6</v>
      </c>
      <c r="P511" s="49">
        <v>152</v>
      </c>
      <c r="Q511" s="50">
        <v>17.977150999999999</v>
      </c>
      <c r="R511" s="50">
        <v>-92.952872999999997</v>
      </c>
      <c r="S511" s="66" t="s">
        <v>34</v>
      </c>
      <c r="T511" s="66" t="s">
        <v>35</v>
      </c>
      <c r="U511" s="66" t="s">
        <v>35</v>
      </c>
      <c r="V511" s="66" t="s">
        <v>35</v>
      </c>
      <c r="W511" s="66" t="s">
        <v>35</v>
      </c>
      <c r="X511" s="66" t="s">
        <v>35</v>
      </c>
      <c r="Y511" s="66"/>
      <c r="Z511" s="66"/>
      <c r="AA511" s="66"/>
      <c r="AB511" s="70" t="s">
        <v>1795</v>
      </c>
      <c r="AC511" s="87">
        <f t="shared" si="24"/>
        <v>0.66666666666666663</v>
      </c>
      <c r="AD511" s="91">
        <v>8</v>
      </c>
      <c r="AE511" s="105" t="s">
        <v>1847</v>
      </c>
      <c r="AF511">
        <f t="shared" si="23"/>
        <v>0</v>
      </c>
      <c r="AG511">
        <f t="shared" si="22"/>
        <v>0</v>
      </c>
    </row>
    <row r="512" spans="1:33" x14ac:dyDescent="0.3">
      <c r="A512" s="84" t="s">
        <v>1371</v>
      </c>
      <c r="B512" s="93" t="s">
        <v>25</v>
      </c>
      <c r="C512" s="93" t="s">
        <v>724</v>
      </c>
      <c r="D512" s="33" t="s">
        <v>1775</v>
      </c>
      <c r="E512" s="34" t="s">
        <v>1372</v>
      </c>
      <c r="F512" s="34" t="s">
        <v>1373</v>
      </c>
      <c r="G512" s="34" t="s">
        <v>111</v>
      </c>
      <c r="H512" s="37">
        <v>1</v>
      </c>
      <c r="I512" s="34" t="s">
        <v>155</v>
      </c>
      <c r="J512" s="34" t="s">
        <v>31</v>
      </c>
      <c r="K512" s="34" t="s">
        <v>32</v>
      </c>
      <c r="L512" s="34" t="s">
        <v>1756</v>
      </c>
      <c r="M512" s="34" t="s">
        <v>33</v>
      </c>
      <c r="N512" s="47">
        <v>25</v>
      </c>
      <c r="O512" s="48">
        <v>11</v>
      </c>
      <c r="P512" s="49">
        <v>201</v>
      </c>
      <c r="Q512" s="50">
        <v>18.012402099999999</v>
      </c>
      <c r="R512" s="50">
        <v>-92.924240699999999</v>
      </c>
      <c r="S512" s="66" t="s">
        <v>34</v>
      </c>
      <c r="T512" s="66" t="s">
        <v>35</v>
      </c>
      <c r="U512" s="66" t="s">
        <v>35</v>
      </c>
      <c r="V512" s="66" t="s">
        <v>35</v>
      </c>
      <c r="W512" s="66" t="s">
        <v>175</v>
      </c>
      <c r="X512" s="66" t="s">
        <v>175</v>
      </c>
      <c r="Y512" s="66"/>
      <c r="Z512" s="66"/>
      <c r="AA512" s="66"/>
      <c r="AB512" s="70" t="s">
        <v>1795</v>
      </c>
      <c r="AC512" s="87">
        <f t="shared" si="24"/>
        <v>0.55555555555555558</v>
      </c>
      <c r="AD512" s="91">
        <v>8</v>
      </c>
      <c r="AE512" s="105" t="s">
        <v>1847</v>
      </c>
      <c r="AF512">
        <f t="shared" si="23"/>
        <v>0</v>
      </c>
      <c r="AG512">
        <f t="shared" si="22"/>
        <v>0</v>
      </c>
    </row>
    <row r="513" spans="1:33" x14ac:dyDescent="0.3">
      <c r="A513" s="84" t="s">
        <v>1374</v>
      </c>
      <c r="B513" s="93" t="s">
        <v>25</v>
      </c>
      <c r="C513" s="93" t="s">
        <v>724</v>
      </c>
      <c r="D513" s="33" t="s">
        <v>1775</v>
      </c>
      <c r="E513" s="34" t="s">
        <v>1372</v>
      </c>
      <c r="F513" s="34" t="s">
        <v>1375</v>
      </c>
      <c r="G513" s="34" t="s">
        <v>111</v>
      </c>
      <c r="H513" s="37">
        <v>1</v>
      </c>
      <c r="I513" s="34" t="s">
        <v>155</v>
      </c>
      <c r="J513" s="34" t="s">
        <v>31</v>
      </c>
      <c r="K513" s="34" t="s">
        <v>32</v>
      </c>
      <c r="L513" s="34" t="s">
        <v>1756</v>
      </c>
      <c r="M513" s="34" t="s">
        <v>33</v>
      </c>
      <c r="N513" s="47">
        <v>67</v>
      </c>
      <c r="O513" s="48">
        <v>8</v>
      </c>
      <c r="P513" s="49">
        <v>346</v>
      </c>
      <c r="Q513" s="50">
        <v>17.9788909</v>
      </c>
      <c r="R513" s="50">
        <v>-92.986235699999995</v>
      </c>
      <c r="S513" s="66" t="s">
        <v>34</v>
      </c>
      <c r="T513" s="66" t="s">
        <v>35</v>
      </c>
      <c r="U513" s="66" t="s">
        <v>35</v>
      </c>
      <c r="V513" s="66" t="s">
        <v>35</v>
      </c>
      <c r="W513" s="66" t="s">
        <v>175</v>
      </c>
      <c r="X513" s="66" t="s">
        <v>175</v>
      </c>
      <c r="Y513" s="66"/>
      <c r="Z513" s="66"/>
      <c r="AA513" s="66"/>
      <c r="AB513" s="70" t="s">
        <v>1795</v>
      </c>
      <c r="AC513" s="87">
        <f t="shared" si="24"/>
        <v>0.55555555555555558</v>
      </c>
      <c r="AD513" s="91">
        <v>8</v>
      </c>
      <c r="AE513" s="105" t="s">
        <v>1847</v>
      </c>
      <c r="AF513">
        <f t="shared" si="23"/>
        <v>0</v>
      </c>
      <c r="AG513">
        <f t="shared" si="22"/>
        <v>0</v>
      </c>
    </row>
    <row r="514" spans="1:33" x14ac:dyDescent="0.3">
      <c r="A514" s="84" t="s">
        <v>1640</v>
      </c>
      <c r="B514" s="93" t="s">
        <v>25</v>
      </c>
      <c r="C514" s="93" t="s">
        <v>724</v>
      </c>
      <c r="D514" s="33" t="s">
        <v>1775</v>
      </c>
      <c r="E514" s="34" t="s">
        <v>1372</v>
      </c>
      <c r="F514" s="34" t="s">
        <v>1641</v>
      </c>
      <c r="G514" s="34" t="s">
        <v>164</v>
      </c>
      <c r="H514" s="37">
        <v>2</v>
      </c>
      <c r="I514" s="34" t="s">
        <v>155</v>
      </c>
      <c r="J514" s="34" t="s">
        <v>31</v>
      </c>
      <c r="K514" s="34" t="s">
        <v>32</v>
      </c>
      <c r="L514" s="34" t="s">
        <v>1756</v>
      </c>
      <c r="M514" s="34" t="s">
        <v>33</v>
      </c>
      <c r="N514" s="47">
        <v>33</v>
      </c>
      <c r="O514" s="48">
        <v>8</v>
      </c>
      <c r="P514" s="49">
        <v>118</v>
      </c>
      <c r="Q514" s="50">
        <v>17.976465999999999</v>
      </c>
      <c r="R514" s="50">
        <v>-92.953389999999999</v>
      </c>
      <c r="S514" s="66" t="s">
        <v>34</v>
      </c>
      <c r="T514" s="66" t="s">
        <v>35</v>
      </c>
      <c r="U514" s="66" t="s">
        <v>35</v>
      </c>
      <c r="V514" s="66" t="s">
        <v>35</v>
      </c>
      <c r="W514" s="66" t="s">
        <v>35</v>
      </c>
      <c r="X514" s="66" t="s">
        <v>35</v>
      </c>
      <c r="Y514" s="66"/>
      <c r="Z514" s="66"/>
      <c r="AA514" s="66"/>
      <c r="AB514" s="70" t="s">
        <v>1795</v>
      </c>
      <c r="AC514" s="87">
        <f t="shared" si="24"/>
        <v>0.66666666666666663</v>
      </c>
      <c r="AD514" s="91">
        <v>8</v>
      </c>
      <c r="AE514" s="105" t="s">
        <v>1847</v>
      </c>
      <c r="AF514">
        <f t="shared" si="23"/>
        <v>0</v>
      </c>
      <c r="AG514">
        <f t="shared" ref="AG514:AG577" si="25">IF(AND(OR(Z514="SI",Z514="NO APLICA"),OR(AA514="SI",AA514="NO APLICA")),1,0)</f>
        <v>0</v>
      </c>
    </row>
    <row r="515" spans="1:33" x14ac:dyDescent="0.3">
      <c r="A515" s="84" t="s">
        <v>1705</v>
      </c>
      <c r="B515" s="93" t="s">
        <v>25</v>
      </c>
      <c r="C515" s="93" t="s">
        <v>724</v>
      </c>
      <c r="D515" s="33" t="s">
        <v>1775</v>
      </c>
      <c r="E515" s="34" t="s">
        <v>1372</v>
      </c>
      <c r="F515" s="34" t="s">
        <v>1706</v>
      </c>
      <c r="G515" s="34" t="s">
        <v>169</v>
      </c>
      <c r="H515" s="37">
        <v>2</v>
      </c>
      <c r="I515" s="34" t="s">
        <v>170</v>
      </c>
      <c r="J515" s="34" t="s">
        <v>31</v>
      </c>
      <c r="K515" s="34" t="s">
        <v>32</v>
      </c>
      <c r="L515" s="34" t="s">
        <v>1756</v>
      </c>
      <c r="M515" s="34" t="s">
        <v>33</v>
      </c>
      <c r="N515" s="47">
        <v>13</v>
      </c>
      <c r="O515" s="48">
        <v>0</v>
      </c>
      <c r="P515" s="49">
        <v>83</v>
      </c>
      <c r="Q515" s="50">
        <v>18.014170700000001</v>
      </c>
      <c r="R515" s="50">
        <v>-92.920878999999999</v>
      </c>
      <c r="S515" s="66" t="s">
        <v>34</v>
      </c>
      <c r="T515" s="66" t="s">
        <v>35</v>
      </c>
      <c r="U515" s="66" t="s">
        <v>35</v>
      </c>
      <c r="V515" s="66" t="s">
        <v>35</v>
      </c>
      <c r="W515" s="66" t="s">
        <v>175</v>
      </c>
      <c r="X515" s="66" t="s">
        <v>175</v>
      </c>
      <c r="Y515" s="66"/>
      <c r="Z515" s="66"/>
      <c r="AA515" s="66"/>
      <c r="AB515" s="70" t="s">
        <v>1795</v>
      </c>
      <c r="AC515" s="87">
        <f t="shared" si="24"/>
        <v>0.55555555555555558</v>
      </c>
      <c r="AD515" s="91">
        <v>8</v>
      </c>
      <c r="AE515" s="105" t="s">
        <v>1847</v>
      </c>
      <c r="AF515">
        <f t="shared" ref="AF515:AF578" si="26">IF(OR(AND(Z515="SI",AA515="NO"),AND(Z515="NO",AA515="SI")),1,0)</f>
        <v>0</v>
      </c>
      <c r="AG515">
        <f t="shared" si="25"/>
        <v>0</v>
      </c>
    </row>
    <row r="516" spans="1:33" x14ac:dyDescent="0.3">
      <c r="A516" s="84" t="s">
        <v>1376</v>
      </c>
      <c r="B516" s="93" t="s">
        <v>25</v>
      </c>
      <c r="C516" s="93" t="s">
        <v>724</v>
      </c>
      <c r="D516" s="33" t="s">
        <v>1775</v>
      </c>
      <c r="E516" s="34" t="s">
        <v>1377</v>
      </c>
      <c r="F516" s="34" t="s">
        <v>1378</v>
      </c>
      <c r="G516" s="34" t="s">
        <v>111</v>
      </c>
      <c r="H516" s="37">
        <v>1</v>
      </c>
      <c r="I516" s="34" t="s">
        <v>112</v>
      </c>
      <c r="J516" s="34" t="s">
        <v>31</v>
      </c>
      <c r="K516" s="34" t="s">
        <v>32</v>
      </c>
      <c r="L516" s="34" t="s">
        <v>1755</v>
      </c>
      <c r="M516" s="34" t="s">
        <v>33</v>
      </c>
      <c r="N516" s="47">
        <v>11</v>
      </c>
      <c r="O516" s="48">
        <v>3</v>
      </c>
      <c r="P516" s="49">
        <v>57</v>
      </c>
      <c r="Q516" s="50">
        <v>18.068595299999998</v>
      </c>
      <c r="R516" s="50">
        <v>-93.172695599999997</v>
      </c>
      <c r="S516" s="66" t="s">
        <v>34</v>
      </c>
      <c r="T516" s="66" t="s">
        <v>35</v>
      </c>
      <c r="U516" s="66" t="s">
        <v>35</v>
      </c>
      <c r="V516" s="66" t="s">
        <v>35</v>
      </c>
      <c r="W516" s="66" t="s">
        <v>175</v>
      </c>
      <c r="X516" s="66" t="s">
        <v>175</v>
      </c>
      <c r="Y516" s="66"/>
      <c r="Z516" s="66"/>
      <c r="AA516" s="66"/>
      <c r="AB516" s="70" t="s">
        <v>1795</v>
      </c>
      <c r="AC516" s="87">
        <f t="shared" si="24"/>
        <v>0.55555555555555558</v>
      </c>
      <c r="AD516" s="91">
        <v>8</v>
      </c>
      <c r="AE516" s="105" t="s">
        <v>1847</v>
      </c>
      <c r="AF516">
        <f t="shared" si="26"/>
        <v>0</v>
      </c>
      <c r="AG516">
        <f t="shared" si="25"/>
        <v>0</v>
      </c>
    </row>
    <row r="517" spans="1:33" x14ac:dyDescent="0.3">
      <c r="A517" s="84" t="s">
        <v>1379</v>
      </c>
      <c r="B517" s="93" t="s">
        <v>25</v>
      </c>
      <c r="C517" s="93" t="s">
        <v>724</v>
      </c>
      <c r="D517" s="33" t="s">
        <v>1775</v>
      </c>
      <c r="E517" s="34" t="s">
        <v>1380</v>
      </c>
      <c r="F517" s="34" t="s">
        <v>1381</v>
      </c>
      <c r="G517" s="34" t="s">
        <v>111</v>
      </c>
      <c r="H517" s="37">
        <v>1</v>
      </c>
      <c r="I517" s="34" t="s">
        <v>112</v>
      </c>
      <c r="J517" s="34" t="s">
        <v>31</v>
      </c>
      <c r="K517" s="34" t="s">
        <v>32</v>
      </c>
      <c r="L517" s="34" t="s">
        <v>1755</v>
      </c>
      <c r="M517" s="34" t="s">
        <v>33</v>
      </c>
      <c r="N517" s="47">
        <v>15</v>
      </c>
      <c r="O517" s="48">
        <v>2</v>
      </c>
      <c r="P517" s="49">
        <v>43</v>
      </c>
      <c r="Q517" s="50">
        <v>17.741220999999999</v>
      </c>
      <c r="R517" s="50">
        <v>-91.782673000000003</v>
      </c>
      <c r="S517" s="66" t="s">
        <v>34</v>
      </c>
      <c r="T517" s="66" t="s">
        <v>35</v>
      </c>
      <c r="U517" s="66" t="s">
        <v>35</v>
      </c>
      <c r="V517" s="66" t="s">
        <v>35</v>
      </c>
      <c r="W517" s="66" t="s">
        <v>175</v>
      </c>
      <c r="X517" s="66" t="s">
        <v>175</v>
      </c>
      <c r="Y517" s="76"/>
      <c r="Z517" s="66"/>
      <c r="AA517" s="66"/>
      <c r="AB517" s="70" t="s">
        <v>1795</v>
      </c>
      <c r="AC517" s="87">
        <f t="shared" si="24"/>
        <v>0.55555555555555558</v>
      </c>
      <c r="AD517" s="91">
        <v>8</v>
      </c>
      <c r="AE517" s="105" t="s">
        <v>1847</v>
      </c>
      <c r="AF517">
        <f t="shared" si="26"/>
        <v>0</v>
      </c>
      <c r="AG517">
        <f t="shared" si="25"/>
        <v>0</v>
      </c>
    </row>
    <row r="518" spans="1:33" x14ac:dyDescent="0.3">
      <c r="A518" s="84" t="s">
        <v>1382</v>
      </c>
      <c r="B518" s="93" t="s">
        <v>25</v>
      </c>
      <c r="C518" s="93" t="s">
        <v>724</v>
      </c>
      <c r="D518" s="33" t="s">
        <v>1775</v>
      </c>
      <c r="E518" s="34" t="s">
        <v>737</v>
      </c>
      <c r="F518" s="34" t="s">
        <v>1383</v>
      </c>
      <c r="G518" s="34" t="s">
        <v>111</v>
      </c>
      <c r="H518" s="37">
        <v>1</v>
      </c>
      <c r="I518" s="34" t="s">
        <v>112</v>
      </c>
      <c r="J518" s="34" t="s">
        <v>31</v>
      </c>
      <c r="K518" s="34" t="s">
        <v>32</v>
      </c>
      <c r="L518" s="34" t="s">
        <v>1755</v>
      </c>
      <c r="M518" s="34" t="s">
        <v>33</v>
      </c>
      <c r="N518" s="47">
        <v>19</v>
      </c>
      <c r="O518" s="48">
        <v>2</v>
      </c>
      <c r="P518" s="49">
        <v>43</v>
      </c>
      <c r="Q518" s="50">
        <v>17.826924000000002</v>
      </c>
      <c r="R518" s="50">
        <v>-93.395583000000002</v>
      </c>
      <c r="S518" s="66" t="s">
        <v>34</v>
      </c>
      <c r="T518" s="66" t="s">
        <v>35</v>
      </c>
      <c r="U518" s="66" t="s">
        <v>35</v>
      </c>
      <c r="V518" s="66" t="s">
        <v>35</v>
      </c>
      <c r="W518" s="66" t="s">
        <v>175</v>
      </c>
      <c r="X518" s="66" t="s">
        <v>175</v>
      </c>
      <c r="Y518" s="76"/>
      <c r="Z518" s="66"/>
      <c r="AA518" s="66"/>
      <c r="AB518" s="70" t="s">
        <v>1795</v>
      </c>
      <c r="AC518" s="87">
        <f t="shared" si="24"/>
        <v>0.55555555555555558</v>
      </c>
      <c r="AD518" s="91">
        <v>8</v>
      </c>
      <c r="AE518" s="105" t="s">
        <v>1847</v>
      </c>
      <c r="AF518">
        <f t="shared" si="26"/>
        <v>0</v>
      </c>
      <c r="AG518">
        <f t="shared" si="25"/>
        <v>0</v>
      </c>
    </row>
    <row r="519" spans="1:33" x14ac:dyDescent="0.3">
      <c r="A519" s="84" t="s">
        <v>723</v>
      </c>
      <c r="B519" s="93" t="s">
        <v>25</v>
      </c>
      <c r="C519" s="93" t="s">
        <v>724</v>
      </c>
      <c r="D519" s="33" t="s">
        <v>1775</v>
      </c>
      <c r="E519" s="34" t="s">
        <v>725</v>
      </c>
      <c r="F519" s="34" t="s">
        <v>726</v>
      </c>
      <c r="G519" s="34" t="s">
        <v>29</v>
      </c>
      <c r="H519" s="37">
        <v>1</v>
      </c>
      <c r="I519" s="34" t="s">
        <v>30</v>
      </c>
      <c r="J519" s="34" t="s">
        <v>31</v>
      </c>
      <c r="K519" s="34" t="s">
        <v>32</v>
      </c>
      <c r="L519" s="34" t="s">
        <v>1755</v>
      </c>
      <c r="M519" s="34" t="s">
        <v>33</v>
      </c>
      <c r="N519" s="47">
        <v>10</v>
      </c>
      <c r="O519" s="48">
        <v>2</v>
      </c>
      <c r="P519" s="49">
        <v>20</v>
      </c>
      <c r="Q519" s="50">
        <v>17.723228800000001</v>
      </c>
      <c r="R519" s="50">
        <v>-92.813005099999998</v>
      </c>
      <c r="S519" s="66" t="s">
        <v>34</v>
      </c>
      <c r="T519" s="66" t="s">
        <v>35</v>
      </c>
      <c r="U519" s="66" t="s">
        <v>35</v>
      </c>
      <c r="V519" s="66" t="s">
        <v>35</v>
      </c>
      <c r="W519" s="66" t="s">
        <v>35</v>
      </c>
      <c r="X519" s="66" t="s">
        <v>35</v>
      </c>
      <c r="Y519" s="76"/>
      <c r="Z519" s="66"/>
      <c r="AA519" s="66"/>
      <c r="AB519" s="70" t="s">
        <v>1795</v>
      </c>
      <c r="AC519" s="87">
        <f t="shared" si="24"/>
        <v>0.66666666666666663</v>
      </c>
      <c r="AD519" s="91">
        <v>8</v>
      </c>
      <c r="AE519" s="105" t="s">
        <v>1847</v>
      </c>
      <c r="AF519">
        <f t="shared" si="26"/>
        <v>0</v>
      </c>
      <c r="AG519">
        <f t="shared" si="25"/>
        <v>0</v>
      </c>
    </row>
    <row r="520" spans="1:33" x14ac:dyDescent="0.3">
      <c r="A520" s="84" t="s">
        <v>727</v>
      </c>
      <c r="B520" s="93" t="s">
        <v>25</v>
      </c>
      <c r="C520" s="93" t="s">
        <v>724</v>
      </c>
      <c r="D520" s="33" t="s">
        <v>1775</v>
      </c>
      <c r="E520" s="34" t="s">
        <v>728</v>
      </c>
      <c r="F520" s="34" t="s">
        <v>729</v>
      </c>
      <c r="G520" s="34" t="s">
        <v>29</v>
      </c>
      <c r="H520" s="37">
        <v>1</v>
      </c>
      <c r="I520" s="34" t="s">
        <v>30</v>
      </c>
      <c r="J520" s="34" t="s">
        <v>31</v>
      </c>
      <c r="K520" s="34" t="s">
        <v>32</v>
      </c>
      <c r="L520" s="34" t="s">
        <v>1755</v>
      </c>
      <c r="M520" s="34" t="s">
        <v>33</v>
      </c>
      <c r="N520" s="47">
        <v>13</v>
      </c>
      <c r="O520" s="48">
        <v>2</v>
      </c>
      <c r="P520" s="49">
        <v>17</v>
      </c>
      <c r="Q520" s="50">
        <v>18.179819899999998</v>
      </c>
      <c r="R520" s="50">
        <v>-93.058869799999997</v>
      </c>
      <c r="S520" s="66" t="s">
        <v>34</v>
      </c>
      <c r="T520" s="66" t="s">
        <v>35</v>
      </c>
      <c r="U520" s="66" t="s">
        <v>35</v>
      </c>
      <c r="V520" s="66" t="s">
        <v>35</v>
      </c>
      <c r="W520" s="66" t="s">
        <v>35</v>
      </c>
      <c r="X520" s="66" t="s">
        <v>35</v>
      </c>
      <c r="Y520" s="76"/>
      <c r="Z520" s="66"/>
      <c r="AA520" s="66"/>
      <c r="AB520" s="70" t="s">
        <v>1795</v>
      </c>
      <c r="AC520" s="87">
        <f t="shared" si="24"/>
        <v>0.66666666666666663</v>
      </c>
      <c r="AD520" s="91">
        <v>8</v>
      </c>
      <c r="AE520" s="105" t="s">
        <v>1847</v>
      </c>
      <c r="AF520">
        <f t="shared" si="26"/>
        <v>0</v>
      </c>
      <c r="AG520">
        <f t="shared" si="25"/>
        <v>0</v>
      </c>
    </row>
    <row r="521" spans="1:33" x14ac:dyDescent="0.3">
      <c r="A521" s="84" t="s">
        <v>1384</v>
      </c>
      <c r="B521" s="93" t="s">
        <v>25</v>
      </c>
      <c r="C521" s="93" t="s">
        <v>724</v>
      </c>
      <c r="D521" s="34" t="s">
        <v>1775</v>
      </c>
      <c r="E521" s="34" t="s">
        <v>1385</v>
      </c>
      <c r="F521" s="34" t="s">
        <v>1386</v>
      </c>
      <c r="G521" s="34" t="s">
        <v>111</v>
      </c>
      <c r="H521" s="37">
        <v>1</v>
      </c>
      <c r="I521" s="34" t="s">
        <v>112</v>
      </c>
      <c r="J521" s="34" t="s">
        <v>31</v>
      </c>
      <c r="K521" s="34" t="s">
        <v>32</v>
      </c>
      <c r="L521" s="34" t="s">
        <v>1755</v>
      </c>
      <c r="M521" s="34" t="s">
        <v>33</v>
      </c>
      <c r="N521" s="47">
        <v>9</v>
      </c>
      <c r="O521" s="48">
        <v>2</v>
      </c>
      <c r="P521" s="49">
        <v>42</v>
      </c>
      <c r="Q521" s="50">
        <v>17.7594599</v>
      </c>
      <c r="R521" s="50">
        <v>-92.592980600000004</v>
      </c>
      <c r="S521" s="66" t="s">
        <v>34</v>
      </c>
      <c r="T521" s="66" t="s">
        <v>35</v>
      </c>
      <c r="U521" s="66" t="s">
        <v>35</v>
      </c>
      <c r="V521" s="66" t="s">
        <v>35</v>
      </c>
      <c r="W521" s="66" t="s">
        <v>35</v>
      </c>
      <c r="X521" s="66" t="s">
        <v>35</v>
      </c>
      <c r="Y521" s="66"/>
      <c r="Z521" s="66"/>
      <c r="AA521" s="66"/>
      <c r="AB521" s="70" t="s">
        <v>1795</v>
      </c>
      <c r="AC521" s="87">
        <f t="shared" si="24"/>
        <v>0.66666666666666663</v>
      </c>
      <c r="AD521" s="91">
        <v>8</v>
      </c>
      <c r="AE521" s="105" t="s">
        <v>1847</v>
      </c>
      <c r="AF521">
        <f t="shared" si="26"/>
        <v>0</v>
      </c>
      <c r="AG521">
        <f t="shared" si="25"/>
        <v>0</v>
      </c>
    </row>
    <row r="522" spans="1:33" x14ac:dyDescent="0.3">
      <c r="A522" s="84" t="s">
        <v>1387</v>
      </c>
      <c r="B522" s="93" t="s">
        <v>25</v>
      </c>
      <c r="C522" s="93" t="s">
        <v>724</v>
      </c>
      <c r="D522" s="33" t="s">
        <v>1775</v>
      </c>
      <c r="E522" s="34" t="s">
        <v>1385</v>
      </c>
      <c r="F522" s="34" t="s">
        <v>1388</v>
      </c>
      <c r="G522" s="34" t="s">
        <v>111</v>
      </c>
      <c r="H522" s="37">
        <v>1</v>
      </c>
      <c r="I522" s="34" t="s">
        <v>112</v>
      </c>
      <c r="J522" s="34" t="s">
        <v>31</v>
      </c>
      <c r="K522" s="34" t="s">
        <v>32</v>
      </c>
      <c r="L522" s="34" t="s">
        <v>1755</v>
      </c>
      <c r="M522" s="34" t="s">
        <v>84</v>
      </c>
      <c r="N522" s="47">
        <v>12</v>
      </c>
      <c r="O522" s="48">
        <v>2</v>
      </c>
      <c r="P522" s="49">
        <v>53</v>
      </c>
      <c r="Q522" s="50">
        <v>17.8447</v>
      </c>
      <c r="R522" s="50">
        <v>-92.529300000000006</v>
      </c>
      <c r="S522" s="66" t="s">
        <v>34</v>
      </c>
      <c r="T522" s="66" t="s">
        <v>35</v>
      </c>
      <c r="U522" s="66" t="s">
        <v>35</v>
      </c>
      <c r="V522" s="66" t="s">
        <v>35</v>
      </c>
      <c r="W522" s="66" t="s">
        <v>175</v>
      </c>
      <c r="X522" s="66" t="s">
        <v>175</v>
      </c>
      <c r="Y522" s="66"/>
      <c r="Z522" s="66"/>
      <c r="AA522" s="66"/>
      <c r="AB522" s="70" t="s">
        <v>1795</v>
      </c>
      <c r="AC522" s="87">
        <f t="shared" si="24"/>
        <v>0.55555555555555558</v>
      </c>
      <c r="AD522" s="91">
        <v>8</v>
      </c>
      <c r="AE522" s="105" t="s">
        <v>1847</v>
      </c>
      <c r="AF522">
        <f t="shared" si="26"/>
        <v>0</v>
      </c>
      <c r="AG522">
        <f t="shared" si="25"/>
        <v>0</v>
      </c>
    </row>
    <row r="523" spans="1:33" x14ac:dyDescent="0.3">
      <c r="A523" s="84" t="s">
        <v>730</v>
      </c>
      <c r="B523" s="93" t="s">
        <v>25</v>
      </c>
      <c r="C523" s="93" t="s">
        <v>724</v>
      </c>
      <c r="D523" s="33" t="s">
        <v>1775</v>
      </c>
      <c r="E523" s="34" t="s">
        <v>731</v>
      </c>
      <c r="F523" s="34" t="s">
        <v>732</v>
      </c>
      <c r="G523" s="34" t="s">
        <v>29</v>
      </c>
      <c r="H523" s="37">
        <v>1</v>
      </c>
      <c r="I523" s="34" t="s">
        <v>30</v>
      </c>
      <c r="J523" s="34" t="s">
        <v>31</v>
      </c>
      <c r="K523" s="34" t="s">
        <v>32</v>
      </c>
      <c r="L523" s="34" t="s">
        <v>1755</v>
      </c>
      <c r="M523" s="34" t="s">
        <v>33</v>
      </c>
      <c r="N523" s="47">
        <v>10</v>
      </c>
      <c r="O523" s="48">
        <v>2</v>
      </c>
      <c r="P523" s="49">
        <v>22</v>
      </c>
      <c r="Q523" s="50">
        <v>18.166251299999999</v>
      </c>
      <c r="R523" s="50">
        <v>-93.016657199999997</v>
      </c>
      <c r="S523" s="66" t="s">
        <v>34</v>
      </c>
      <c r="T523" s="66" t="s">
        <v>35</v>
      </c>
      <c r="U523" s="66" t="s">
        <v>35</v>
      </c>
      <c r="V523" s="66" t="s">
        <v>35</v>
      </c>
      <c r="W523" s="66" t="s">
        <v>35</v>
      </c>
      <c r="X523" s="66" t="s">
        <v>35</v>
      </c>
      <c r="Y523" s="66"/>
      <c r="Z523" s="66"/>
      <c r="AA523" s="66"/>
      <c r="AB523" s="70" t="s">
        <v>1795</v>
      </c>
      <c r="AC523" s="87">
        <f t="shared" si="24"/>
        <v>0.66666666666666663</v>
      </c>
      <c r="AD523" s="91">
        <v>8</v>
      </c>
      <c r="AE523" s="105" t="s">
        <v>1847</v>
      </c>
      <c r="AF523">
        <f t="shared" si="26"/>
        <v>0</v>
      </c>
      <c r="AG523">
        <f t="shared" si="25"/>
        <v>0</v>
      </c>
    </row>
    <row r="524" spans="1:33" x14ac:dyDescent="0.3">
      <c r="A524" s="84" t="s">
        <v>1389</v>
      </c>
      <c r="B524" s="93" t="s">
        <v>25</v>
      </c>
      <c r="C524" s="93" t="s">
        <v>724</v>
      </c>
      <c r="D524" s="33" t="s">
        <v>1775</v>
      </c>
      <c r="E524" s="34" t="s">
        <v>1390</v>
      </c>
      <c r="F524" s="34" t="s">
        <v>1391</v>
      </c>
      <c r="G524" s="34" t="s">
        <v>111</v>
      </c>
      <c r="H524" s="37">
        <v>1</v>
      </c>
      <c r="I524" s="34" t="s">
        <v>112</v>
      </c>
      <c r="J524" s="34" t="s">
        <v>31</v>
      </c>
      <c r="K524" s="34" t="s">
        <v>32</v>
      </c>
      <c r="L524" s="34" t="s">
        <v>1755</v>
      </c>
      <c r="M524" s="34" t="s">
        <v>84</v>
      </c>
      <c r="N524" s="47">
        <v>15</v>
      </c>
      <c r="O524" s="48">
        <v>2</v>
      </c>
      <c r="P524" s="49">
        <v>45</v>
      </c>
      <c r="Q524" s="50">
        <v>18.388200000000001</v>
      </c>
      <c r="R524" s="50">
        <v>-93.212299999999999</v>
      </c>
      <c r="S524" s="66" t="s">
        <v>34</v>
      </c>
      <c r="T524" s="66" t="s">
        <v>35</v>
      </c>
      <c r="U524" s="66" t="s">
        <v>35</v>
      </c>
      <c r="V524" s="66" t="s">
        <v>35</v>
      </c>
      <c r="W524" s="66" t="s">
        <v>175</v>
      </c>
      <c r="X524" s="66" t="s">
        <v>175</v>
      </c>
      <c r="Y524" s="66"/>
      <c r="Z524" s="66"/>
      <c r="AA524" s="66"/>
      <c r="AB524" s="70" t="s">
        <v>1795</v>
      </c>
      <c r="AC524" s="87">
        <f t="shared" si="24"/>
        <v>0.55555555555555558</v>
      </c>
      <c r="AD524" s="91">
        <v>8</v>
      </c>
      <c r="AE524" s="105" t="s">
        <v>1847</v>
      </c>
      <c r="AF524">
        <f t="shared" si="26"/>
        <v>0</v>
      </c>
      <c r="AG524">
        <f t="shared" si="25"/>
        <v>0</v>
      </c>
    </row>
    <row r="525" spans="1:33" x14ac:dyDescent="0.3">
      <c r="A525" s="84" t="s">
        <v>733</v>
      </c>
      <c r="B525" s="93" t="s">
        <v>25</v>
      </c>
      <c r="C525" s="93" t="s">
        <v>724</v>
      </c>
      <c r="D525" s="33" t="s">
        <v>1775</v>
      </c>
      <c r="E525" s="34" t="s">
        <v>734</v>
      </c>
      <c r="F525" s="34" t="s">
        <v>735</v>
      </c>
      <c r="G525" s="34" t="s">
        <v>29</v>
      </c>
      <c r="H525" s="37">
        <v>1</v>
      </c>
      <c r="I525" s="34" t="s">
        <v>30</v>
      </c>
      <c r="J525" s="34" t="s">
        <v>31</v>
      </c>
      <c r="K525" s="34" t="s">
        <v>32</v>
      </c>
      <c r="L525" s="34" t="s">
        <v>1755</v>
      </c>
      <c r="M525" s="34" t="s">
        <v>33</v>
      </c>
      <c r="N525" s="47">
        <v>14</v>
      </c>
      <c r="O525" s="48">
        <v>2</v>
      </c>
      <c r="P525" s="49">
        <v>26</v>
      </c>
      <c r="Q525" s="50">
        <v>17.593216300000002</v>
      </c>
      <c r="R525" s="50">
        <v>-92.830547600000003</v>
      </c>
      <c r="S525" s="66" t="s">
        <v>34</v>
      </c>
      <c r="T525" s="66" t="s">
        <v>35</v>
      </c>
      <c r="U525" s="66" t="s">
        <v>35</v>
      </c>
      <c r="V525" s="66" t="s">
        <v>35</v>
      </c>
      <c r="W525" s="66" t="s">
        <v>175</v>
      </c>
      <c r="X525" s="66" t="s">
        <v>175</v>
      </c>
      <c r="Y525" s="66"/>
      <c r="Z525" s="66"/>
      <c r="AA525" s="66"/>
      <c r="AB525" s="70" t="s">
        <v>1795</v>
      </c>
      <c r="AC525" s="87">
        <f t="shared" si="24"/>
        <v>0.55555555555555558</v>
      </c>
      <c r="AD525" s="91">
        <v>8</v>
      </c>
      <c r="AE525" s="105" t="s">
        <v>1847</v>
      </c>
      <c r="AF525">
        <f t="shared" si="26"/>
        <v>0</v>
      </c>
      <c r="AG525">
        <f t="shared" si="25"/>
        <v>0</v>
      </c>
    </row>
    <row r="526" spans="1:33" x14ac:dyDescent="0.3">
      <c r="A526" s="84" t="s">
        <v>1392</v>
      </c>
      <c r="B526" s="93" t="s">
        <v>25</v>
      </c>
      <c r="C526" s="93" t="s">
        <v>724</v>
      </c>
      <c r="D526" s="33" t="s">
        <v>1775</v>
      </c>
      <c r="E526" s="34" t="s">
        <v>1393</v>
      </c>
      <c r="F526" s="34" t="s">
        <v>1394</v>
      </c>
      <c r="G526" s="34" t="s">
        <v>111</v>
      </c>
      <c r="H526" s="37">
        <v>1</v>
      </c>
      <c r="I526" s="34" t="s">
        <v>112</v>
      </c>
      <c r="J526" s="34" t="s">
        <v>31</v>
      </c>
      <c r="K526" s="34" t="s">
        <v>32</v>
      </c>
      <c r="L526" s="34" t="s">
        <v>1755</v>
      </c>
      <c r="M526" s="34" t="s">
        <v>33</v>
      </c>
      <c r="N526" s="47">
        <v>7</v>
      </c>
      <c r="O526" s="48">
        <v>2</v>
      </c>
      <c r="P526" s="49">
        <v>35</v>
      </c>
      <c r="Q526" s="50">
        <v>17.559166699999999</v>
      </c>
      <c r="R526" s="50">
        <v>-92.950222199999999</v>
      </c>
      <c r="S526" s="66" t="s">
        <v>34</v>
      </c>
      <c r="T526" s="66" t="s">
        <v>35</v>
      </c>
      <c r="U526" s="66" t="s">
        <v>35</v>
      </c>
      <c r="V526" s="66" t="s">
        <v>35</v>
      </c>
      <c r="W526" s="66" t="s">
        <v>35</v>
      </c>
      <c r="X526" s="66" t="s">
        <v>175</v>
      </c>
      <c r="Y526" s="66"/>
      <c r="Z526" s="66"/>
      <c r="AA526" s="66"/>
      <c r="AB526" s="70" t="s">
        <v>1795</v>
      </c>
      <c r="AC526" s="87">
        <f t="shared" si="24"/>
        <v>0.61111111111111116</v>
      </c>
      <c r="AD526" s="91">
        <v>8</v>
      </c>
      <c r="AE526" s="105" t="s">
        <v>1847</v>
      </c>
      <c r="AF526">
        <f t="shared" si="26"/>
        <v>0</v>
      </c>
      <c r="AG526">
        <f t="shared" si="25"/>
        <v>0</v>
      </c>
    </row>
    <row r="527" spans="1:33" x14ac:dyDescent="0.3">
      <c r="A527" s="84" t="s">
        <v>1395</v>
      </c>
      <c r="B527" s="93" t="s">
        <v>25</v>
      </c>
      <c r="C527" s="93" t="s">
        <v>724</v>
      </c>
      <c r="D527" s="33" t="s">
        <v>1775</v>
      </c>
      <c r="E527" s="34" t="s">
        <v>1396</v>
      </c>
      <c r="F527" s="34" t="s">
        <v>1397</v>
      </c>
      <c r="G527" s="34" t="s">
        <v>111</v>
      </c>
      <c r="H527" s="37">
        <v>1</v>
      </c>
      <c r="I527" s="34" t="s">
        <v>112</v>
      </c>
      <c r="J527" s="34" t="s">
        <v>31</v>
      </c>
      <c r="K527" s="34" t="s">
        <v>32</v>
      </c>
      <c r="L527" s="34" t="s">
        <v>1755</v>
      </c>
      <c r="M527" s="34" t="s">
        <v>33</v>
      </c>
      <c r="N527" s="47">
        <v>13</v>
      </c>
      <c r="O527" s="48">
        <v>2</v>
      </c>
      <c r="P527" s="49">
        <v>47</v>
      </c>
      <c r="Q527" s="50">
        <v>17.469200000000001</v>
      </c>
      <c r="R527" s="50">
        <v>-91.4114</v>
      </c>
      <c r="S527" s="66" t="s">
        <v>34</v>
      </c>
      <c r="T527" s="66" t="s">
        <v>35</v>
      </c>
      <c r="U527" s="66" t="s">
        <v>35</v>
      </c>
      <c r="V527" s="66" t="s">
        <v>35</v>
      </c>
      <c r="W527" s="66" t="s">
        <v>35</v>
      </c>
      <c r="X527" s="66" t="s">
        <v>35</v>
      </c>
      <c r="Y527" s="66"/>
      <c r="Z527" s="66"/>
      <c r="AA527" s="66"/>
      <c r="AB527" s="70" t="s">
        <v>1795</v>
      </c>
      <c r="AC527" s="87">
        <f t="shared" si="24"/>
        <v>0.66666666666666663</v>
      </c>
      <c r="AD527" s="91">
        <v>8</v>
      </c>
      <c r="AE527" s="105" t="s">
        <v>1847</v>
      </c>
      <c r="AF527">
        <f t="shared" si="26"/>
        <v>0</v>
      </c>
      <c r="AG527">
        <f t="shared" si="25"/>
        <v>0</v>
      </c>
    </row>
    <row r="528" spans="1:33" x14ac:dyDescent="0.3">
      <c r="A528" s="84" t="s">
        <v>736</v>
      </c>
      <c r="B528" s="93" t="s">
        <v>25</v>
      </c>
      <c r="C528" s="93" t="s">
        <v>724</v>
      </c>
      <c r="D528" s="33" t="s">
        <v>1775</v>
      </c>
      <c r="E528" s="34" t="s">
        <v>737</v>
      </c>
      <c r="F528" s="34" t="s">
        <v>738</v>
      </c>
      <c r="G528" s="34" t="s">
        <v>29</v>
      </c>
      <c r="H528" s="37">
        <v>1</v>
      </c>
      <c r="I528" s="34" t="s">
        <v>30</v>
      </c>
      <c r="J528" s="34" t="s">
        <v>31</v>
      </c>
      <c r="K528" s="34" t="s">
        <v>32</v>
      </c>
      <c r="L528" s="34" t="s">
        <v>1755</v>
      </c>
      <c r="M528" s="34" t="s">
        <v>33</v>
      </c>
      <c r="N528" s="47">
        <v>11</v>
      </c>
      <c r="O528" s="48">
        <v>2</v>
      </c>
      <c r="P528" s="49">
        <v>28</v>
      </c>
      <c r="Q528" s="50">
        <v>18.088884</v>
      </c>
      <c r="R528" s="50">
        <v>-94.040238000000002</v>
      </c>
      <c r="S528" s="66" t="s">
        <v>34</v>
      </c>
      <c r="T528" s="66" t="s">
        <v>35</v>
      </c>
      <c r="U528" s="66" t="s">
        <v>35</v>
      </c>
      <c r="V528" s="66" t="s">
        <v>35</v>
      </c>
      <c r="W528" s="66" t="s">
        <v>175</v>
      </c>
      <c r="X528" s="66" t="s">
        <v>175</v>
      </c>
      <c r="Y528" s="66"/>
      <c r="Z528" s="66"/>
      <c r="AA528" s="66"/>
      <c r="AB528" s="70" t="s">
        <v>1795</v>
      </c>
      <c r="AC528" s="87">
        <f t="shared" si="24"/>
        <v>0.55555555555555558</v>
      </c>
      <c r="AD528" s="91">
        <v>8</v>
      </c>
      <c r="AE528" s="105" t="s">
        <v>1847</v>
      </c>
      <c r="AF528">
        <f t="shared" si="26"/>
        <v>0</v>
      </c>
      <c r="AG528">
        <f t="shared" si="25"/>
        <v>0</v>
      </c>
    </row>
    <row r="529" spans="1:33" x14ac:dyDescent="0.3">
      <c r="A529" s="84" t="s">
        <v>1398</v>
      </c>
      <c r="B529" s="93" t="s">
        <v>25</v>
      </c>
      <c r="C529" s="93" t="s">
        <v>724</v>
      </c>
      <c r="D529" s="33" t="s">
        <v>1775</v>
      </c>
      <c r="E529" s="34" t="s">
        <v>1399</v>
      </c>
      <c r="F529" s="34" t="s">
        <v>1400</v>
      </c>
      <c r="G529" s="34" t="s">
        <v>111</v>
      </c>
      <c r="H529" s="37">
        <v>1</v>
      </c>
      <c r="I529" s="34" t="s">
        <v>112</v>
      </c>
      <c r="J529" s="34" t="s">
        <v>31</v>
      </c>
      <c r="K529" s="34" t="s">
        <v>32</v>
      </c>
      <c r="L529" s="34" t="s">
        <v>1755</v>
      </c>
      <c r="M529" s="34" t="s">
        <v>33</v>
      </c>
      <c r="N529" s="47">
        <v>18</v>
      </c>
      <c r="O529" s="48">
        <v>4</v>
      </c>
      <c r="P529" s="49">
        <v>99</v>
      </c>
      <c r="Q529" s="50">
        <v>18.266231900000001</v>
      </c>
      <c r="R529" s="50">
        <v>-93.231950100000006</v>
      </c>
      <c r="S529" s="66" t="s">
        <v>34</v>
      </c>
      <c r="T529" s="66" t="s">
        <v>35</v>
      </c>
      <c r="U529" s="66" t="s">
        <v>35</v>
      </c>
      <c r="V529" s="66" t="s">
        <v>35</v>
      </c>
      <c r="W529" s="66" t="s">
        <v>35</v>
      </c>
      <c r="X529" s="66" t="s">
        <v>35</v>
      </c>
      <c r="Y529" s="66"/>
      <c r="Z529" s="66"/>
      <c r="AA529" s="66"/>
      <c r="AB529" s="70" t="s">
        <v>1795</v>
      </c>
      <c r="AC529" s="87">
        <f t="shared" si="24"/>
        <v>0.66666666666666663</v>
      </c>
      <c r="AD529" s="91">
        <v>8</v>
      </c>
      <c r="AE529" s="105" t="s">
        <v>1847</v>
      </c>
      <c r="AF529">
        <f t="shared" si="26"/>
        <v>0</v>
      </c>
      <c r="AG529">
        <f t="shared" si="25"/>
        <v>0</v>
      </c>
    </row>
    <row r="530" spans="1:33" x14ac:dyDescent="0.3">
      <c r="A530" s="84" t="s">
        <v>739</v>
      </c>
      <c r="B530" s="93" t="s">
        <v>25</v>
      </c>
      <c r="C530" s="93" t="s">
        <v>724</v>
      </c>
      <c r="D530" s="33" t="s">
        <v>1775</v>
      </c>
      <c r="E530" s="34" t="s">
        <v>740</v>
      </c>
      <c r="F530" s="34" t="s">
        <v>741</v>
      </c>
      <c r="G530" s="34" t="s">
        <v>29</v>
      </c>
      <c r="H530" s="37">
        <v>1</v>
      </c>
      <c r="I530" s="34" t="s">
        <v>30</v>
      </c>
      <c r="J530" s="34" t="s">
        <v>31</v>
      </c>
      <c r="K530" s="34" t="s">
        <v>32</v>
      </c>
      <c r="L530" s="34" t="s">
        <v>1755</v>
      </c>
      <c r="M530" s="34" t="s">
        <v>33</v>
      </c>
      <c r="N530" s="47">
        <v>10</v>
      </c>
      <c r="O530" s="48">
        <v>2</v>
      </c>
      <c r="P530" s="49">
        <v>20</v>
      </c>
      <c r="Q530" s="50">
        <v>18.101199999999999</v>
      </c>
      <c r="R530" s="50">
        <v>-92.128299999999996</v>
      </c>
      <c r="S530" s="66" t="s">
        <v>34</v>
      </c>
      <c r="T530" s="66" t="s">
        <v>35</v>
      </c>
      <c r="U530" s="66" t="s">
        <v>35</v>
      </c>
      <c r="V530" s="66" t="s">
        <v>35</v>
      </c>
      <c r="W530" s="66" t="s">
        <v>175</v>
      </c>
      <c r="X530" s="66" t="s">
        <v>175</v>
      </c>
      <c r="Y530" s="66"/>
      <c r="Z530" s="66"/>
      <c r="AA530" s="66"/>
      <c r="AB530" s="70" t="s">
        <v>1795</v>
      </c>
      <c r="AC530" s="87">
        <f t="shared" si="24"/>
        <v>0.55555555555555558</v>
      </c>
      <c r="AD530" s="91">
        <v>8</v>
      </c>
      <c r="AE530" s="105" t="s">
        <v>1847</v>
      </c>
      <c r="AF530">
        <f t="shared" si="26"/>
        <v>0</v>
      </c>
      <c r="AG530">
        <f t="shared" si="25"/>
        <v>0</v>
      </c>
    </row>
    <row r="531" spans="1:33" x14ac:dyDescent="0.3">
      <c r="A531" s="84" t="s">
        <v>742</v>
      </c>
      <c r="B531" s="93" t="s">
        <v>25</v>
      </c>
      <c r="C531" s="93" t="s">
        <v>724</v>
      </c>
      <c r="D531" s="33" t="s">
        <v>1775</v>
      </c>
      <c r="E531" s="34" t="s">
        <v>743</v>
      </c>
      <c r="F531" s="34" t="s">
        <v>744</v>
      </c>
      <c r="G531" s="34" t="s">
        <v>29</v>
      </c>
      <c r="H531" s="37">
        <v>1</v>
      </c>
      <c r="I531" s="34" t="s">
        <v>30</v>
      </c>
      <c r="J531" s="34" t="s">
        <v>31</v>
      </c>
      <c r="K531" s="34" t="s">
        <v>32</v>
      </c>
      <c r="L531" s="34" t="s">
        <v>1755</v>
      </c>
      <c r="M531" s="34" t="s">
        <v>33</v>
      </c>
      <c r="N531" s="47">
        <v>17</v>
      </c>
      <c r="O531" s="48">
        <v>2</v>
      </c>
      <c r="P531" s="49">
        <v>29</v>
      </c>
      <c r="Q531" s="50">
        <v>18.542059999999999</v>
      </c>
      <c r="R531" s="50">
        <v>-92.644352999999995</v>
      </c>
      <c r="S531" s="66" t="s">
        <v>34</v>
      </c>
      <c r="T531" s="66" t="s">
        <v>35</v>
      </c>
      <c r="U531" s="66" t="s">
        <v>35</v>
      </c>
      <c r="V531" s="66" t="s">
        <v>35</v>
      </c>
      <c r="W531" s="66" t="s">
        <v>175</v>
      </c>
      <c r="X531" s="66" t="s">
        <v>175</v>
      </c>
      <c r="Y531" s="66"/>
      <c r="Z531" s="66"/>
      <c r="AA531" s="66"/>
      <c r="AB531" s="70" t="s">
        <v>1795</v>
      </c>
      <c r="AC531" s="87">
        <f t="shared" si="24"/>
        <v>0.55555555555555558</v>
      </c>
      <c r="AD531" s="91">
        <v>8</v>
      </c>
      <c r="AE531" s="105" t="s">
        <v>1847</v>
      </c>
      <c r="AF531">
        <f t="shared" si="26"/>
        <v>0</v>
      </c>
      <c r="AG531">
        <f t="shared" si="25"/>
        <v>0</v>
      </c>
    </row>
    <row r="532" spans="1:33" x14ac:dyDescent="0.3">
      <c r="A532" s="84" t="s">
        <v>745</v>
      </c>
      <c r="B532" s="93" t="s">
        <v>25</v>
      </c>
      <c r="C532" s="93" t="s">
        <v>159</v>
      </c>
      <c r="D532" s="33" t="s">
        <v>1775</v>
      </c>
      <c r="E532" s="34" t="s">
        <v>746</v>
      </c>
      <c r="F532" s="34" t="s">
        <v>747</v>
      </c>
      <c r="G532" s="34" t="s">
        <v>29</v>
      </c>
      <c r="H532" s="37">
        <v>1</v>
      </c>
      <c r="I532" s="34" t="s">
        <v>30</v>
      </c>
      <c r="J532" s="34" t="s">
        <v>31</v>
      </c>
      <c r="K532" s="34" t="s">
        <v>32</v>
      </c>
      <c r="L532" s="34" t="s">
        <v>1755</v>
      </c>
      <c r="M532" s="34" t="s">
        <v>33</v>
      </c>
      <c r="N532" s="47">
        <v>3</v>
      </c>
      <c r="O532" s="48">
        <v>2</v>
      </c>
      <c r="P532" s="49">
        <v>19</v>
      </c>
      <c r="Q532" s="50">
        <v>24.056052000000001</v>
      </c>
      <c r="R532" s="50">
        <v>-98.376564000000002</v>
      </c>
      <c r="S532" s="66" t="s">
        <v>34</v>
      </c>
      <c r="T532" s="66"/>
      <c r="U532" s="66" t="s">
        <v>35</v>
      </c>
      <c r="V532" s="66" t="s">
        <v>35</v>
      </c>
      <c r="W532" s="66"/>
      <c r="X532" s="66"/>
      <c r="Y532" s="66"/>
      <c r="Z532" s="66"/>
      <c r="AA532" s="66"/>
      <c r="AB532" s="67"/>
      <c r="AC532" s="87">
        <f t="shared" si="24"/>
        <v>0.33333333333333331</v>
      </c>
      <c r="AD532" s="91">
        <v>10</v>
      </c>
      <c r="AE532" s="105" t="s">
        <v>1782</v>
      </c>
      <c r="AF532">
        <f t="shared" si="26"/>
        <v>0</v>
      </c>
      <c r="AG532">
        <f t="shared" si="25"/>
        <v>0</v>
      </c>
    </row>
    <row r="533" spans="1:33" x14ac:dyDescent="0.3">
      <c r="A533" s="84" t="s">
        <v>748</v>
      </c>
      <c r="B533" s="93" t="s">
        <v>25</v>
      </c>
      <c r="C533" s="93" t="s">
        <v>159</v>
      </c>
      <c r="D533" s="33" t="s">
        <v>1775</v>
      </c>
      <c r="E533" s="34" t="s">
        <v>749</v>
      </c>
      <c r="F533" s="34" t="s">
        <v>750</v>
      </c>
      <c r="G533" s="34" t="s">
        <v>29</v>
      </c>
      <c r="H533" s="37">
        <v>1</v>
      </c>
      <c r="I533" s="34" t="s">
        <v>30</v>
      </c>
      <c r="J533" s="34" t="s">
        <v>31</v>
      </c>
      <c r="K533" s="34" t="s">
        <v>32</v>
      </c>
      <c r="L533" s="34" t="s">
        <v>1755</v>
      </c>
      <c r="M533" s="34" t="s">
        <v>33</v>
      </c>
      <c r="N533" s="47">
        <v>5</v>
      </c>
      <c r="O533" s="48">
        <v>2</v>
      </c>
      <c r="P533" s="49">
        <v>21</v>
      </c>
      <c r="Q533" s="50">
        <v>22.919281999999999</v>
      </c>
      <c r="R533" s="50">
        <v>-98.074685000000002</v>
      </c>
      <c r="S533" s="66" t="s">
        <v>34</v>
      </c>
      <c r="T533" s="66"/>
      <c r="U533" s="66" t="s">
        <v>35</v>
      </c>
      <c r="V533" s="66" t="s">
        <v>35</v>
      </c>
      <c r="W533" s="66"/>
      <c r="X533" s="66"/>
      <c r="Y533" s="76"/>
      <c r="Z533" s="66"/>
      <c r="AA533" s="66"/>
      <c r="AB533" s="67"/>
      <c r="AC533" s="87">
        <f t="shared" si="24"/>
        <v>0.33333333333333331</v>
      </c>
      <c r="AD533" s="91">
        <v>10</v>
      </c>
      <c r="AE533" s="105" t="s">
        <v>1782</v>
      </c>
      <c r="AF533">
        <f t="shared" si="26"/>
        <v>0</v>
      </c>
      <c r="AG533">
        <f t="shared" si="25"/>
        <v>0</v>
      </c>
    </row>
    <row r="534" spans="1:33" x14ac:dyDescent="0.3">
      <c r="A534" s="84" t="s">
        <v>1404</v>
      </c>
      <c r="B534" s="93" t="s">
        <v>25</v>
      </c>
      <c r="C534" s="93" t="s">
        <v>159</v>
      </c>
      <c r="D534" s="33" t="s">
        <v>1775</v>
      </c>
      <c r="E534" s="34" t="s">
        <v>1405</v>
      </c>
      <c r="F534" s="34" t="s">
        <v>1406</v>
      </c>
      <c r="G534" s="34" t="s">
        <v>111</v>
      </c>
      <c r="H534" s="37">
        <v>1</v>
      </c>
      <c r="I534" s="34" t="s">
        <v>112</v>
      </c>
      <c r="J534" s="34" t="s">
        <v>31</v>
      </c>
      <c r="K534" s="34" t="s">
        <v>32</v>
      </c>
      <c r="L534" s="34" t="s">
        <v>1755</v>
      </c>
      <c r="M534" s="34" t="s">
        <v>33</v>
      </c>
      <c r="N534" s="47">
        <v>14</v>
      </c>
      <c r="O534" s="48">
        <v>4</v>
      </c>
      <c r="P534" s="49">
        <v>92</v>
      </c>
      <c r="Q534" s="50">
        <v>27.485904000000001</v>
      </c>
      <c r="R534" s="50">
        <v>-99.504271000000003</v>
      </c>
      <c r="S534" s="66" t="s">
        <v>34</v>
      </c>
      <c r="T534" s="66"/>
      <c r="U534" s="66" t="s">
        <v>176</v>
      </c>
      <c r="V534" s="66" t="s">
        <v>176</v>
      </c>
      <c r="W534" s="66"/>
      <c r="X534" s="66"/>
      <c r="Y534" s="66"/>
      <c r="Z534" s="66"/>
      <c r="AA534" s="66"/>
      <c r="AB534" s="67"/>
      <c r="AC534" s="87">
        <f t="shared" si="24"/>
        <v>0.18518518518518517</v>
      </c>
      <c r="AD534" s="91">
        <v>10</v>
      </c>
      <c r="AE534" s="105" t="s">
        <v>1782</v>
      </c>
      <c r="AF534">
        <f t="shared" si="26"/>
        <v>0</v>
      </c>
      <c r="AG534">
        <f t="shared" si="25"/>
        <v>0</v>
      </c>
    </row>
    <row r="535" spans="1:33" x14ac:dyDescent="0.3">
      <c r="A535" s="84" t="s">
        <v>1407</v>
      </c>
      <c r="B535" s="93" t="s">
        <v>25</v>
      </c>
      <c r="C535" s="93" t="s">
        <v>159</v>
      </c>
      <c r="D535" s="33" t="s">
        <v>1775</v>
      </c>
      <c r="E535" s="34" t="s">
        <v>1405</v>
      </c>
      <c r="F535" s="34" t="s">
        <v>1408</v>
      </c>
      <c r="G535" s="34" t="s">
        <v>111</v>
      </c>
      <c r="H535" s="37">
        <v>1</v>
      </c>
      <c r="I535" s="34" t="s">
        <v>112</v>
      </c>
      <c r="J535" s="34" t="s">
        <v>31</v>
      </c>
      <c r="K535" s="34" t="s">
        <v>32</v>
      </c>
      <c r="L535" s="34" t="s">
        <v>1755</v>
      </c>
      <c r="M535" s="34" t="s">
        <v>33</v>
      </c>
      <c r="N535" s="47">
        <v>12</v>
      </c>
      <c r="O535" s="48">
        <v>4</v>
      </c>
      <c r="P535" s="49">
        <v>45</v>
      </c>
      <c r="Q535" s="50">
        <v>27.493243</v>
      </c>
      <c r="R535" s="50">
        <v>-99.531614000000005</v>
      </c>
      <c r="S535" s="66" t="s">
        <v>34</v>
      </c>
      <c r="T535" s="66"/>
      <c r="U535" s="66" t="s">
        <v>35</v>
      </c>
      <c r="V535" s="66" t="s">
        <v>35</v>
      </c>
      <c r="W535" s="66"/>
      <c r="X535" s="66"/>
      <c r="Y535" s="66"/>
      <c r="Z535" s="66"/>
      <c r="AA535" s="66"/>
      <c r="AB535" s="67"/>
      <c r="AC535" s="87">
        <f t="shared" si="24"/>
        <v>0.33333333333333331</v>
      </c>
      <c r="AD535" s="91">
        <v>10</v>
      </c>
      <c r="AE535" s="105" t="s">
        <v>1782</v>
      </c>
      <c r="AF535">
        <f t="shared" si="26"/>
        <v>0</v>
      </c>
      <c r="AG535">
        <f t="shared" si="25"/>
        <v>0</v>
      </c>
    </row>
    <row r="536" spans="1:33" x14ac:dyDescent="0.3">
      <c r="A536" s="84" t="s">
        <v>1409</v>
      </c>
      <c r="B536" s="93" t="s">
        <v>25</v>
      </c>
      <c r="C536" s="93" t="s">
        <v>159</v>
      </c>
      <c r="D536" s="33" t="s">
        <v>1775</v>
      </c>
      <c r="E536" s="34" t="s">
        <v>1410</v>
      </c>
      <c r="F536" s="34" t="s">
        <v>1411</v>
      </c>
      <c r="G536" s="34" t="s">
        <v>111</v>
      </c>
      <c r="H536" s="37">
        <v>1</v>
      </c>
      <c r="I536" s="34" t="s">
        <v>112</v>
      </c>
      <c r="J536" s="34" t="s">
        <v>31</v>
      </c>
      <c r="K536" s="34" t="s">
        <v>32</v>
      </c>
      <c r="L536" s="34" t="s">
        <v>1755</v>
      </c>
      <c r="M536" s="34" t="s">
        <v>33</v>
      </c>
      <c r="N536" s="47">
        <v>17</v>
      </c>
      <c r="O536" s="48">
        <v>6</v>
      </c>
      <c r="P536" s="49">
        <v>166</v>
      </c>
      <c r="Q536" s="50">
        <v>26.055748999999999</v>
      </c>
      <c r="R536" s="50">
        <v>-98.296918000000005</v>
      </c>
      <c r="S536" s="66" t="s">
        <v>34</v>
      </c>
      <c r="T536" s="66"/>
      <c r="U536" s="66" t="s">
        <v>35</v>
      </c>
      <c r="V536" s="66" t="s">
        <v>35</v>
      </c>
      <c r="W536" s="66"/>
      <c r="X536" s="66"/>
      <c r="Y536" s="66"/>
      <c r="Z536" s="66"/>
      <c r="AA536" s="66"/>
      <c r="AB536" s="67"/>
      <c r="AC536" s="87">
        <f t="shared" si="24"/>
        <v>0.33333333333333331</v>
      </c>
      <c r="AD536" s="91">
        <v>10</v>
      </c>
      <c r="AE536" s="105" t="s">
        <v>1782</v>
      </c>
      <c r="AF536">
        <f t="shared" si="26"/>
        <v>0</v>
      </c>
      <c r="AG536">
        <f t="shared" si="25"/>
        <v>0</v>
      </c>
    </row>
    <row r="537" spans="1:33" x14ac:dyDescent="0.3">
      <c r="A537" s="84" t="s">
        <v>1412</v>
      </c>
      <c r="B537" s="93" t="s">
        <v>25</v>
      </c>
      <c r="C537" s="93" t="s">
        <v>159</v>
      </c>
      <c r="D537" s="33" t="s">
        <v>1775</v>
      </c>
      <c r="E537" s="34" t="s">
        <v>1413</v>
      </c>
      <c r="F537" s="34" t="s">
        <v>1414</v>
      </c>
      <c r="G537" s="34" t="s">
        <v>111</v>
      </c>
      <c r="H537" s="37">
        <v>1</v>
      </c>
      <c r="I537" s="34" t="s">
        <v>112</v>
      </c>
      <c r="J537" s="34" t="s">
        <v>31</v>
      </c>
      <c r="K537" s="34" t="s">
        <v>32</v>
      </c>
      <c r="L537" s="34" t="s">
        <v>1755</v>
      </c>
      <c r="M537" s="34" t="s">
        <v>33</v>
      </c>
      <c r="N537" s="47">
        <v>6</v>
      </c>
      <c r="O537" s="48">
        <v>3</v>
      </c>
      <c r="P537" s="49">
        <v>51</v>
      </c>
      <c r="Q537" s="50">
        <v>24.853304000000001</v>
      </c>
      <c r="R537" s="50">
        <v>-98.152894000000003</v>
      </c>
      <c r="S537" s="66" t="s">
        <v>34</v>
      </c>
      <c r="T537" s="66"/>
      <c r="U537" s="66" t="s">
        <v>35</v>
      </c>
      <c r="V537" s="66" t="s">
        <v>35</v>
      </c>
      <c r="W537" s="66"/>
      <c r="X537" s="66"/>
      <c r="Y537" s="66"/>
      <c r="Z537" s="66"/>
      <c r="AA537" s="66"/>
      <c r="AB537" s="67"/>
      <c r="AC537" s="87">
        <f t="shared" si="24"/>
        <v>0.33333333333333331</v>
      </c>
      <c r="AD537" s="91">
        <v>10</v>
      </c>
      <c r="AE537" s="105" t="s">
        <v>1782</v>
      </c>
      <c r="AF537">
        <f t="shared" si="26"/>
        <v>0</v>
      </c>
      <c r="AG537">
        <f t="shared" si="25"/>
        <v>0</v>
      </c>
    </row>
    <row r="538" spans="1:33" ht="15" x14ac:dyDescent="0.3">
      <c r="A538" s="94" t="s">
        <v>1736</v>
      </c>
      <c r="B538" s="95" t="s">
        <v>25</v>
      </c>
      <c r="C538" s="95" t="s">
        <v>159</v>
      </c>
      <c r="D538" s="34" t="s">
        <v>1775</v>
      </c>
      <c r="E538" s="35" t="s">
        <v>160</v>
      </c>
      <c r="F538" s="82" t="s">
        <v>1737</v>
      </c>
      <c r="G538" s="35" t="s">
        <v>180</v>
      </c>
      <c r="H538" s="39">
        <v>3</v>
      </c>
      <c r="I538" s="35" t="s">
        <v>181</v>
      </c>
      <c r="J538" s="35" t="s">
        <v>182</v>
      </c>
      <c r="K538" s="35" t="s">
        <v>32</v>
      </c>
      <c r="L538" s="35" t="s">
        <v>1755</v>
      </c>
      <c r="M538" s="35" t="s">
        <v>33</v>
      </c>
      <c r="N538" s="39">
        <v>6</v>
      </c>
      <c r="O538" s="39">
        <v>0</v>
      </c>
      <c r="P538" s="39">
        <v>3</v>
      </c>
      <c r="Q538" s="40">
        <v>23.722435999999998</v>
      </c>
      <c r="R538" s="40">
        <v>-99.164563000000001</v>
      </c>
      <c r="S538" s="66" t="s">
        <v>34</v>
      </c>
      <c r="T538" s="66"/>
      <c r="U538" s="66" t="s">
        <v>35</v>
      </c>
      <c r="V538" s="66" t="s">
        <v>35</v>
      </c>
      <c r="W538" s="66"/>
      <c r="X538" s="66"/>
      <c r="Y538" s="66"/>
      <c r="Z538" s="66"/>
      <c r="AA538" s="66"/>
      <c r="AB538" s="67"/>
      <c r="AC538" s="87">
        <f t="shared" si="24"/>
        <v>0.33333333333333331</v>
      </c>
      <c r="AD538" s="91">
        <v>10</v>
      </c>
      <c r="AE538" s="105" t="s">
        <v>1782</v>
      </c>
      <c r="AF538">
        <f t="shared" si="26"/>
        <v>0</v>
      </c>
      <c r="AG538">
        <f t="shared" si="25"/>
        <v>0</v>
      </c>
    </row>
    <row r="539" spans="1:33" x14ac:dyDescent="0.3">
      <c r="A539" s="84" t="s">
        <v>1583</v>
      </c>
      <c r="B539" s="93" t="s">
        <v>25</v>
      </c>
      <c r="C539" s="93" t="s">
        <v>159</v>
      </c>
      <c r="D539" s="33" t="s">
        <v>1775</v>
      </c>
      <c r="E539" s="34" t="s">
        <v>160</v>
      </c>
      <c r="F539" s="34" t="s">
        <v>1584</v>
      </c>
      <c r="G539" s="34" t="s">
        <v>164</v>
      </c>
      <c r="H539" s="37">
        <v>2</v>
      </c>
      <c r="I539" s="34" t="s">
        <v>155</v>
      </c>
      <c r="J539" s="34" t="s">
        <v>31</v>
      </c>
      <c r="K539" s="34" t="s">
        <v>32</v>
      </c>
      <c r="L539" s="34" t="s">
        <v>1756</v>
      </c>
      <c r="M539" s="34" t="s">
        <v>33</v>
      </c>
      <c r="N539" s="47">
        <v>16</v>
      </c>
      <c r="O539" s="48">
        <v>2</v>
      </c>
      <c r="P539" s="49">
        <v>93</v>
      </c>
      <c r="Q539" s="50">
        <v>23.721793999999999</v>
      </c>
      <c r="R539" s="50">
        <v>-99.163718000000003</v>
      </c>
      <c r="S539" s="66" t="s">
        <v>34</v>
      </c>
      <c r="T539" s="66"/>
      <c r="U539" s="66" t="s">
        <v>35</v>
      </c>
      <c r="V539" s="66" t="s">
        <v>35</v>
      </c>
      <c r="W539" s="66"/>
      <c r="X539" s="66"/>
      <c r="Y539" s="66"/>
      <c r="Z539" s="66"/>
      <c r="AA539" s="66"/>
      <c r="AB539" s="67"/>
      <c r="AC539" s="87">
        <f t="shared" si="24"/>
        <v>0.33333333333333331</v>
      </c>
      <c r="AD539" s="91">
        <v>10</v>
      </c>
      <c r="AE539" s="105" t="s">
        <v>1782</v>
      </c>
      <c r="AF539">
        <f t="shared" si="26"/>
        <v>0</v>
      </c>
      <c r="AG539">
        <f t="shared" si="25"/>
        <v>0</v>
      </c>
    </row>
    <row r="540" spans="1:33" x14ac:dyDescent="0.3">
      <c r="A540" s="84" t="s">
        <v>1415</v>
      </c>
      <c r="B540" s="93" t="s">
        <v>25</v>
      </c>
      <c r="C540" s="93" t="s">
        <v>159</v>
      </c>
      <c r="D540" s="33" t="s">
        <v>1775</v>
      </c>
      <c r="E540" s="34" t="s">
        <v>160</v>
      </c>
      <c r="F540" s="34" t="s">
        <v>1416</v>
      </c>
      <c r="G540" s="34" t="s">
        <v>111</v>
      </c>
      <c r="H540" s="37">
        <v>1</v>
      </c>
      <c r="I540" s="34" t="s">
        <v>112</v>
      </c>
      <c r="J540" s="34" t="s">
        <v>31</v>
      </c>
      <c r="K540" s="34" t="s">
        <v>32</v>
      </c>
      <c r="L540" s="34" t="s">
        <v>1755</v>
      </c>
      <c r="M540" s="34" t="s">
        <v>33</v>
      </c>
      <c r="N540" s="47">
        <v>22</v>
      </c>
      <c r="O540" s="48">
        <v>5</v>
      </c>
      <c r="P540" s="49">
        <v>119</v>
      </c>
      <c r="Q540" s="50">
        <v>23.728095</v>
      </c>
      <c r="R540" s="50">
        <v>-99.157252999999997</v>
      </c>
      <c r="S540" s="66" t="s">
        <v>34</v>
      </c>
      <c r="T540" s="66"/>
      <c r="U540" s="66" t="s">
        <v>176</v>
      </c>
      <c r="V540" s="66" t="s">
        <v>176</v>
      </c>
      <c r="W540" s="66"/>
      <c r="X540" s="66"/>
      <c r="Y540" s="66"/>
      <c r="Z540" s="66"/>
      <c r="AA540" s="66"/>
      <c r="AB540" s="67"/>
      <c r="AC540" s="87">
        <f t="shared" si="24"/>
        <v>0.18518518518518517</v>
      </c>
      <c r="AD540" s="91">
        <v>10</v>
      </c>
      <c r="AE540" s="105" t="s">
        <v>1782</v>
      </c>
      <c r="AF540">
        <f t="shared" si="26"/>
        <v>0</v>
      </c>
      <c r="AG540">
        <f t="shared" si="25"/>
        <v>0</v>
      </c>
    </row>
    <row r="541" spans="1:33" x14ac:dyDescent="0.3">
      <c r="A541" s="84" t="s">
        <v>1417</v>
      </c>
      <c r="B541" s="93" t="s">
        <v>25</v>
      </c>
      <c r="C541" s="93" t="s">
        <v>159</v>
      </c>
      <c r="D541" s="33" t="s">
        <v>1775</v>
      </c>
      <c r="E541" s="34" t="s">
        <v>160</v>
      </c>
      <c r="F541" s="34" t="s">
        <v>1418</v>
      </c>
      <c r="G541" s="34" t="s">
        <v>111</v>
      </c>
      <c r="H541" s="37">
        <v>1</v>
      </c>
      <c r="I541" s="34" t="s">
        <v>112</v>
      </c>
      <c r="J541" s="34" t="s">
        <v>31</v>
      </c>
      <c r="K541" s="34" t="s">
        <v>32</v>
      </c>
      <c r="L541" s="34" t="s">
        <v>1756</v>
      </c>
      <c r="M541" s="34" t="s">
        <v>33</v>
      </c>
      <c r="N541" s="47">
        <v>36</v>
      </c>
      <c r="O541" s="48">
        <v>7</v>
      </c>
      <c r="P541" s="49">
        <v>161</v>
      </c>
      <c r="Q541" s="50">
        <v>23.748325999999999</v>
      </c>
      <c r="R541" s="50">
        <v>-99.137855000000002</v>
      </c>
      <c r="S541" s="66" t="s">
        <v>34</v>
      </c>
      <c r="T541" s="66"/>
      <c r="U541" s="66" t="s">
        <v>176</v>
      </c>
      <c r="V541" s="66" t="s">
        <v>176</v>
      </c>
      <c r="W541" s="66"/>
      <c r="X541" s="66"/>
      <c r="Y541" s="66"/>
      <c r="Z541" s="66"/>
      <c r="AA541" s="66"/>
      <c r="AB541" s="67"/>
      <c r="AC541" s="87">
        <f t="shared" si="24"/>
        <v>0.18518518518518517</v>
      </c>
      <c r="AD541" s="91">
        <v>10</v>
      </c>
      <c r="AE541" s="105" t="s">
        <v>1782</v>
      </c>
      <c r="AF541">
        <f t="shared" si="26"/>
        <v>0</v>
      </c>
      <c r="AG541">
        <f t="shared" si="25"/>
        <v>0</v>
      </c>
    </row>
    <row r="542" spans="1:33" x14ac:dyDescent="0.3">
      <c r="A542" s="84" t="s">
        <v>1419</v>
      </c>
      <c r="B542" s="93" t="s">
        <v>25</v>
      </c>
      <c r="C542" s="93" t="s">
        <v>159</v>
      </c>
      <c r="D542" s="33" t="s">
        <v>1775</v>
      </c>
      <c r="E542" s="34" t="s">
        <v>1420</v>
      </c>
      <c r="F542" s="34" t="s">
        <v>1421</v>
      </c>
      <c r="G542" s="34" t="s">
        <v>111</v>
      </c>
      <c r="H542" s="37">
        <v>1</v>
      </c>
      <c r="I542" s="34" t="s">
        <v>112</v>
      </c>
      <c r="J542" s="34" t="s">
        <v>31</v>
      </c>
      <c r="K542" s="34" t="s">
        <v>32</v>
      </c>
      <c r="L542" s="34" t="s">
        <v>1755</v>
      </c>
      <c r="M542" s="34" t="s">
        <v>33</v>
      </c>
      <c r="N542" s="47">
        <v>33</v>
      </c>
      <c r="O542" s="48">
        <v>7</v>
      </c>
      <c r="P542" s="49">
        <v>203</v>
      </c>
      <c r="Q542" s="50">
        <v>25.827131000000001</v>
      </c>
      <c r="R542" s="50">
        <v>-97.532804999999996</v>
      </c>
      <c r="S542" s="66" t="s">
        <v>34</v>
      </c>
      <c r="T542" s="66"/>
      <c r="U542" s="66" t="s">
        <v>35</v>
      </c>
      <c r="V542" s="66" t="s">
        <v>35</v>
      </c>
      <c r="W542" s="66"/>
      <c r="X542" s="66"/>
      <c r="Y542" s="66"/>
      <c r="Z542" s="66"/>
      <c r="AA542" s="66"/>
      <c r="AB542" s="67"/>
      <c r="AC542" s="87">
        <f t="shared" si="24"/>
        <v>0.33333333333333331</v>
      </c>
      <c r="AD542" s="91">
        <v>10</v>
      </c>
      <c r="AE542" s="105" t="s">
        <v>1782</v>
      </c>
      <c r="AF542">
        <f t="shared" si="26"/>
        <v>0</v>
      </c>
      <c r="AG542">
        <f t="shared" si="25"/>
        <v>0</v>
      </c>
    </row>
    <row r="543" spans="1:33" x14ac:dyDescent="0.3">
      <c r="A543" s="84" t="s">
        <v>1422</v>
      </c>
      <c r="B543" s="93" t="s">
        <v>25</v>
      </c>
      <c r="C543" s="93" t="s">
        <v>159</v>
      </c>
      <c r="D543" s="33" t="s">
        <v>1775</v>
      </c>
      <c r="E543" s="34" t="s">
        <v>1423</v>
      </c>
      <c r="F543" s="34" t="s">
        <v>1424</v>
      </c>
      <c r="G543" s="34" t="s">
        <v>111</v>
      </c>
      <c r="H543" s="37">
        <v>1</v>
      </c>
      <c r="I543" s="34" t="s">
        <v>112</v>
      </c>
      <c r="J543" s="34" t="s">
        <v>31</v>
      </c>
      <c r="K543" s="34" t="s">
        <v>32</v>
      </c>
      <c r="L543" s="34" t="s">
        <v>1756</v>
      </c>
      <c r="M543" s="34" t="s">
        <v>33</v>
      </c>
      <c r="N543" s="47">
        <v>35</v>
      </c>
      <c r="O543" s="48">
        <v>8</v>
      </c>
      <c r="P543" s="49">
        <v>251</v>
      </c>
      <c r="Q543" s="50">
        <v>22.253176</v>
      </c>
      <c r="R543" s="50">
        <v>-97.859497000000005</v>
      </c>
      <c r="S543" s="66" t="s">
        <v>34</v>
      </c>
      <c r="T543" s="66"/>
      <c r="U543" s="66" t="s">
        <v>176</v>
      </c>
      <c r="V543" s="66" t="s">
        <v>176</v>
      </c>
      <c r="W543" s="66"/>
      <c r="X543" s="66"/>
      <c r="Y543" s="66"/>
      <c r="Z543" s="66"/>
      <c r="AA543" s="66"/>
      <c r="AB543" s="67"/>
      <c r="AC543" s="87">
        <f t="shared" si="24"/>
        <v>0.18518518518518517</v>
      </c>
      <c r="AD543" s="91">
        <v>10</v>
      </c>
      <c r="AE543" s="105" t="s">
        <v>1782</v>
      </c>
      <c r="AF543">
        <f t="shared" si="26"/>
        <v>0</v>
      </c>
      <c r="AG543">
        <f t="shared" si="25"/>
        <v>0</v>
      </c>
    </row>
    <row r="544" spans="1:33" x14ac:dyDescent="0.3">
      <c r="A544" s="84" t="s">
        <v>1707</v>
      </c>
      <c r="B544" s="93" t="s">
        <v>25</v>
      </c>
      <c r="C544" s="93" t="s">
        <v>159</v>
      </c>
      <c r="D544" s="33" t="s">
        <v>1775</v>
      </c>
      <c r="E544" s="34" t="s">
        <v>1423</v>
      </c>
      <c r="F544" s="34" t="s">
        <v>1708</v>
      </c>
      <c r="G544" s="34" t="s">
        <v>169</v>
      </c>
      <c r="H544" s="37">
        <v>2</v>
      </c>
      <c r="I544" s="34" t="s">
        <v>170</v>
      </c>
      <c r="J544" s="34" t="s">
        <v>31</v>
      </c>
      <c r="K544" s="34" t="s">
        <v>32</v>
      </c>
      <c r="L544" s="34" t="s">
        <v>1755</v>
      </c>
      <c r="M544" s="34" t="s">
        <v>33</v>
      </c>
      <c r="N544" s="47">
        <v>11</v>
      </c>
      <c r="O544" s="48">
        <v>0</v>
      </c>
      <c r="P544" s="49">
        <v>52</v>
      </c>
      <c r="Q544" s="50">
        <v>22.252884999999999</v>
      </c>
      <c r="R544" s="50">
        <v>-97.858569000000003</v>
      </c>
      <c r="S544" s="66" t="s">
        <v>34</v>
      </c>
      <c r="T544" s="66"/>
      <c r="U544" s="66" t="s">
        <v>35</v>
      </c>
      <c r="V544" s="66" t="s">
        <v>35</v>
      </c>
      <c r="W544" s="66"/>
      <c r="X544" s="66"/>
      <c r="Y544" s="66"/>
      <c r="Z544" s="66"/>
      <c r="AA544" s="66"/>
      <c r="AB544" s="67"/>
      <c r="AC544" s="87">
        <f t="shared" si="24"/>
        <v>0.33333333333333331</v>
      </c>
      <c r="AD544" s="91">
        <v>10</v>
      </c>
      <c r="AE544" s="105" t="s">
        <v>1782</v>
      </c>
      <c r="AF544">
        <f t="shared" si="26"/>
        <v>0</v>
      </c>
      <c r="AG544">
        <f t="shared" si="25"/>
        <v>0</v>
      </c>
    </row>
    <row r="545" spans="1:33" x14ac:dyDescent="0.3">
      <c r="A545" s="84" t="s">
        <v>1425</v>
      </c>
      <c r="B545" s="93" t="s">
        <v>25</v>
      </c>
      <c r="C545" s="93" t="s">
        <v>159</v>
      </c>
      <c r="D545" s="33" t="s">
        <v>1775</v>
      </c>
      <c r="E545" s="34" t="s">
        <v>1426</v>
      </c>
      <c r="F545" s="34" t="s">
        <v>1427</v>
      </c>
      <c r="G545" s="34" t="s">
        <v>111</v>
      </c>
      <c r="H545" s="37">
        <v>1</v>
      </c>
      <c r="I545" s="34" t="s">
        <v>112</v>
      </c>
      <c r="J545" s="34" t="s">
        <v>31</v>
      </c>
      <c r="K545" s="34" t="s">
        <v>32</v>
      </c>
      <c r="L545" s="34" t="s">
        <v>1755</v>
      </c>
      <c r="M545" s="34" t="s">
        <v>33</v>
      </c>
      <c r="N545" s="47">
        <v>17</v>
      </c>
      <c r="O545" s="48">
        <v>4</v>
      </c>
      <c r="P545" s="49">
        <v>88</v>
      </c>
      <c r="Q545" s="50">
        <v>22.727022000000002</v>
      </c>
      <c r="R545" s="50">
        <v>-98.969549000000001</v>
      </c>
      <c r="S545" s="66" t="s">
        <v>34</v>
      </c>
      <c r="T545" s="66"/>
      <c r="U545" s="66" t="s">
        <v>35</v>
      </c>
      <c r="V545" s="66" t="s">
        <v>35</v>
      </c>
      <c r="W545" s="66"/>
      <c r="X545" s="66"/>
      <c r="Y545" s="66"/>
      <c r="Z545" s="66"/>
      <c r="AA545" s="66"/>
      <c r="AB545" s="67"/>
      <c r="AC545" s="87">
        <f t="shared" ref="AC545:AC613" si="27">(
IF(S545="ENVIADO A LA CE/UM",1/3,IF(S545="ENTREGADO/REVISIÓN",2/3,IF(S545="ENVIADO A TICS",1,0)))+
IF(T545="EN PROCESO",1/2,IF(T545="CONCLUIDO",1,0))+
IF(OR(U545="CONCLUIDO",U545="NO APLICA"),1,IF(U545="EN REVISIÓN CENTRAL",2/3,IF(U545="ENVIADO A LA CE/UM",1/3,0)))+
IF(OR(V545="CONCLUIDO",V545="NO APLICA"),1,IF(V545="EN REVISIÓN CENTRAL",2/3,IF(V545="ENVIADO A LA CE/UM",1/3,0)))+                                                                                                                                                                                                                                                         IF(OR(W545="CONCLUIDO",W545="NO APLICA"),1,IF(W545="EN PROCESO",0.5,0))+
IF(OR(X545="CONCLUIDO",X545="NO APLICA"),1,IF(X545="EN PROCESO",0.5,0))+
IF(Y545="PROGRAMADAS",1/2,IF(Y545="CONCLUIDAS",1,0))+
IF(OR(Z545="SI",Z545="NO APLICA"),1,0)+
IF(OR(AA545="SI",AA545="NO APLICA"),1,0)
)/9</f>
        <v>0.33333333333333331</v>
      </c>
      <c r="AD545" s="91">
        <v>10</v>
      </c>
      <c r="AE545" s="105" t="s">
        <v>1782</v>
      </c>
      <c r="AF545">
        <f t="shared" si="26"/>
        <v>0</v>
      </c>
      <c r="AG545">
        <f t="shared" si="25"/>
        <v>0</v>
      </c>
    </row>
    <row r="546" spans="1:33" x14ac:dyDescent="0.3">
      <c r="A546" s="84" t="s">
        <v>1579</v>
      </c>
      <c r="B546" s="93" t="s">
        <v>25</v>
      </c>
      <c r="C546" s="93" t="s">
        <v>159</v>
      </c>
      <c r="D546" s="33" t="s">
        <v>1775</v>
      </c>
      <c r="E546" s="34" t="s">
        <v>1410</v>
      </c>
      <c r="F546" s="34" t="s">
        <v>1580</v>
      </c>
      <c r="G546" s="34" t="s">
        <v>164</v>
      </c>
      <c r="H546" s="37">
        <v>2</v>
      </c>
      <c r="I546" s="34" t="s">
        <v>112</v>
      </c>
      <c r="J546" s="34" t="s">
        <v>31</v>
      </c>
      <c r="K546" s="34" t="s">
        <v>32</v>
      </c>
      <c r="L546" s="34" t="s">
        <v>1755</v>
      </c>
      <c r="M546" s="34" t="s">
        <v>33</v>
      </c>
      <c r="N546" s="47">
        <v>15</v>
      </c>
      <c r="O546" s="48">
        <v>4</v>
      </c>
      <c r="P546" s="49">
        <v>125</v>
      </c>
      <c r="Q546" s="50">
        <v>26.050744999999999</v>
      </c>
      <c r="R546" s="50">
        <v>-98.379484000000005</v>
      </c>
      <c r="S546" s="66" t="s">
        <v>34</v>
      </c>
      <c r="T546" s="66"/>
      <c r="U546" s="66" t="s">
        <v>35</v>
      </c>
      <c r="V546" s="66" t="s">
        <v>35</v>
      </c>
      <c r="W546" s="66"/>
      <c r="X546" s="66"/>
      <c r="Y546" s="66"/>
      <c r="Z546" s="66"/>
      <c r="AA546" s="66"/>
      <c r="AB546" s="67"/>
      <c r="AC546" s="87">
        <f t="shared" si="27"/>
        <v>0.33333333333333331</v>
      </c>
      <c r="AD546" s="91">
        <v>10</v>
      </c>
      <c r="AE546" s="105" t="s">
        <v>1782</v>
      </c>
      <c r="AF546">
        <f t="shared" si="26"/>
        <v>0</v>
      </c>
      <c r="AG546">
        <f t="shared" si="25"/>
        <v>0</v>
      </c>
    </row>
    <row r="547" spans="1:33" x14ac:dyDescent="0.3">
      <c r="A547" s="84" t="s">
        <v>1428</v>
      </c>
      <c r="B547" s="93" t="s">
        <v>25</v>
      </c>
      <c r="C547" s="93" t="s">
        <v>159</v>
      </c>
      <c r="D547" s="33" t="s">
        <v>1775</v>
      </c>
      <c r="E547" s="34" t="s">
        <v>1429</v>
      </c>
      <c r="F547" s="34" t="s">
        <v>1430</v>
      </c>
      <c r="G547" s="34" t="s">
        <v>111</v>
      </c>
      <c r="H547" s="37">
        <v>1</v>
      </c>
      <c r="I547" s="34" t="s">
        <v>112</v>
      </c>
      <c r="J547" s="34" t="s">
        <v>31</v>
      </c>
      <c r="K547" s="34" t="s">
        <v>32</v>
      </c>
      <c r="L547" s="34" t="s">
        <v>1755</v>
      </c>
      <c r="M547" s="34" t="s">
        <v>33</v>
      </c>
      <c r="N547" s="47">
        <v>8</v>
      </c>
      <c r="O547" s="48">
        <v>2</v>
      </c>
      <c r="P547" s="49">
        <v>46</v>
      </c>
      <c r="Q547" s="50">
        <v>25.994527000000001</v>
      </c>
      <c r="R547" s="50">
        <v>-98.123613000000006</v>
      </c>
      <c r="S547" s="66" t="s">
        <v>34</v>
      </c>
      <c r="T547" s="66"/>
      <c r="U547" s="66" t="s">
        <v>35</v>
      </c>
      <c r="V547" s="66" t="s">
        <v>35</v>
      </c>
      <c r="W547" s="66"/>
      <c r="X547" s="66"/>
      <c r="Y547" s="66"/>
      <c r="Z547" s="66"/>
      <c r="AA547" s="66"/>
      <c r="AB547" s="67"/>
      <c r="AC547" s="87">
        <f t="shared" si="27"/>
        <v>0.33333333333333331</v>
      </c>
      <c r="AD547" s="91">
        <v>10</v>
      </c>
      <c r="AE547" s="105" t="s">
        <v>1782</v>
      </c>
      <c r="AF547">
        <f t="shared" si="26"/>
        <v>0</v>
      </c>
      <c r="AG547">
        <f t="shared" si="25"/>
        <v>0</v>
      </c>
    </row>
    <row r="548" spans="1:33" x14ac:dyDescent="0.3">
      <c r="A548" s="84" t="s">
        <v>1431</v>
      </c>
      <c r="B548" s="93" t="s">
        <v>25</v>
      </c>
      <c r="C548" s="93" t="s">
        <v>159</v>
      </c>
      <c r="D548" s="33" t="s">
        <v>1775</v>
      </c>
      <c r="E548" s="34" t="s">
        <v>1432</v>
      </c>
      <c r="F548" s="34" t="s">
        <v>1433</v>
      </c>
      <c r="G548" s="34" t="s">
        <v>111</v>
      </c>
      <c r="H548" s="37">
        <v>1</v>
      </c>
      <c r="I548" s="34" t="s">
        <v>112</v>
      </c>
      <c r="J548" s="34" t="s">
        <v>31</v>
      </c>
      <c r="K548" s="34" t="s">
        <v>32</v>
      </c>
      <c r="L548" s="34" t="s">
        <v>1755</v>
      </c>
      <c r="M548" s="34" t="s">
        <v>33</v>
      </c>
      <c r="N548" s="47">
        <v>7</v>
      </c>
      <c r="O548" s="48">
        <v>2</v>
      </c>
      <c r="P548" s="49">
        <v>51</v>
      </c>
      <c r="Q548" s="50">
        <v>25.701958000000001</v>
      </c>
      <c r="R548" s="50">
        <v>-97.815852000000007</v>
      </c>
      <c r="S548" s="66" t="s">
        <v>34</v>
      </c>
      <c r="T548" s="66"/>
      <c r="U548" s="66" t="s">
        <v>35</v>
      </c>
      <c r="V548" s="66" t="s">
        <v>35</v>
      </c>
      <c r="W548" s="66"/>
      <c r="X548" s="66"/>
      <c r="Y548" s="66"/>
      <c r="Z548" s="66"/>
      <c r="AA548" s="66"/>
      <c r="AB548" s="67"/>
      <c r="AC548" s="87">
        <f t="shared" si="27"/>
        <v>0.33333333333333331</v>
      </c>
      <c r="AD548" s="91">
        <v>10</v>
      </c>
      <c r="AE548" s="105" t="s">
        <v>1782</v>
      </c>
      <c r="AF548">
        <f t="shared" si="26"/>
        <v>0</v>
      </c>
      <c r="AG548">
        <f t="shared" si="25"/>
        <v>0</v>
      </c>
    </row>
    <row r="549" spans="1:33" x14ac:dyDescent="0.3">
      <c r="A549" s="84" t="s">
        <v>751</v>
      </c>
      <c r="B549" s="93" t="s">
        <v>25</v>
      </c>
      <c r="C549" s="93" t="s">
        <v>159</v>
      </c>
      <c r="D549" s="33" t="s">
        <v>1775</v>
      </c>
      <c r="E549" s="34" t="s">
        <v>752</v>
      </c>
      <c r="F549" s="34" t="s">
        <v>753</v>
      </c>
      <c r="G549" s="34" t="s">
        <v>29</v>
      </c>
      <c r="H549" s="37">
        <v>1</v>
      </c>
      <c r="I549" s="34" t="s">
        <v>30</v>
      </c>
      <c r="J549" s="34" t="s">
        <v>31</v>
      </c>
      <c r="K549" s="34" t="s">
        <v>32</v>
      </c>
      <c r="L549" s="34" t="s">
        <v>1755</v>
      </c>
      <c r="M549" s="34" t="s">
        <v>33</v>
      </c>
      <c r="N549" s="47">
        <v>5</v>
      </c>
      <c r="O549" s="48">
        <v>2</v>
      </c>
      <c r="P549" s="49">
        <v>14</v>
      </c>
      <c r="Q549" s="50">
        <v>26.389621999999999</v>
      </c>
      <c r="R549" s="50">
        <v>-99.070762000000002</v>
      </c>
      <c r="S549" s="66" t="s">
        <v>34</v>
      </c>
      <c r="T549" s="66"/>
      <c r="U549" s="66" t="s">
        <v>35</v>
      </c>
      <c r="V549" s="66" t="s">
        <v>35</v>
      </c>
      <c r="W549" s="66"/>
      <c r="X549" s="66"/>
      <c r="Y549" s="66"/>
      <c r="Z549" s="66"/>
      <c r="AA549" s="66"/>
      <c r="AB549" s="67"/>
      <c r="AC549" s="87">
        <f t="shared" si="27"/>
        <v>0.33333333333333331</v>
      </c>
      <c r="AD549" s="91">
        <v>10</v>
      </c>
      <c r="AE549" s="105" t="s">
        <v>1782</v>
      </c>
      <c r="AF549">
        <f t="shared" si="26"/>
        <v>0</v>
      </c>
      <c r="AG549">
        <f t="shared" si="25"/>
        <v>0</v>
      </c>
    </row>
    <row r="550" spans="1:33" ht="30" x14ac:dyDescent="0.3">
      <c r="A550" s="94" t="s">
        <v>1738</v>
      </c>
      <c r="B550" s="95" t="s">
        <v>25</v>
      </c>
      <c r="C550" s="95" t="s">
        <v>159</v>
      </c>
      <c r="D550" s="33" t="s">
        <v>1775</v>
      </c>
      <c r="E550" s="35" t="s">
        <v>1405</v>
      </c>
      <c r="F550" s="86" t="s">
        <v>1739</v>
      </c>
      <c r="G550" s="35" t="s">
        <v>180</v>
      </c>
      <c r="H550" s="39">
        <v>3</v>
      </c>
      <c r="I550" s="35" t="s">
        <v>181</v>
      </c>
      <c r="J550" s="35" t="s">
        <v>182</v>
      </c>
      <c r="K550" s="35" t="s">
        <v>32</v>
      </c>
      <c r="L550" s="35" t="s">
        <v>1755</v>
      </c>
      <c r="M550" s="35" t="s">
        <v>33</v>
      </c>
      <c r="N550" s="39">
        <v>5</v>
      </c>
      <c r="O550" s="39">
        <v>0</v>
      </c>
      <c r="P550" s="39">
        <v>2</v>
      </c>
      <c r="Q550" s="40">
        <v>27.477285999999999</v>
      </c>
      <c r="R550" s="40">
        <v>-99.547320999999997</v>
      </c>
      <c r="S550" s="66" t="s">
        <v>34</v>
      </c>
      <c r="T550" s="66"/>
      <c r="U550" s="66" t="s">
        <v>176</v>
      </c>
      <c r="V550" s="66" t="s">
        <v>176</v>
      </c>
      <c r="W550" s="66"/>
      <c r="X550" s="66"/>
      <c r="Y550" s="66"/>
      <c r="Z550" s="66"/>
      <c r="AA550" s="66"/>
      <c r="AB550" s="67"/>
      <c r="AC550" s="87">
        <f t="shared" si="27"/>
        <v>0.18518518518518517</v>
      </c>
      <c r="AD550" s="91">
        <v>10</v>
      </c>
      <c r="AE550" s="105" t="s">
        <v>1782</v>
      </c>
      <c r="AF550">
        <f t="shared" si="26"/>
        <v>0</v>
      </c>
      <c r="AG550">
        <f t="shared" si="25"/>
        <v>0</v>
      </c>
    </row>
    <row r="551" spans="1:33" x14ac:dyDescent="0.3">
      <c r="A551" s="94" t="s">
        <v>1744</v>
      </c>
      <c r="B551" s="95" t="s">
        <v>25</v>
      </c>
      <c r="C551" s="95" t="s">
        <v>159</v>
      </c>
      <c r="D551" s="33" t="s">
        <v>1775</v>
      </c>
      <c r="E551" s="35" t="s">
        <v>160</v>
      </c>
      <c r="F551" s="35" t="s">
        <v>1745</v>
      </c>
      <c r="G551" s="35" t="s">
        <v>180</v>
      </c>
      <c r="H551" s="39">
        <v>3</v>
      </c>
      <c r="I551" s="35" t="s">
        <v>181</v>
      </c>
      <c r="J551" s="35" t="s">
        <v>182</v>
      </c>
      <c r="K551" s="35" t="s">
        <v>32</v>
      </c>
      <c r="L551" s="35" t="s">
        <v>1755</v>
      </c>
      <c r="M551" s="35" t="s">
        <v>33</v>
      </c>
      <c r="N551" s="39">
        <v>2</v>
      </c>
      <c r="O551" s="39">
        <v>0</v>
      </c>
      <c r="P551" s="39">
        <v>0</v>
      </c>
      <c r="Q551" s="40">
        <v>23.765743000000001</v>
      </c>
      <c r="R551" s="40">
        <v>-99.104639000000006</v>
      </c>
      <c r="S551" s="66" t="s">
        <v>34</v>
      </c>
      <c r="T551" s="66"/>
      <c r="U551" s="66" t="s">
        <v>1819</v>
      </c>
      <c r="V551" s="66" t="s">
        <v>176</v>
      </c>
      <c r="W551" s="66" t="s">
        <v>1819</v>
      </c>
      <c r="X551" s="66"/>
      <c r="Y551" s="66"/>
      <c r="Z551" s="66" t="s">
        <v>1819</v>
      </c>
      <c r="AA551" s="66"/>
      <c r="AB551" s="67"/>
      <c r="AC551" s="87">
        <f t="shared" si="27"/>
        <v>0.48148148148148157</v>
      </c>
      <c r="AD551" s="91">
        <v>10</v>
      </c>
      <c r="AE551" s="105" t="s">
        <v>1782</v>
      </c>
      <c r="AF551">
        <f t="shared" si="26"/>
        <v>0</v>
      </c>
      <c r="AG551">
        <f t="shared" si="25"/>
        <v>0</v>
      </c>
    </row>
    <row r="552" spans="1:33" x14ac:dyDescent="0.3">
      <c r="A552" s="94" t="s">
        <v>1740</v>
      </c>
      <c r="B552" s="95" t="s">
        <v>25</v>
      </c>
      <c r="C552" s="95" t="s">
        <v>755</v>
      </c>
      <c r="D552" s="33" t="s">
        <v>1775</v>
      </c>
      <c r="E552" s="35" t="s">
        <v>1441</v>
      </c>
      <c r="F552" s="35" t="s">
        <v>1741</v>
      </c>
      <c r="G552" s="35" t="s">
        <v>180</v>
      </c>
      <c r="H552" s="39">
        <v>3</v>
      </c>
      <c r="I552" s="35" t="s">
        <v>181</v>
      </c>
      <c r="J552" s="35" t="s">
        <v>182</v>
      </c>
      <c r="K552" s="35" t="s">
        <v>32</v>
      </c>
      <c r="L552" s="35" t="s">
        <v>1755</v>
      </c>
      <c r="M552" s="35" t="s">
        <v>33</v>
      </c>
      <c r="N552" s="39">
        <v>2</v>
      </c>
      <c r="O552" s="39">
        <v>0</v>
      </c>
      <c r="P552" s="39">
        <v>0</v>
      </c>
      <c r="Q552" s="40">
        <v>19.368091499999998</v>
      </c>
      <c r="R552" s="40">
        <v>-98.210456899999997</v>
      </c>
      <c r="S552" s="66" t="s">
        <v>34</v>
      </c>
      <c r="T552" s="66" t="s">
        <v>35</v>
      </c>
      <c r="U552" s="66" t="s">
        <v>35</v>
      </c>
      <c r="V552" s="66" t="s">
        <v>35</v>
      </c>
      <c r="W552" s="66" t="s">
        <v>1819</v>
      </c>
      <c r="X552" s="66" t="s">
        <v>35</v>
      </c>
      <c r="Y552" s="66" t="s">
        <v>36</v>
      </c>
      <c r="Z552" s="66" t="s">
        <v>1819</v>
      </c>
      <c r="AA552" s="66"/>
      <c r="AB552" s="67" t="s">
        <v>1818</v>
      </c>
      <c r="AC552" s="87">
        <f t="shared" si="27"/>
        <v>0.88888888888888884</v>
      </c>
      <c r="AD552" s="91">
        <v>3</v>
      </c>
      <c r="AE552" s="105" t="s">
        <v>1848</v>
      </c>
      <c r="AF552">
        <f t="shared" si="26"/>
        <v>0</v>
      </c>
      <c r="AG552">
        <f t="shared" si="25"/>
        <v>0</v>
      </c>
    </row>
    <row r="553" spans="1:33" x14ac:dyDescent="0.3">
      <c r="A553" s="84" t="s">
        <v>1446</v>
      </c>
      <c r="B553" s="93" t="s">
        <v>25</v>
      </c>
      <c r="C553" s="93" t="s">
        <v>755</v>
      </c>
      <c r="D553" s="33" t="s">
        <v>1775</v>
      </c>
      <c r="E553" s="34" t="s">
        <v>1447</v>
      </c>
      <c r="F553" s="34" t="s">
        <v>1448</v>
      </c>
      <c r="G553" s="34" t="s">
        <v>111</v>
      </c>
      <c r="H553" s="37">
        <v>1</v>
      </c>
      <c r="I553" s="34" t="s">
        <v>112</v>
      </c>
      <c r="J553" s="34" t="s">
        <v>31</v>
      </c>
      <c r="K553" s="34" t="s">
        <v>32</v>
      </c>
      <c r="L553" s="34" t="s">
        <v>1755</v>
      </c>
      <c r="M553" s="34" t="s">
        <v>33</v>
      </c>
      <c r="N553" s="47">
        <v>8</v>
      </c>
      <c r="O553" s="48">
        <v>2</v>
      </c>
      <c r="P553" s="49">
        <v>50</v>
      </c>
      <c r="Q553" s="50">
        <v>19.224226600000001</v>
      </c>
      <c r="R553" s="50">
        <v>-98.317484800000003</v>
      </c>
      <c r="S553" s="66" t="s">
        <v>34</v>
      </c>
      <c r="T553" s="66" t="s">
        <v>35</v>
      </c>
      <c r="U553" s="66" t="s">
        <v>35</v>
      </c>
      <c r="V553" s="66" t="s">
        <v>35</v>
      </c>
      <c r="W553" s="66" t="s">
        <v>35</v>
      </c>
      <c r="X553" s="66" t="s">
        <v>35</v>
      </c>
      <c r="Y553" s="66" t="s">
        <v>36</v>
      </c>
      <c r="Z553" s="66" t="s">
        <v>37</v>
      </c>
      <c r="AA553" s="66" t="s">
        <v>37</v>
      </c>
      <c r="AB553" s="67"/>
      <c r="AC553" s="87">
        <f t="shared" si="27"/>
        <v>1</v>
      </c>
      <c r="AD553" s="91">
        <v>3</v>
      </c>
      <c r="AE553" s="105" t="s">
        <v>1848</v>
      </c>
      <c r="AF553">
        <f t="shared" si="26"/>
        <v>0</v>
      </c>
      <c r="AG553">
        <f t="shared" si="25"/>
        <v>1</v>
      </c>
    </row>
    <row r="554" spans="1:33" x14ac:dyDescent="0.3">
      <c r="A554" s="84" t="s">
        <v>1449</v>
      </c>
      <c r="B554" s="93" t="s">
        <v>25</v>
      </c>
      <c r="C554" s="93" t="s">
        <v>755</v>
      </c>
      <c r="D554" s="33" t="s">
        <v>1775</v>
      </c>
      <c r="E554" s="34" t="s">
        <v>1450</v>
      </c>
      <c r="F554" s="34" t="s">
        <v>1451</v>
      </c>
      <c r="G554" s="34" t="s">
        <v>111</v>
      </c>
      <c r="H554" s="37">
        <v>1</v>
      </c>
      <c r="I554" s="34" t="s">
        <v>112</v>
      </c>
      <c r="J554" s="34" t="s">
        <v>31</v>
      </c>
      <c r="K554" s="34" t="s">
        <v>32</v>
      </c>
      <c r="L554" s="34" t="s">
        <v>1755</v>
      </c>
      <c r="M554" s="34" t="s">
        <v>33</v>
      </c>
      <c r="N554" s="47">
        <v>14</v>
      </c>
      <c r="O554" s="48">
        <v>3</v>
      </c>
      <c r="P554" s="49">
        <v>81</v>
      </c>
      <c r="Q554" s="50">
        <v>19.3063</v>
      </c>
      <c r="R554" s="50">
        <v>-97.940791700000005</v>
      </c>
      <c r="S554" s="66" t="s">
        <v>34</v>
      </c>
      <c r="T554" s="66" t="s">
        <v>35</v>
      </c>
      <c r="U554" s="66" t="s">
        <v>35</v>
      </c>
      <c r="V554" s="66" t="s">
        <v>35</v>
      </c>
      <c r="W554" s="66" t="s">
        <v>35</v>
      </c>
      <c r="X554" s="66" t="s">
        <v>35</v>
      </c>
      <c r="Y554" s="66" t="s">
        <v>36</v>
      </c>
      <c r="Z554" s="66" t="s">
        <v>37</v>
      </c>
      <c r="AA554" s="66" t="s">
        <v>37</v>
      </c>
      <c r="AB554" s="67"/>
      <c r="AC554" s="87">
        <f t="shared" si="27"/>
        <v>1</v>
      </c>
      <c r="AD554" s="91">
        <v>3</v>
      </c>
      <c r="AE554" s="105" t="s">
        <v>1848</v>
      </c>
      <c r="AF554">
        <f t="shared" si="26"/>
        <v>0</v>
      </c>
      <c r="AG554">
        <f t="shared" si="25"/>
        <v>1</v>
      </c>
    </row>
    <row r="555" spans="1:33" x14ac:dyDescent="0.3">
      <c r="A555" s="84" t="s">
        <v>158</v>
      </c>
      <c r="B555" s="93" t="s">
        <v>25</v>
      </c>
      <c r="C555" s="93" t="s">
        <v>1771</v>
      </c>
      <c r="D555" s="98" t="s">
        <v>1771</v>
      </c>
      <c r="E555" s="34" t="s">
        <v>160</v>
      </c>
      <c r="F555" s="34" t="s">
        <v>161</v>
      </c>
      <c r="G555" s="34" t="s">
        <v>154</v>
      </c>
      <c r="H555" s="37">
        <v>1</v>
      </c>
      <c r="I555" s="34" t="s">
        <v>155</v>
      </c>
      <c r="J555" s="34" t="s">
        <v>31</v>
      </c>
      <c r="K555" s="34" t="s">
        <v>32</v>
      </c>
      <c r="L555" s="34" t="s">
        <v>1756</v>
      </c>
      <c r="M555" s="34" t="s">
        <v>33</v>
      </c>
      <c r="N555" s="47">
        <v>37</v>
      </c>
      <c r="O555" s="48">
        <v>8</v>
      </c>
      <c r="P555" s="49">
        <v>179</v>
      </c>
      <c r="Q555" s="50">
        <v>23.761924</v>
      </c>
      <c r="R555" s="50">
        <v>-99.107735000000005</v>
      </c>
      <c r="S555" s="66" t="s">
        <v>34</v>
      </c>
      <c r="T555" s="66" t="s">
        <v>35</v>
      </c>
      <c r="U555" s="66" t="s">
        <v>35</v>
      </c>
      <c r="V555" s="66" t="s">
        <v>35</v>
      </c>
      <c r="W555" s="66" t="s">
        <v>35</v>
      </c>
      <c r="X555" s="66" t="s">
        <v>35</v>
      </c>
      <c r="Y555" s="66" t="s">
        <v>36</v>
      </c>
      <c r="Z555" s="66" t="s">
        <v>37</v>
      </c>
      <c r="AA555" s="66" t="s">
        <v>37</v>
      </c>
      <c r="AB555" s="70"/>
      <c r="AC555" s="87">
        <f t="shared" si="27"/>
        <v>1</v>
      </c>
      <c r="AD555" s="91">
        <v>3</v>
      </c>
      <c r="AE555" s="105" t="s">
        <v>1848</v>
      </c>
      <c r="AF555">
        <f t="shared" si="26"/>
        <v>0</v>
      </c>
      <c r="AG555">
        <f t="shared" si="25"/>
        <v>1</v>
      </c>
    </row>
    <row r="556" spans="1:33" x14ac:dyDescent="0.3">
      <c r="A556" s="137" t="s">
        <v>1871</v>
      </c>
      <c r="B556" s="93" t="s">
        <v>25</v>
      </c>
      <c r="C556" s="93" t="s">
        <v>159</v>
      </c>
      <c r="D556" s="33" t="s">
        <v>1775</v>
      </c>
      <c r="E556" s="34" t="s">
        <v>1402</v>
      </c>
      <c r="F556" s="34" t="s">
        <v>1872</v>
      </c>
      <c r="G556" s="34" t="s">
        <v>111</v>
      </c>
      <c r="H556" s="37">
        <v>1</v>
      </c>
      <c r="I556" s="34" t="s">
        <v>112</v>
      </c>
      <c r="J556" s="34" t="s">
        <v>31</v>
      </c>
      <c r="K556" s="34" t="s">
        <v>32</v>
      </c>
      <c r="L556" s="34" t="s">
        <v>1755</v>
      </c>
      <c r="M556" s="34" t="s">
        <v>33</v>
      </c>
      <c r="N556" s="47">
        <v>11</v>
      </c>
      <c r="O556" s="48">
        <v>3</v>
      </c>
      <c r="P556" s="49">
        <v>104</v>
      </c>
      <c r="Q556" s="50">
        <v>22.254024000000001</v>
      </c>
      <c r="R556" s="50">
        <v>-97.823415999999995</v>
      </c>
      <c r="S556" s="66" t="s">
        <v>34</v>
      </c>
      <c r="T556" s="66" t="s">
        <v>35</v>
      </c>
      <c r="U556" s="66" t="s">
        <v>35</v>
      </c>
      <c r="V556" s="66" t="s">
        <v>35</v>
      </c>
      <c r="W556" s="66" t="s">
        <v>35</v>
      </c>
      <c r="X556" s="66" t="s">
        <v>35</v>
      </c>
      <c r="Y556" s="66" t="s">
        <v>36</v>
      </c>
      <c r="Z556" s="66" t="s">
        <v>37</v>
      </c>
      <c r="AA556" s="66" t="s">
        <v>37</v>
      </c>
      <c r="AB556" s="67"/>
      <c r="AC556" s="87">
        <f t="shared" si="27"/>
        <v>1</v>
      </c>
      <c r="AD556" s="91">
        <v>3</v>
      </c>
      <c r="AE556" s="105" t="s">
        <v>1848</v>
      </c>
      <c r="AF556">
        <f t="shared" si="26"/>
        <v>0</v>
      </c>
      <c r="AG556">
        <f t="shared" si="25"/>
        <v>1</v>
      </c>
    </row>
    <row r="557" spans="1:33" x14ac:dyDescent="0.3">
      <c r="A557" s="97" t="s">
        <v>1748</v>
      </c>
      <c r="B557" s="98" t="s">
        <v>25</v>
      </c>
      <c r="C557" s="98" t="s">
        <v>1771</v>
      </c>
      <c r="D557" s="98" t="s">
        <v>1771</v>
      </c>
      <c r="E557" s="38" t="s">
        <v>1609</v>
      </c>
      <c r="F557" s="17" t="s">
        <v>1749</v>
      </c>
      <c r="G557" s="6" t="s">
        <v>154</v>
      </c>
      <c r="H557" s="37">
        <v>1</v>
      </c>
      <c r="I557" s="6" t="s">
        <v>155</v>
      </c>
      <c r="J557" s="6" t="s">
        <v>31</v>
      </c>
      <c r="K557" s="6" t="s">
        <v>32</v>
      </c>
      <c r="L557" s="6" t="s">
        <v>1756</v>
      </c>
      <c r="M557" s="6" t="s">
        <v>33</v>
      </c>
      <c r="N557" s="47"/>
      <c r="O557" s="48"/>
      <c r="P557" s="49"/>
      <c r="Q557" s="51">
        <v>210193421</v>
      </c>
      <c r="R557" s="51">
        <v>-895819034</v>
      </c>
      <c r="S557" s="69" t="s">
        <v>34</v>
      </c>
      <c r="T557" s="66" t="s">
        <v>35</v>
      </c>
      <c r="U557" s="66" t="s">
        <v>35</v>
      </c>
      <c r="V557" s="66" t="s">
        <v>35</v>
      </c>
      <c r="W557" s="66" t="s">
        <v>35</v>
      </c>
      <c r="X557" s="66" t="s">
        <v>35</v>
      </c>
      <c r="Y557" s="69" t="s">
        <v>36</v>
      </c>
      <c r="Z557" s="66" t="s">
        <v>37</v>
      </c>
      <c r="AA557" s="66" t="s">
        <v>37</v>
      </c>
      <c r="AB557" s="67"/>
      <c r="AC557" s="87">
        <f t="shared" si="27"/>
        <v>1</v>
      </c>
      <c r="AD557" s="91">
        <v>3</v>
      </c>
      <c r="AE557" s="105" t="s">
        <v>1848</v>
      </c>
      <c r="AF557">
        <f t="shared" si="26"/>
        <v>0</v>
      </c>
      <c r="AG557">
        <f t="shared" si="25"/>
        <v>1</v>
      </c>
    </row>
    <row r="558" spans="1:33" x14ac:dyDescent="0.3">
      <c r="A558" s="84" t="s">
        <v>148</v>
      </c>
      <c r="B558" s="93" t="s">
        <v>25</v>
      </c>
      <c r="C558" s="93" t="s">
        <v>1774</v>
      </c>
      <c r="D558" s="33" t="s">
        <v>1775</v>
      </c>
      <c r="E558" s="34" t="s">
        <v>150</v>
      </c>
      <c r="F558" s="34" t="s">
        <v>151</v>
      </c>
      <c r="G558" s="34" t="s">
        <v>111</v>
      </c>
      <c r="H558" s="37">
        <v>1</v>
      </c>
      <c r="I558" s="34" t="s">
        <v>112</v>
      </c>
      <c r="J558" s="34" t="s">
        <v>31</v>
      </c>
      <c r="K558" s="34" t="s">
        <v>32</v>
      </c>
      <c r="L558" s="34" t="s">
        <v>1755</v>
      </c>
      <c r="M558" s="34" t="s">
        <v>33</v>
      </c>
      <c r="N558" s="47">
        <v>8</v>
      </c>
      <c r="O558" s="48">
        <v>2</v>
      </c>
      <c r="P558" s="49">
        <v>73</v>
      </c>
      <c r="Q558" s="50">
        <v>20.187197000000001</v>
      </c>
      <c r="R558" s="50">
        <v>-89.264460900000003</v>
      </c>
      <c r="S558" s="66" t="s">
        <v>34</v>
      </c>
      <c r="T558" s="66" t="s">
        <v>35</v>
      </c>
      <c r="U558" s="66" t="s">
        <v>35</v>
      </c>
      <c r="V558" s="66" t="s">
        <v>35</v>
      </c>
      <c r="W558" s="66" t="s">
        <v>35</v>
      </c>
      <c r="X558" s="66" t="s">
        <v>35</v>
      </c>
      <c r="Y558" s="66" t="s">
        <v>36</v>
      </c>
      <c r="Z558" s="66" t="s">
        <v>37</v>
      </c>
      <c r="AA558" s="66" t="s">
        <v>37</v>
      </c>
      <c r="AB558" s="67"/>
      <c r="AC558" s="87">
        <f t="shared" si="27"/>
        <v>1</v>
      </c>
      <c r="AD558" s="91">
        <v>3</v>
      </c>
      <c r="AE558" s="105" t="s">
        <v>1848</v>
      </c>
      <c r="AF558">
        <f t="shared" si="26"/>
        <v>0</v>
      </c>
      <c r="AG558">
        <f t="shared" si="25"/>
        <v>1</v>
      </c>
    </row>
    <row r="559" spans="1:33" x14ac:dyDescent="0.3">
      <c r="A559" s="84" t="s">
        <v>1757</v>
      </c>
      <c r="B559" s="93" t="s">
        <v>25</v>
      </c>
      <c r="C559" s="93" t="s">
        <v>1774</v>
      </c>
      <c r="D559" s="33" t="s">
        <v>1775</v>
      </c>
      <c r="E559" s="65" t="s">
        <v>1609</v>
      </c>
      <c r="F559" s="34" t="s">
        <v>1750</v>
      </c>
      <c r="G559" s="34" t="s">
        <v>111</v>
      </c>
      <c r="H559" s="37">
        <v>1</v>
      </c>
      <c r="I559" s="34" t="s">
        <v>30</v>
      </c>
      <c r="J559" s="34" t="s">
        <v>31</v>
      </c>
      <c r="K559" s="34" t="s">
        <v>32</v>
      </c>
      <c r="L559" s="34" t="s">
        <v>1756</v>
      </c>
      <c r="M559" s="34" t="s">
        <v>33</v>
      </c>
      <c r="N559" s="47"/>
      <c r="O559" s="48"/>
      <c r="P559" s="49"/>
      <c r="Q559" s="79">
        <v>209018891</v>
      </c>
      <c r="R559" s="79">
        <v>-896419666</v>
      </c>
      <c r="S559" s="66" t="s">
        <v>34</v>
      </c>
      <c r="T559" s="66" t="s">
        <v>35</v>
      </c>
      <c r="U559" s="66" t="s">
        <v>35</v>
      </c>
      <c r="V559" s="66" t="s">
        <v>35</v>
      </c>
      <c r="W559" s="66" t="s">
        <v>35</v>
      </c>
      <c r="X559" s="66" t="s">
        <v>35</v>
      </c>
      <c r="Y559" s="66" t="s">
        <v>36</v>
      </c>
      <c r="Z559" s="66" t="s">
        <v>37</v>
      </c>
      <c r="AA559" s="66" t="s">
        <v>37</v>
      </c>
      <c r="AB559" s="70"/>
      <c r="AC559" s="87">
        <f t="shared" si="27"/>
        <v>1</v>
      </c>
      <c r="AD559" s="91">
        <v>3</v>
      </c>
      <c r="AE559" s="105" t="s">
        <v>1848</v>
      </c>
      <c r="AF559">
        <f t="shared" si="26"/>
        <v>0</v>
      </c>
      <c r="AG559">
        <f t="shared" si="25"/>
        <v>1</v>
      </c>
    </row>
    <row r="560" spans="1:33" x14ac:dyDescent="0.3">
      <c r="A560" s="84" t="s">
        <v>1538</v>
      </c>
      <c r="B560" s="93" t="s">
        <v>25</v>
      </c>
      <c r="C560" s="93" t="s">
        <v>837</v>
      </c>
      <c r="D560" s="33" t="s">
        <v>1775</v>
      </c>
      <c r="E560" s="34" t="s">
        <v>1539</v>
      </c>
      <c r="F560" s="34" t="s">
        <v>1540</v>
      </c>
      <c r="G560" s="34" t="s">
        <v>111</v>
      </c>
      <c r="H560" s="37">
        <v>1</v>
      </c>
      <c r="I560" s="34" t="s">
        <v>112</v>
      </c>
      <c r="J560" s="34" t="s">
        <v>31</v>
      </c>
      <c r="K560" s="34" t="s">
        <v>32</v>
      </c>
      <c r="L560" s="34" t="s">
        <v>1755</v>
      </c>
      <c r="M560" s="34" t="s">
        <v>33</v>
      </c>
      <c r="N560" s="47">
        <v>22</v>
      </c>
      <c r="O560" s="48">
        <v>7</v>
      </c>
      <c r="P560" s="49">
        <v>135</v>
      </c>
      <c r="Q560" s="50">
        <v>23.17238</v>
      </c>
      <c r="R560" s="50">
        <v>-102.912707</v>
      </c>
      <c r="S560" s="66" t="s">
        <v>34</v>
      </c>
      <c r="T560" s="66" t="s">
        <v>35</v>
      </c>
      <c r="U560" s="66" t="s">
        <v>35</v>
      </c>
      <c r="V560" s="66" t="s">
        <v>35</v>
      </c>
      <c r="W560" s="66" t="s">
        <v>35</v>
      </c>
      <c r="X560" s="66" t="s">
        <v>35</v>
      </c>
      <c r="Y560" s="66" t="s">
        <v>36</v>
      </c>
      <c r="Z560" s="66" t="s">
        <v>37</v>
      </c>
      <c r="AA560" s="66" t="s">
        <v>37</v>
      </c>
      <c r="AB560" s="67"/>
      <c r="AC560" s="87">
        <f t="shared" si="27"/>
        <v>1</v>
      </c>
      <c r="AD560" s="91">
        <v>3</v>
      </c>
      <c r="AE560" s="105" t="s">
        <v>1848</v>
      </c>
      <c r="AF560">
        <f t="shared" si="26"/>
        <v>0</v>
      </c>
      <c r="AG560">
        <f t="shared" si="25"/>
        <v>1</v>
      </c>
    </row>
    <row r="561" spans="1:33" x14ac:dyDescent="0.3">
      <c r="A561" s="84" t="s">
        <v>1571</v>
      </c>
      <c r="B561" s="93" t="s">
        <v>25</v>
      </c>
      <c r="C561" s="93" t="s">
        <v>837</v>
      </c>
      <c r="D561" s="33" t="s">
        <v>1775</v>
      </c>
      <c r="E561" s="34" t="s">
        <v>1572</v>
      </c>
      <c r="F561" s="34" t="s">
        <v>1564</v>
      </c>
      <c r="G561" s="34" t="s">
        <v>164</v>
      </c>
      <c r="H561" s="37">
        <v>2</v>
      </c>
      <c r="I561" s="34" t="s">
        <v>155</v>
      </c>
      <c r="J561" s="34" t="s">
        <v>31</v>
      </c>
      <c r="K561" s="34" t="s">
        <v>32</v>
      </c>
      <c r="L561" s="34" t="s">
        <v>1755</v>
      </c>
      <c r="M561" s="34" t="s">
        <v>33</v>
      </c>
      <c r="N561" s="47">
        <v>11</v>
      </c>
      <c r="O561" s="48">
        <v>6</v>
      </c>
      <c r="P561" s="49">
        <v>121</v>
      </c>
      <c r="Q561" s="50">
        <v>22.744225</v>
      </c>
      <c r="R561" s="50">
        <v>-102.50020600000001</v>
      </c>
      <c r="S561" s="66" t="s">
        <v>34</v>
      </c>
      <c r="T561" s="66" t="s">
        <v>35</v>
      </c>
      <c r="U561" s="66" t="s">
        <v>35</v>
      </c>
      <c r="V561" s="66" t="s">
        <v>35</v>
      </c>
      <c r="W561" s="66" t="s">
        <v>35</v>
      </c>
      <c r="X561" s="66" t="s">
        <v>35</v>
      </c>
      <c r="Y561" s="66" t="s">
        <v>36</v>
      </c>
      <c r="Z561" s="66" t="s">
        <v>37</v>
      </c>
      <c r="AA561" s="66" t="s">
        <v>37</v>
      </c>
      <c r="AB561" s="67"/>
      <c r="AC561" s="87">
        <f t="shared" si="27"/>
        <v>1</v>
      </c>
      <c r="AD561" s="91">
        <v>3</v>
      </c>
      <c r="AE561" s="105" t="s">
        <v>1848</v>
      </c>
      <c r="AF561">
        <f t="shared" si="26"/>
        <v>0</v>
      </c>
      <c r="AG561">
        <f t="shared" si="25"/>
        <v>1</v>
      </c>
    </row>
    <row r="562" spans="1:33" x14ac:dyDescent="0.3">
      <c r="A562" s="84" t="s">
        <v>1713</v>
      </c>
      <c r="B562" s="93" t="s">
        <v>25</v>
      </c>
      <c r="C562" s="93" t="s">
        <v>837</v>
      </c>
      <c r="D562" s="33" t="s">
        <v>1775</v>
      </c>
      <c r="E562" s="34" t="s">
        <v>861</v>
      </c>
      <c r="F562" s="34" t="s">
        <v>1714</v>
      </c>
      <c r="G562" s="34" t="s">
        <v>169</v>
      </c>
      <c r="H562" s="37">
        <v>2</v>
      </c>
      <c r="I562" s="34" t="s">
        <v>170</v>
      </c>
      <c r="J562" s="34" t="s">
        <v>31</v>
      </c>
      <c r="K562" s="34" t="s">
        <v>32</v>
      </c>
      <c r="L562" s="34" t="s">
        <v>1755</v>
      </c>
      <c r="M562" s="34" t="s">
        <v>33</v>
      </c>
      <c r="N562" s="47">
        <v>8</v>
      </c>
      <c r="O562" s="48">
        <v>0</v>
      </c>
      <c r="P562" s="49">
        <v>38</v>
      </c>
      <c r="Q562" s="50">
        <v>22.930294</v>
      </c>
      <c r="R562" s="50">
        <v>-102.684899</v>
      </c>
      <c r="S562" s="66" t="s">
        <v>34</v>
      </c>
      <c r="T562" s="66" t="s">
        <v>35</v>
      </c>
      <c r="U562" s="66" t="s">
        <v>35</v>
      </c>
      <c r="V562" s="66" t="s">
        <v>35</v>
      </c>
      <c r="W562" s="66" t="s">
        <v>35</v>
      </c>
      <c r="X562" s="66" t="s">
        <v>35</v>
      </c>
      <c r="Y562" s="66" t="s">
        <v>36</v>
      </c>
      <c r="Z562" s="66" t="s">
        <v>37</v>
      </c>
      <c r="AA562" s="66" t="s">
        <v>37</v>
      </c>
      <c r="AB562" s="67"/>
      <c r="AC562" s="87">
        <f t="shared" si="27"/>
        <v>1</v>
      </c>
      <c r="AD562" s="91">
        <v>3</v>
      </c>
      <c r="AE562" s="105" t="s">
        <v>1848</v>
      </c>
      <c r="AF562">
        <f t="shared" si="26"/>
        <v>0</v>
      </c>
      <c r="AG562">
        <f t="shared" si="25"/>
        <v>1</v>
      </c>
    </row>
    <row r="563" spans="1:33" x14ac:dyDescent="0.3">
      <c r="A563" s="97" t="s">
        <v>1440</v>
      </c>
      <c r="B563" s="98" t="s">
        <v>25</v>
      </c>
      <c r="C563" s="98" t="s">
        <v>755</v>
      </c>
      <c r="D563" s="33" t="s">
        <v>1775</v>
      </c>
      <c r="E563" s="38" t="s">
        <v>1441</v>
      </c>
      <c r="F563" s="38" t="s">
        <v>1442</v>
      </c>
      <c r="G563" s="61" t="s">
        <v>111</v>
      </c>
      <c r="H563" s="49">
        <v>1</v>
      </c>
      <c r="I563" s="61" t="s">
        <v>112</v>
      </c>
      <c r="J563" s="61" t="s">
        <v>31</v>
      </c>
      <c r="K563" s="61" t="s">
        <v>32</v>
      </c>
      <c r="L563" s="61" t="s">
        <v>1756</v>
      </c>
      <c r="M563" s="61" t="s">
        <v>33</v>
      </c>
      <c r="N563" s="49">
        <v>37</v>
      </c>
      <c r="O563" s="49">
        <v>7</v>
      </c>
      <c r="P563" s="49">
        <v>140</v>
      </c>
      <c r="Q563" s="75">
        <v>19.3698807</v>
      </c>
      <c r="R563" s="75">
        <v>-98.216435399999995</v>
      </c>
      <c r="S563" s="69" t="s">
        <v>34</v>
      </c>
      <c r="T563" s="66" t="s">
        <v>35</v>
      </c>
      <c r="U563" s="66" t="s">
        <v>35</v>
      </c>
      <c r="V563" s="66" t="s">
        <v>35</v>
      </c>
      <c r="W563" s="66" t="s">
        <v>35</v>
      </c>
      <c r="X563" s="66" t="s">
        <v>35</v>
      </c>
      <c r="Y563" s="69" t="s">
        <v>36</v>
      </c>
      <c r="Z563" s="66"/>
      <c r="AA563" s="66"/>
      <c r="AB563" s="67"/>
      <c r="AC563" s="87">
        <f t="shared" si="27"/>
        <v>0.77777777777777779</v>
      </c>
      <c r="AD563" s="91">
        <v>3</v>
      </c>
      <c r="AE563" s="105" t="s">
        <v>1848</v>
      </c>
      <c r="AF563">
        <f t="shared" si="26"/>
        <v>0</v>
      </c>
      <c r="AG563">
        <f t="shared" si="25"/>
        <v>0</v>
      </c>
    </row>
    <row r="564" spans="1:33" x14ac:dyDescent="0.3">
      <c r="A564" s="84" t="s">
        <v>1544</v>
      </c>
      <c r="B564" s="93" t="s">
        <v>25</v>
      </c>
      <c r="C564" s="93" t="s">
        <v>837</v>
      </c>
      <c r="D564" s="33" t="s">
        <v>1775</v>
      </c>
      <c r="E564" s="34" t="s">
        <v>887</v>
      </c>
      <c r="F564" s="34" t="s">
        <v>1545</v>
      </c>
      <c r="G564" s="34" t="s">
        <v>111</v>
      </c>
      <c r="H564" s="37">
        <v>1</v>
      </c>
      <c r="I564" s="34" t="s">
        <v>112</v>
      </c>
      <c r="J564" s="34" t="s">
        <v>31</v>
      </c>
      <c r="K564" s="34" t="s">
        <v>32</v>
      </c>
      <c r="L564" s="34" t="s">
        <v>1755</v>
      </c>
      <c r="M564" s="34" t="s">
        <v>33</v>
      </c>
      <c r="N564" s="47">
        <v>5</v>
      </c>
      <c r="O564" s="48">
        <v>3</v>
      </c>
      <c r="P564" s="49">
        <v>56</v>
      </c>
      <c r="Q564" s="50">
        <v>22.256167999999999</v>
      </c>
      <c r="R564" s="50">
        <v>-101.989743</v>
      </c>
      <c r="S564" s="66" t="s">
        <v>34</v>
      </c>
      <c r="T564" s="66" t="s">
        <v>35</v>
      </c>
      <c r="U564" s="66" t="s">
        <v>35</v>
      </c>
      <c r="V564" s="66" t="s">
        <v>35</v>
      </c>
      <c r="W564" s="66" t="s">
        <v>35</v>
      </c>
      <c r="X564" s="66" t="s">
        <v>35</v>
      </c>
      <c r="Y564" s="66" t="s">
        <v>36</v>
      </c>
      <c r="Z564" s="66" t="s">
        <v>37</v>
      </c>
      <c r="AA564" s="66" t="s">
        <v>37</v>
      </c>
      <c r="AB564" s="67"/>
      <c r="AC564" s="87">
        <f t="shared" si="27"/>
        <v>1</v>
      </c>
      <c r="AD564" s="91">
        <v>3</v>
      </c>
      <c r="AE564" s="105" t="s">
        <v>1848</v>
      </c>
      <c r="AF564">
        <f t="shared" si="26"/>
        <v>0</v>
      </c>
      <c r="AG564">
        <f t="shared" si="25"/>
        <v>1</v>
      </c>
    </row>
    <row r="565" spans="1:33" x14ac:dyDescent="0.3">
      <c r="A565" s="84" t="s">
        <v>767</v>
      </c>
      <c r="B565" s="93" t="s">
        <v>25</v>
      </c>
      <c r="C565" s="93" t="s">
        <v>1510</v>
      </c>
      <c r="D565" s="33" t="s">
        <v>1775</v>
      </c>
      <c r="E565" s="34" t="s">
        <v>768</v>
      </c>
      <c r="F565" s="34" t="s">
        <v>769</v>
      </c>
      <c r="G565" s="34" t="s">
        <v>29</v>
      </c>
      <c r="H565" s="37">
        <v>1</v>
      </c>
      <c r="I565" s="34" t="s">
        <v>30</v>
      </c>
      <c r="J565" s="34" t="s">
        <v>31</v>
      </c>
      <c r="K565" s="34" t="s">
        <v>32</v>
      </c>
      <c r="L565" s="34" t="s">
        <v>1755</v>
      </c>
      <c r="M565" s="34" t="s">
        <v>33</v>
      </c>
      <c r="N565" s="47">
        <v>7</v>
      </c>
      <c r="O565" s="48">
        <v>2</v>
      </c>
      <c r="P565" s="49">
        <v>19</v>
      </c>
      <c r="Q565" s="50">
        <v>18.77045</v>
      </c>
      <c r="R565" s="50">
        <v>-95.761799999999994</v>
      </c>
      <c r="S565" s="66" t="s">
        <v>34</v>
      </c>
      <c r="T565" s="66" t="s">
        <v>175</v>
      </c>
      <c r="U565" s="66" t="s">
        <v>176</v>
      </c>
      <c r="V565" s="66" t="s">
        <v>176</v>
      </c>
      <c r="W565" s="66"/>
      <c r="X565" s="66"/>
      <c r="Y565" s="66"/>
      <c r="Z565" s="66"/>
      <c r="AA565" s="66"/>
      <c r="AB565" s="67"/>
      <c r="AC565" s="87">
        <f t="shared" si="27"/>
        <v>0.24074074074074073</v>
      </c>
      <c r="AD565" s="91">
        <v>2</v>
      </c>
      <c r="AE565" s="64" t="s">
        <v>1850</v>
      </c>
      <c r="AF565">
        <f t="shared" si="26"/>
        <v>0</v>
      </c>
      <c r="AG565">
        <f t="shared" si="25"/>
        <v>0</v>
      </c>
    </row>
    <row r="566" spans="1:33" x14ac:dyDescent="0.3">
      <c r="A566" s="84" t="s">
        <v>770</v>
      </c>
      <c r="B566" s="93" t="s">
        <v>25</v>
      </c>
      <c r="C566" s="93" t="s">
        <v>1510</v>
      </c>
      <c r="D566" s="33" t="s">
        <v>1775</v>
      </c>
      <c r="E566" s="34" t="s">
        <v>771</v>
      </c>
      <c r="F566" s="34" t="s">
        <v>772</v>
      </c>
      <c r="G566" s="34" t="s">
        <v>29</v>
      </c>
      <c r="H566" s="37">
        <v>1</v>
      </c>
      <c r="I566" s="34" t="s">
        <v>30</v>
      </c>
      <c r="J566" s="34" t="s">
        <v>31</v>
      </c>
      <c r="K566" s="34" t="s">
        <v>32</v>
      </c>
      <c r="L566" s="34" t="s">
        <v>1755</v>
      </c>
      <c r="M566" s="34" t="s">
        <v>33</v>
      </c>
      <c r="N566" s="47">
        <v>4</v>
      </c>
      <c r="O566" s="48">
        <v>2</v>
      </c>
      <c r="P566" s="49">
        <v>25</v>
      </c>
      <c r="Q566" s="50">
        <v>18.421240000000001</v>
      </c>
      <c r="R566" s="50">
        <v>-95.101399999999998</v>
      </c>
      <c r="S566" s="66" t="s">
        <v>34</v>
      </c>
      <c r="T566" s="66" t="s">
        <v>175</v>
      </c>
      <c r="U566" s="66" t="s">
        <v>213</v>
      </c>
      <c r="V566" s="66" t="s">
        <v>213</v>
      </c>
      <c r="W566" s="66"/>
      <c r="X566" s="66"/>
      <c r="Y566" s="66"/>
      <c r="Z566" s="66"/>
      <c r="AA566" s="66"/>
      <c r="AB566" s="67"/>
      <c r="AC566" s="87">
        <f t="shared" si="27"/>
        <v>0.31481481481481477</v>
      </c>
      <c r="AD566" s="91">
        <v>2</v>
      </c>
      <c r="AE566" s="64" t="s">
        <v>1850</v>
      </c>
      <c r="AF566">
        <f t="shared" si="26"/>
        <v>0</v>
      </c>
      <c r="AG566">
        <f t="shared" si="25"/>
        <v>0</v>
      </c>
    </row>
    <row r="567" spans="1:33" x14ac:dyDescent="0.3">
      <c r="A567" s="84" t="s">
        <v>1455</v>
      </c>
      <c r="B567" s="93" t="s">
        <v>25</v>
      </c>
      <c r="C567" s="93" t="s">
        <v>1510</v>
      </c>
      <c r="D567" s="33" t="s">
        <v>1775</v>
      </c>
      <c r="E567" s="34" t="s">
        <v>1456</v>
      </c>
      <c r="F567" s="34" t="s">
        <v>1457</v>
      </c>
      <c r="G567" s="34" t="s">
        <v>111</v>
      </c>
      <c r="H567" s="37">
        <v>1</v>
      </c>
      <c r="I567" s="34" t="s">
        <v>112</v>
      </c>
      <c r="J567" s="34" t="s">
        <v>31</v>
      </c>
      <c r="K567" s="34" t="s">
        <v>32</v>
      </c>
      <c r="L567" s="34" t="s">
        <v>1755</v>
      </c>
      <c r="M567" s="34" t="s">
        <v>33</v>
      </c>
      <c r="N567" s="47">
        <v>23</v>
      </c>
      <c r="O567" s="48">
        <v>5</v>
      </c>
      <c r="P567" s="49">
        <v>158</v>
      </c>
      <c r="Q567" s="50">
        <v>18.144901000000001</v>
      </c>
      <c r="R567" s="50">
        <v>-94.424400000000006</v>
      </c>
      <c r="S567" s="66" t="s">
        <v>34</v>
      </c>
      <c r="T567" s="140" t="s">
        <v>175</v>
      </c>
      <c r="U567" s="66" t="s">
        <v>213</v>
      </c>
      <c r="V567" s="66" t="s">
        <v>213</v>
      </c>
      <c r="W567" s="66"/>
      <c r="X567" s="66"/>
      <c r="Y567" s="66"/>
      <c r="Z567" s="66"/>
      <c r="AA567" s="66"/>
      <c r="AB567" s="67"/>
      <c r="AC567" s="87">
        <f t="shared" si="27"/>
        <v>0.31481481481481477</v>
      </c>
      <c r="AD567" s="91">
        <v>2</v>
      </c>
      <c r="AE567" s="64" t="s">
        <v>1850</v>
      </c>
      <c r="AF567">
        <f t="shared" si="26"/>
        <v>0</v>
      </c>
      <c r="AG567">
        <f t="shared" si="25"/>
        <v>0</v>
      </c>
    </row>
    <row r="568" spans="1:33" x14ac:dyDescent="0.3">
      <c r="A568" s="84" t="s">
        <v>1458</v>
      </c>
      <c r="B568" s="93" t="s">
        <v>25</v>
      </c>
      <c r="C568" s="93" t="s">
        <v>1510</v>
      </c>
      <c r="D568" s="33" t="s">
        <v>1775</v>
      </c>
      <c r="E568" s="34" t="s">
        <v>1459</v>
      </c>
      <c r="F568" s="34" t="s">
        <v>1460</v>
      </c>
      <c r="G568" s="34" t="s">
        <v>111</v>
      </c>
      <c r="H568" s="37">
        <v>1</v>
      </c>
      <c r="I568" s="34" t="s">
        <v>112</v>
      </c>
      <c r="J568" s="34" t="s">
        <v>31</v>
      </c>
      <c r="K568" s="34" t="s">
        <v>32</v>
      </c>
      <c r="L568" s="34" t="s">
        <v>1755</v>
      </c>
      <c r="M568" s="34" t="s">
        <v>33</v>
      </c>
      <c r="N568" s="47">
        <v>18</v>
      </c>
      <c r="O568" s="48">
        <v>5</v>
      </c>
      <c r="P568" s="49">
        <v>101</v>
      </c>
      <c r="Q568" s="50">
        <v>18.87951</v>
      </c>
      <c r="R568" s="50">
        <v>-96.920100000000005</v>
      </c>
      <c r="S568" s="66" t="s">
        <v>34</v>
      </c>
      <c r="T568" s="140" t="s">
        <v>175</v>
      </c>
      <c r="U568" s="66" t="s">
        <v>213</v>
      </c>
      <c r="V568" s="66" t="s">
        <v>213</v>
      </c>
      <c r="W568" s="66"/>
      <c r="X568" s="66"/>
      <c r="Y568" s="66"/>
      <c r="Z568" s="66"/>
      <c r="AA568" s="66"/>
      <c r="AB568" s="67"/>
      <c r="AC568" s="87">
        <f t="shared" si="27"/>
        <v>0.31481481481481477</v>
      </c>
      <c r="AD568" s="91">
        <v>2</v>
      </c>
      <c r="AE568" s="64" t="s">
        <v>1850</v>
      </c>
      <c r="AF568">
        <f t="shared" si="26"/>
        <v>0</v>
      </c>
      <c r="AG568">
        <f t="shared" si="25"/>
        <v>0</v>
      </c>
    </row>
    <row r="569" spans="1:33" x14ac:dyDescent="0.3">
      <c r="A569" s="84" t="s">
        <v>1461</v>
      </c>
      <c r="B569" s="93" t="s">
        <v>25</v>
      </c>
      <c r="C569" s="93" t="s">
        <v>1510</v>
      </c>
      <c r="D569" s="33" t="s">
        <v>1775</v>
      </c>
      <c r="E569" s="34" t="s">
        <v>1462</v>
      </c>
      <c r="F569" s="34" t="s">
        <v>1463</v>
      </c>
      <c r="G569" s="34" t="s">
        <v>111</v>
      </c>
      <c r="H569" s="37">
        <v>1</v>
      </c>
      <c r="I569" s="34" t="s">
        <v>112</v>
      </c>
      <c r="J569" s="34" t="s">
        <v>31</v>
      </c>
      <c r="K569" s="34" t="s">
        <v>32</v>
      </c>
      <c r="L569" s="34" t="s">
        <v>1755</v>
      </c>
      <c r="M569" s="34" t="s">
        <v>33</v>
      </c>
      <c r="N569" s="47">
        <v>14</v>
      </c>
      <c r="O569" s="48">
        <v>2</v>
      </c>
      <c r="P569" s="49">
        <v>48</v>
      </c>
      <c r="Q569" s="50">
        <v>18.365775200000002</v>
      </c>
      <c r="R569" s="50">
        <v>-95.796659399999996</v>
      </c>
      <c r="S569" s="66" t="s">
        <v>34</v>
      </c>
      <c r="T569" s="140" t="s">
        <v>175</v>
      </c>
      <c r="U569" s="66" t="s">
        <v>213</v>
      </c>
      <c r="V569" s="66" t="s">
        <v>213</v>
      </c>
      <c r="W569" s="66"/>
      <c r="X569" s="66"/>
      <c r="Y569" s="66"/>
      <c r="Z569" s="66"/>
      <c r="AA569" s="66"/>
      <c r="AB569" s="67"/>
      <c r="AC569" s="87">
        <f t="shared" si="27"/>
        <v>0.31481481481481477</v>
      </c>
      <c r="AD569" s="91">
        <v>2</v>
      </c>
      <c r="AE569" s="64" t="s">
        <v>1850</v>
      </c>
      <c r="AF569">
        <f t="shared" si="26"/>
        <v>0</v>
      </c>
      <c r="AG569">
        <f t="shared" si="25"/>
        <v>0</v>
      </c>
    </row>
    <row r="570" spans="1:33" x14ac:dyDescent="0.3">
      <c r="A570" s="84" t="s">
        <v>779</v>
      </c>
      <c r="B570" s="93" t="s">
        <v>25</v>
      </c>
      <c r="C570" s="93" t="s">
        <v>1510</v>
      </c>
      <c r="D570" s="33" t="s">
        <v>1775</v>
      </c>
      <c r="E570" s="34" t="s">
        <v>780</v>
      </c>
      <c r="F570" s="34" t="s">
        <v>781</v>
      </c>
      <c r="G570" s="34" t="s">
        <v>29</v>
      </c>
      <c r="H570" s="37">
        <v>1</v>
      </c>
      <c r="I570" s="34" t="s">
        <v>30</v>
      </c>
      <c r="J570" s="34" t="s">
        <v>31</v>
      </c>
      <c r="K570" s="34" t="s">
        <v>32</v>
      </c>
      <c r="L570" s="34" t="s">
        <v>1755</v>
      </c>
      <c r="M570" s="34" t="s">
        <v>33</v>
      </c>
      <c r="N570" s="47">
        <v>7</v>
      </c>
      <c r="O570" s="48">
        <v>2</v>
      </c>
      <c r="P570" s="49">
        <v>18</v>
      </c>
      <c r="Q570" s="50">
        <v>20.53659</v>
      </c>
      <c r="R570" s="50">
        <v>-98.483400000000003</v>
      </c>
      <c r="S570" s="66" t="s">
        <v>34</v>
      </c>
      <c r="T570" s="140" t="s">
        <v>175</v>
      </c>
      <c r="U570" s="66" t="s">
        <v>35</v>
      </c>
      <c r="V570" s="66" t="s">
        <v>35</v>
      </c>
      <c r="W570" s="66" t="s">
        <v>35</v>
      </c>
      <c r="X570" s="66" t="s">
        <v>35</v>
      </c>
      <c r="Y570" s="66" t="s">
        <v>36</v>
      </c>
      <c r="Z570" s="66"/>
      <c r="AA570" s="66"/>
      <c r="AB570" s="67"/>
      <c r="AC570" s="87">
        <f t="shared" si="27"/>
        <v>0.72222222222222221</v>
      </c>
      <c r="AD570" s="91">
        <v>3</v>
      </c>
      <c r="AE570" s="103" t="s">
        <v>1851</v>
      </c>
      <c r="AF570">
        <f t="shared" si="26"/>
        <v>0</v>
      </c>
      <c r="AG570">
        <f t="shared" si="25"/>
        <v>0</v>
      </c>
    </row>
    <row r="571" spans="1:33" x14ac:dyDescent="0.3">
      <c r="A571" s="84" t="s">
        <v>782</v>
      </c>
      <c r="B571" s="93" t="s">
        <v>25</v>
      </c>
      <c r="C571" s="93" t="s">
        <v>1510</v>
      </c>
      <c r="D571" s="33" t="s">
        <v>1775</v>
      </c>
      <c r="E571" s="34" t="s">
        <v>783</v>
      </c>
      <c r="F571" s="34" t="s">
        <v>784</v>
      </c>
      <c r="G571" s="34" t="s">
        <v>29</v>
      </c>
      <c r="H571" s="37">
        <v>1</v>
      </c>
      <c r="I571" s="34" t="s">
        <v>30</v>
      </c>
      <c r="J571" s="34" t="s">
        <v>31</v>
      </c>
      <c r="K571" s="34" t="s">
        <v>32</v>
      </c>
      <c r="L571" s="34" t="s">
        <v>1755</v>
      </c>
      <c r="M571" s="34" t="s">
        <v>33</v>
      </c>
      <c r="N571" s="47">
        <v>8</v>
      </c>
      <c r="O571" s="48">
        <v>2</v>
      </c>
      <c r="P571" s="49">
        <v>36</v>
      </c>
      <c r="Q571" s="50">
        <v>18.028110000000002</v>
      </c>
      <c r="R571" s="50">
        <v>-94.394580000000005</v>
      </c>
      <c r="S571" s="66" t="s">
        <v>34</v>
      </c>
      <c r="T571" s="140" t="s">
        <v>175</v>
      </c>
      <c r="U571" s="66" t="s">
        <v>35</v>
      </c>
      <c r="V571" s="66" t="s">
        <v>35</v>
      </c>
      <c r="W571" s="66"/>
      <c r="X571" s="66"/>
      <c r="Y571" s="66"/>
      <c r="Z571" s="66"/>
      <c r="AA571" s="66"/>
      <c r="AB571" s="67"/>
      <c r="AC571" s="87">
        <f t="shared" si="27"/>
        <v>0.3888888888888889</v>
      </c>
      <c r="AD571" s="91">
        <v>2</v>
      </c>
      <c r="AE571" s="64" t="s">
        <v>1850</v>
      </c>
      <c r="AF571">
        <f t="shared" si="26"/>
        <v>0</v>
      </c>
      <c r="AG571">
        <f t="shared" si="25"/>
        <v>0</v>
      </c>
    </row>
    <row r="572" spans="1:33" x14ac:dyDescent="0.3">
      <c r="A572" s="84" t="s">
        <v>785</v>
      </c>
      <c r="B572" s="93" t="s">
        <v>25</v>
      </c>
      <c r="C572" s="93" t="s">
        <v>1510</v>
      </c>
      <c r="D572" s="33" t="s">
        <v>1775</v>
      </c>
      <c r="E572" s="34" t="s">
        <v>786</v>
      </c>
      <c r="F572" s="34" t="s">
        <v>787</v>
      </c>
      <c r="G572" s="34" t="s">
        <v>29</v>
      </c>
      <c r="H572" s="37">
        <v>1</v>
      </c>
      <c r="I572" s="34" t="s">
        <v>30</v>
      </c>
      <c r="J572" s="34" t="s">
        <v>31</v>
      </c>
      <c r="K572" s="34" t="s">
        <v>32</v>
      </c>
      <c r="L572" s="34" t="s">
        <v>1755</v>
      </c>
      <c r="M572" s="34" t="s">
        <v>33</v>
      </c>
      <c r="N572" s="47">
        <v>10</v>
      </c>
      <c r="O572" s="48">
        <v>2</v>
      </c>
      <c r="P572" s="49">
        <v>30</v>
      </c>
      <c r="Q572" s="50">
        <v>17.390630000000002</v>
      </c>
      <c r="R572" s="50">
        <v>-94.988100000000003</v>
      </c>
      <c r="S572" s="66" t="s">
        <v>34</v>
      </c>
      <c r="T572" s="140" t="s">
        <v>175</v>
      </c>
      <c r="U572" s="66" t="s">
        <v>35</v>
      </c>
      <c r="V572" s="66" t="s">
        <v>35</v>
      </c>
      <c r="W572" s="66"/>
      <c r="X572" s="66"/>
      <c r="Y572" s="66"/>
      <c r="Z572" s="66"/>
      <c r="AA572" s="66"/>
      <c r="AB572" s="67"/>
      <c r="AC572" s="87">
        <f t="shared" si="27"/>
        <v>0.3888888888888889</v>
      </c>
      <c r="AD572" s="91">
        <v>2</v>
      </c>
      <c r="AE572" s="64" t="s">
        <v>1850</v>
      </c>
      <c r="AF572">
        <f t="shared" si="26"/>
        <v>0</v>
      </c>
      <c r="AG572">
        <f t="shared" si="25"/>
        <v>0</v>
      </c>
    </row>
    <row r="573" spans="1:33" x14ac:dyDescent="0.3">
      <c r="A573" s="84" t="s">
        <v>1477</v>
      </c>
      <c r="B573" s="93" t="s">
        <v>25</v>
      </c>
      <c r="C573" s="93" t="s">
        <v>1510</v>
      </c>
      <c r="D573" s="33" t="s">
        <v>1775</v>
      </c>
      <c r="E573" s="34" t="s">
        <v>1478</v>
      </c>
      <c r="F573" s="34" t="s">
        <v>1479</v>
      </c>
      <c r="G573" s="34" t="s">
        <v>111</v>
      </c>
      <c r="H573" s="37">
        <v>1</v>
      </c>
      <c r="I573" s="34" t="s">
        <v>112</v>
      </c>
      <c r="J573" s="34" t="s">
        <v>31</v>
      </c>
      <c r="K573" s="34" t="s">
        <v>32</v>
      </c>
      <c r="L573" s="34" t="s">
        <v>1755</v>
      </c>
      <c r="M573" s="34" t="s">
        <v>33</v>
      </c>
      <c r="N573" s="47">
        <v>9</v>
      </c>
      <c r="O573" s="48">
        <v>3</v>
      </c>
      <c r="P573" s="49">
        <v>71</v>
      </c>
      <c r="Q573" s="50">
        <v>17.990259999999999</v>
      </c>
      <c r="R573" s="50">
        <v>-94.559600000000003</v>
      </c>
      <c r="S573" s="66" t="s">
        <v>34</v>
      </c>
      <c r="T573" s="140" t="s">
        <v>175</v>
      </c>
      <c r="U573" s="66" t="s">
        <v>35</v>
      </c>
      <c r="V573" s="66" t="s">
        <v>35</v>
      </c>
      <c r="W573" s="66"/>
      <c r="X573" s="66"/>
      <c r="Y573" s="66"/>
      <c r="Z573" s="66"/>
      <c r="AA573" s="66"/>
      <c r="AB573" s="67"/>
      <c r="AC573" s="87">
        <f t="shared" si="27"/>
        <v>0.3888888888888889</v>
      </c>
      <c r="AD573" s="91">
        <v>2</v>
      </c>
      <c r="AE573" s="64" t="s">
        <v>1850</v>
      </c>
      <c r="AF573">
        <f t="shared" si="26"/>
        <v>0</v>
      </c>
      <c r="AG573">
        <f t="shared" si="25"/>
        <v>0</v>
      </c>
    </row>
    <row r="574" spans="1:33" x14ac:dyDescent="0.3">
      <c r="A574" s="84" t="s">
        <v>788</v>
      </c>
      <c r="B574" s="93" t="s">
        <v>25</v>
      </c>
      <c r="C574" s="93" t="s">
        <v>1510</v>
      </c>
      <c r="D574" s="33" t="s">
        <v>1775</v>
      </c>
      <c r="E574" s="34" t="s">
        <v>789</v>
      </c>
      <c r="F574" s="34" t="s">
        <v>790</v>
      </c>
      <c r="G574" s="34" t="s">
        <v>29</v>
      </c>
      <c r="H574" s="37">
        <v>1</v>
      </c>
      <c r="I574" s="34" t="s">
        <v>30</v>
      </c>
      <c r="J574" s="34" t="s">
        <v>31</v>
      </c>
      <c r="K574" s="34" t="s">
        <v>32</v>
      </c>
      <c r="L574" s="34" t="s">
        <v>1755</v>
      </c>
      <c r="M574" s="34" t="s">
        <v>33</v>
      </c>
      <c r="N574" s="47">
        <v>8</v>
      </c>
      <c r="O574" s="48">
        <v>2</v>
      </c>
      <c r="P574" s="49">
        <v>36</v>
      </c>
      <c r="Q574" s="50">
        <v>21.65119</v>
      </c>
      <c r="R574" s="50">
        <v>-97.854799999999997</v>
      </c>
      <c r="S574" s="66" t="s">
        <v>34</v>
      </c>
      <c r="T574" s="140" t="s">
        <v>175</v>
      </c>
      <c r="U574" s="66" t="s">
        <v>35</v>
      </c>
      <c r="V574" s="66" t="s">
        <v>35</v>
      </c>
      <c r="W574" s="66" t="s">
        <v>35</v>
      </c>
      <c r="X574" s="66" t="s">
        <v>175</v>
      </c>
      <c r="Y574" s="66" t="s">
        <v>36</v>
      </c>
      <c r="Z574" s="66"/>
      <c r="AA574" s="66"/>
      <c r="AB574" s="67"/>
      <c r="AC574" s="87">
        <f t="shared" si="27"/>
        <v>0.66666666666666663</v>
      </c>
      <c r="AD574" s="91">
        <v>3</v>
      </c>
      <c r="AE574" s="103" t="s">
        <v>1851</v>
      </c>
      <c r="AF574">
        <f t="shared" si="26"/>
        <v>0</v>
      </c>
      <c r="AG574">
        <f t="shared" si="25"/>
        <v>0</v>
      </c>
    </row>
    <row r="575" spans="1:33" x14ac:dyDescent="0.3">
      <c r="A575" s="84" t="s">
        <v>1483</v>
      </c>
      <c r="B575" s="93" t="s">
        <v>25</v>
      </c>
      <c r="C575" s="93" t="s">
        <v>1510</v>
      </c>
      <c r="D575" s="33" t="s">
        <v>1775</v>
      </c>
      <c r="E575" s="34" t="s">
        <v>1484</v>
      </c>
      <c r="F575" s="34" t="s">
        <v>1485</v>
      </c>
      <c r="G575" s="34" t="s">
        <v>111</v>
      </c>
      <c r="H575" s="37">
        <v>1</v>
      </c>
      <c r="I575" s="34" t="s">
        <v>112</v>
      </c>
      <c r="J575" s="34" t="s">
        <v>31</v>
      </c>
      <c r="K575" s="34" t="s">
        <v>32</v>
      </c>
      <c r="L575" s="34" t="s">
        <v>1755</v>
      </c>
      <c r="M575" s="34" t="s">
        <v>33</v>
      </c>
      <c r="N575" s="47">
        <v>7</v>
      </c>
      <c r="O575" s="48">
        <v>2</v>
      </c>
      <c r="P575" s="49">
        <v>45</v>
      </c>
      <c r="Q575" s="50">
        <v>22.049579999999999</v>
      </c>
      <c r="R575" s="50">
        <v>-98.181010000000001</v>
      </c>
      <c r="S575" s="66" t="s">
        <v>34</v>
      </c>
      <c r="T575" s="140" t="s">
        <v>175</v>
      </c>
      <c r="U575" s="66" t="s">
        <v>213</v>
      </c>
      <c r="V575" s="66" t="s">
        <v>213</v>
      </c>
      <c r="W575" s="66"/>
      <c r="X575" s="66"/>
      <c r="Y575" s="66" t="s">
        <v>36</v>
      </c>
      <c r="Z575" s="66"/>
      <c r="AA575" s="66"/>
      <c r="AB575" s="67"/>
      <c r="AC575" s="87">
        <f t="shared" si="27"/>
        <v>0.42592592592592587</v>
      </c>
      <c r="AD575" s="91">
        <v>3</v>
      </c>
      <c r="AE575" s="103" t="s">
        <v>1851</v>
      </c>
      <c r="AF575">
        <f t="shared" si="26"/>
        <v>0</v>
      </c>
      <c r="AG575">
        <f t="shared" si="25"/>
        <v>0</v>
      </c>
    </row>
    <row r="576" spans="1:33" x14ac:dyDescent="0.3">
      <c r="A576" s="84" t="s">
        <v>791</v>
      </c>
      <c r="B576" s="93" t="s">
        <v>25</v>
      </c>
      <c r="C576" s="93" t="s">
        <v>1510</v>
      </c>
      <c r="D576" s="33" t="s">
        <v>1775</v>
      </c>
      <c r="E576" s="34" t="s">
        <v>792</v>
      </c>
      <c r="F576" s="34" t="s">
        <v>793</v>
      </c>
      <c r="G576" s="34" t="s">
        <v>29</v>
      </c>
      <c r="H576" s="37">
        <v>1</v>
      </c>
      <c r="I576" s="34" t="s">
        <v>30</v>
      </c>
      <c r="J576" s="34" t="s">
        <v>31</v>
      </c>
      <c r="K576" s="34" t="s">
        <v>32</v>
      </c>
      <c r="L576" s="34" t="s">
        <v>1755</v>
      </c>
      <c r="M576" s="34" t="s">
        <v>33</v>
      </c>
      <c r="N576" s="47">
        <v>8</v>
      </c>
      <c r="O576" s="48">
        <v>2</v>
      </c>
      <c r="P576" s="49">
        <v>22</v>
      </c>
      <c r="Q576" s="50">
        <v>17.830719800000001</v>
      </c>
      <c r="R576" s="50">
        <v>-95.807299999999998</v>
      </c>
      <c r="S576" s="66" t="s">
        <v>34</v>
      </c>
      <c r="T576" s="140" t="s">
        <v>175</v>
      </c>
      <c r="U576" s="66" t="s">
        <v>176</v>
      </c>
      <c r="V576" s="66" t="s">
        <v>176</v>
      </c>
      <c r="W576" s="66"/>
      <c r="X576" s="66"/>
      <c r="Y576" s="66"/>
      <c r="Z576" s="66"/>
      <c r="AA576" s="66"/>
      <c r="AB576" s="67"/>
      <c r="AC576" s="87">
        <f t="shared" si="27"/>
        <v>0.24074074074074073</v>
      </c>
      <c r="AD576" s="91">
        <v>2</v>
      </c>
      <c r="AE576" s="64" t="s">
        <v>1850</v>
      </c>
      <c r="AF576">
        <f t="shared" si="26"/>
        <v>0</v>
      </c>
      <c r="AG576">
        <f t="shared" si="25"/>
        <v>0</v>
      </c>
    </row>
    <row r="577" spans="1:33" x14ac:dyDescent="0.3">
      <c r="A577" s="84" t="s">
        <v>1489</v>
      </c>
      <c r="B577" s="93" t="s">
        <v>25</v>
      </c>
      <c r="C577" s="93" t="s">
        <v>1510</v>
      </c>
      <c r="D577" s="33" t="s">
        <v>1775</v>
      </c>
      <c r="E577" s="34" t="s">
        <v>1490</v>
      </c>
      <c r="F577" s="34" t="s">
        <v>1491</v>
      </c>
      <c r="G577" s="34" t="s">
        <v>111</v>
      </c>
      <c r="H577" s="37">
        <v>1</v>
      </c>
      <c r="I577" s="34" t="s">
        <v>112</v>
      </c>
      <c r="J577" s="34" t="s">
        <v>31</v>
      </c>
      <c r="K577" s="34" t="s">
        <v>32</v>
      </c>
      <c r="L577" s="34" t="s">
        <v>1755</v>
      </c>
      <c r="M577" s="34" t="s">
        <v>33</v>
      </c>
      <c r="N577" s="47">
        <v>17</v>
      </c>
      <c r="O577" s="48">
        <v>7</v>
      </c>
      <c r="P577" s="49">
        <v>164</v>
      </c>
      <c r="Q577" s="50">
        <v>20.554179999999999</v>
      </c>
      <c r="R577" s="50">
        <v>-97.439009999999996</v>
      </c>
      <c r="S577" s="66" t="s">
        <v>34</v>
      </c>
      <c r="T577" s="140" t="s">
        <v>175</v>
      </c>
      <c r="U577" s="66" t="s">
        <v>213</v>
      </c>
      <c r="V577" s="66" t="s">
        <v>213</v>
      </c>
      <c r="W577" s="66"/>
      <c r="X577" s="66"/>
      <c r="Y577" s="66" t="s">
        <v>36</v>
      </c>
      <c r="Z577" s="66"/>
      <c r="AA577" s="66"/>
      <c r="AB577" s="67"/>
      <c r="AC577" s="87">
        <f t="shared" si="27"/>
        <v>0.42592592592592587</v>
      </c>
      <c r="AD577" s="91">
        <v>3</v>
      </c>
      <c r="AE577" s="103" t="s">
        <v>1851</v>
      </c>
      <c r="AF577">
        <f t="shared" si="26"/>
        <v>0</v>
      </c>
      <c r="AG577">
        <f t="shared" si="25"/>
        <v>0</v>
      </c>
    </row>
    <row r="578" spans="1:33" x14ac:dyDescent="0.3">
      <c r="A578" s="84" t="s">
        <v>1492</v>
      </c>
      <c r="B578" s="93" t="s">
        <v>25</v>
      </c>
      <c r="C578" s="93" t="s">
        <v>1510</v>
      </c>
      <c r="D578" s="33" t="s">
        <v>1775</v>
      </c>
      <c r="E578" s="34" t="s">
        <v>1493</v>
      </c>
      <c r="F578" s="34" t="s">
        <v>1494</v>
      </c>
      <c r="G578" s="34" t="s">
        <v>111</v>
      </c>
      <c r="H578" s="37">
        <v>1</v>
      </c>
      <c r="I578" s="34" t="s">
        <v>112</v>
      </c>
      <c r="J578" s="34" t="s">
        <v>31</v>
      </c>
      <c r="K578" s="34" t="s">
        <v>32</v>
      </c>
      <c r="L578" s="34" t="s">
        <v>1755</v>
      </c>
      <c r="M578" s="34" t="s">
        <v>33</v>
      </c>
      <c r="N578" s="47">
        <v>20</v>
      </c>
      <c r="O578" s="48">
        <v>6</v>
      </c>
      <c r="P578" s="49">
        <v>234</v>
      </c>
      <c r="Q578" s="50">
        <v>18.835059999999999</v>
      </c>
      <c r="R578" s="50">
        <v>-97.125010000000003</v>
      </c>
      <c r="S578" s="66" t="s">
        <v>34</v>
      </c>
      <c r="T578" s="140" t="s">
        <v>175</v>
      </c>
      <c r="U578" s="66" t="s">
        <v>35</v>
      </c>
      <c r="V578" s="66" t="s">
        <v>35</v>
      </c>
      <c r="W578" s="66"/>
      <c r="X578" s="66"/>
      <c r="Y578" s="66"/>
      <c r="Z578" s="66"/>
      <c r="AA578" s="66"/>
      <c r="AB578" s="67"/>
      <c r="AC578" s="87">
        <f t="shared" si="27"/>
        <v>0.3888888888888889</v>
      </c>
      <c r="AD578" s="91">
        <v>2</v>
      </c>
      <c r="AE578" s="64" t="s">
        <v>1850</v>
      </c>
      <c r="AF578">
        <f t="shared" si="26"/>
        <v>0</v>
      </c>
      <c r="AG578">
        <f t="shared" ref="AG578:AG613" si="28">IF(AND(OR(Z578="SI",Z578="NO APLICA"),OR(AA578="SI",AA578="NO APLICA")),1,0)</f>
        <v>0</v>
      </c>
    </row>
    <row r="579" spans="1:33" x14ac:dyDescent="0.3">
      <c r="A579" s="84" t="s">
        <v>1495</v>
      </c>
      <c r="B579" s="93" t="s">
        <v>25</v>
      </c>
      <c r="C579" s="93" t="s">
        <v>1510</v>
      </c>
      <c r="D579" s="33" t="s">
        <v>1775</v>
      </c>
      <c r="E579" s="34" t="s">
        <v>1496</v>
      </c>
      <c r="F579" s="34" t="s">
        <v>1497</v>
      </c>
      <c r="G579" s="34" t="s">
        <v>111</v>
      </c>
      <c r="H579" s="37">
        <v>1</v>
      </c>
      <c r="I579" s="34" t="s">
        <v>112</v>
      </c>
      <c r="J579" s="34" t="s">
        <v>31</v>
      </c>
      <c r="K579" s="34" t="s">
        <v>32</v>
      </c>
      <c r="L579" s="34" t="s">
        <v>1755</v>
      </c>
      <c r="M579" s="34" t="s">
        <v>33</v>
      </c>
      <c r="N579" s="47">
        <v>16</v>
      </c>
      <c r="O579" s="48">
        <v>3</v>
      </c>
      <c r="P579" s="49">
        <v>68</v>
      </c>
      <c r="Q579" s="50">
        <v>18.443249999999999</v>
      </c>
      <c r="R579" s="50">
        <v>-95.2089</v>
      </c>
      <c r="S579" s="66" t="s">
        <v>34</v>
      </c>
      <c r="T579" s="140" t="s">
        <v>175</v>
      </c>
      <c r="U579" s="66" t="s">
        <v>176</v>
      </c>
      <c r="V579" s="66" t="s">
        <v>176</v>
      </c>
      <c r="W579" s="66"/>
      <c r="X579" s="66"/>
      <c r="Y579" s="66"/>
      <c r="Z579" s="66"/>
      <c r="AA579" s="66"/>
      <c r="AB579" s="67"/>
      <c r="AC579" s="87">
        <f t="shared" si="27"/>
        <v>0.24074074074074073</v>
      </c>
      <c r="AD579" s="91">
        <v>2</v>
      </c>
      <c r="AE579" s="64" t="s">
        <v>1850</v>
      </c>
      <c r="AF579">
        <f t="shared" ref="AF579:AF613" si="29">IF(OR(AND(Z579="SI",AA579="NO"),AND(Z579="NO",AA579="SI")),1,0)</f>
        <v>0</v>
      </c>
      <c r="AG579">
        <f t="shared" si="28"/>
        <v>0</v>
      </c>
    </row>
    <row r="580" spans="1:33" x14ac:dyDescent="0.3">
      <c r="A580" s="84" t="s">
        <v>1498</v>
      </c>
      <c r="B580" s="93" t="s">
        <v>25</v>
      </c>
      <c r="C580" s="93" t="s">
        <v>1510</v>
      </c>
      <c r="D580" s="33" t="s">
        <v>1775</v>
      </c>
      <c r="E580" s="34" t="s">
        <v>1499</v>
      </c>
      <c r="F580" s="34" t="s">
        <v>1500</v>
      </c>
      <c r="G580" s="34" t="s">
        <v>111</v>
      </c>
      <c r="H580" s="37">
        <v>1</v>
      </c>
      <c r="I580" s="34" t="s">
        <v>112</v>
      </c>
      <c r="J580" s="34" t="s">
        <v>31</v>
      </c>
      <c r="K580" s="34" t="s">
        <v>32</v>
      </c>
      <c r="L580" s="34" t="s">
        <v>1755</v>
      </c>
      <c r="M580" s="34" t="s">
        <v>33</v>
      </c>
      <c r="N580" s="47">
        <v>5</v>
      </c>
      <c r="O580" s="48">
        <v>2</v>
      </c>
      <c r="P580" s="49">
        <v>37</v>
      </c>
      <c r="Q580" s="50">
        <v>18.45825</v>
      </c>
      <c r="R580" s="50">
        <v>-95.3078</v>
      </c>
      <c r="S580" s="66" t="s">
        <v>34</v>
      </c>
      <c r="T580" s="140" t="s">
        <v>175</v>
      </c>
      <c r="U580" s="66" t="s">
        <v>213</v>
      </c>
      <c r="V580" s="66" t="s">
        <v>213</v>
      </c>
      <c r="W580" s="66"/>
      <c r="X580" s="66"/>
      <c r="Y580" s="66"/>
      <c r="Z580" s="66"/>
      <c r="AA580" s="66"/>
      <c r="AB580" s="67"/>
      <c r="AC580" s="87">
        <f t="shared" si="27"/>
        <v>0.31481481481481477</v>
      </c>
      <c r="AD580" s="91">
        <v>2</v>
      </c>
      <c r="AE580" s="64" t="s">
        <v>1850</v>
      </c>
      <c r="AF580">
        <f t="shared" si="29"/>
        <v>0</v>
      </c>
      <c r="AG580">
        <f t="shared" si="28"/>
        <v>0</v>
      </c>
    </row>
    <row r="581" spans="1:33" x14ac:dyDescent="0.3">
      <c r="A581" s="84" t="s">
        <v>1501</v>
      </c>
      <c r="B581" s="93" t="s">
        <v>25</v>
      </c>
      <c r="C581" s="93" t="s">
        <v>1510</v>
      </c>
      <c r="D581" s="33" t="s">
        <v>1775</v>
      </c>
      <c r="E581" s="34" t="s">
        <v>1502</v>
      </c>
      <c r="F581" s="34" t="s">
        <v>1503</v>
      </c>
      <c r="G581" s="34" t="s">
        <v>111</v>
      </c>
      <c r="H581" s="37">
        <v>1</v>
      </c>
      <c r="I581" s="34" t="s">
        <v>112</v>
      </c>
      <c r="J581" s="34" t="s">
        <v>31</v>
      </c>
      <c r="K581" s="34" t="s">
        <v>32</v>
      </c>
      <c r="L581" s="34" t="s">
        <v>1755</v>
      </c>
      <c r="M581" s="34" t="s">
        <v>33</v>
      </c>
      <c r="N581" s="47">
        <v>7</v>
      </c>
      <c r="O581" s="48">
        <v>1</v>
      </c>
      <c r="P581" s="49">
        <v>44</v>
      </c>
      <c r="Q581" s="50">
        <v>21.33229</v>
      </c>
      <c r="R581" s="50">
        <v>-98.219099999999997</v>
      </c>
      <c r="S581" s="66" t="s">
        <v>34</v>
      </c>
      <c r="T581" s="140" t="s">
        <v>175</v>
      </c>
      <c r="U581" s="66" t="s">
        <v>35</v>
      </c>
      <c r="V581" s="66" t="s">
        <v>35</v>
      </c>
      <c r="W581" s="66" t="s">
        <v>35</v>
      </c>
      <c r="X581" s="66" t="s">
        <v>35</v>
      </c>
      <c r="Y581" s="66" t="s">
        <v>36</v>
      </c>
      <c r="Z581" s="66"/>
      <c r="AA581" s="66"/>
      <c r="AB581" s="67"/>
      <c r="AC581" s="87">
        <f t="shared" si="27"/>
        <v>0.72222222222222221</v>
      </c>
      <c r="AD581" s="91">
        <v>3</v>
      </c>
      <c r="AE581" s="103" t="s">
        <v>1851</v>
      </c>
      <c r="AF581">
        <f t="shared" si="29"/>
        <v>0</v>
      </c>
      <c r="AG581">
        <f t="shared" si="28"/>
        <v>0</v>
      </c>
    </row>
    <row r="582" spans="1:33" x14ac:dyDescent="0.3">
      <c r="A582" s="84" t="s">
        <v>794</v>
      </c>
      <c r="B582" s="93" t="s">
        <v>25</v>
      </c>
      <c r="C582" s="93" t="s">
        <v>1510</v>
      </c>
      <c r="D582" s="33" t="s">
        <v>1775</v>
      </c>
      <c r="E582" s="34" t="s">
        <v>795</v>
      </c>
      <c r="F582" s="58" t="s">
        <v>796</v>
      </c>
      <c r="G582" s="34" t="s">
        <v>29</v>
      </c>
      <c r="H582" s="37">
        <v>1</v>
      </c>
      <c r="I582" s="34" t="s">
        <v>30</v>
      </c>
      <c r="J582" s="34" t="s">
        <v>31</v>
      </c>
      <c r="K582" s="34" t="s">
        <v>32</v>
      </c>
      <c r="L582" s="34" t="s">
        <v>1755</v>
      </c>
      <c r="M582" s="34" t="s">
        <v>33</v>
      </c>
      <c r="N582" s="47">
        <v>9</v>
      </c>
      <c r="O582" s="48">
        <v>3</v>
      </c>
      <c r="P582" s="49">
        <v>30</v>
      </c>
      <c r="Q582" s="50">
        <v>21.518989999999999</v>
      </c>
      <c r="R582" s="50">
        <v>-98.395499999999998</v>
      </c>
      <c r="S582" s="66" t="s">
        <v>34</v>
      </c>
      <c r="T582" s="140" t="s">
        <v>175</v>
      </c>
      <c r="U582" s="66" t="s">
        <v>213</v>
      </c>
      <c r="V582" s="66" t="s">
        <v>213</v>
      </c>
      <c r="W582" s="66"/>
      <c r="X582" s="66"/>
      <c r="Y582" s="66" t="s">
        <v>36</v>
      </c>
      <c r="Z582" s="66"/>
      <c r="AA582" s="66"/>
      <c r="AB582" s="67"/>
      <c r="AC582" s="87">
        <f t="shared" si="27"/>
        <v>0.42592592592592587</v>
      </c>
      <c r="AD582" s="91">
        <v>3</v>
      </c>
      <c r="AE582" s="103" t="s">
        <v>1851</v>
      </c>
      <c r="AF582">
        <f t="shared" si="29"/>
        <v>0</v>
      </c>
      <c r="AG582">
        <f t="shared" si="28"/>
        <v>0</v>
      </c>
    </row>
    <row r="583" spans="1:33" x14ac:dyDescent="0.3">
      <c r="A583" s="84" t="s">
        <v>1504</v>
      </c>
      <c r="B583" s="93" t="s">
        <v>25</v>
      </c>
      <c r="C583" s="93" t="s">
        <v>1510</v>
      </c>
      <c r="D583" s="33" t="s">
        <v>1775</v>
      </c>
      <c r="E583" s="59" t="s">
        <v>1505</v>
      </c>
      <c r="F583" s="60" t="s">
        <v>1506</v>
      </c>
      <c r="G583" s="54" t="s">
        <v>111</v>
      </c>
      <c r="H583" s="37">
        <v>1</v>
      </c>
      <c r="I583" s="34" t="s">
        <v>112</v>
      </c>
      <c r="J583" s="34" t="s">
        <v>31</v>
      </c>
      <c r="K583" s="34" t="s">
        <v>32</v>
      </c>
      <c r="L583" s="34" t="s">
        <v>1755</v>
      </c>
      <c r="M583" s="34" t="s">
        <v>33</v>
      </c>
      <c r="N583" s="47">
        <v>7</v>
      </c>
      <c r="O583" s="48">
        <v>2</v>
      </c>
      <c r="P583" s="49">
        <v>42</v>
      </c>
      <c r="Q583" s="50">
        <v>18.441780000000001</v>
      </c>
      <c r="R583" s="50">
        <v>-96.347210000000004</v>
      </c>
      <c r="S583" s="66" t="s">
        <v>34</v>
      </c>
      <c r="T583" s="140" t="s">
        <v>175</v>
      </c>
      <c r="U583" s="66" t="s">
        <v>176</v>
      </c>
      <c r="V583" s="66" t="s">
        <v>176</v>
      </c>
      <c r="W583" s="66"/>
      <c r="X583" s="66"/>
      <c r="Y583" s="66"/>
      <c r="Z583" s="66"/>
      <c r="AA583" s="66"/>
      <c r="AB583" s="67"/>
      <c r="AC583" s="87">
        <f t="shared" si="27"/>
        <v>0.24074074074074073</v>
      </c>
      <c r="AD583" s="91">
        <v>2</v>
      </c>
      <c r="AE583" s="64" t="s">
        <v>1850</v>
      </c>
      <c r="AF583">
        <f t="shared" si="29"/>
        <v>0</v>
      </c>
      <c r="AG583">
        <f t="shared" si="28"/>
        <v>0</v>
      </c>
    </row>
    <row r="584" spans="1:33" x14ac:dyDescent="0.3">
      <c r="A584" s="84" t="s">
        <v>800</v>
      </c>
      <c r="B584" s="93" t="s">
        <v>25</v>
      </c>
      <c r="C584" s="93" t="s">
        <v>1510</v>
      </c>
      <c r="D584" s="33" t="s">
        <v>1775</v>
      </c>
      <c r="E584" s="59" t="s">
        <v>801</v>
      </c>
      <c r="F584" s="63" t="s">
        <v>802</v>
      </c>
      <c r="G584" s="54" t="s">
        <v>29</v>
      </c>
      <c r="H584" s="37">
        <v>1</v>
      </c>
      <c r="I584" s="34" t="s">
        <v>30</v>
      </c>
      <c r="J584" s="34" t="s">
        <v>31</v>
      </c>
      <c r="K584" s="34" t="s">
        <v>32</v>
      </c>
      <c r="L584" s="34" t="s">
        <v>1755</v>
      </c>
      <c r="M584" s="34" t="s">
        <v>33</v>
      </c>
      <c r="N584" s="47">
        <v>6</v>
      </c>
      <c r="O584" s="48">
        <v>2</v>
      </c>
      <c r="P584" s="49">
        <v>22</v>
      </c>
      <c r="Q584" s="50">
        <v>18.611550000000001</v>
      </c>
      <c r="R584" s="50">
        <v>-95.656679999999994</v>
      </c>
      <c r="S584" s="66" t="s">
        <v>34</v>
      </c>
      <c r="T584" s="140" t="s">
        <v>175</v>
      </c>
      <c r="U584" s="66" t="s">
        <v>213</v>
      </c>
      <c r="V584" s="66" t="s">
        <v>213</v>
      </c>
      <c r="W584" s="66"/>
      <c r="X584" s="66"/>
      <c r="Y584" s="66"/>
      <c r="Z584" s="66"/>
      <c r="AA584" s="66"/>
      <c r="AB584" s="67"/>
      <c r="AC584" s="87">
        <f t="shared" si="27"/>
        <v>0.31481481481481477</v>
      </c>
      <c r="AD584" s="91">
        <v>2</v>
      </c>
      <c r="AE584" s="64" t="s">
        <v>1850</v>
      </c>
      <c r="AF584">
        <f t="shared" si="29"/>
        <v>0</v>
      </c>
      <c r="AG584">
        <f t="shared" si="28"/>
        <v>0</v>
      </c>
    </row>
    <row r="585" spans="1:33" x14ac:dyDescent="0.3">
      <c r="A585" s="84" t="s">
        <v>1507</v>
      </c>
      <c r="B585" s="93" t="s">
        <v>25</v>
      </c>
      <c r="C585" s="93" t="s">
        <v>1510</v>
      </c>
      <c r="D585" s="34" t="s">
        <v>1775</v>
      </c>
      <c r="E585" s="34" t="s">
        <v>474</v>
      </c>
      <c r="F585" s="84" t="s">
        <v>1508</v>
      </c>
      <c r="G585" s="34" t="s">
        <v>111</v>
      </c>
      <c r="H585" s="37">
        <v>1</v>
      </c>
      <c r="I585" s="34" t="s">
        <v>112</v>
      </c>
      <c r="J585" s="34" t="s">
        <v>31</v>
      </c>
      <c r="K585" s="34" t="s">
        <v>32</v>
      </c>
      <c r="L585" s="34" t="s">
        <v>1755</v>
      </c>
      <c r="M585" s="34" t="s">
        <v>33</v>
      </c>
      <c r="N585" s="47">
        <v>10</v>
      </c>
      <c r="O585" s="48">
        <v>2</v>
      </c>
      <c r="P585" s="49">
        <v>113</v>
      </c>
      <c r="Q585" s="50">
        <v>20.95092</v>
      </c>
      <c r="R585" s="50">
        <v>-97.400300000000001</v>
      </c>
      <c r="S585" s="66" t="s">
        <v>34</v>
      </c>
      <c r="T585" s="140" t="s">
        <v>175</v>
      </c>
      <c r="U585" s="66" t="s">
        <v>213</v>
      </c>
      <c r="V585" s="66" t="s">
        <v>213</v>
      </c>
      <c r="W585" s="66"/>
      <c r="X585" s="66"/>
      <c r="Y585" s="66" t="s">
        <v>36</v>
      </c>
      <c r="Z585" s="66"/>
      <c r="AA585" s="66"/>
      <c r="AB585" s="67"/>
      <c r="AC585" s="87">
        <f t="shared" si="27"/>
        <v>0.42592592592592587</v>
      </c>
      <c r="AD585" s="91">
        <v>3</v>
      </c>
      <c r="AE585" s="103" t="s">
        <v>1851</v>
      </c>
      <c r="AF585">
        <f t="shared" si="29"/>
        <v>0</v>
      </c>
      <c r="AG585">
        <f t="shared" si="28"/>
        <v>0</v>
      </c>
    </row>
    <row r="586" spans="1:33" x14ac:dyDescent="0.3">
      <c r="A586" s="84" t="s">
        <v>1509</v>
      </c>
      <c r="B586" s="93" t="s">
        <v>25</v>
      </c>
      <c r="C586" s="93" t="s">
        <v>1510</v>
      </c>
      <c r="D586" s="33" t="s">
        <v>1775</v>
      </c>
      <c r="E586" s="34" t="s">
        <v>1510</v>
      </c>
      <c r="F586" s="32" t="s">
        <v>1511</v>
      </c>
      <c r="G586" s="34" t="s">
        <v>111</v>
      </c>
      <c r="H586" s="37">
        <v>1</v>
      </c>
      <c r="I586" s="34" t="s">
        <v>155</v>
      </c>
      <c r="J586" s="34" t="s">
        <v>31</v>
      </c>
      <c r="K586" s="34" t="s">
        <v>32</v>
      </c>
      <c r="L586" s="34" t="s">
        <v>1756</v>
      </c>
      <c r="M586" s="34" t="s">
        <v>33</v>
      </c>
      <c r="N586" s="47">
        <v>49</v>
      </c>
      <c r="O586" s="48">
        <v>16</v>
      </c>
      <c r="P586" s="49">
        <v>493</v>
      </c>
      <c r="Q586" s="50">
        <v>19.18562</v>
      </c>
      <c r="R586" s="50">
        <v>-96.132099999999994</v>
      </c>
      <c r="S586" s="66" t="s">
        <v>34</v>
      </c>
      <c r="T586" s="140" t="s">
        <v>175</v>
      </c>
      <c r="U586" s="66" t="s">
        <v>213</v>
      </c>
      <c r="V586" s="66" t="s">
        <v>213</v>
      </c>
      <c r="W586" s="66"/>
      <c r="X586" s="66"/>
      <c r="Y586" s="66"/>
      <c r="Z586" s="66"/>
      <c r="AA586" s="66"/>
      <c r="AB586" s="67"/>
      <c r="AC586" s="87">
        <f t="shared" si="27"/>
        <v>0.31481481481481477</v>
      </c>
      <c r="AD586" s="91">
        <v>2</v>
      </c>
      <c r="AE586" s="64" t="s">
        <v>1850</v>
      </c>
      <c r="AF586">
        <f t="shared" si="29"/>
        <v>0</v>
      </c>
      <c r="AG586">
        <f t="shared" si="28"/>
        <v>0</v>
      </c>
    </row>
    <row r="587" spans="1:33" x14ac:dyDescent="0.3">
      <c r="A587" s="84" t="s">
        <v>806</v>
      </c>
      <c r="B587" s="93" t="s">
        <v>25</v>
      </c>
      <c r="C587" s="93" t="s">
        <v>1510</v>
      </c>
      <c r="D587" s="33" t="s">
        <v>1775</v>
      </c>
      <c r="E587" s="34" t="s">
        <v>807</v>
      </c>
      <c r="F587" s="32" t="s">
        <v>808</v>
      </c>
      <c r="G587" s="34" t="s">
        <v>29</v>
      </c>
      <c r="H587" s="37">
        <v>1</v>
      </c>
      <c r="I587" s="34" t="s">
        <v>30</v>
      </c>
      <c r="J587" s="34" t="s">
        <v>31</v>
      </c>
      <c r="K587" s="34" t="s">
        <v>32</v>
      </c>
      <c r="L587" s="34" t="s">
        <v>1755</v>
      </c>
      <c r="M587" s="34" t="s">
        <v>84</v>
      </c>
      <c r="N587" s="47">
        <v>6</v>
      </c>
      <c r="O587" s="48">
        <v>2</v>
      </c>
      <c r="P587" s="49">
        <v>28</v>
      </c>
      <c r="Q587" s="50">
        <v>17.27778</v>
      </c>
      <c r="R587" s="50">
        <v>-94.503399999999999</v>
      </c>
      <c r="S587" s="66" t="s">
        <v>34</v>
      </c>
      <c r="T587" s="140" t="s">
        <v>175</v>
      </c>
      <c r="U587" s="66" t="s">
        <v>176</v>
      </c>
      <c r="V587" s="66" t="s">
        <v>176</v>
      </c>
      <c r="W587" s="66"/>
      <c r="X587" s="66"/>
      <c r="Y587" s="66"/>
      <c r="Z587" s="66"/>
      <c r="AA587" s="66"/>
      <c r="AB587" s="67"/>
      <c r="AC587" s="87">
        <f t="shared" si="27"/>
        <v>0.24074074074074073</v>
      </c>
      <c r="AD587" s="91">
        <v>2</v>
      </c>
      <c r="AE587" s="64" t="s">
        <v>1850</v>
      </c>
      <c r="AF587">
        <f t="shared" si="29"/>
        <v>0</v>
      </c>
      <c r="AG587">
        <f t="shared" si="28"/>
        <v>0</v>
      </c>
    </row>
    <row r="588" spans="1:33" x14ac:dyDescent="0.3">
      <c r="A588" s="84" t="s">
        <v>1512</v>
      </c>
      <c r="B588" s="93" t="s">
        <v>25</v>
      </c>
      <c r="C588" s="93" t="s">
        <v>1510</v>
      </c>
      <c r="D588" s="33" t="s">
        <v>1775</v>
      </c>
      <c r="E588" s="34" t="s">
        <v>1513</v>
      </c>
      <c r="F588" s="32" t="s">
        <v>1514</v>
      </c>
      <c r="G588" s="34" t="s">
        <v>111</v>
      </c>
      <c r="H588" s="37">
        <v>1</v>
      </c>
      <c r="I588" s="34" t="s">
        <v>112</v>
      </c>
      <c r="J588" s="34" t="s">
        <v>31</v>
      </c>
      <c r="K588" s="34" t="s">
        <v>32</v>
      </c>
      <c r="L588" s="34" t="s">
        <v>1755</v>
      </c>
      <c r="M588" s="34" t="s">
        <v>33</v>
      </c>
      <c r="N588" s="47">
        <v>6</v>
      </c>
      <c r="O588" s="48">
        <v>2</v>
      </c>
      <c r="P588" s="49">
        <v>42</v>
      </c>
      <c r="Q588" s="50">
        <v>19.3669236</v>
      </c>
      <c r="R588" s="50">
        <v>-96.371402500000002</v>
      </c>
      <c r="S588" s="66" t="s">
        <v>34</v>
      </c>
      <c r="T588" s="140" t="s">
        <v>175</v>
      </c>
      <c r="U588" s="66" t="s">
        <v>35</v>
      </c>
      <c r="V588" s="66" t="s">
        <v>35</v>
      </c>
      <c r="W588" s="66"/>
      <c r="X588" s="66"/>
      <c r="Y588" s="66"/>
      <c r="Z588" s="66"/>
      <c r="AA588" s="66"/>
      <c r="AB588" s="67"/>
      <c r="AC588" s="87">
        <f t="shared" si="27"/>
        <v>0.3888888888888889</v>
      </c>
      <c r="AD588" s="91">
        <v>2</v>
      </c>
      <c r="AE588" s="64" t="s">
        <v>1850</v>
      </c>
      <c r="AF588">
        <f t="shared" si="29"/>
        <v>0</v>
      </c>
      <c r="AG588">
        <f t="shared" si="28"/>
        <v>0</v>
      </c>
    </row>
    <row r="589" spans="1:33" x14ac:dyDescent="0.3">
      <c r="A589" s="84" t="s">
        <v>809</v>
      </c>
      <c r="B589" s="93" t="s">
        <v>25</v>
      </c>
      <c r="C589" s="93" t="s">
        <v>1510</v>
      </c>
      <c r="D589" s="33" t="s">
        <v>1775</v>
      </c>
      <c r="E589" s="34" t="s">
        <v>810</v>
      </c>
      <c r="F589" s="32" t="s">
        <v>811</v>
      </c>
      <c r="G589" s="34" t="s">
        <v>29</v>
      </c>
      <c r="H589" s="37">
        <v>1</v>
      </c>
      <c r="I589" s="34" t="s">
        <v>30</v>
      </c>
      <c r="J589" s="34" t="s">
        <v>31</v>
      </c>
      <c r="K589" s="34" t="s">
        <v>32</v>
      </c>
      <c r="L589" s="34" t="s">
        <v>1755</v>
      </c>
      <c r="M589" s="34" t="s">
        <v>84</v>
      </c>
      <c r="N589" s="47">
        <v>5</v>
      </c>
      <c r="O589" s="48">
        <v>2</v>
      </c>
      <c r="P589" s="49">
        <v>23</v>
      </c>
      <c r="Q589" s="50">
        <v>18.148350000000001</v>
      </c>
      <c r="R589" s="50">
        <v>-94.791629999999998</v>
      </c>
      <c r="S589" s="66" t="s">
        <v>34</v>
      </c>
      <c r="T589" s="140" t="s">
        <v>175</v>
      </c>
      <c r="U589" s="66" t="s">
        <v>35</v>
      </c>
      <c r="V589" s="66" t="s">
        <v>35</v>
      </c>
      <c r="W589" s="66"/>
      <c r="X589" s="66"/>
      <c r="Y589" s="66"/>
      <c r="Z589" s="66"/>
      <c r="AA589" s="66"/>
      <c r="AB589" s="67"/>
      <c r="AC589" s="87">
        <f t="shared" si="27"/>
        <v>0.3888888888888889</v>
      </c>
      <c r="AD589" s="91">
        <v>2</v>
      </c>
      <c r="AE589" s="64" t="s">
        <v>1850</v>
      </c>
      <c r="AF589">
        <f t="shared" si="29"/>
        <v>0</v>
      </c>
      <c r="AG589">
        <f t="shared" si="28"/>
        <v>0</v>
      </c>
    </row>
    <row r="590" spans="1:33" x14ac:dyDescent="0.3">
      <c r="A590" s="84" t="s">
        <v>812</v>
      </c>
      <c r="B590" s="93" t="s">
        <v>25</v>
      </c>
      <c r="C590" s="93" t="s">
        <v>1510</v>
      </c>
      <c r="D590" s="33" t="s">
        <v>1775</v>
      </c>
      <c r="E590" s="34" t="s">
        <v>813</v>
      </c>
      <c r="F590" s="32" t="s">
        <v>814</v>
      </c>
      <c r="G590" s="34" t="s">
        <v>29</v>
      </c>
      <c r="H590" s="37">
        <v>1</v>
      </c>
      <c r="I590" s="34" t="s">
        <v>30</v>
      </c>
      <c r="J590" s="34" t="s">
        <v>31</v>
      </c>
      <c r="K590" s="34" t="s">
        <v>32</v>
      </c>
      <c r="L590" s="34" t="s">
        <v>1755</v>
      </c>
      <c r="M590" s="34" t="s">
        <v>84</v>
      </c>
      <c r="N590" s="47">
        <v>8</v>
      </c>
      <c r="O590" s="48">
        <v>2</v>
      </c>
      <c r="P590" s="49">
        <v>29</v>
      </c>
      <c r="Q590" s="50">
        <v>18.59207</v>
      </c>
      <c r="R590" s="50">
        <v>-97.128699999999995</v>
      </c>
      <c r="S590" s="66" t="s">
        <v>34</v>
      </c>
      <c r="T590" s="140" t="s">
        <v>175</v>
      </c>
      <c r="U590" s="66" t="s">
        <v>35</v>
      </c>
      <c r="V590" s="66" t="s">
        <v>35</v>
      </c>
      <c r="W590" s="66"/>
      <c r="X590" s="66"/>
      <c r="Y590" s="66"/>
      <c r="Z590" s="66"/>
      <c r="AA590" s="66"/>
      <c r="AB590" s="67"/>
      <c r="AC590" s="87">
        <f t="shared" si="27"/>
        <v>0.3888888888888889</v>
      </c>
      <c r="AD590" s="91">
        <v>2</v>
      </c>
      <c r="AE590" s="64" t="s">
        <v>1850</v>
      </c>
      <c r="AF590">
        <f t="shared" si="29"/>
        <v>0</v>
      </c>
      <c r="AG590">
        <f t="shared" si="28"/>
        <v>0</v>
      </c>
    </row>
    <row r="591" spans="1:33" x14ac:dyDescent="0.3">
      <c r="A591" s="84" t="s">
        <v>815</v>
      </c>
      <c r="B591" s="93" t="s">
        <v>25</v>
      </c>
      <c r="C591" s="93" t="s">
        <v>1510</v>
      </c>
      <c r="D591" s="33" t="s">
        <v>1775</v>
      </c>
      <c r="E591" s="34" t="s">
        <v>816</v>
      </c>
      <c r="F591" s="32" t="s">
        <v>817</v>
      </c>
      <c r="G591" s="34" t="s">
        <v>29</v>
      </c>
      <c r="H591" s="37">
        <v>1</v>
      </c>
      <c r="I591" s="34" t="s">
        <v>30</v>
      </c>
      <c r="J591" s="34" t="s">
        <v>31</v>
      </c>
      <c r="K591" s="34" t="s">
        <v>32</v>
      </c>
      <c r="L591" s="34" t="s">
        <v>1755</v>
      </c>
      <c r="M591" s="34" t="s">
        <v>33</v>
      </c>
      <c r="N591" s="47">
        <v>6</v>
      </c>
      <c r="O591" s="48">
        <v>2</v>
      </c>
      <c r="P591" s="49">
        <v>25</v>
      </c>
      <c r="Q591" s="50">
        <v>18.61581</v>
      </c>
      <c r="R591" s="50">
        <v>-96.696010000000001</v>
      </c>
      <c r="S591" s="66" t="s">
        <v>34</v>
      </c>
      <c r="T591" s="140" t="s">
        <v>175</v>
      </c>
      <c r="U591" s="66" t="s">
        <v>35</v>
      </c>
      <c r="V591" s="66" t="s">
        <v>35</v>
      </c>
      <c r="W591" s="66"/>
      <c r="X591" s="66"/>
      <c r="Y591" s="66"/>
      <c r="Z591" s="66"/>
      <c r="AA591" s="66"/>
      <c r="AB591" s="67"/>
      <c r="AC591" s="87">
        <f t="shared" si="27"/>
        <v>0.3888888888888889</v>
      </c>
      <c r="AD591" s="91">
        <v>2</v>
      </c>
      <c r="AE591" s="64" t="s">
        <v>1850</v>
      </c>
      <c r="AF591">
        <f t="shared" si="29"/>
        <v>0</v>
      </c>
      <c r="AG591">
        <f t="shared" si="28"/>
        <v>0</v>
      </c>
    </row>
    <row r="592" spans="1:33" x14ac:dyDescent="0.3">
      <c r="A592" s="84" t="s">
        <v>818</v>
      </c>
      <c r="B592" s="93" t="s">
        <v>25</v>
      </c>
      <c r="C592" s="93" t="s">
        <v>1510</v>
      </c>
      <c r="D592" s="33" t="s">
        <v>1775</v>
      </c>
      <c r="E592" s="34" t="s">
        <v>819</v>
      </c>
      <c r="F592" s="32" t="s">
        <v>820</v>
      </c>
      <c r="G592" s="34" t="s">
        <v>29</v>
      </c>
      <c r="H592" s="37">
        <v>1</v>
      </c>
      <c r="I592" s="34" t="s">
        <v>30</v>
      </c>
      <c r="J592" s="34" t="s">
        <v>31</v>
      </c>
      <c r="K592" s="34" t="s">
        <v>32</v>
      </c>
      <c r="L592" s="34" t="s">
        <v>1755</v>
      </c>
      <c r="M592" s="34" t="s">
        <v>84</v>
      </c>
      <c r="N592" s="47">
        <v>6</v>
      </c>
      <c r="O592" s="48">
        <v>2</v>
      </c>
      <c r="P592" s="49">
        <v>20</v>
      </c>
      <c r="Q592" s="50">
        <v>20.784880000000001</v>
      </c>
      <c r="R592" s="50">
        <v>-98.007800000000003</v>
      </c>
      <c r="S592" s="66" t="s">
        <v>34</v>
      </c>
      <c r="T592" s="140" t="s">
        <v>175</v>
      </c>
      <c r="U592" s="66" t="s">
        <v>35</v>
      </c>
      <c r="V592" s="66" t="s">
        <v>35</v>
      </c>
      <c r="W592" s="66" t="s">
        <v>175</v>
      </c>
      <c r="X592" s="66" t="s">
        <v>175</v>
      </c>
      <c r="Y592" s="66" t="s">
        <v>36</v>
      </c>
      <c r="Z592" s="66"/>
      <c r="AA592" s="66"/>
      <c r="AB592" s="67"/>
      <c r="AC592" s="87">
        <f t="shared" si="27"/>
        <v>0.61111111111111116</v>
      </c>
      <c r="AD592" s="91">
        <v>3</v>
      </c>
      <c r="AE592" s="103" t="s">
        <v>1851</v>
      </c>
      <c r="AF592">
        <f t="shared" si="29"/>
        <v>0</v>
      </c>
      <c r="AG592">
        <f t="shared" si="28"/>
        <v>0</v>
      </c>
    </row>
    <row r="593" spans="1:33" x14ac:dyDescent="0.3">
      <c r="A593" s="84" t="s">
        <v>1515</v>
      </c>
      <c r="B593" s="93" t="s">
        <v>25</v>
      </c>
      <c r="C593" s="93" t="s">
        <v>1510</v>
      </c>
      <c r="D593" s="33" t="s">
        <v>1775</v>
      </c>
      <c r="E593" s="34" t="s">
        <v>1510</v>
      </c>
      <c r="F593" s="32" t="s">
        <v>1516</v>
      </c>
      <c r="G593" s="34" t="s">
        <v>111</v>
      </c>
      <c r="H593" s="37">
        <v>1</v>
      </c>
      <c r="I593" s="34" t="s">
        <v>112</v>
      </c>
      <c r="J593" s="34" t="s">
        <v>31</v>
      </c>
      <c r="K593" s="34" t="s">
        <v>32</v>
      </c>
      <c r="L593" s="34" t="s">
        <v>1755</v>
      </c>
      <c r="M593" s="34" t="s">
        <v>33</v>
      </c>
      <c r="N593" s="47">
        <v>15</v>
      </c>
      <c r="O593" s="48">
        <v>4</v>
      </c>
      <c r="P593" s="49">
        <v>94</v>
      </c>
      <c r="Q593" s="50">
        <v>19.192800999999999</v>
      </c>
      <c r="R593" s="50">
        <v>-96.183899999999994</v>
      </c>
      <c r="S593" s="66" t="s">
        <v>34</v>
      </c>
      <c r="T593" s="140" t="s">
        <v>175</v>
      </c>
      <c r="U593" s="66" t="s">
        <v>35</v>
      </c>
      <c r="V593" s="66" t="s">
        <v>35</v>
      </c>
      <c r="W593" s="66"/>
      <c r="X593" s="66"/>
      <c r="Y593" s="66"/>
      <c r="Z593" s="66"/>
      <c r="AA593" s="66"/>
      <c r="AB593" s="67"/>
      <c r="AC593" s="87">
        <f t="shared" si="27"/>
        <v>0.3888888888888889</v>
      </c>
      <c r="AD593" s="91">
        <v>2</v>
      </c>
      <c r="AE593" s="64" t="s">
        <v>1850</v>
      </c>
      <c r="AF593">
        <f t="shared" si="29"/>
        <v>0</v>
      </c>
      <c r="AG593">
        <f t="shared" si="28"/>
        <v>0</v>
      </c>
    </row>
    <row r="594" spans="1:33" x14ac:dyDescent="0.3">
      <c r="A594" s="84" t="s">
        <v>824</v>
      </c>
      <c r="B594" s="93" t="s">
        <v>25</v>
      </c>
      <c r="C594" s="93" t="s">
        <v>1510</v>
      </c>
      <c r="D594" s="33" t="s">
        <v>1775</v>
      </c>
      <c r="E594" s="34" t="s">
        <v>825</v>
      </c>
      <c r="F594" s="32" t="s">
        <v>826</v>
      </c>
      <c r="G594" s="34" t="s">
        <v>29</v>
      </c>
      <c r="H594" s="37">
        <v>1</v>
      </c>
      <c r="I594" s="34" t="s">
        <v>30</v>
      </c>
      <c r="J594" s="34" t="s">
        <v>31</v>
      </c>
      <c r="K594" s="34" t="s">
        <v>32</v>
      </c>
      <c r="L594" s="34" t="s">
        <v>1755</v>
      </c>
      <c r="M594" s="34" t="s">
        <v>33</v>
      </c>
      <c r="N594" s="47">
        <v>7</v>
      </c>
      <c r="O594" s="48">
        <v>2</v>
      </c>
      <c r="P594" s="49">
        <v>21</v>
      </c>
      <c r="Q594" s="50">
        <v>21.189050000000002</v>
      </c>
      <c r="R594" s="50">
        <v>-97.736720000000005</v>
      </c>
      <c r="S594" s="66" t="s">
        <v>34</v>
      </c>
      <c r="T594" s="140" t="s">
        <v>175</v>
      </c>
      <c r="U594" s="66" t="s">
        <v>35</v>
      </c>
      <c r="V594" s="66" t="s">
        <v>35</v>
      </c>
      <c r="W594" s="66" t="s">
        <v>35</v>
      </c>
      <c r="X594" s="66" t="s">
        <v>35</v>
      </c>
      <c r="Y594" s="66" t="s">
        <v>36</v>
      </c>
      <c r="Z594" s="66"/>
      <c r="AA594" s="66"/>
      <c r="AB594" s="67"/>
      <c r="AC594" s="87">
        <f t="shared" si="27"/>
        <v>0.72222222222222221</v>
      </c>
      <c r="AD594" s="91">
        <v>3</v>
      </c>
      <c r="AE594" s="103" t="s">
        <v>1851</v>
      </c>
      <c r="AF594">
        <f t="shared" si="29"/>
        <v>0</v>
      </c>
      <c r="AG594">
        <f t="shared" si="28"/>
        <v>0</v>
      </c>
    </row>
    <row r="595" spans="1:33" x14ac:dyDescent="0.3">
      <c r="A595" s="84" t="s">
        <v>1517</v>
      </c>
      <c r="B595" s="93" t="s">
        <v>25</v>
      </c>
      <c r="C595" s="93" t="s">
        <v>1510</v>
      </c>
      <c r="D595" s="33" t="s">
        <v>1775</v>
      </c>
      <c r="E595" s="34" t="s">
        <v>1518</v>
      </c>
      <c r="F595" s="32" t="s">
        <v>1519</v>
      </c>
      <c r="G595" s="34" t="s">
        <v>111</v>
      </c>
      <c r="H595" s="37">
        <v>1</v>
      </c>
      <c r="I595" s="34" t="s">
        <v>112</v>
      </c>
      <c r="J595" s="34" t="s">
        <v>31</v>
      </c>
      <c r="K595" s="34" t="s">
        <v>32</v>
      </c>
      <c r="L595" s="34" t="s">
        <v>1755</v>
      </c>
      <c r="M595" s="34" t="s">
        <v>33</v>
      </c>
      <c r="N595" s="47">
        <v>7</v>
      </c>
      <c r="O595" s="48">
        <v>2</v>
      </c>
      <c r="P595" s="49">
        <v>33</v>
      </c>
      <c r="Q595" s="50">
        <v>18.799759999999999</v>
      </c>
      <c r="R595" s="50">
        <v>-96.057608999999999</v>
      </c>
      <c r="S595" s="66" t="s">
        <v>34</v>
      </c>
      <c r="T595" s="140" t="s">
        <v>175</v>
      </c>
      <c r="U595" s="66" t="s">
        <v>213</v>
      </c>
      <c r="V595" s="66" t="s">
        <v>213</v>
      </c>
      <c r="W595" s="66"/>
      <c r="X595" s="66"/>
      <c r="Y595" s="66"/>
      <c r="Z595" s="66"/>
      <c r="AA595" s="66"/>
      <c r="AB595" s="67"/>
      <c r="AC595" s="87">
        <f t="shared" si="27"/>
        <v>0.31481481481481477</v>
      </c>
      <c r="AD595" s="91">
        <v>2</v>
      </c>
      <c r="AE595" s="64" t="s">
        <v>1850</v>
      </c>
      <c r="AF595">
        <f t="shared" si="29"/>
        <v>0</v>
      </c>
      <c r="AG595">
        <f t="shared" si="28"/>
        <v>0</v>
      </c>
    </row>
    <row r="596" spans="1:33" x14ac:dyDescent="0.3">
      <c r="A596" s="84" t="s">
        <v>1520</v>
      </c>
      <c r="B596" s="93" t="s">
        <v>25</v>
      </c>
      <c r="C596" s="93" t="s">
        <v>1510</v>
      </c>
      <c r="D596" s="33" t="s">
        <v>1775</v>
      </c>
      <c r="E596" s="34" t="s">
        <v>1521</v>
      </c>
      <c r="F596" s="32" t="s">
        <v>1522</v>
      </c>
      <c r="G596" s="34" t="s">
        <v>111</v>
      </c>
      <c r="H596" s="37">
        <v>1</v>
      </c>
      <c r="I596" s="64" t="s">
        <v>112</v>
      </c>
      <c r="J596" s="34" t="s">
        <v>31</v>
      </c>
      <c r="K596" s="34" t="s">
        <v>32</v>
      </c>
      <c r="L596" s="34" t="s">
        <v>1755</v>
      </c>
      <c r="M596" s="34" t="s">
        <v>33</v>
      </c>
      <c r="N596" s="47">
        <v>9</v>
      </c>
      <c r="O596" s="48">
        <v>2</v>
      </c>
      <c r="P596" s="49">
        <v>83</v>
      </c>
      <c r="Q596" s="85">
        <v>17.932000299999999</v>
      </c>
      <c r="R596" s="85">
        <v>-94.906152700000007</v>
      </c>
      <c r="S596" s="66" t="s">
        <v>34</v>
      </c>
      <c r="T596" s="140" t="s">
        <v>175</v>
      </c>
      <c r="U596" s="66" t="s">
        <v>213</v>
      </c>
      <c r="V596" s="66" t="s">
        <v>213</v>
      </c>
      <c r="W596" s="66"/>
      <c r="X596" s="66"/>
      <c r="Y596" s="66"/>
      <c r="Z596" s="66"/>
      <c r="AA596" s="66"/>
      <c r="AB596" s="67"/>
      <c r="AC596" s="87">
        <f t="shared" si="27"/>
        <v>0.31481481481481477</v>
      </c>
      <c r="AD596" s="91">
        <v>2</v>
      </c>
      <c r="AE596" s="64" t="s">
        <v>1850</v>
      </c>
      <c r="AF596">
        <f t="shared" si="29"/>
        <v>0</v>
      </c>
      <c r="AG596">
        <f t="shared" si="28"/>
        <v>0</v>
      </c>
    </row>
    <row r="597" spans="1:33" x14ac:dyDescent="0.3">
      <c r="A597" s="84" t="s">
        <v>1526</v>
      </c>
      <c r="B597" s="93" t="s">
        <v>25</v>
      </c>
      <c r="C597" s="93" t="s">
        <v>1510</v>
      </c>
      <c r="D597" s="33" t="s">
        <v>1775</v>
      </c>
      <c r="E597" s="34" t="s">
        <v>1527</v>
      </c>
      <c r="F597" s="64" t="s">
        <v>1528</v>
      </c>
      <c r="G597" s="34" t="s">
        <v>111</v>
      </c>
      <c r="H597" s="37">
        <v>1</v>
      </c>
      <c r="I597" s="34" t="s">
        <v>112</v>
      </c>
      <c r="J597" s="34" t="s">
        <v>31</v>
      </c>
      <c r="K597" s="34" t="s">
        <v>32</v>
      </c>
      <c r="L597" s="34" t="s">
        <v>1755</v>
      </c>
      <c r="M597" s="34" t="s">
        <v>33</v>
      </c>
      <c r="N597" s="47">
        <v>19</v>
      </c>
      <c r="O597" s="48">
        <v>4</v>
      </c>
      <c r="P597" s="49">
        <v>91</v>
      </c>
      <c r="Q597" s="50">
        <v>19.10332</v>
      </c>
      <c r="R597" s="50">
        <v>-96.108656999999994</v>
      </c>
      <c r="S597" s="66" t="s">
        <v>34</v>
      </c>
      <c r="T597" s="140" t="s">
        <v>175</v>
      </c>
      <c r="U597" s="66" t="s">
        <v>35</v>
      </c>
      <c r="V597" s="66" t="s">
        <v>35</v>
      </c>
      <c r="W597" s="66"/>
      <c r="X597" s="66"/>
      <c r="Y597" s="66"/>
      <c r="Z597" s="66"/>
      <c r="AA597" s="66"/>
      <c r="AB597" s="67"/>
      <c r="AC597" s="87">
        <f t="shared" si="27"/>
        <v>0.3888888888888889</v>
      </c>
      <c r="AD597" s="91">
        <v>2</v>
      </c>
      <c r="AE597" s="64" t="s">
        <v>1850</v>
      </c>
      <c r="AF597">
        <f t="shared" si="29"/>
        <v>0</v>
      </c>
      <c r="AG597">
        <f t="shared" si="28"/>
        <v>0</v>
      </c>
    </row>
    <row r="598" spans="1:33" x14ac:dyDescent="0.3">
      <c r="A598" s="84" t="s">
        <v>1529</v>
      </c>
      <c r="B598" s="93" t="s">
        <v>25</v>
      </c>
      <c r="C598" s="93" t="s">
        <v>1510</v>
      </c>
      <c r="D598" s="33" t="s">
        <v>1775</v>
      </c>
      <c r="E598" s="34" t="s">
        <v>1530</v>
      </c>
      <c r="F598" s="58" t="s">
        <v>1531</v>
      </c>
      <c r="G598" s="34" t="s">
        <v>111</v>
      </c>
      <c r="H598" s="37">
        <v>1</v>
      </c>
      <c r="I598" s="34" t="s">
        <v>112</v>
      </c>
      <c r="J598" s="34" t="s">
        <v>31</v>
      </c>
      <c r="K598" s="34" t="s">
        <v>32</v>
      </c>
      <c r="L598" s="34" t="s">
        <v>1755</v>
      </c>
      <c r="M598" s="34" t="s">
        <v>33</v>
      </c>
      <c r="N598" s="47">
        <v>10</v>
      </c>
      <c r="O598" s="48">
        <v>2</v>
      </c>
      <c r="P598" s="49">
        <v>68</v>
      </c>
      <c r="Q598" s="50">
        <v>18.037626100000001</v>
      </c>
      <c r="R598" s="50">
        <v>-95.530038000000005</v>
      </c>
      <c r="S598" s="66" t="s">
        <v>34</v>
      </c>
      <c r="T598" s="140" t="s">
        <v>175</v>
      </c>
      <c r="U598" s="66" t="s">
        <v>213</v>
      </c>
      <c r="V598" s="66" t="s">
        <v>213</v>
      </c>
      <c r="W598" s="66"/>
      <c r="X598" s="66"/>
      <c r="Y598" s="66"/>
      <c r="Z598" s="66"/>
      <c r="AA598" s="66"/>
      <c r="AB598" s="67"/>
      <c r="AC598" s="87">
        <f t="shared" si="27"/>
        <v>0.31481481481481477</v>
      </c>
      <c r="AD598" s="91">
        <v>2</v>
      </c>
      <c r="AE598" s="64" t="s">
        <v>1850</v>
      </c>
      <c r="AF598">
        <f t="shared" si="29"/>
        <v>0</v>
      </c>
      <c r="AG598">
        <f t="shared" si="28"/>
        <v>0</v>
      </c>
    </row>
    <row r="599" spans="1:33" x14ac:dyDescent="0.3">
      <c r="A599" s="84" t="s">
        <v>827</v>
      </c>
      <c r="B599" s="93" t="s">
        <v>25</v>
      </c>
      <c r="C599" s="93" t="s">
        <v>1510</v>
      </c>
      <c r="D599" s="33" t="s">
        <v>1775</v>
      </c>
      <c r="E599" s="59" t="s">
        <v>828</v>
      </c>
      <c r="F599" s="60" t="s">
        <v>829</v>
      </c>
      <c r="G599" s="54" t="s">
        <v>29</v>
      </c>
      <c r="H599" s="37">
        <v>1</v>
      </c>
      <c r="I599" s="34" t="s">
        <v>30</v>
      </c>
      <c r="J599" s="34" t="s">
        <v>31</v>
      </c>
      <c r="K599" s="34" t="s">
        <v>32</v>
      </c>
      <c r="L599" s="34" t="s">
        <v>1755</v>
      </c>
      <c r="M599" s="34" t="s">
        <v>33</v>
      </c>
      <c r="N599" s="47">
        <v>10</v>
      </c>
      <c r="O599" s="48">
        <v>2</v>
      </c>
      <c r="P599" s="49">
        <v>33</v>
      </c>
      <c r="Q599" s="50">
        <v>17.90343</v>
      </c>
      <c r="R599" s="50">
        <v>-94.112009999999998</v>
      </c>
      <c r="S599" s="66" t="s">
        <v>34</v>
      </c>
      <c r="T599" s="140" t="s">
        <v>175</v>
      </c>
      <c r="U599" s="66" t="s">
        <v>35</v>
      </c>
      <c r="V599" s="66" t="s">
        <v>35</v>
      </c>
      <c r="W599" s="66"/>
      <c r="X599" s="66"/>
      <c r="Y599" s="66"/>
      <c r="Z599" s="66"/>
      <c r="AA599" s="66"/>
      <c r="AB599" s="67"/>
      <c r="AC599" s="87">
        <f t="shared" si="27"/>
        <v>0.3888888888888889</v>
      </c>
      <c r="AD599" s="91">
        <v>2</v>
      </c>
      <c r="AE599" s="64" t="s">
        <v>1850</v>
      </c>
      <c r="AF599">
        <f t="shared" si="29"/>
        <v>0</v>
      </c>
      <c r="AG599">
        <f t="shared" si="28"/>
        <v>0</v>
      </c>
    </row>
    <row r="600" spans="1:33" x14ac:dyDescent="0.3">
      <c r="A600" s="84" t="s">
        <v>833</v>
      </c>
      <c r="B600" s="93" t="s">
        <v>25</v>
      </c>
      <c r="C600" s="93" t="s">
        <v>1510</v>
      </c>
      <c r="D600" s="33" t="s">
        <v>1775</v>
      </c>
      <c r="E600" s="59" t="s">
        <v>834</v>
      </c>
      <c r="F600" s="60" t="s">
        <v>835</v>
      </c>
      <c r="G600" s="54" t="s">
        <v>29</v>
      </c>
      <c r="H600" s="37">
        <v>1</v>
      </c>
      <c r="I600" s="34" t="s">
        <v>30</v>
      </c>
      <c r="J600" s="34" t="s">
        <v>31</v>
      </c>
      <c r="K600" s="34" t="s">
        <v>32</v>
      </c>
      <c r="L600" s="34" t="s">
        <v>1755</v>
      </c>
      <c r="M600" s="34" t="s">
        <v>33</v>
      </c>
      <c r="N600" s="47">
        <v>6</v>
      </c>
      <c r="O600" s="48">
        <v>2</v>
      </c>
      <c r="P600" s="49">
        <v>25</v>
      </c>
      <c r="Q600" s="50">
        <v>18.080580000000001</v>
      </c>
      <c r="R600" s="50">
        <v>-95.714206000000004</v>
      </c>
      <c r="S600" s="66" t="s">
        <v>34</v>
      </c>
      <c r="T600" s="140" t="s">
        <v>175</v>
      </c>
      <c r="U600" s="66" t="s">
        <v>176</v>
      </c>
      <c r="V600" s="66" t="s">
        <v>176</v>
      </c>
      <c r="W600" s="66"/>
      <c r="X600" s="66"/>
      <c r="Y600" s="66"/>
      <c r="Z600" s="66"/>
      <c r="AA600" s="66"/>
      <c r="AB600" s="67"/>
      <c r="AC600" s="87">
        <f t="shared" si="27"/>
        <v>0.24074074074074073</v>
      </c>
      <c r="AD600" s="91">
        <v>2</v>
      </c>
      <c r="AE600" s="64" t="s">
        <v>1850</v>
      </c>
      <c r="AF600">
        <f t="shared" si="29"/>
        <v>0</v>
      </c>
      <c r="AG600">
        <f t="shared" si="28"/>
        <v>0</v>
      </c>
    </row>
    <row r="601" spans="1:33" x14ac:dyDescent="0.3">
      <c r="A601" s="84" t="s">
        <v>1532</v>
      </c>
      <c r="B601" s="93" t="s">
        <v>25</v>
      </c>
      <c r="C601" s="93" t="s">
        <v>1510</v>
      </c>
      <c r="D601" s="33" t="s">
        <v>1775</v>
      </c>
      <c r="E601" s="59" t="s">
        <v>1533</v>
      </c>
      <c r="F601" s="60" t="s">
        <v>1534</v>
      </c>
      <c r="G601" s="54" t="s">
        <v>111</v>
      </c>
      <c r="H601" s="37">
        <v>1</v>
      </c>
      <c r="I601" s="34" t="s">
        <v>112</v>
      </c>
      <c r="J601" s="34" t="s">
        <v>31</v>
      </c>
      <c r="K601" s="34" t="s">
        <v>32</v>
      </c>
      <c r="L601" s="34" t="s">
        <v>1755</v>
      </c>
      <c r="M601" s="34" t="s">
        <v>33</v>
      </c>
      <c r="N601" s="47">
        <v>7</v>
      </c>
      <c r="O601" s="48">
        <v>2</v>
      </c>
      <c r="P601" s="49">
        <v>31</v>
      </c>
      <c r="Q601" s="50">
        <v>17.99222</v>
      </c>
      <c r="R601" s="50">
        <v>-94.641199999999998</v>
      </c>
      <c r="S601" s="66" t="s">
        <v>34</v>
      </c>
      <c r="T601" s="140" t="s">
        <v>175</v>
      </c>
      <c r="U601" s="66" t="s">
        <v>176</v>
      </c>
      <c r="V601" s="66" t="s">
        <v>176</v>
      </c>
      <c r="W601" s="66"/>
      <c r="X601" s="66"/>
      <c r="Y601" s="66"/>
      <c r="Z601" s="66"/>
      <c r="AA601" s="66"/>
      <c r="AB601" s="67"/>
      <c r="AC601" s="87">
        <f t="shared" si="27"/>
        <v>0.24074074074074073</v>
      </c>
      <c r="AD601" s="91">
        <v>2</v>
      </c>
      <c r="AE601" s="64" t="s">
        <v>1850</v>
      </c>
      <c r="AF601">
        <f t="shared" si="29"/>
        <v>0</v>
      </c>
      <c r="AG601">
        <f t="shared" si="28"/>
        <v>0</v>
      </c>
    </row>
    <row r="602" spans="1:33" x14ac:dyDescent="0.3">
      <c r="A602" s="94" t="s">
        <v>1826</v>
      </c>
      <c r="B602" s="95" t="s">
        <v>25</v>
      </c>
      <c r="C602" s="95" t="s">
        <v>1827</v>
      </c>
      <c r="D602" s="33" t="s">
        <v>1775</v>
      </c>
      <c r="E602" s="119" t="s">
        <v>1852</v>
      </c>
      <c r="F602" s="120" t="s">
        <v>1853</v>
      </c>
      <c r="G602" s="121" t="s">
        <v>1803</v>
      </c>
      <c r="H602" s="39">
        <v>3</v>
      </c>
      <c r="I602" s="35" t="s">
        <v>181</v>
      </c>
      <c r="J602" s="35" t="s">
        <v>1854</v>
      </c>
      <c r="K602" s="35" t="s">
        <v>32</v>
      </c>
      <c r="L602" s="35" t="s">
        <v>1760</v>
      </c>
      <c r="M602" s="35" t="s">
        <v>33</v>
      </c>
      <c r="N602" s="39">
        <v>11</v>
      </c>
      <c r="O602" s="39">
        <v>1</v>
      </c>
      <c r="P602" s="39">
        <v>15</v>
      </c>
      <c r="Q602" s="40">
        <v>21.27253</v>
      </c>
      <c r="R602" s="40">
        <v>-98.355599999999995</v>
      </c>
      <c r="S602" s="66"/>
      <c r="T602" s="66"/>
      <c r="U602" s="66" t="s">
        <v>35</v>
      </c>
      <c r="V602" s="66" t="s">
        <v>35</v>
      </c>
      <c r="W602" s="66" t="s">
        <v>35</v>
      </c>
      <c r="X602" s="66" t="s">
        <v>35</v>
      </c>
      <c r="Y602" s="66" t="s">
        <v>36</v>
      </c>
      <c r="Z602" s="66"/>
      <c r="AA602" s="66"/>
      <c r="AB602" s="67"/>
      <c r="AC602" s="87">
        <f t="shared" si="27"/>
        <v>0.55555555555555558</v>
      </c>
      <c r="AD602" s="91">
        <v>3</v>
      </c>
      <c r="AE602" s="103" t="s">
        <v>1851</v>
      </c>
      <c r="AF602">
        <f t="shared" si="29"/>
        <v>0</v>
      </c>
      <c r="AG602">
        <f t="shared" si="28"/>
        <v>0</v>
      </c>
    </row>
    <row r="603" spans="1:33" x14ac:dyDescent="0.3">
      <c r="A603" s="84" t="s">
        <v>1610</v>
      </c>
      <c r="B603" s="93" t="s">
        <v>25</v>
      </c>
      <c r="C603" s="93" t="s">
        <v>1510</v>
      </c>
      <c r="D603" s="33" t="s">
        <v>1775</v>
      </c>
      <c r="E603" s="59" t="s">
        <v>1456</v>
      </c>
      <c r="F603" s="60" t="s">
        <v>1611</v>
      </c>
      <c r="G603" s="54" t="s">
        <v>164</v>
      </c>
      <c r="H603" s="37">
        <v>2</v>
      </c>
      <c r="I603" s="34" t="s">
        <v>112</v>
      </c>
      <c r="J603" s="34" t="s">
        <v>31</v>
      </c>
      <c r="K603" s="34" t="s">
        <v>32</v>
      </c>
      <c r="L603" s="34" t="s">
        <v>1755</v>
      </c>
      <c r="M603" s="34" t="s">
        <v>33</v>
      </c>
      <c r="N603" s="47">
        <v>21</v>
      </c>
      <c r="O603" s="48">
        <v>4</v>
      </c>
      <c r="P603" s="49">
        <v>101</v>
      </c>
      <c r="Q603" s="50">
        <v>18.146144</v>
      </c>
      <c r="R603" s="50">
        <v>-94.511622000000003</v>
      </c>
      <c r="S603" s="66" t="s">
        <v>34</v>
      </c>
      <c r="T603" s="140" t="s">
        <v>175</v>
      </c>
      <c r="U603" s="66" t="s">
        <v>35</v>
      </c>
      <c r="V603" s="66" t="s">
        <v>35</v>
      </c>
      <c r="W603" s="66"/>
      <c r="X603" s="66"/>
      <c r="Y603" s="66"/>
      <c r="Z603" s="66"/>
      <c r="AA603" s="66"/>
      <c r="AB603" s="67"/>
      <c r="AC603" s="87">
        <f t="shared" si="27"/>
        <v>0.3888888888888889</v>
      </c>
      <c r="AD603" s="91">
        <v>2</v>
      </c>
      <c r="AE603" s="64" t="s">
        <v>1850</v>
      </c>
      <c r="AF603">
        <f t="shared" si="29"/>
        <v>0</v>
      </c>
      <c r="AG603">
        <f t="shared" si="28"/>
        <v>0</v>
      </c>
    </row>
    <row r="604" spans="1:33" x14ac:dyDescent="0.3">
      <c r="A604" s="84" t="s">
        <v>1535</v>
      </c>
      <c r="B604" s="93" t="s">
        <v>25</v>
      </c>
      <c r="C604" s="93" t="s">
        <v>1510</v>
      </c>
      <c r="D604" s="33" t="s">
        <v>1775</v>
      </c>
      <c r="E604" s="59" t="s">
        <v>1536</v>
      </c>
      <c r="F604" s="59" t="s">
        <v>1537</v>
      </c>
      <c r="G604" s="54" t="s">
        <v>111</v>
      </c>
      <c r="H604" s="37">
        <v>1</v>
      </c>
      <c r="I604" s="34" t="s">
        <v>112</v>
      </c>
      <c r="J604" s="34" t="s">
        <v>31</v>
      </c>
      <c r="K604" s="34" t="s">
        <v>32</v>
      </c>
      <c r="L604" s="34" t="s">
        <v>1755</v>
      </c>
      <c r="M604" s="34" t="s">
        <v>33</v>
      </c>
      <c r="N604" s="47">
        <v>7</v>
      </c>
      <c r="O604" s="48">
        <v>2</v>
      </c>
      <c r="P604" s="49">
        <v>54</v>
      </c>
      <c r="Q604" s="50">
        <v>20.884830000000001</v>
      </c>
      <c r="R604" s="50">
        <v>-97.653700000000001</v>
      </c>
      <c r="S604" s="66" t="s">
        <v>34</v>
      </c>
      <c r="T604" s="140" t="s">
        <v>175</v>
      </c>
      <c r="U604" s="66" t="s">
        <v>213</v>
      </c>
      <c r="V604" s="66" t="s">
        <v>213</v>
      </c>
      <c r="W604" s="66"/>
      <c r="X604" s="66"/>
      <c r="Y604" s="66" t="s">
        <v>36</v>
      </c>
      <c r="Z604" s="66"/>
      <c r="AA604" s="66"/>
      <c r="AB604" s="67"/>
      <c r="AC604" s="87">
        <f t="shared" si="27"/>
        <v>0.42592592592592587</v>
      </c>
      <c r="AD604" s="91">
        <v>3</v>
      </c>
      <c r="AE604" s="103" t="s">
        <v>1851</v>
      </c>
      <c r="AF604">
        <f t="shared" si="29"/>
        <v>0</v>
      </c>
      <c r="AG604">
        <f t="shared" si="28"/>
        <v>0</v>
      </c>
    </row>
    <row r="605" spans="1:33" x14ac:dyDescent="0.3">
      <c r="A605" s="101" t="s">
        <v>217</v>
      </c>
      <c r="B605" s="93" t="s">
        <v>25</v>
      </c>
      <c r="C605" s="93" t="s">
        <v>1510</v>
      </c>
      <c r="D605" s="33" t="s">
        <v>1775</v>
      </c>
      <c r="E605" s="59" t="s">
        <v>219</v>
      </c>
      <c r="F605" s="60" t="s">
        <v>220</v>
      </c>
      <c r="G605" s="54" t="s">
        <v>29</v>
      </c>
      <c r="H605" s="37">
        <v>1</v>
      </c>
      <c r="I605" s="34" t="s">
        <v>30</v>
      </c>
      <c r="J605" s="34" t="s">
        <v>31</v>
      </c>
      <c r="K605" s="34" t="s">
        <v>32</v>
      </c>
      <c r="L605" s="34" t="s">
        <v>1755</v>
      </c>
      <c r="M605" s="34" t="s">
        <v>33</v>
      </c>
      <c r="N605" s="47">
        <v>19</v>
      </c>
      <c r="O605" s="48">
        <v>2</v>
      </c>
      <c r="P605" s="49">
        <v>35</v>
      </c>
      <c r="Q605" s="50">
        <v>18.833272099999999</v>
      </c>
      <c r="R605" s="50">
        <v>-97.0807717</v>
      </c>
      <c r="S605" s="66" t="s">
        <v>34</v>
      </c>
      <c r="T605" s="140" t="s">
        <v>175</v>
      </c>
      <c r="U605" s="66" t="s">
        <v>213</v>
      </c>
      <c r="V605" s="66" t="s">
        <v>213</v>
      </c>
      <c r="W605" s="66"/>
      <c r="X605" s="66"/>
      <c r="Y605" s="66"/>
      <c r="Z605" s="66"/>
      <c r="AA605" s="66"/>
      <c r="AB605" s="67"/>
      <c r="AC605" s="87">
        <f t="shared" si="27"/>
        <v>0.31481481481481477</v>
      </c>
      <c r="AD605" s="91">
        <v>2</v>
      </c>
      <c r="AE605" s="64" t="s">
        <v>1850</v>
      </c>
      <c r="AF605">
        <f t="shared" si="29"/>
        <v>0</v>
      </c>
      <c r="AG605">
        <f t="shared" si="28"/>
        <v>0</v>
      </c>
    </row>
    <row r="606" spans="1:33" x14ac:dyDescent="0.3">
      <c r="A606" s="101" t="s">
        <v>221</v>
      </c>
      <c r="B606" s="93" t="s">
        <v>25</v>
      </c>
      <c r="C606" s="93" t="s">
        <v>1510</v>
      </c>
      <c r="D606" s="33" t="s">
        <v>1775</v>
      </c>
      <c r="E606" s="59" t="s">
        <v>222</v>
      </c>
      <c r="F606" s="60"/>
      <c r="G606" s="54" t="s">
        <v>29</v>
      </c>
      <c r="H606" s="37">
        <v>1</v>
      </c>
      <c r="I606" s="34" t="s">
        <v>30</v>
      </c>
      <c r="J606" s="34" t="s">
        <v>31</v>
      </c>
      <c r="K606" s="34" t="s">
        <v>32</v>
      </c>
      <c r="L606" s="34" t="s">
        <v>1755</v>
      </c>
      <c r="M606" s="34" t="s">
        <v>33</v>
      </c>
      <c r="N606" s="47">
        <v>20</v>
      </c>
      <c r="O606" s="48">
        <v>4</v>
      </c>
      <c r="P606" s="49">
        <v>41</v>
      </c>
      <c r="Q606" s="50">
        <v>21.330146800000001</v>
      </c>
      <c r="R606" s="50">
        <v>-97.692479700000007</v>
      </c>
      <c r="S606" s="66" t="s">
        <v>34</v>
      </c>
      <c r="T606" s="140" t="s">
        <v>175</v>
      </c>
      <c r="U606" s="66" t="s">
        <v>35</v>
      </c>
      <c r="V606" s="66" t="s">
        <v>35</v>
      </c>
      <c r="W606" s="66" t="s">
        <v>175</v>
      </c>
      <c r="X606" s="66" t="s">
        <v>175</v>
      </c>
      <c r="Y606" s="66" t="s">
        <v>36</v>
      </c>
      <c r="Z606" s="66"/>
      <c r="AA606" s="66"/>
      <c r="AB606" s="67"/>
      <c r="AC606" s="87">
        <f t="shared" si="27"/>
        <v>0.61111111111111116</v>
      </c>
      <c r="AD606" s="91">
        <v>3</v>
      </c>
      <c r="AE606" s="103" t="s">
        <v>1851</v>
      </c>
      <c r="AF606">
        <f t="shared" si="29"/>
        <v>0</v>
      </c>
      <c r="AG606">
        <f t="shared" si="28"/>
        <v>0</v>
      </c>
    </row>
    <row r="607" spans="1:33" x14ac:dyDescent="0.3">
      <c r="A607" s="102" t="s">
        <v>1711</v>
      </c>
      <c r="B607" s="93" t="s">
        <v>210</v>
      </c>
      <c r="C607" s="93" t="s">
        <v>1774</v>
      </c>
      <c r="D607" s="33" t="s">
        <v>1775</v>
      </c>
      <c r="E607" s="34" t="s">
        <v>1609</v>
      </c>
      <c r="F607" s="84" t="s">
        <v>1712</v>
      </c>
      <c r="G607" s="34" t="s">
        <v>169</v>
      </c>
      <c r="H607" s="37">
        <v>2</v>
      </c>
      <c r="I607" s="34" t="s">
        <v>170</v>
      </c>
      <c r="J607" s="34" t="s">
        <v>31</v>
      </c>
      <c r="K607" s="34" t="s">
        <v>32</v>
      </c>
      <c r="L607" s="34" t="s">
        <v>1755</v>
      </c>
      <c r="M607" s="34" t="s">
        <v>33</v>
      </c>
      <c r="N607" s="47">
        <v>33</v>
      </c>
      <c r="O607" s="48">
        <v>0</v>
      </c>
      <c r="P607" s="49">
        <v>134</v>
      </c>
      <c r="Q607" s="53">
        <v>20.973250700000001</v>
      </c>
      <c r="R607" s="53">
        <v>-89.656283799999997</v>
      </c>
      <c r="S607" s="66" t="s">
        <v>34</v>
      </c>
      <c r="T607" s="66" t="s">
        <v>175</v>
      </c>
      <c r="U607" s="66" t="s">
        <v>213</v>
      </c>
      <c r="V607" s="66" t="s">
        <v>213</v>
      </c>
      <c r="W607" s="66"/>
      <c r="X607" s="66"/>
      <c r="Y607" s="66"/>
      <c r="Z607" s="66"/>
      <c r="AA607" s="66"/>
      <c r="AB607" s="67"/>
      <c r="AC607" s="87">
        <f t="shared" si="27"/>
        <v>0.31481481481481477</v>
      </c>
      <c r="AD607" s="91">
        <v>10</v>
      </c>
      <c r="AE607" s="105" t="s">
        <v>1855</v>
      </c>
      <c r="AF607">
        <f t="shared" si="29"/>
        <v>0</v>
      </c>
      <c r="AG607">
        <f t="shared" si="28"/>
        <v>0</v>
      </c>
    </row>
    <row r="608" spans="1:33" x14ac:dyDescent="0.3">
      <c r="A608" s="102" t="s">
        <v>1114</v>
      </c>
      <c r="B608" s="93" t="s">
        <v>210</v>
      </c>
      <c r="C608" s="93" t="s">
        <v>1774</v>
      </c>
      <c r="D608" s="33" t="s">
        <v>1775</v>
      </c>
      <c r="E608" s="34" t="s">
        <v>1115</v>
      </c>
      <c r="F608" s="34" t="s">
        <v>1116</v>
      </c>
      <c r="G608" s="34" t="s">
        <v>111</v>
      </c>
      <c r="H608" s="37">
        <v>1</v>
      </c>
      <c r="I608" s="34" t="s">
        <v>112</v>
      </c>
      <c r="J608" s="34" t="s">
        <v>31</v>
      </c>
      <c r="K608" s="34" t="s">
        <v>32</v>
      </c>
      <c r="L608" s="34" t="s">
        <v>1755</v>
      </c>
      <c r="M608" s="34" t="s">
        <v>33</v>
      </c>
      <c r="N608" s="47">
        <v>12</v>
      </c>
      <c r="O608" s="48">
        <v>6</v>
      </c>
      <c r="P608" s="49">
        <v>51</v>
      </c>
      <c r="Q608" s="53">
        <v>21.1340346</v>
      </c>
      <c r="R608" s="53">
        <v>-88.150637500000002</v>
      </c>
      <c r="S608" s="66" t="s">
        <v>34</v>
      </c>
      <c r="T608" s="66" t="s">
        <v>175</v>
      </c>
      <c r="U608" s="66" t="s">
        <v>213</v>
      </c>
      <c r="V608" s="66" t="s">
        <v>213</v>
      </c>
      <c r="W608" s="66"/>
      <c r="X608" s="66"/>
      <c r="Y608" s="66"/>
      <c r="Z608" s="66"/>
      <c r="AA608" s="66"/>
      <c r="AB608" s="67"/>
      <c r="AC608" s="87">
        <f t="shared" si="27"/>
        <v>0.31481481481481477</v>
      </c>
      <c r="AD608" s="91">
        <v>10</v>
      </c>
      <c r="AE608" s="105" t="s">
        <v>1855</v>
      </c>
      <c r="AF608">
        <f t="shared" si="29"/>
        <v>0</v>
      </c>
      <c r="AG608">
        <f t="shared" si="28"/>
        <v>0</v>
      </c>
    </row>
    <row r="609" spans="1:33" x14ac:dyDescent="0.3">
      <c r="A609" s="102" t="s">
        <v>1608</v>
      </c>
      <c r="B609" s="93" t="s">
        <v>210</v>
      </c>
      <c r="C609" s="93" t="s">
        <v>1774</v>
      </c>
      <c r="D609" s="33" t="s">
        <v>1775</v>
      </c>
      <c r="E609" s="34" t="s">
        <v>1609</v>
      </c>
      <c r="F609" s="34" t="s">
        <v>316</v>
      </c>
      <c r="G609" s="34" t="s">
        <v>164</v>
      </c>
      <c r="H609" s="37">
        <v>2</v>
      </c>
      <c r="I609" s="34" t="s">
        <v>155</v>
      </c>
      <c r="J609" s="34" t="s">
        <v>31</v>
      </c>
      <c r="K609" s="34" t="s">
        <v>32</v>
      </c>
      <c r="L609" s="34" t="s">
        <v>1755</v>
      </c>
      <c r="M609" s="34" t="s">
        <v>33</v>
      </c>
      <c r="N609" s="47">
        <v>27</v>
      </c>
      <c r="O609" s="48">
        <v>4</v>
      </c>
      <c r="P609" s="49">
        <v>123</v>
      </c>
      <c r="Q609" s="53">
        <v>20.903480600000002</v>
      </c>
      <c r="R609" s="53">
        <v>-89.643447399999999</v>
      </c>
      <c r="S609" s="66" t="s">
        <v>34</v>
      </c>
      <c r="T609" s="66" t="s">
        <v>175</v>
      </c>
      <c r="U609" s="66" t="s">
        <v>213</v>
      </c>
      <c r="V609" s="66" t="s">
        <v>213</v>
      </c>
      <c r="W609" s="66"/>
      <c r="X609" s="66"/>
      <c r="Y609" s="66"/>
      <c r="Z609" s="66"/>
      <c r="AA609" s="66"/>
      <c r="AB609" s="67"/>
      <c r="AC609" s="87">
        <f t="shared" si="27"/>
        <v>0.31481481481481477</v>
      </c>
      <c r="AD609" s="91">
        <v>10</v>
      </c>
      <c r="AE609" s="105" t="s">
        <v>1855</v>
      </c>
      <c r="AF609">
        <f t="shared" si="29"/>
        <v>0</v>
      </c>
      <c r="AG609">
        <f t="shared" si="28"/>
        <v>0</v>
      </c>
    </row>
    <row r="610" spans="1:33" x14ac:dyDescent="0.3">
      <c r="A610" s="115" t="s">
        <v>1746</v>
      </c>
      <c r="B610" s="116" t="s">
        <v>210</v>
      </c>
      <c r="C610" s="116" t="s">
        <v>1774</v>
      </c>
      <c r="D610" s="33" t="s">
        <v>1775</v>
      </c>
      <c r="E610" s="122" t="s">
        <v>1609</v>
      </c>
      <c r="F610" s="122" t="s">
        <v>1747</v>
      </c>
      <c r="G610" s="122" t="s">
        <v>1747</v>
      </c>
      <c r="H610" s="123">
        <v>3</v>
      </c>
      <c r="I610" s="122" t="s">
        <v>181</v>
      </c>
      <c r="J610" s="122" t="s">
        <v>182</v>
      </c>
      <c r="K610" s="122" t="s">
        <v>32</v>
      </c>
      <c r="L610" s="122" t="s">
        <v>1760</v>
      </c>
      <c r="M610" s="122" t="s">
        <v>33</v>
      </c>
      <c r="N610" s="124">
        <v>6</v>
      </c>
      <c r="O610" s="124">
        <v>1</v>
      </c>
      <c r="P610" s="124">
        <v>4</v>
      </c>
      <c r="Q610" s="122">
        <v>20.974905799999998</v>
      </c>
      <c r="R610" s="122">
        <v>-89.640565199999998</v>
      </c>
      <c r="S610" s="66" t="s">
        <v>34</v>
      </c>
      <c r="T610" s="66" t="s">
        <v>175</v>
      </c>
      <c r="U610" s="66" t="s">
        <v>213</v>
      </c>
      <c r="V610" s="66" t="s">
        <v>213</v>
      </c>
      <c r="W610" s="66"/>
      <c r="X610" s="66"/>
      <c r="Y610" s="66"/>
      <c r="Z610" s="66"/>
      <c r="AA610" s="66"/>
      <c r="AB610" s="67"/>
      <c r="AC610" s="87">
        <f t="shared" si="27"/>
        <v>0.31481481481481477</v>
      </c>
      <c r="AD610" s="91">
        <v>10</v>
      </c>
      <c r="AE610" s="105" t="s">
        <v>1855</v>
      </c>
      <c r="AF610">
        <f t="shared" si="29"/>
        <v>0</v>
      </c>
      <c r="AG610">
        <f t="shared" si="28"/>
        <v>0</v>
      </c>
    </row>
    <row r="611" spans="1:33" x14ac:dyDescent="0.3">
      <c r="A611" s="117" t="s">
        <v>931</v>
      </c>
      <c r="B611" s="54" t="s">
        <v>210</v>
      </c>
      <c r="C611" s="54" t="s">
        <v>1774</v>
      </c>
      <c r="D611" s="33" t="s">
        <v>1775</v>
      </c>
      <c r="E611" s="34" t="s">
        <v>932</v>
      </c>
      <c r="F611" s="34" t="s">
        <v>933</v>
      </c>
      <c r="G611" s="34" t="s">
        <v>111</v>
      </c>
      <c r="H611" s="37">
        <v>1</v>
      </c>
      <c r="I611" s="34" t="s">
        <v>112</v>
      </c>
      <c r="J611" s="34" t="s">
        <v>31</v>
      </c>
      <c r="K611" s="34" t="s">
        <v>32</v>
      </c>
      <c r="L611" s="34" t="s">
        <v>1755</v>
      </c>
      <c r="M611" s="34" t="s">
        <v>33</v>
      </c>
      <c r="N611" s="47">
        <v>15</v>
      </c>
      <c r="O611" s="48">
        <v>5</v>
      </c>
      <c r="P611" s="49">
        <v>123</v>
      </c>
      <c r="Q611" s="53">
        <v>20.708888699999999</v>
      </c>
      <c r="R611" s="53">
        <v>-88.189583900000002</v>
      </c>
      <c r="S611" s="66" t="s">
        <v>34</v>
      </c>
      <c r="T611" s="66" t="s">
        <v>175</v>
      </c>
      <c r="U611" s="66" t="s">
        <v>213</v>
      </c>
      <c r="V611" s="66" t="s">
        <v>213</v>
      </c>
      <c r="W611" s="66"/>
      <c r="X611" s="66"/>
      <c r="Y611" s="66"/>
      <c r="Z611" s="66"/>
      <c r="AA611" s="66"/>
      <c r="AB611" s="72"/>
      <c r="AC611" s="87">
        <f t="shared" si="27"/>
        <v>0.31481481481481477</v>
      </c>
      <c r="AD611" s="91">
        <v>10</v>
      </c>
      <c r="AE611" s="105" t="s">
        <v>1855</v>
      </c>
      <c r="AF611">
        <f t="shared" si="29"/>
        <v>0</v>
      </c>
      <c r="AG611">
        <f t="shared" si="28"/>
        <v>0</v>
      </c>
    </row>
    <row r="612" spans="1:33" x14ac:dyDescent="0.3">
      <c r="A612" s="102" t="s">
        <v>209</v>
      </c>
      <c r="B612" s="93" t="s">
        <v>210</v>
      </c>
      <c r="C612" s="93" t="s">
        <v>1774</v>
      </c>
      <c r="D612" s="33" t="s">
        <v>1775</v>
      </c>
      <c r="E612" s="34" t="s">
        <v>211</v>
      </c>
      <c r="F612" s="34" t="s">
        <v>212</v>
      </c>
      <c r="G612" s="34" t="s">
        <v>29</v>
      </c>
      <c r="H612" s="37">
        <v>1</v>
      </c>
      <c r="I612" s="34" t="s">
        <v>30</v>
      </c>
      <c r="J612" s="34" t="s">
        <v>31</v>
      </c>
      <c r="K612" s="34" t="s">
        <v>32</v>
      </c>
      <c r="L612" s="34" t="s">
        <v>1755</v>
      </c>
      <c r="M612" s="34" t="s">
        <v>33</v>
      </c>
      <c r="N612" s="47">
        <v>8</v>
      </c>
      <c r="O612" s="48">
        <v>2</v>
      </c>
      <c r="P612" s="49">
        <v>27</v>
      </c>
      <c r="Q612" s="53">
        <v>20.124003299999998</v>
      </c>
      <c r="R612" s="53">
        <v>-88.938081400000002</v>
      </c>
      <c r="S612" s="66" t="s">
        <v>34</v>
      </c>
      <c r="T612" s="66" t="s">
        <v>175</v>
      </c>
      <c r="U612" s="66" t="s">
        <v>213</v>
      </c>
      <c r="V612" s="66" t="s">
        <v>213</v>
      </c>
      <c r="W612" s="66"/>
      <c r="X612" s="66"/>
      <c r="Y612" s="66"/>
      <c r="Z612" s="66"/>
      <c r="AA612" s="66"/>
      <c r="AB612" s="67"/>
      <c r="AC612" s="138">
        <f t="shared" si="27"/>
        <v>0.31481481481481477</v>
      </c>
      <c r="AD612" s="91">
        <v>10</v>
      </c>
      <c r="AE612" s="105" t="s">
        <v>1855</v>
      </c>
      <c r="AF612">
        <f t="shared" si="29"/>
        <v>0</v>
      </c>
      <c r="AG612">
        <f t="shared" si="28"/>
        <v>0</v>
      </c>
    </row>
    <row r="613" spans="1:33" x14ac:dyDescent="0.3">
      <c r="A613" s="102" t="s">
        <v>214</v>
      </c>
      <c r="B613" s="93" t="s">
        <v>210</v>
      </c>
      <c r="C613" s="93" t="s">
        <v>1774</v>
      </c>
      <c r="D613" s="112" t="s">
        <v>1775</v>
      </c>
      <c r="E613" s="34" t="s">
        <v>215</v>
      </c>
      <c r="F613" s="34" t="s">
        <v>216</v>
      </c>
      <c r="G613" s="34" t="s">
        <v>29</v>
      </c>
      <c r="H613" s="125">
        <v>1</v>
      </c>
      <c r="I613" s="34" t="s">
        <v>30</v>
      </c>
      <c r="J613" s="34" t="s">
        <v>31</v>
      </c>
      <c r="K613" s="34" t="s">
        <v>32</v>
      </c>
      <c r="L613" s="34" t="s">
        <v>1755</v>
      </c>
      <c r="M613" s="34" t="s">
        <v>33</v>
      </c>
      <c r="N613" s="47">
        <v>10</v>
      </c>
      <c r="O613" s="48">
        <v>3</v>
      </c>
      <c r="P613" s="49">
        <v>25</v>
      </c>
      <c r="Q613" s="53">
        <v>20.398339700000001</v>
      </c>
      <c r="R613" s="53">
        <v>-89.556041100000002</v>
      </c>
      <c r="S613" s="74" t="s">
        <v>34</v>
      </c>
      <c r="T613" s="74" t="s">
        <v>175</v>
      </c>
      <c r="U613" s="74" t="s">
        <v>213</v>
      </c>
      <c r="V613" s="74" t="s">
        <v>213</v>
      </c>
      <c r="W613" s="74"/>
      <c r="X613" s="74"/>
      <c r="Y613" s="66"/>
      <c r="Z613" s="66"/>
      <c r="AA613" s="66"/>
      <c r="AB613" s="74"/>
      <c r="AC613" s="87">
        <f t="shared" si="27"/>
        <v>0.31481481481481477</v>
      </c>
      <c r="AD613" s="55">
        <v>10</v>
      </c>
      <c r="AE613" s="105" t="s">
        <v>1855</v>
      </c>
      <c r="AF613">
        <f t="shared" si="29"/>
        <v>0</v>
      </c>
      <c r="AG613">
        <f t="shared" si="28"/>
        <v>0</v>
      </c>
    </row>
    <row r="614" spans="1:33" x14ac:dyDescent="0.3">
      <c r="AC614" s="139">
        <f>SUM(AC2:AC613)</f>
        <v>351.70388888888914</v>
      </c>
      <c r="AD614" s="29">
        <f>AC614/612*100</f>
        <v>57.467955700798882</v>
      </c>
      <c r="AF614">
        <f>SUM(AF2:AF613)</f>
        <v>6</v>
      </c>
      <c r="AG614">
        <f>SUM(AG2:AG613)</f>
        <v>129</v>
      </c>
    </row>
  </sheetData>
  <conditionalFormatting sqref="S1">
    <cfRule type="containsText" dxfId="991" priority="950" operator="containsText" text="ENVIADO A TICS">
      <formula>NOT(ISERROR(SEARCH("ENVIADO A TICS",S1)))</formula>
    </cfRule>
    <cfRule type="containsText" dxfId="990" priority="952" operator="containsText" text="ENVIADO A LA CE/UM">
      <formula>NOT(ISERROR(SEARCH("ENVIADO A LA CE/UM",S1)))</formula>
    </cfRule>
    <cfRule type="containsText" dxfId="989" priority="951" operator="containsText" text="ENTREGADO/REVISIÓN">
      <formula>NOT(ISERROR(SEARCH("ENTREGADO/REVISIÓN",S1)))</formula>
    </cfRule>
  </conditionalFormatting>
  <conditionalFormatting sqref="T1">
    <cfRule type="containsText" dxfId="988" priority="949" operator="containsText" text="EN PROCESO">
      <formula>NOT(ISERROR(SEARCH("EN PROCESO",T1)))</formula>
    </cfRule>
  </conditionalFormatting>
  <conditionalFormatting sqref="T1:X1">
    <cfRule type="containsText" dxfId="839" priority="12114" operator="containsText" text="CONCLUIDO">
      <formula>NOT(ISERROR(SEARCH("CONCLUIDO",T1)))</formula>
    </cfRule>
  </conditionalFormatting>
  <conditionalFormatting sqref="U1">
    <cfRule type="containsText" dxfId="837" priority="12116" operator="containsText" text="ENVIADO A LA CE/UM">
      <formula>NOT(ISERROR(SEARCH("ENVIADO A LA CE/UM",U1)))</formula>
    </cfRule>
  </conditionalFormatting>
  <conditionalFormatting sqref="U1:V1">
    <cfRule type="containsText" dxfId="833" priority="12115" operator="containsText" text="EN REVISIÓN CENTRAL">
      <formula>NOT(ISERROR(SEARCH("EN REVISIÓN CENTRAL",U1)))</formula>
    </cfRule>
  </conditionalFormatting>
  <conditionalFormatting sqref="Z1:AA1">
    <cfRule type="containsText" dxfId="587" priority="943" operator="containsText" text="SI">
      <formula>NOT(ISERROR(SEARCH("SI",Z1)))</formula>
    </cfRule>
  </conditionalFormatting>
  <conditionalFormatting sqref="W1:X1">
    <cfRule type="containsText" dxfId="586" priority="11708" operator="containsText" text="ENVIADO">
      <formula>NOT(ISERROR(SEARCH("ENVIADO",W1)))</formula>
    </cfRule>
  </conditionalFormatting>
  <conditionalFormatting sqref="W1:X1">
    <cfRule type="containsText" dxfId="585" priority="667" operator="containsText" text="EN PROCESO">
      <formula>NOT(ISERROR(SEARCH("EN PROCESO",W1)))</formula>
    </cfRule>
  </conditionalFormatting>
  <conditionalFormatting sqref="Y1">
    <cfRule type="containsText" dxfId="512" priority="946" operator="containsText" text="PROGRAMADAS">
      <formula>NOT(ISERROR(SEARCH("PROGRAMADAS",Y1)))</formula>
    </cfRule>
    <cfRule type="containsText" dxfId="511" priority="945" operator="containsText" text="CONCLUIDAS">
      <formula>NOT(ISERROR(SEARCH("CONCLUIDAS",Y1)))</formula>
    </cfRule>
  </conditionalFormatting>
  <conditionalFormatting sqref="Z1:AA1">
    <cfRule type="containsText" dxfId="510" priority="944" operator="containsText" text="NO">
      <formula>NOT(ISERROR(SEARCH("NO",Z1)))</formula>
    </cfRule>
  </conditionalFormatting>
  <conditionalFormatting sqref="AC1 AF1:AG1 AF3:AF614">
    <cfRule type="containsText" dxfId="509" priority="9987" operator="containsText" text="SI">
      <formula>NOT(ISERROR(SEARCH("SI",AC1)))</formula>
    </cfRule>
    <cfRule type="containsText" dxfId="508" priority="9988" operator="containsText" text="NO">
      <formula>NOT(ISERROR(SEARCH("NO",AC1)))</formula>
    </cfRule>
  </conditionalFormatting>
  <conditionalFormatting sqref="AC2:AC613">
    <cfRule type="dataBar" priority="1040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{834A0EC5-E78B-4B5B-A287-78B76FB31DC7}</x14:id>
        </ext>
      </extLst>
    </cfRule>
    <cfRule type="dataBar" priority="1041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{0062268D-0DC0-4DD5-B2E3-BD5D26B864B8}</x14:id>
        </ext>
      </extLst>
    </cfRule>
  </conditionalFormatting>
  <conditionalFormatting sqref="AD1:AE1">
    <cfRule type="containsText" dxfId="507" priority="17801" operator="containsText" text="CONCLUIDO">
      <formula>NOT(ISERROR(SEARCH("CONCLUIDO",AD1)))</formula>
    </cfRule>
    <cfRule type="containsText" dxfId="506" priority="17799" operator="containsText" text="EN PROCESO">
      <formula>NOT(ISERROR(SEARCH("EN PROCESO",AD1)))</formula>
    </cfRule>
    <cfRule type="containsText" dxfId="505" priority="17800" operator="containsText" text="ENVIADO">
      <formula>NOT(ISERROR(SEARCH("ENVIADO",AD1)))</formula>
    </cfRule>
  </conditionalFormatting>
  <conditionalFormatting sqref="S2:S613 Q610">
    <cfRule type="containsText" dxfId="477" priority="472" operator="containsText" text="ENVIADO A TICS">
      <formula>NOT(ISERROR(SEARCH("ENVIADO A TICS",Q2)))</formula>
    </cfRule>
    <cfRule type="containsText" dxfId="476" priority="473" operator="containsText" text="ENTREGADO/REVISIÓN">
      <formula>NOT(ISERROR(SEARCH("ENTREGADO/REVISIÓN",Q2)))</formula>
    </cfRule>
    <cfRule type="containsText" dxfId="475" priority="474" operator="containsText" text="ENVIADO A LA CE/UM">
      <formula>NOT(ISERROR(SEARCH("ENVIADO A LA CE/UM",Q2)))</formula>
    </cfRule>
  </conditionalFormatting>
  <conditionalFormatting sqref="T2:T63 X277:X607 W567:W580 T596">
    <cfRule type="containsText" dxfId="474" priority="190" operator="containsText" text="ENVIADO">
      <formula>NOT(ISERROR(SEARCH("ENVIADO",T2)))</formula>
    </cfRule>
  </conditionalFormatting>
  <conditionalFormatting sqref="T2:T609 R610">
    <cfRule type="containsText" dxfId="473" priority="471" operator="containsText" text="EN PROCESO">
      <formula>NOT(ISERROR(SEARCH("EN PROCESO",R2)))</formula>
    </cfRule>
  </conditionalFormatting>
  <conditionalFormatting sqref="T89:T95">
    <cfRule type="containsText" dxfId="472" priority="183" operator="containsText" text="EN PROCESO">
      <formula>NOT(ISERROR(SEARCH("EN PROCESO",T89)))</formula>
    </cfRule>
    <cfRule type="containsText" dxfId="471" priority="184" operator="containsText" text="ENVIADO">
      <formula>NOT(ISERROR(SEARCH("ENVIADO",T89)))</formula>
    </cfRule>
    <cfRule type="containsText" dxfId="469" priority="185" operator="containsText" text="EN PROCESO">
      <formula>NOT(ISERROR(SEARCH("EN PROCESO",T89)))</formula>
    </cfRule>
    <cfRule type="containsText" dxfId="470" priority="186" operator="containsText" text="ENVIADO">
      <formula>NOT(ISERROR(SEARCH("ENVIADO",T89)))</formula>
    </cfRule>
  </conditionalFormatting>
  <conditionalFormatting sqref="T98">
    <cfRule type="containsText" dxfId="465" priority="179" operator="containsText" text="EN PROCESO">
      <formula>NOT(ISERROR(SEARCH("EN PROCESO",T98)))</formula>
    </cfRule>
    <cfRule type="containsText" dxfId="466" priority="180" operator="containsText" text="ENVIADO">
      <formula>NOT(ISERROR(SEARCH("ENVIADO",T98)))</formula>
    </cfRule>
    <cfRule type="containsText" dxfId="468" priority="181" operator="containsText" text="EN PROCESO">
      <formula>NOT(ISERROR(SEARCH("EN PROCESO",T98)))</formula>
    </cfRule>
    <cfRule type="containsText" dxfId="467" priority="182" operator="containsText" text="ENVIADO">
      <formula>NOT(ISERROR(SEARCH("ENVIADO",T98)))</formula>
    </cfRule>
  </conditionalFormatting>
  <conditionalFormatting sqref="T100">
    <cfRule type="containsText" dxfId="463" priority="175" operator="containsText" text="EN PROCESO">
      <formula>NOT(ISERROR(SEARCH("EN PROCESO",T100)))</formula>
    </cfRule>
    <cfRule type="containsText" dxfId="464" priority="176" operator="containsText" text="ENVIADO">
      <formula>NOT(ISERROR(SEARCH("ENVIADO",T100)))</formula>
    </cfRule>
    <cfRule type="containsText" dxfId="461" priority="177" operator="containsText" text="EN PROCESO">
      <formula>NOT(ISERROR(SEARCH("EN PROCESO",T100)))</formula>
    </cfRule>
    <cfRule type="containsText" dxfId="462" priority="178" operator="containsText" text="ENVIADO">
      <formula>NOT(ISERROR(SEARCH("ENVIADO",T100)))</formula>
    </cfRule>
  </conditionalFormatting>
  <conditionalFormatting sqref="T100:T102">
    <cfRule type="containsText" dxfId="457" priority="171" operator="containsText" text="EN PROCESO">
      <formula>NOT(ISERROR(SEARCH("EN PROCESO",T100)))</formula>
    </cfRule>
    <cfRule type="containsText" dxfId="458" priority="172" operator="containsText" text="ENVIADO">
      <formula>NOT(ISERROR(SEARCH("ENVIADO",T100)))</formula>
    </cfRule>
    <cfRule type="containsText" dxfId="459" priority="173" operator="containsText" text="EN PROCESO">
      <formula>NOT(ISERROR(SEARCH("EN PROCESO",T100)))</formula>
    </cfRule>
    <cfRule type="containsText" dxfId="460" priority="174" operator="containsText" text="ENVIADO">
      <formula>NOT(ISERROR(SEARCH("ENVIADO",T100)))</formula>
    </cfRule>
  </conditionalFormatting>
  <conditionalFormatting sqref="T104:T105 X277:X613 W385:W528">
    <cfRule type="containsText" dxfId="456" priority="170" operator="containsText" text="ENVIADO">
      <formula>NOT(ISERROR(SEARCH("ENVIADO",T104)))</formula>
    </cfRule>
  </conditionalFormatting>
  <conditionalFormatting sqref="T104:T105 X302:X613 W385:W528">
    <cfRule type="containsText" dxfId="455" priority="169" operator="containsText" text="EN PROCESO">
      <formula>NOT(ISERROR(SEARCH("EN PROCESO",T104)))</formula>
    </cfRule>
  </conditionalFormatting>
  <conditionalFormatting sqref="T104:T106 T109:T112 T118:T155">
    <cfRule type="containsText" dxfId="453" priority="81" operator="containsText" text="EN PROCESO">
      <formula>NOT(ISERROR(SEARCH("EN PROCESO",T104)))</formula>
    </cfRule>
    <cfRule type="containsText" dxfId="454" priority="82" operator="containsText" text="ENVIADO">
      <formula>NOT(ISERROR(SEARCH("ENVIADO",T104)))</formula>
    </cfRule>
  </conditionalFormatting>
  <conditionalFormatting sqref="T106 W109:W291 T112">
    <cfRule type="containsText" dxfId="452" priority="79" operator="containsText" text="EN PROCESO">
      <formula>NOT(ISERROR(SEARCH("EN PROCESO",T106)))</formula>
    </cfRule>
    <cfRule type="containsText" dxfId="451" priority="80" operator="containsText" text="ENVIADO">
      <formula>NOT(ISERROR(SEARCH("ENVIADO",T106)))</formula>
    </cfRule>
  </conditionalFormatting>
  <conditionalFormatting sqref="T109:T111">
    <cfRule type="containsText" dxfId="449" priority="167" operator="containsText" text="EN PROCESO">
      <formula>NOT(ISERROR(SEARCH("EN PROCESO",T109)))</formula>
    </cfRule>
    <cfRule type="containsText" dxfId="450" priority="168" operator="containsText" text="ENVIADO">
      <formula>NOT(ISERROR(SEARCH("ENVIADO",T109)))</formula>
    </cfRule>
  </conditionalFormatting>
  <conditionalFormatting sqref="T115:T117">
    <cfRule type="containsText" dxfId="447" priority="61" operator="containsText" text="EN PROCESO">
      <formula>NOT(ISERROR(SEARCH("EN PROCESO",T115)))</formula>
    </cfRule>
    <cfRule type="containsText" dxfId="448" priority="62" operator="containsText" text="ENVIADO">
      <formula>NOT(ISERROR(SEARCH("ENVIADO",T115)))</formula>
    </cfRule>
  </conditionalFormatting>
  <conditionalFormatting sqref="T115:T155">
    <cfRule type="containsText" dxfId="446" priority="63" operator="containsText" text="EN PROCESO">
      <formula>NOT(ISERROR(SEARCH("EN PROCESO",T115)))</formula>
    </cfRule>
    <cfRule type="containsText" dxfId="445" priority="64" operator="containsText" text="ENVIADO">
      <formula>NOT(ISERROR(SEARCH("ENVIADO",T115)))</formula>
    </cfRule>
  </conditionalFormatting>
  <conditionalFormatting sqref="T187 T190:T191">
    <cfRule type="containsText" dxfId="441" priority="75" operator="containsText" text="EN PROCESO">
      <formula>NOT(ISERROR(SEARCH("EN PROCESO",T187)))</formula>
    </cfRule>
    <cfRule type="containsText" dxfId="442" priority="76" operator="containsText" text="ENVIADO">
      <formula>NOT(ISERROR(SEARCH("ENVIADO",T187)))</formula>
    </cfRule>
    <cfRule type="containsText" dxfId="443" priority="77" operator="containsText" text="EN PROCESO">
      <formula>NOT(ISERROR(SEARCH("EN PROCESO",T187)))</formula>
    </cfRule>
    <cfRule type="containsText" dxfId="444" priority="78" operator="containsText" text="ENVIADO">
      <formula>NOT(ISERROR(SEARCH("ENVIADO",T187)))</formula>
    </cfRule>
  </conditionalFormatting>
  <conditionalFormatting sqref="T198">
    <cfRule type="containsText" dxfId="439" priority="67" operator="containsText" text="EN PROCESO">
      <formula>NOT(ISERROR(SEARCH("EN PROCESO",T198)))</formula>
    </cfRule>
    <cfRule type="containsText" dxfId="440" priority="68" operator="containsText" text="ENVIADO">
      <formula>NOT(ISERROR(SEARCH("ENVIADO",T198)))</formula>
    </cfRule>
    <cfRule type="containsText" dxfId="437" priority="69" operator="containsText" text="EN PROCESO">
      <formula>NOT(ISERROR(SEARCH("EN PROCESO",T198)))</formula>
    </cfRule>
    <cfRule type="containsText" dxfId="438" priority="70" operator="containsText" text="ENVIADO">
      <formula>NOT(ISERROR(SEARCH("ENVIADO",T198)))</formula>
    </cfRule>
  </conditionalFormatting>
  <conditionalFormatting sqref="T201 T203:T217">
    <cfRule type="containsText" dxfId="436" priority="71" operator="containsText" text="EN PROCESO">
      <formula>NOT(ISERROR(SEARCH("EN PROCESO",T201)))</formula>
    </cfRule>
    <cfRule type="containsText" dxfId="435" priority="72" operator="containsText" text="ENVIADO">
      <formula>NOT(ISERROR(SEARCH("ENVIADO",T201)))</formula>
    </cfRule>
    <cfRule type="containsText" dxfId="434" priority="73" operator="containsText" text="EN PROCESO">
      <formula>NOT(ISERROR(SEARCH("EN PROCESO",T201)))</formula>
    </cfRule>
    <cfRule type="containsText" dxfId="433" priority="74" operator="containsText" text="ENVIADO">
      <formula>NOT(ISERROR(SEARCH("ENVIADO",T201)))</formula>
    </cfRule>
  </conditionalFormatting>
  <conditionalFormatting sqref="T277:T283">
    <cfRule type="containsText" dxfId="431" priority="83" operator="containsText" text="EN PROCESO">
      <formula>NOT(ISERROR(SEARCH("EN PROCESO",T277)))</formula>
    </cfRule>
    <cfRule type="containsText" dxfId="430" priority="84" operator="containsText" text="ENVIADO">
      <formula>NOT(ISERROR(SEARCH("ENVIADO",T277)))</formula>
    </cfRule>
    <cfRule type="containsText" dxfId="432" priority="85" operator="containsText" text="EN PROCESO">
      <formula>NOT(ISERROR(SEARCH("EN PROCESO",T277)))</formula>
    </cfRule>
    <cfRule type="containsText" dxfId="429" priority="86" operator="containsText" text="ENVIADO">
      <formula>NOT(ISERROR(SEARCH("ENVIADO",T277)))</formula>
    </cfRule>
  </conditionalFormatting>
  <conditionalFormatting sqref="T292">
    <cfRule type="containsText" dxfId="427" priority="163" operator="containsText" text="EN PROCESO">
      <formula>NOT(ISERROR(SEARCH("EN PROCESO",T292)))</formula>
    </cfRule>
    <cfRule type="containsText" dxfId="428" priority="164" operator="containsText" text="ENVIADO">
      <formula>NOT(ISERROR(SEARCH("ENVIADO",T292)))</formula>
    </cfRule>
    <cfRule type="containsText" dxfId="426" priority="165" operator="containsText" text="EN PROCESO">
      <formula>NOT(ISERROR(SEARCH("EN PROCESO",T292)))</formula>
    </cfRule>
    <cfRule type="containsText" dxfId="425" priority="166" operator="containsText" text="ENVIADO">
      <formula>NOT(ISERROR(SEARCH("ENVIADO",T292)))</formula>
    </cfRule>
  </conditionalFormatting>
  <conditionalFormatting sqref="T294">
    <cfRule type="containsText" dxfId="421" priority="429" operator="containsText" text="EN PROCESO">
      <formula>NOT(ISERROR(SEARCH("EN PROCESO",T294)))</formula>
    </cfRule>
    <cfRule type="containsText" dxfId="422" priority="430" operator="containsText" text="ENVIADO">
      <formula>NOT(ISERROR(SEARCH("ENVIADO",T294)))</formula>
    </cfRule>
    <cfRule type="containsText" dxfId="424" priority="431" operator="containsText" text="EN PROCESO">
      <formula>NOT(ISERROR(SEARCH("EN PROCESO",T294)))</formula>
    </cfRule>
    <cfRule type="containsText" dxfId="423" priority="432" operator="containsText" text="ENVIADO">
      <formula>NOT(ISERROR(SEARCH("ENVIADO",T294)))</formula>
    </cfRule>
  </conditionalFormatting>
  <conditionalFormatting sqref="T294:T295">
    <cfRule type="containsText" dxfId="419" priority="161" operator="containsText" text="EN PROCESO">
      <formula>NOT(ISERROR(SEARCH("EN PROCESO",T294)))</formula>
    </cfRule>
    <cfRule type="containsText" dxfId="420" priority="162" operator="containsText" text="ENVIADO">
      <formula>NOT(ISERROR(SEARCH("ENVIADO",T294)))</formula>
    </cfRule>
  </conditionalFormatting>
  <conditionalFormatting sqref="T295">
    <cfRule type="containsText" dxfId="418" priority="159" operator="containsText" text="EN PROCESO">
      <formula>NOT(ISERROR(SEARCH("EN PROCESO",T295)))</formula>
    </cfRule>
    <cfRule type="containsText" dxfId="417" priority="160" operator="containsText" text="ENVIADO">
      <formula>NOT(ISERROR(SEARCH("ENVIADO",T295)))</formula>
    </cfRule>
  </conditionalFormatting>
  <conditionalFormatting sqref="T297">
    <cfRule type="containsText" dxfId="414" priority="155" operator="containsText" text="EN PROCESO">
      <formula>NOT(ISERROR(SEARCH("EN PROCESO",T297)))</formula>
    </cfRule>
    <cfRule type="containsText" dxfId="413" priority="156" operator="containsText" text="ENVIADO">
      <formula>NOT(ISERROR(SEARCH("ENVIADO",T297)))</formula>
    </cfRule>
    <cfRule type="containsText" dxfId="415" priority="157" operator="containsText" text="EN PROCESO">
      <formula>NOT(ISERROR(SEARCH("EN PROCESO",T297)))</formula>
    </cfRule>
    <cfRule type="containsText" dxfId="416" priority="158" operator="containsText" text="ENVIADO">
      <formula>NOT(ISERROR(SEARCH("ENVIADO",T297)))</formula>
    </cfRule>
  </conditionalFormatting>
  <conditionalFormatting sqref="T303">
    <cfRule type="containsText" dxfId="412" priority="151" operator="containsText" text="EN PROCESO">
      <formula>NOT(ISERROR(SEARCH("EN PROCESO",T303)))</formula>
    </cfRule>
    <cfRule type="containsText" dxfId="409" priority="152" operator="containsText" text="ENVIADO">
      <formula>NOT(ISERROR(SEARCH("ENVIADO",T303)))</formula>
    </cfRule>
    <cfRule type="containsText" dxfId="410" priority="153" operator="containsText" text="EN PROCESO">
      <formula>NOT(ISERROR(SEARCH("EN PROCESO",T303)))</formula>
    </cfRule>
    <cfRule type="containsText" dxfId="411" priority="154" operator="containsText" text="ENVIADO">
      <formula>NOT(ISERROR(SEARCH("ENVIADO",T303)))</formula>
    </cfRule>
  </conditionalFormatting>
  <conditionalFormatting sqref="T305">
    <cfRule type="containsText" dxfId="406" priority="147" operator="containsText" text="EN PROCESO">
      <formula>NOT(ISERROR(SEARCH("EN PROCESO",T305)))</formula>
    </cfRule>
    <cfRule type="containsText" dxfId="405" priority="148" operator="containsText" text="ENVIADO">
      <formula>NOT(ISERROR(SEARCH("ENVIADO",T305)))</formula>
    </cfRule>
    <cfRule type="containsText" dxfId="408" priority="149" operator="containsText" text="EN PROCESO">
      <formula>NOT(ISERROR(SEARCH("EN PROCESO",T305)))</formula>
    </cfRule>
    <cfRule type="containsText" dxfId="407" priority="150" operator="containsText" text="ENVIADO">
      <formula>NOT(ISERROR(SEARCH("ENVIADO",T305)))</formula>
    </cfRule>
  </conditionalFormatting>
  <conditionalFormatting sqref="T307">
    <cfRule type="containsText" dxfId="403" priority="143" operator="containsText" text="EN PROCESO">
      <formula>NOT(ISERROR(SEARCH("EN PROCESO",T307)))</formula>
    </cfRule>
    <cfRule type="containsText" dxfId="401" priority="144" operator="containsText" text="ENVIADO">
      <formula>NOT(ISERROR(SEARCH("ENVIADO",T307)))</formula>
    </cfRule>
    <cfRule type="containsText" dxfId="404" priority="145" operator="containsText" text="EN PROCESO">
      <formula>NOT(ISERROR(SEARCH("EN PROCESO",T307)))</formula>
    </cfRule>
    <cfRule type="containsText" dxfId="402" priority="146" operator="containsText" text="ENVIADO">
      <formula>NOT(ISERROR(SEARCH("ENVIADO",T307)))</formula>
    </cfRule>
  </conditionalFormatting>
  <conditionalFormatting sqref="T309:T314">
    <cfRule type="containsText" dxfId="398" priority="139" operator="containsText" text="EN PROCESO">
      <formula>NOT(ISERROR(SEARCH("EN PROCESO",T309)))</formula>
    </cfRule>
    <cfRule type="containsText" dxfId="397" priority="140" operator="containsText" text="ENVIADO">
      <formula>NOT(ISERROR(SEARCH("ENVIADO",T309)))</formula>
    </cfRule>
    <cfRule type="containsText" dxfId="399" priority="141" operator="containsText" text="EN PROCESO">
      <formula>NOT(ISERROR(SEARCH("EN PROCESO",T309)))</formula>
    </cfRule>
    <cfRule type="containsText" dxfId="400" priority="142" operator="containsText" text="ENVIADO">
      <formula>NOT(ISERROR(SEARCH("ENVIADO",T309)))</formula>
    </cfRule>
  </conditionalFormatting>
  <conditionalFormatting sqref="T329:T337">
    <cfRule type="containsText" dxfId="394" priority="135" operator="containsText" text="EN PROCESO">
      <formula>NOT(ISERROR(SEARCH("EN PROCESO",T329)))</formula>
    </cfRule>
    <cfRule type="containsText" dxfId="396" priority="136" operator="containsText" text="ENVIADO">
      <formula>NOT(ISERROR(SEARCH("ENVIADO",T329)))</formula>
    </cfRule>
    <cfRule type="containsText" dxfId="395" priority="137" operator="containsText" text="EN PROCESO">
      <formula>NOT(ISERROR(SEARCH("EN PROCESO",T329)))</formula>
    </cfRule>
    <cfRule type="containsText" dxfId="393" priority="138" operator="containsText" text="ENVIADO">
      <formula>NOT(ISERROR(SEARCH("ENVIADO",T329)))</formula>
    </cfRule>
  </conditionalFormatting>
  <conditionalFormatting sqref="T385">
    <cfRule type="containsText" dxfId="390" priority="131" operator="containsText" text="EN PROCESO">
      <formula>NOT(ISERROR(SEARCH("EN PROCESO",T385)))</formula>
    </cfRule>
    <cfRule type="containsText" dxfId="392" priority="132" operator="containsText" text="ENVIADO">
      <formula>NOT(ISERROR(SEARCH("ENVIADO",T385)))</formula>
    </cfRule>
    <cfRule type="containsText" dxfId="391" priority="133" operator="containsText" text="EN PROCESO">
      <formula>NOT(ISERROR(SEARCH("EN PROCESO",T385)))</formula>
    </cfRule>
    <cfRule type="containsText" dxfId="389" priority="134" operator="containsText" text="ENVIADO">
      <formula>NOT(ISERROR(SEARCH("ENVIADO",T385)))</formula>
    </cfRule>
  </conditionalFormatting>
  <conditionalFormatting sqref="T446:T455">
    <cfRule type="containsText" dxfId="388" priority="127" operator="containsText" text="EN PROCESO">
      <formula>NOT(ISERROR(SEARCH("EN PROCESO",T446)))</formula>
    </cfRule>
    <cfRule type="containsText" dxfId="385" priority="128" operator="containsText" text="ENVIADO">
      <formula>NOT(ISERROR(SEARCH("ENVIADO",T446)))</formula>
    </cfRule>
    <cfRule type="containsText" dxfId="386" priority="129" operator="containsText" text="EN PROCESO">
      <formula>NOT(ISERROR(SEARCH("EN PROCESO",T446)))</formula>
    </cfRule>
    <cfRule type="containsText" dxfId="387" priority="130" operator="containsText" text="ENVIADO">
      <formula>NOT(ISERROR(SEARCH("ENVIADO",T446)))</formula>
    </cfRule>
  </conditionalFormatting>
  <conditionalFormatting sqref="T510:T515">
    <cfRule type="containsText" dxfId="382" priority="53" operator="containsText" text="EN PROCESO">
      <formula>NOT(ISERROR(SEARCH("EN PROCESO",T510)))</formula>
    </cfRule>
    <cfRule type="containsText" dxfId="383" priority="54" operator="containsText" text="ENVIADO">
      <formula>NOT(ISERROR(SEARCH("ENVIADO",T510)))</formula>
    </cfRule>
    <cfRule type="containsText" dxfId="384" priority="55" operator="containsText" text="EN PROCESO">
      <formula>NOT(ISERROR(SEARCH("EN PROCESO",T510)))</formula>
    </cfRule>
    <cfRule type="containsText" dxfId="381" priority="56" operator="containsText" text="ENVIADO">
      <formula>NOT(ISERROR(SEARCH("ENVIADO",T510)))</formula>
    </cfRule>
  </conditionalFormatting>
  <conditionalFormatting sqref="T517:T521">
    <cfRule type="containsText" dxfId="379" priority="123" operator="containsText" text="EN PROCESO">
      <formula>NOT(ISERROR(SEARCH("EN PROCESO",T517)))</formula>
    </cfRule>
    <cfRule type="containsText" dxfId="380" priority="124" operator="containsText" text="ENVIADO">
      <formula>NOT(ISERROR(SEARCH("ENVIADO",T517)))</formula>
    </cfRule>
    <cfRule type="containsText" dxfId="378" priority="125" operator="containsText" text="EN PROCESO">
      <formula>NOT(ISERROR(SEARCH("EN PROCESO",T517)))</formula>
    </cfRule>
    <cfRule type="containsText" dxfId="377" priority="126" operator="containsText" text="ENVIADO">
      <formula>NOT(ISERROR(SEARCH("ENVIADO",T517)))</formula>
    </cfRule>
  </conditionalFormatting>
  <conditionalFormatting sqref="T523:T531">
    <cfRule type="containsText" dxfId="375" priority="57" operator="containsText" text="EN PROCESO">
      <formula>NOT(ISERROR(SEARCH("EN PROCESO",T523)))</formula>
    </cfRule>
    <cfRule type="containsText" dxfId="374" priority="58" operator="containsText" text="ENVIADO">
      <formula>NOT(ISERROR(SEARCH("ENVIADO",T523)))</formula>
    </cfRule>
    <cfRule type="containsText" dxfId="373" priority="59" operator="containsText" text="EN PROCESO">
      <formula>NOT(ISERROR(SEARCH("EN PROCESO",T523)))</formula>
    </cfRule>
    <cfRule type="containsText" dxfId="376" priority="60" operator="containsText" text="ENVIADO">
      <formula>NOT(ISERROR(SEARCH("ENVIADO",T523)))</formula>
    </cfRule>
  </conditionalFormatting>
  <conditionalFormatting sqref="T533">
    <cfRule type="containsText" dxfId="370" priority="119" operator="containsText" text="EN PROCESO">
      <formula>NOT(ISERROR(SEARCH("EN PROCESO",T533)))</formula>
    </cfRule>
    <cfRule type="containsText" dxfId="372" priority="120" operator="containsText" text="ENVIADO">
      <formula>NOT(ISERROR(SEARCH("ENVIADO",T533)))</formula>
    </cfRule>
    <cfRule type="containsText" dxfId="371" priority="121" operator="containsText" text="EN PROCESO">
      <formula>NOT(ISERROR(SEARCH("EN PROCESO",T533)))</formula>
    </cfRule>
    <cfRule type="containsText" dxfId="369" priority="122" operator="containsText" text="ENVIADO">
      <formula>NOT(ISERROR(SEARCH("ENVIADO",T533)))</formula>
    </cfRule>
  </conditionalFormatting>
  <conditionalFormatting sqref="T541">
    <cfRule type="containsText" dxfId="368" priority="115" operator="containsText" text="EN PROCESO">
      <formula>NOT(ISERROR(SEARCH("EN PROCESO",T541)))</formula>
    </cfRule>
    <cfRule type="containsText" dxfId="367" priority="116" operator="containsText" text="ENVIADO">
      <formula>NOT(ISERROR(SEARCH("ENVIADO",T541)))</formula>
    </cfRule>
    <cfRule type="containsText" dxfId="366" priority="117" operator="containsText" text="EN PROCESO">
      <formula>NOT(ISERROR(SEARCH("EN PROCESO",T541)))</formula>
    </cfRule>
    <cfRule type="containsText" dxfId="365" priority="118" operator="containsText" text="ENVIADO">
      <formula>NOT(ISERROR(SEARCH("ENVIADO",T541)))</formula>
    </cfRule>
  </conditionalFormatting>
  <conditionalFormatting sqref="T544:T545">
    <cfRule type="containsText" dxfId="363" priority="111" operator="containsText" text="EN PROCESO">
      <formula>NOT(ISERROR(SEARCH("EN PROCESO",T544)))</formula>
    </cfRule>
    <cfRule type="containsText" dxfId="362" priority="112" operator="containsText" text="ENVIADO">
      <formula>NOT(ISERROR(SEARCH("ENVIADO",T544)))</formula>
    </cfRule>
    <cfRule type="containsText" dxfId="361" priority="113" operator="containsText" text="EN PROCESO">
      <formula>NOT(ISERROR(SEARCH("EN PROCESO",T544)))</formula>
    </cfRule>
    <cfRule type="containsText" dxfId="364" priority="114" operator="containsText" text="ENVIADO">
      <formula>NOT(ISERROR(SEARCH("ENVIADO",T544)))</formula>
    </cfRule>
  </conditionalFormatting>
  <conditionalFormatting sqref="T547">
    <cfRule type="containsText" dxfId="359" priority="107" operator="containsText" text="EN PROCESO">
      <formula>NOT(ISERROR(SEARCH("EN PROCESO",T547)))</formula>
    </cfRule>
    <cfRule type="containsText" dxfId="358" priority="108" operator="containsText" text="ENVIADO">
      <formula>NOT(ISERROR(SEARCH("ENVIADO",T547)))</formula>
    </cfRule>
    <cfRule type="containsText" dxfId="360" priority="109" operator="containsText" text="EN PROCESO">
      <formula>NOT(ISERROR(SEARCH("EN PROCESO",T547)))</formula>
    </cfRule>
    <cfRule type="containsText" dxfId="357" priority="110" operator="containsText" text="ENVIADO">
      <formula>NOT(ISERROR(SEARCH("ENVIADO",T547)))</formula>
    </cfRule>
  </conditionalFormatting>
  <conditionalFormatting sqref="T565">
    <cfRule type="containsText" dxfId="353" priority="49" operator="containsText" text="EN PROCESO">
      <formula>NOT(ISERROR(SEARCH("EN PROCESO",T565)))</formula>
    </cfRule>
    <cfRule type="containsText" dxfId="354" priority="50" operator="containsText" text="ENVIADO">
      <formula>NOT(ISERROR(SEARCH("ENVIADO",T565)))</formula>
    </cfRule>
    <cfRule type="containsText" dxfId="356" priority="51" operator="containsText" text="EN PROCESO">
      <formula>NOT(ISERROR(SEARCH("EN PROCESO",T565)))</formula>
    </cfRule>
    <cfRule type="containsText" dxfId="355" priority="52" operator="containsText" text="ENVIADO">
      <formula>NOT(ISERROR(SEARCH("ENVIADO",T565)))</formula>
    </cfRule>
  </conditionalFormatting>
  <conditionalFormatting sqref="T566">
    <cfRule type="containsText" dxfId="352" priority="105" operator="containsText" text="EN PROCESO">
      <formula>NOT(ISERROR(SEARCH("EN PROCESO",T566)))</formula>
    </cfRule>
    <cfRule type="containsText" dxfId="351" priority="106" operator="containsText" text="ENVIADO">
      <formula>NOT(ISERROR(SEARCH("ENVIADO",T566)))</formula>
    </cfRule>
  </conditionalFormatting>
  <conditionalFormatting sqref="T566:T601">
    <cfRule type="containsText" dxfId="349" priority="103" operator="containsText" text="EN PROCESO">
      <formula>NOT(ISERROR(SEARCH("EN PROCESO",T566)))</formula>
    </cfRule>
    <cfRule type="containsText" dxfId="350" priority="104" operator="containsText" text="ENVIADO">
      <formula>NOT(ISERROR(SEARCH("ENVIADO",T566)))</formula>
    </cfRule>
  </conditionalFormatting>
  <conditionalFormatting sqref="T567:T601">
    <cfRule type="containsText" dxfId="347" priority="101" operator="containsText" text="EN PROCESO">
      <formula>NOT(ISERROR(SEARCH("EN PROCESO",T567)))</formula>
    </cfRule>
    <cfRule type="containsText" dxfId="348" priority="102" operator="containsText" text="ENVIADO">
      <formula>NOT(ISERROR(SEARCH("ENVIADO",T567)))</formula>
    </cfRule>
  </conditionalFormatting>
  <conditionalFormatting sqref="T590:T591">
    <cfRule type="containsText" dxfId="344" priority="97" operator="containsText" text="EN PROCESO">
      <formula>NOT(ISERROR(SEARCH("EN PROCESO",T590)))</formula>
    </cfRule>
    <cfRule type="containsText" dxfId="343" priority="98" operator="containsText" text="ENVIADO">
      <formula>NOT(ISERROR(SEARCH("ENVIADO",T590)))</formula>
    </cfRule>
    <cfRule type="containsText" dxfId="346" priority="99" operator="containsText" text="EN PROCESO">
      <formula>NOT(ISERROR(SEARCH("EN PROCESO",T590)))</formula>
    </cfRule>
    <cfRule type="containsText" dxfId="345" priority="100" operator="containsText" text="ENVIADO">
      <formula>NOT(ISERROR(SEARCH("ENVIADO",T590)))</formula>
    </cfRule>
  </conditionalFormatting>
  <conditionalFormatting sqref="T596 T2:T63 W567:W580">
    <cfRule type="containsText" dxfId="342" priority="187" operator="containsText" text="EN PROCESO">
      <formula>NOT(ISERROR(SEARCH("EN PROCESO",T2)))</formula>
    </cfRule>
  </conditionalFormatting>
  <conditionalFormatting sqref="T603:T606">
    <cfRule type="containsText" dxfId="338" priority="45" operator="containsText" text="EN PROCESO">
      <formula>NOT(ISERROR(SEARCH("EN PROCESO",T603)))</formula>
    </cfRule>
    <cfRule type="containsText" dxfId="339" priority="46" operator="containsText" text="ENVIADO">
      <formula>NOT(ISERROR(SEARCH("ENVIADO",T603)))</formula>
    </cfRule>
    <cfRule type="containsText" dxfId="340" priority="47" operator="containsText" text="EN PROCESO">
      <formula>NOT(ISERROR(SEARCH("EN PROCESO",T603)))</formula>
    </cfRule>
    <cfRule type="containsText" dxfId="341" priority="48" operator="containsText" text="ENVIADO">
      <formula>NOT(ISERROR(SEARCH("ENVIADO",T603)))</formula>
    </cfRule>
  </conditionalFormatting>
  <conditionalFormatting sqref="T604">
    <cfRule type="containsText" dxfId="335" priority="93" operator="containsText" text="EN PROCESO">
      <formula>NOT(ISERROR(SEARCH("EN PROCESO",T604)))</formula>
    </cfRule>
    <cfRule type="containsText" dxfId="336" priority="94" operator="containsText" text="ENVIADO">
      <formula>NOT(ISERROR(SEARCH("ENVIADO",T604)))</formula>
    </cfRule>
    <cfRule type="containsText" dxfId="337" priority="95" operator="containsText" text="EN PROCESO">
      <formula>NOT(ISERROR(SEARCH("EN PROCESO",T604)))</formula>
    </cfRule>
    <cfRule type="containsText" dxfId="334" priority="96" operator="containsText" text="ENVIADO">
      <formula>NOT(ISERROR(SEARCH("ENVIADO",T604)))</formula>
    </cfRule>
  </conditionalFormatting>
  <conditionalFormatting sqref="T608">
    <cfRule type="containsText" dxfId="332" priority="89" operator="containsText" text="EN PROCESO">
      <formula>NOT(ISERROR(SEARCH("EN PROCESO",T608)))</formula>
    </cfRule>
    <cfRule type="containsText" dxfId="331" priority="90" operator="containsText" text="ENVIADO">
      <formula>NOT(ISERROR(SEARCH("ENVIADO",T608)))</formula>
    </cfRule>
    <cfRule type="containsText" dxfId="330" priority="91" operator="containsText" text="EN PROCESO">
      <formula>NOT(ISERROR(SEARCH("EN PROCESO",T608)))</formula>
    </cfRule>
    <cfRule type="containsText" dxfId="333" priority="92" operator="containsText" text="ENVIADO">
      <formula>NOT(ISERROR(SEARCH("ENVIADO",T608)))</formula>
    </cfRule>
  </conditionalFormatting>
  <conditionalFormatting sqref="T611:T613">
    <cfRule type="containsText" dxfId="329" priority="478" operator="containsText" text="EN PROCESO">
      <formula>NOT(ISERROR(SEARCH("EN PROCESO",T611)))</formula>
    </cfRule>
  </conditionalFormatting>
  <conditionalFormatting sqref="T610:U610">
    <cfRule type="containsText" dxfId="327" priority="87" operator="containsText" text="EN REVISIÓN CENTRAL">
      <formula>NOT(ISERROR(SEARCH("EN REVISIÓN CENTRAL",T610)))</formula>
    </cfRule>
    <cfRule type="containsText" dxfId="328" priority="88" operator="containsText" text="ENVIADO A LA CE/UM">
      <formula>NOT(ISERROR(SEARCH("ENVIADO A LA CE/UM",T610)))</formula>
    </cfRule>
  </conditionalFormatting>
  <conditionalFormatting sqref="R610 T2:X613">
    <cfRule type="containsText" dxfId="326" priority="475" operator="containsText" text="CONCLUIDO">
      <formula>NOT(ISERROR(SEARCH("CONCLUIDO",R2)))</formula>
    </cfRule>
  </conditionalFormatting>
  <conditionalFormatting sqref="U2:U609 V2:V613 U611:U613">
    <cfRule type="containsText" dxfId="325" priority="477" operator="containsText" text="ENVIADO A LA CE/UM">
      <formula>NOT(ISERROR(SEARCH("ENVIADO A LA CE/UM",U2)))</formula>
    </cfRule>
  </conditionalFormatting>
  <conditionalFormatting sqref="U610">
    <cfRule type="containsText" dxfId="324" priority="469" operator="containsText" text="EN PROCESO">
      <formula>NOT(ISERROR(SEARCH("EN PROCESO",U610)))</formula>
    </cfRule>
    <cfRule type="containsText" dxfId="323" priority="470" operator="containsText" text="ENVIADO">
      <formula>NOT(ISERROR(SEARCH("ENVIADO",U610)))</formula>
    </cfRule>
  </conditionalFormatting>
  <conditionalFormatting sqref="U2:V609 V610:V613 U611:U613">
    <cfRule type="containsText" dxfId="322" priority="476" operator="containsText" text="EN REVISIÓN CENTRAL">
      <formula>NOT(ISERROR(SEARCH("EN REVISIÓN CENTRAL",U2)))</formula>
    </cfRule>
  </conditionalFormatting>
  <conditionalFormatting sqref="W7">
    <cfRule type="containsText" dxfId="321" priority="65" operator="containsText" text="EN REVISIÓN CENTRAL">
      <formula>NOT(ISERROR(SEARCH("EN REVISIÓN CENTRAL",W7)))</formula>
    </cfRule>
    <cfRule type="containsText" dxfId="320" priority="66" operator="containsText" text="ENVIADO A LA CE/UM">
      <formula>NOT(ISERROR(SEARCH("ENVIADO A LA CE/UM",W7)))</formula>
    </cfRule>
  </conditionalFormatting>
  <conditionalFormatting sqref="W49:W98">
    <cfRule type="containsText" dxfId="318" priority="407" operator="containsText" text="EN PROCESO">
      <formula>NOT(ISERROR(SEARCH("EN PROCESO",W49)))</formula>
    </cfRule>
    <cfRule type="containsText" dxfId="319" priority="408" operator="containsText" text="ENVIADO">
      <formula>NOT(ISERROR(SEARCH("ENVIADO",W49)))</formula>
    </cfRule>
  </conditionalFormatting>
  <conditionalFormatting sqref="W64:W96">
    <cfRule type="containsText" dxfId="317" priority="455" operator="containsText" text="EN PROCESO">
      <formula>NOT(ISERROR(SEARCH("EN PROCESO",W64)))</formula>
    </cfRule>
    <cfRule type="containsText" dxfId="316" priority="456" operator="containsText" text="ENVIADO">
      <formula>NOT(ISERROR(SEARCH("ENVIADO",W64)))</formula>
    </cfRule>
  </conditionalFormatting>
  <conditionalFormatting sqref="W98:W107">
    <cfRule type="containsText" dxfId="315" priority="375" operator="containsText" text="EN PROCESO">
      <formula>NOT(ISERROR(SEARCH("EN PROCESO",W98)))</formula>
    </cfRule>
    <cfRule type="containsText" dxfId="314" priority="376" operator="containsText" text="ENVIADO">
      <formula>NOT(ISERROR(SEARCH("ENVIADO",W98)))</formula>
    </cfRule>
  </conditionalFormatting>
  <conditionalFormatting sqref="W100:W104">
    <cfRule type="containsText" dxfId="313" priority="405" operator="containsText" text="EN PROCESO">
      <formula>NOT(ISERROR(SEARCH("EN PROCESO",W100)))</formula>
    </cfRule>
    <cfRule type="containsText" dxfId="312" priority="406" operator="containsText" text="ENVIADO">
      <formula>NOT(ISERROR(SEARCH("ENVIADO",W100)))</formula>
    </cfRule>
  </conditionalFormatting>
  <conditionalFormatting sqref="W105:W108">
    <cfRule type="containsText" dxfId="311" priority="309" operator="containsText" text="EN PROCESO">
      <formula>NOT(ISERROR(SEARCH("EN PROCESO",W105)))</formula>
    </cfRule>
    <cfRule type="containsText" dxfId="310" priority="310" operator="containsText" text="ENVIADO">
      <formula>NOT(ISERROR(SEARCH("ENVIADO",W105)))</formula>
    </cfRule>
  </conditionalFormatting>
  <conditionalFormatting sqref="W108">
    <cfRule type="containsText" dxfId="309" priority="307" operator="containsText" text="EN PROCESO">
      <formula>NOT(ISERROR(SEARCH("EN PROCESO",W108)))</formula>
    </cfRule>
    <cfRule type="containsText" dxfId="308" priority="308" operator="containsText" text="ENVIADO">
      <formula>NOT(ISERROR(SEARCH("ENVIADO",W108)))</formula>
    </cfRule>
  </conditionalFormatting>
  <conditionalFormatting sqref="W117:W291">
    <cfRule type="containsText" dxfId="306" priority="373" operator="containsText" text="EN PROCESO">
      <formula>NOT(ISERROR(SEARCH("EN PROCESO",W117)))</formula>
    </cfRule>
    <cfRule type="containsText" dxfId="307" priority="374" operator="containsText" text="ENVIADO">
      <formula>NOT(ISERROR(SEARCH("ENVIADO",W117)))</formula>
    </cfRule>
  </conditionalFormatting>
  <conditionalFormatting sqref="W240:W241">
    <cfRule type="containsText" dxfId="304" priority="457" operator="containsText" text="EN PROCESO">
      <formula>NOT(ISERROR(SEARCH("EN PROCESO",W240)))</formula>
    </cfRule>
    <cfRule type="containsText" dxfId="305" priority="458" operator="containsText" text="ENVIADO">
      <formula>NOT(ISERROR(SEARCH("ENVIADO",W240)))</formula>
    </cfRule>
  </conditionalFormatting>
  <conditionalFormatting sqref="W277:W292">
    <cfRule type="containsText" dxfId="302" priority="403" operator="containsText" text="EN PROCESO">
      <formula>NOT(ISERROR(SEARCH("EN PROCESO",W277)))</formula>
    </cfRule>
    <cfRule type="containsText" dxfId="303" priority="404" operator="containsText" text="ENVIADO">
      <formula>NOT(ISERROR(SEARCH("ENVIADO",W277)))</formula>
    </cfRule>
  </conditionalFormatting>
  <conditionalFormatting sqref="W293:W294">
    <cfRule type="containsText" dxfId="300" priority="303" operator="containsText" text="EN PROCESO">
      <formula>NOT(ISERROR(SEARCH("EN PROCESO",W293)))</formula>
    </cfRule>
    <cfRule type="containsText" dxfId="301" priority="304" operator="containsText" text="ENVIADO">
      <formula>NOT(ISERROR(SEARCH("ENVIADO",W293)))</formula>
    </cfRule>
  </conditionalFormatting>
  <conditionalFormatting sqref="W293:W295">
    <cfRule type="containsText" dxfId="299" priority="305" operator="containsText" text="EN PROCESO">
      <formula>NOT(ISERROR(SEARCH("EN PROCESO",W293)))</formula>
    </cfRule>
    <cfRule type="containsText" dxfId="298" priority="306" operator="containsText" text="ENVIADO">
      <formula>NOT(ISERROR(SEARCH("ENVIADO",W293)))</formula>
    </cfRule>
  </conditionalFormatting>
  <conditionalFormatting sqref="W294">
    <cfRule type="containsText" dxfId="296" priority="433" operator="containsText" text="EN PROCESO">
      <formula>NOT(ISERROR(SEARCH("EN PROCESO",W294)))</formula>
    </cfRule>
    <cfRule type="containsText" dxfId="297" priority="434" operator="containsText" text="ENVIADO">
      <formula>NOT(ISERROR(SEARCH("ENVIADO",W294)))</formula>
    </cfRule>
  </conditionalFormatting>
  <conditionalFormatting sqref="W294:W295">
    <cfRule type="containsText" dxfId="295" priority="399" operator="containsText" text="EN PROCESO">
      <formula>NOT(ISERROR(SEARCH("EN PROCESO",W294)))</formula>
    </cfRule>
    <cfRule type="containsText" dxfId="294" priority="400" operator="containsText" text="ENVIADO">
      <formula>NOT(ISERROR(SEARCH("ENVIADO",W294)))</formula>
    </cfRule>
  </conditionalFormatting>
  <conditionalFormatting sqref="W296">
    <cfRule type="containsText" dxfId="290" priority="295" operator="containsText" text="EN PROCESO">
      <formula>NOT(ISERROR(SEARCH("EN PROCESO",W296)))</formula>
    </cfRule>
    <cfRule type="containsText" dxfId="289" priority="296" operator="containsText" text="ENVIADO">
      <formula>NOT(ISERROR(SEARCH("ENVIADO",W296)))</formula>
    </cfRule>
    <cfRule type="containsText" dxfId="288" priority="297" operator="containsText" text="EN PROCESO">
      <formula>NOT(ISERROR(SEARCH("EN PROCESO",W296)))</formula>
    </cfRule>
    <cfRule type="containsText" dxfId="287" priority="298" operator="containsText" text="ENVIADO">
      <formula>NOT(ISERROR(SEARCH("ENVIADO",W296)))</formula>
    </cfRule>
    <cfRule type="containsText" dxfId="286" priority="299" operator="containsText" text="EN PROCESO">
      <formula>NOT(ISERROR(SEARCH("EN PROCESO",W296)))</formula>
    </cfRule>
    <cfRule type="containsText" dxfId="291" priority="300" operator="containsText" text="ENVIADO">
      <formula>NOT(ISERROR(SEARCH("ENVIADO",W296)))</formula>
    </cfRule>
    <cfRule type="containsText" dxfId="293" priority="301" operator="containsText" text="EN PROCESO">
      <formula>NOT(ISERROR(SEARCH("EN PROCESO",W296)))</formula>
    </cfRule>
    <cfRule type="containsText" dxfId="292" priority="302" operator="containsText" text="ENVIADO">
      <formula>NOT(ISERROR(SEARCH("ENVIADO",W296)))</formula>
    </cfRule>
  </conditionalFormatting>
  <conditionalFormatting sqref="W297:W309">
    <cfRule type="containsText" dxfId="284" priority="371" operator="containsText" text="EN PROCESO">
      <formula>NOT(ISERROR(SEARCH("EN PROCESO",W297)))</formula>
    </cfRule>
    <cfRule type="containsText" dxfId="282" priority="372" operator="containsText" text="ENVIADO">
      <formula>NOT(ISERROR(SEARCH("ENVIADO",W297)))</formula>
    </cfRule>
    <cfRule type="containsText" dxfId="285" priority="397" operator="containsText" text="EN PROCESO">
      <formula>NOT(ISERROR(SEARCH("EN PROCESO",W297)))</formula>
    </cfRule>
    <cfRule type="containsText" dxfId="283" priority="398" operator="containsText" text="ENVIADO">
      <formula>NOT(ISERROR(SEARCH("ENVIADO",W297)))</formula>
    </cfRule>
  </conditionalFormatting>
  <conditionalFormatting sqref="W301">
    <cfRule type="containsText" dxfId="281" priority="369" operator="containsText" text="EN PROCESO">
      <formula>NOT(ISERROR(SEARCH("EN PROCESO",W301)))</formula>
    </cfRule>
    <cfRule type="containsText" dxfId="280" priority="370" operator="containsText" text="ENVIADO">
      <formula>NOT(ISERROR(SEARCH("ENVIADO",W301)))</formula>
    </cfRule>
  </conditionalFormatting>
  <conditionalFormatting sqref="W310:W311">
    <cfRule type="containsText" dxfId="275" priority="287" operator="containsText" text="EN PROCESO">
      <formula>NOT(ISERROR(SEARCH("EN PROCESO",W310)))</formula>
    </cfRule>
    <cfRule type="containsText" dxfId="274" priority="288" operator="containsText" text="ENVIADO">
      <formula>NOT(ISERROR(SEARCH("ENVIADO",W310)))</formula>
    </cfRule>
    <cfRule type="containsText" dxfId="279" priority="289" operator="containsText" text="EN PROCESO">
      <formula>NOT(ISERROR(SEARCH("EN PROCESO",W310)))</formula>
    </cfRule>
    <cfRule type="containsText" dxfId="277" priority="290" operator="containsText" text="ENVIADO">
      <formula>NOT(ISERROR(SEARCH("ENVIADO",W310)))</formula>
    </cfRule>
    <cfRule type="containsText" dxfId="278" priority="291" operator="containsText" text="EN PROCESO">
      <formula>NOT(ISERROR(SEARCH("EN PROCESO",W310)))</formula>
    </cfRule>
    <cfRule type="containsText" dxfId="276" priority="292" operator="containsText" text="ENVIADO">
      <formula>NOT(ISERROR(SEARCH("ENVIADO",W310)))</formula>
    </cfRule>
  </conditionalFormatting>
  <conditionalFormatting sqref="W310:W313">
    <cfRule type="containsText" dxfId="273" priority="293" operator="containsText" text="EN PROCESO">
      <formula>NOT(ISERROR(SEARCH("EN PROCESO",W310)))</formula>
    </cfRule>
    <cfRule type="containsText" dxfId="272" priority="294" operator="containsText" text="ENVIADO">
      <formula>NOT(ISERROR(SEARCH("ENVIADO",W310)))</formula>
    </cfRule>
  </conditionalFormatting>
  <conditionalFormatting sqref="W312:W313">
    <cfRule type="containsText" dxfId="271" priority="395" operator="containsText" text="EN PROCESO">
      <formula>NOT(ISERROR(SEARCH("EN PROCESO",W312)))</formula>
    </cfRule>
    <cfRule type="containsText" dxfId="270" priority="396" operator="containsText" text="ENVIADO">
      <formula>NOT(ISERROR(SEARCH("ENVIADO",W312)))</formula>
    </cfRule>
  </conditionalFormatting>
  <conditionalFormatting sqref="W314">
    <cfRule type="containsText" dxfId="264" priority="279" operator="containsText" text="EN PROCESO">
      <formula>NOT(ISERROR(SEARCH("EN PROCESO",W314)))</formula>
    </cfRule>
    <cfRule type="containsText" dxfId="265" priority="280" operator="containsText" text="ENVIADO">
      <formula>NOT(ISERROR(SEARCH("ENVIADO",W314)))</formula>
    </cfRule>
    <cfRule type="containsText" dxfId="266" priority="281" operator="containsText" text="EN PROCESO">
      <formula>NOT(ISERROR(SEARCH("EN PROCESO",W314)))</formula>
    </cfRule>
    <cfRule type="containsText" dxfId="267" priority="282" operator="containsText" text="ENVIADO">
      <formula>NOT(ISERROR(SEARCH("ENVIADO",W314)))</formula>
    </cfRule>
    <cfRule type="containsText" dxfId="268" priority="283" operator="containsText" text="EN PROCESO">
      <formula>NOT(ISERROR(SEARCH("EN PROCESO",W314)))</formula>
    </cfRule>
    <cfRule type="containsText" dxfId="269" priority="284" operator="containsText" text="ENVIADO">
      <formula>NOT(ISERROR(SEARCH("ENVIADO",W314)))</formula>
    </cfRule>
  </conditionalFormatting>
  <conditionalFormatting sqref="W314:W328">
    <cfRule type="containsText" dxfId="263" priority="285" operator="containsText" text="EN PROCESO">
      <formula>NOT(ISERROR(SEARCH("EN PROCESO",W314)))</formula>
    </cfRule>
    <cfRule type="containsText" dxfId="262" priority="286" operator="containsText" text="ENVIADO">
      <formula>NOT(ISERROR(SEARCH("ENVIADO",W314)))</formula>
    </cfRule>
  </conditionalFormatting>
  <conditionalFormatting sqref="W315:W337">
    <cfRule type="containsText" dxfId="260" priority="393" operator="containsText" text="EN PROCESO">
      <formula>NOT(ISERROR(SEARCH("EN PROCESO",W315)))</formula>
    </cfRule>
    <cfRule type="containsText" dxfId="261" priority="394" operator="containsText" text="ENVIADO">
      <formula>NOT(ISERROR(SEARCH("ENVIADO",W315)))</formula>
    </cfRule>
  </conditionalFormatting>
  <conditionalFormatting sqref="W315:W384">
    <cfRule type="containsText" dxfId="259" priority="367" operator="containsText" text="EN PROCESO">
      <formula>NOT(ISERROR(SEARCH("EN PROCESO",W315)))</formula>
    </cfRule>
    <cfRule type="containsText" dxfId="258" priority="368" operator="containsText" text="ENVIADO">
      <formula>NOT(ISERROR(SEARCH("ENVIADO",W315)))</formula>
    </cfRule>
  </conditionalFormatting>
  <conditionalFormatting sqref="W338:W408">
    <cfRule type="containsText" dxfId="256" priority="459" operator="containsText" text="EN PROCESO">
      <formula>NOT(ISERROR(SEARCH("EN PROCESO",W338)))</formula>
    </cfRule>
    <cfRule type="containsText" dxfId="257" priority="460" operator="containsText" text="ENVIADO">
      <formula>NOT(ISERROR(SEARCH("ENVIADO",W338)))</formula>
    </cfRule>
  </conditionalFormatting>
  <conditionalFormatting sqref="W338:W409">
    <cfRule type="containsText" dxfId="255" priority="277" operator="containsText" text="EN PROCESO">
      <formula>NOT(ISERROR(SEARCH("EN PROCESO",W338)))</formula>
    </cfRule>
    <cfRule type="containsText" dxfId="254" priority="278" operator="containsText" text="ENVIADO">
      <formula>NOT(ISERROR(SEARCH("ENVIADO",W338)))</formula>
    </cfRule>
  </conditionalFormatting>
  <conditionalFormatting sqref="W385">
    <cfRule type="containsText" dxfId="250" priority="273" operator="containsText" text="EN PROCESO">
      <formula>NOT(ISERROR(SEARCH("EN PROCESO",W385)))</formula>
    </cfRule>
    <cfRule type="containsText" dxfId="251" priority="274" operator="containsText" text="ENVIADO">
      <formula>NOT(ISERROR(SEARCH("ENVIADO",W385)))</formula>
    </cfRule>
    <cfRule type="containsText" dxfId="252" priority="275" operator="containsText" text="EN PROCESO">
      <formula>NOT(ISERROR(SEARCH("EN PROCESO",W385)))</formula>
    </cfRule>
    <cfRule type="containsText" dxfId="253" priority="276" operator="containsText" text="ENVIADO">
      <formula>NOT(ISERROR(SEARCH("ENVIADO",W385)))</formula>
    </cfRule>
  </conditionalFormatting>
  <conditionalFormatting sqref="W446:W450">
    <cfRule type="containsText" dxfId="247" priority="267" operator="containsText" text="EN PROCESO">
      <formula>NOT(ISERROR(SEARCH("EN PROCESO",W446)))</formula>
    </cfRule>
    <cfRule type="containsText" dxfId="246" priority="268" operator="containsText" text="ENVIADO">
      <formula>NOT(ISERROR(SEARCH("ENVIADO",W446)))</formula>
    </cfRule>
    <cfRule type="containsText" dxfId="248" priority="269" operator="containsText" text="EN PROCESO">
      <formula>NOT(ISERROR(SEARCH("EN PROCESO",W446)))</formula>
    </cfRule>
    <cfRule type="containsText" dxfId="249" priority="270" operator="containsText" text="ENVIADO">
      <formula>NOT(ISERROR(SEARCH("ENVIADO",W446)))</formula>
    </cfRule>
  </conditionalFormatting>
  <conditionalFormatting sqref="W446:W452">
    <cfRule type="containsText" dxfId="245" priority="271" operator="containsText" text="EN PROCESO">
      <formula>NOT(ISERROR(SEARCH("EN PROCESO",W446)))</formula>
    </cfRule>
    <cfRule type="containsText" dxfId="244" priority="272" operator="containsText" text="ENVIADO">
      <formula>NOT(ISERROR(SEARCH("ENVIADO",W446)))</formula>
    </cfRule>
  </conditionalFormatting>
  <conditionalFormatting sqref="W453:W454">
    <cfRule type="containsText" dxfId="242" priority="259" operator="containsText" text="EN PROCESO">
      <formula>NOT(ISERROR(SEARCH("EN PROCESO",W453)))</formula>
    </cfRule>
    <cfRule type="containsText" dxfId="241" priority="260" operator="containsText" text="ENVIADO">
      <formula>NOT(ISERROR(SEARCH("ENVIADO",W453)))</formula>
    </cfRule>
    <cfRule type="containsText" dxfId="240" priority="261" operator="containsText" text="EN PROCESO">
      <formula>NOT(ISERROR(SEARCH("EN PROCESO",W453)))</formula>
    </cfRule>
    <cfRule type="containsText" dxfId="239" priority="262" operator="containsText" text="ENVIADO">
      <formula>NOT(ISERROR(SEARCH("ENVIADO",W453)))</formula>
    </cfRule>
    <cfRule type="containsText" dxfId="243" priority="263" operator="containsText" text="EN PROCESO">
      <formula>NOT(ISERROR(SEARCH("EN PROCESO",W453)))</formula>
    </cfRule>
    <cfRule type="containsText" dxfId="238" priority="264" operator="containsText" text="ENVIADO">
      <formula>NOT(ISERROR(SEARCH("ENVIADO",W453)))</formula>
    </cfRule>
  </conditionalFormatting>
  <conditionalFormatting sqref="W453:W468">
    <cfRule type="containsText" dxfId="237" priority="265" operator="containsText" text="EN PROCESO">
      <formula>NOT(ISERROR(SEARCH("EN PROCESO",W453)))</formula>
    </cfRule>
    <cfRule type="containsText" dxfId="236" priority="266" operator="containsText" text="ENVIADO">
      <formula>NOT(ISERROR(SEARCH("ENVIADO",W453)))</formula>
    </cfRule>
  </conditionalFormatting>
  <conditionalFormatting sqref="W455">
    <cfRule type="containsText" dxfId="234" priority="391" operator="containsText" text="EN PROCESO">
      <formula>NOT(ISERROR(SEARCH("EN PROCESO",W455)))</formula>
    </cfRule>
    <cfRule type="containsText" dxfId="235" priority="392" operator="containsText" text="ENVIADO">
      <formula>NOT(ISERROR(SEARCH("ENVIADO",W455)))</formula>
    </cfRule>
  </conditionalFormatting>
  <conditionalFormatting sqref="W456:W483">
    <cfRule type="containsText" dxfId="233" priority="257" operator="containsText" text="EN PROCESO">
      <formula>NOT(ISERROR(SEARCH("EN PROCESO",W456)))</formula>
    </cfRule>
    <cfRule type="containsText" dxfId="232" priority="258" operator="containsText" text="ENVIADO">
      <formula>NOT(ISERROR(SEARCH("ENVIADO",W456)))</formula>
    </cfRule>
  </conditionalFormatting>
  <conditionalFormatting sqref="W469">
    <cfRule type="containsText" dxfId="231" priority="251" operator="containsText" text="EN PROCESO">
      <formula>NOT(ISERROR(SEARCH("EN PROCESO",W469)))</formula>
    </cfRule>
    <cfRule type="containsText" dxfId="230" priority="252" operator="containsText" text="ENVIADO">
      <formula>NOT(ISERROR(SEARCH("ENVIADO",W469)))</formula>
    </cfRule>
    <cfRule type="containsText" dxfId="229" priority="253" operator="containsText" text="EN PROCESO">
      <formula>NOT(ISERROR(SEARCH("EN PROCESO",W469)))</formula>
    </cfRule>
    <cfRule type="containsText" dxfId="228" priority="254" operator="containsText" text="ENVIADO">
      <formula>NOT(ISERROR(SEARCH("ENVIADO",W469)))</formula>
    </cfRule>
    <cfRule type="containsText" dxfId="227" priority="255" operator="containsText" text="EN PROCESO">
      <formula>NOT(ISERROR(SEARCH("EN PROCESO",W469)))</formula>
    </cfRule>
    <cfRule type="containsText" dxfId="226" priority="256" operator="containsText" text="ENVIADO">
      <formula>NOT(ISERROR(SEARCH("ENVIADO",W469)))</formula>
    </cfRule>
  </conditionalFormatting>
  <conditionalFormatting sqref="W470:W483">
    <cfRule type="containsText" dxfId="224" priority="365" operator="containsText" text="EN PROCESO">
      <formula>NOT(ISERROR(SEARCH("EN PROCESO",W470)))</formula>
    </cfRule>
    <cfRule type="containsText" dxfId="225" priority="366" operator="containsText" text="ENVIADO">
      <formula>NOT(ISERROR(SEARCH("ENVIADO",W470)))</formula>
    </cfRule>
  </conditionalFormatting>
  <conditionalFormatting sqref="W484">
    <cfRule type="containsText" dxfId="220" priority="243" operator="containsText" text="EN PROCESO">
      <formula>NOT(ISERROR(SEARCH("EN PROCESO",W484)))</formula>
    </cfRule>
    <cfRule type="containsText" dxfId="223" priority="244" operator="containsText" text="ENVIADO">
      <formula>NOT(ISERROR(SEARCH("ENVIADO",W484)))</formula>
    </cfRule>
    <cfRule type="containsText" dxfId="222" priority="245" operator="containsText" text="EN PROCESO">
      <formula>NOT(ISERROR(SEARCH("EN PROCESO",W484)))</formula>
    </cfRule>
    <cfRule type="containsText" dxfId="221" priority="246" operator="containsText" text="ENVIADO">
      <formula>NOT(ISERROR(SEARCH("ENVIADO",W484)))</formula>
    </cfRule>
    <cfRule type="containsText" dxfId="218" priority="247" operator="containsText" text="EN PROCESO">
      <formula>NOT(ISERROR(SEARCH("EN PROCESO",W484)))</formula>
    </cfRule>
    <cfRule type="containsText" dxfId="219" priority="248" operator="containsText" text="ENVIADO">
      <formula>NOT(ISERROR(SEARCH("ENVIADO",W484)))</formula>
    </cfRule>
  </conditionalFormatting>
  <conditionalFormatting sqref="W484:W526">
    <cfRule type="containsText" dxfId="216" priority="249" operator="containsText" text="EN PROCESO">
      <formula>NOT(ISERROR(SEARCH("EN PROCESO",W484)))</formula>
    </cfRule>
    <cfRule type="containsText" dxfId="217" priority="250" operator="containsText" text="ENVIADO">
      <formula>NOT(ISERROR(SEARCH("ENVIADO",W484)))</formula>
    </cfRule>
  </conditionalFormatting>
  <conditionalFormatting sqref="W485:W526">
    <cfRule type="containsText" dxfId="214" priority="363" operator="containsText" text="EN PROCESO">
      <formula>NOT(ISERROR(SEARCH("EN PROCESO",W485)))</formula>
    </cfRule>
    <cfRule type="containsText" dxfId="215" priority="364" operator="containsText" text="ENVIADO">
      <formula>NOT(ISERROR(SEARCH("ENVIADO",W485)))</formula>
    </cfRule>
  </conditionalFormatting>
  <conditionalFormatting sqref="W519">
    <cfRule type="containsText" dxfId="210" priority="235" operator="containsText" text="EN PROCESO">
      <formula>NOT(ISERROR(SEARCH("EN PROCESO",W519)))</formula>
    </cfRule>
    <cfRule type="containsText" dxfId="213" priority="236" operator="containsText" text="ENVIADO">
      <formula>NOT(ISERROR(SEARCH("ENVIADO",W519)))</formula>
    </cfRule>
    <cfRule type="containsText" dxfId="211" priority="237" operator="containsText" text="EN PROCESO">
      <formula>NOT(ISERROR(SEARCH("EN PROCESO",W519)))</formula>
    </cfRule>
    <cfRule type="containsText" dxfId="212" priority="238" operator="containsText" text="ENVIADO">
      <formula>NOT(ISERROR(SEARCH("ENVIADO",W519)))</formula>
    </cfRule>
    <cfRule type="containsText" dxfId="209" priority="239" operator="containsText" text="EN PROCESO">
      <formula>NOT(ISERROR(SEARCH("EN PROCESO",W519)))</formula>
    </cfRule>
    <cfRule type="containsText" dxfId="208" priority="240" operator="containsText" text="ENVIADO">
      <formula>NOT(ISERROR(SEARCH("ENVIADO",W519)))</formula>
    </cfRule>
  </conditionalFormatting>
  <conditionalFormatting sqref="W519:W520">
    <cfRule type="containsText" dxfId="207" priority="241" operator="containsText" text="EN PROCESO">
      <formula>NOT(ISERROR(SEARCH("EN PROCESO",W519)))</formula>
    </cfRule>
    <cfRule type="containsText" dxfId="206" priority="242" operator="containsText" text="ENVIADO">
      <formula>NOT(ISERROR(SEARCH("ENVIADO",W519)))</formula>
    </cfRule>
  </conditionalFormatting>
  <conditionalFormatting sqref="W520:W532 X527">
    <cfRule type="containsText" dxfId="205" priority="361" operator="containsText" text="EN PROCESO">
      <formula>NOT(ISERROR(SEARCH("EN PROCESO",W520)))</formula>
    </cfRule>
    <cfRule type="containsText" dxfId="204" priority="362" operator="containsText" text="ENVIADO">
      <formula>NOT(ISERROR(SEARCH("ENVIADO",W520)))</formula>
    </cfRule>
  </conditionalFormatting>
  <conditionalFormatting sqref="W521:W522">
    <cfRule type="containsText" dxfId="203" priority="389" operator="containsText" text="EN PROCESO">
      <formula>NOT(ISERROR(SEARCH("EN PROCESO",W521)))</formula>
    </cfRule>
    <cfRule type="containsText" dxfId="202" priority="390" operator="containsText" text="ENVIADO">
      <formula>NOT(ISERROR(SEARCH("ENVIADO",W521)))</formula>
    </cfRule>
  </conditionalFormatting>
  <conditionalFormatting sqref="W522">
    <cfRule type="containsText" dxfId="200" priority="461" operator="containsText" text="EN PROCESO">
      <formula>NOT(ISERROR(SEARCH("EN PROCESO",W522)))</formula>
    </cfRule>
    <cfRule type="containsText" dxfId="201" priority="462" operator="containsText" text="ENVIADO">
      <formula>NOT(ISERROR(SEARCH("ENVIADO",W522)))</formula>
    </cfRule>
  </conditionalFormatting>
  <conditionalFormatting sqref="W522:W531 X527">
    <cfRule type="containsText" dxfId="199" priority="359" operator="containsText" text="EN PROCESO">
      <formula>NOT(ISERROR(SEARCH("EN PROCESO",W522)))</formula>
    </cfRule>
    <cfRule type="containsText" dxfId="198" priority="360" operator="containsText" text="ENVIADO">
      <formula>NOT(ISERROR(SEARCH("ENVIADO",W522)))</formula>
    </cfRule>
  </conditionalFormatting>
  <conditionalFormatting sqref="W522:W546 X527">
    <cfRule type="containsText" dxfId="197" priority="463" operator="containsText" text="EN PROCESO">
      <formula>NOT(ISERROR(SEARCH("EN PROCESO",W522)))</formula>
    </cfRule>
    <cfRule type="containsText" dxfId="196" priority="464" operator="containsText" text="ENVIADO">
      <formula>NOT(ISERROR(SEARCH("ENVIADO",W522)))</formula>
    </cfRule>
  </conditionalFormatting>
  <conditionalFormatting sqref="W528">
    <cfRule type="containsText" dxfId="195" priority="5" operator="containsText" text="EN PROCESO">
      <formula>NOT(ISERROR(SEARCH("EN PROCESO",W528)))</formula>
    </cfRule>
    <cfRule type="containsText" dxfId="194" priority="6" operator="containsText" text="ENVIADO">
      <formula>NOT(ISERROR(SEARCH("ENVIADO",W528)))</formula>
    </cfRule>
    <cfRule type="containsText" dxfId="193" priority="7" operator="containsText" text="EN PROCESO">
      <formula>NOT(ISERROR(SEARCH("EN PROCESO",W528)))</formula>
    </cfRule>
    <cfRule type="containsText" dxfId="192" priority="8" operator="containsText" text="ENVIADO">
      <formula>NOT(ISERROR(SEARCH("ENVIADO",W528)))</formula>
    </cfRule>
  </conditionalFormatting>
  <conditionalFormatting sqref="W529">
    <cfRule type="containsText" dxfId="189" priority="23" operator="containsText" text="EN PROCESO">
      <formula>NOT(ISERROR(SEARCH("EN PROCESO",W529)))</formula>
    </cfRule>
    <cfRule type="containsText" dxfId="188" priority="24" operator="containsText" text="ENVIADO">
      <formula>NOT(ISERROR(SEARCH("ENVIADO",W529)))</formula>
    </cfRule>
    <cfRule type="containsText" dxfId="190" priority="25" operator="containsText" text="EN PROCESO">
      <formula>NOT(ISERROR(SEARCH("EN PROCESO",W529)))</formula>
    </cfRule>
    <cfRule type="containsText" dxfId="191" priority="26" operator="containsText" text="ENVIADO">
      <formula>NOT(ISERROR(SEARCH("ENVIADO",W529)))</formula>
    </cfRule>
  </conditionalFormatting>
  <conditionalFormatting sqref="W529:W531">
    <cfRule type="containsText" dxfId="186" priority="27" operator="containsText" text="EN PROCESO">
      <formula>NOT(ISERROR(SEARCH("EN PROCESO",W529)))</formula>
    </cfRule>
    <cfRule type="containsText" dxfId="187" priority="28" operator="containsText" text="ENVIADO">
      <formula>NOT(ISERROR(SEARCH("ENVIADO",W529)))</formula>
    </cfRule>
  </conditionalFormatting>
  <conditionalFormatting sqref="W530:W531">
    <cfRule type="containsText" dxfId="183" priority="1" operator="containsText" text="EN PROCESO">
      <formula>NOT(ISERROR(SEARCH("EN PROCESO",W530)))</formula>
    </cfRule>
    <cfRule type="containsText" dxfId="185" priority="2" operator="containsText" text="ENVIADO">
      <formula>NOT(ISERROR(SEARCH("ENVIADO",W530)))</formula>
    </cfRule>
    <cfRule type="containsText" dxfId="182" priority="3" operator="containsText" text="EN PROCESO">
      <formula>NOT(ISERROR(SEARCH("EN PROCESO",W530)))</formula>
    </cfRule>
    <cfRule type="containsText" dxfId="184" priority="4" operator="containsText" text="ENVIADO">
      <formula>NOT(ISERROR(SEARCH("ENVIADO",W530)))</formula>
    </cfRule>
  </conditionalFormatting>
  <conditionalFormatting sqref="W532">
    <cfRule type="containsText" dxfId="181" priority="387" operator="containsText" text="EN PROCESO">
      <formula>NOT(ISERROR(SEARCH("EN PROCESO",W532)))</formula>
    </cfRule>
    <cfRule type="containsText" dxfId="180" priority="388" operator="containsText" text="ENVIADO">
      <formula>NOT(ISERROR(SEARCH("ENVIADO",W532)))</formula>
    </cfRule>
  </conditionalFormatting>
  <conditionalFormatting sqref="W533:W540">
    <cfRule type="containsText" dxfId="179" priority="357" operator="containsText" text="EN PROCESO">
      <formula>NOT(ISERROR(SEARCH("EN PROCESO",W533)))</formula>
    </cfRule>
    <cfRule type="containsText" dxfId="178" priority="358" operator="containsText" text="ENVIADO">
      <formula>NOT(ISERROR(SEARCH("ENVIADO",W533)))</formula>
    </cfRule>
  </conditionalFormatting>
  <conditionalFormatting sqref="W533:W543">
    <cfRule type="containsText" dxfId="176" priority="233" operator="containsText" text="EN PROCESO">
      <formula>NOT(ISERROR(SEARCH("EN PROCESO",W533)))</formula>
    </cfRule>
    <cfRule type="containsText" dxfId="177" priority="234" operator="containsText" text="ENVIADO">
      <formula>NOT(ISERROR(SEARCH("ENVIADO",W533)))</formula>
    </cfRule>
  </conditionalFormatting>
  <conditionalFormatting sqref="W541">
    <cfRule type="containsText" dxfId="172" priority="225" operator="containsText" text="EN PROCESO">
      <formula>NOT(ISERROR(SEARCH("EN PROCESO",W541)))</formula>
    </cfRule>
    <cfRule type="containsText" dxfId="173" priority="226" operator="containsText" text="ENVIADO">
      <formula>NOT(ISERROR(SEARCH("ENVIADO",W541)))</formula>
    </cfRule>
    <cfRule type="containsText" dxfId="174" priority="227" operator="containsText" text="EN PROCESO">
      <formula>NOT(ISERROR(SEARCH("EN PROCESO",W541)))</formula>
    </cfRule>
    <cfRule type="containsText" dxfId="169" priority="228" operator="containsText" text="ENVIADO">
      <formula>NOT(ISERROR(SEARCH("ENVIADO",W541)))</formula>
    </cfRule>
    <cfRule type="containsText" dxfId="175" priority="229" operator="containsText" text="EN PROCESO">
      <formula>NOT(ISERROR(SEARCH("EN PROCESO",W541)))</formula>
    </cfRule>
    <cfRule type="containsText" dxfId="168" priority="230" operator="containsText" text="ENVIADO">
      <formula>NOT(ISERROR(SEARCH("ENVIADO",W541)))</formula>
    </cfRule>
    <cfRule type="containsText" dxfId="170" priority="231" operator="containsText" text="EN PROCESO">
      <formula>NOT(ISERROR(SEARCH("EN PROCESO",W541)))</formula>
    </cfRule>
    <cfRule type="containsText" dxfId="171" priority="232" operator="containsText" text="ENVIADO">
      <formula>NOT(ISERROR(SEARCH("ENVIADO",W541)))</formula>
    </cfRule>
  </conditionalFormatting>
  <conditionalFormatting sqref="W542:W543">
    <cfRule type="containsText" dxfId="167" priority="355" operator="containsText" text="EN PROCESO">
      <formula>NOT(ISERROR(SEARCH("EN PROCESO",W542)))</formula>
    </cfRule>
    <cfRule type="containsText" dxfId="166" priority="356" operator="containsText" text="ENVIADO">
      <formula>NOT(ISERROR(SEARCH("ENVIADO",W542)))</formula>
    </cfRule>
  </conditionalFormatting>
  <conditionalFormatting sqref="W544">
    <cfRule type="containsText" dxfId="162" priority="215" operator="containsText" text="EN PROCESO">
      <formula>NOT(ISERROR(SEARCH("EN PROCESO",W544)))</formula>
    </cfRule>
    <cfRule type="containsText" dxfId="161" priority="216" operator="containsText" text="ENVIADO">
      <formula>NOT(ISERROR(SEARCH("ENVIADO",W544)))</formula>
    </cfRule>
    <cfRule type="containsText" dxfId="160" priority="217" operator="containsText" text="EN PROCESO">
      <formula>NOT(ISERROR(SEARCH("EN PROCESO",W544)))</formula>
    </cfRule>
    <cfRule type="containsText" dxfId="157" priority="218" operator="containsText" text="ENVIADO">
      <formula>NOT(ISERROR(SEARCH("ENVIADO",W544)))</formula>
    </cfRule>
    <cfRule type="containsText" dxfId="156" priority="219" operator="containsText" text="EN PROCESO">
      <formula>NOT(ISERROR(SEARCH("EN PROCESO",W544)))</formula>
    </cfRule>
    <cfRule type="containsText" dxfId="165" priority="220" operator="containsText" text="ENVIADO">
      <formula>NOT(ISERROR(SEARCH("ENVIADO",W544)))</formula>
    </cfRule>
    <cfRule type="containsText" dxfId="163" priority="221" operator="containsText" text="EN PROCESO">
      <formula>NOT(ISERROR(SEARCH("EN PROCESO",W544)))</formula>
    </cfRule>
    <cfRule type="containsText" dxfId="159" priority="222" operator="containsText" text="ENVIADO">
      <formula>NOT(ISERROR(SEARCH("ENVIADO",W544)))</formula>
    </cfRule>
    <cfRule type="containsText" dxfId="158" priority="223" operator="containsText" text="EN PROCESO">
      <formula>NOT(ISERROR(SEARCH("EN PROCESO",W544)))</formula>
    </cfRule>
    <cfRule type="containsText" dxfId="164" priority="224" operator="containsText" text="ENVIADO">
      <formula>NOT(ISERROR(SEARCH("ENVIADO",W544)))</formula>
    </cfRule>
  </conditionalFormatting>
  <conditionalFormatting sqref="W545">
    <cfRule type="containsText" dxfId="154" priority="385" operator="containsText" text="EN PROCESO">
      <formula>NOT(ISERROR(SEARCH("EN PROCESO",W545)))</formula>
    </cfRule>
    <cfRule type="containsText" dxfId="155" priority="386" operator="containsText" text="ENVIADO">
      <formula>NOT(ISERROR(SEARCH("ENVIADO",W545)))</formula>
    </cfRule>
  </conditionalFormatting>
  <conditionalFormatting sqref="W545:W547">
    <cfRule type="containsText" dxfId="152" priority="353" operator="containsText" text="EN PROCESO">
      <formula>NOT(ISERROR(SEARCH("EN PROCESO",W545)))</formula>
    </cfRule>
    <cfRule type="containsText" dxfId="153" priority="354" operator="containsText" text="ENVIADO">
      <formula>NOT(ISERROR(SEARCH("ENVIADO",W545)))</formula>
    </cfRule>
  </conditionalFormatting>
  <conditionalFormatting sqref="W546">
    <cfRule type="containsText" dxfId="150" priority="351" operator="containsText" text="EN PROCESO">
      <formula>NOT(ISERROR(SEARCH("EN PROCESO",W546)))</formula>
    </cfRule>
    <cfRule type="containsText" dxfId="151" priority="352" operator="containsText" text="ENVIADO">
      <formula>NOT(ISERROR(SEARCH("ENVIADO",W546)))</formula>
    </cfRule>
  </conditionalFormatting>
  <conditionalFormatting sqref="W547">
    <cfRule type="containsText" dxfId="148" priority="383" operator="containsText" text="EN PROCESO">
      <formula>NOT(ISERROR(SEARCH("EN PROCESO",W547)))</formula>
    </cfRule>
    <cfRule type="containsText" dxfId="149" priority="384" operator="containsText" text="ENVIADO">
      <formula>NOT(ISERROR(SEARCH("ENVIADO",W547)))</formula>
    </cfRule>
  </conditionalFormatting>
  <conditionalFormatting sqref="W548">
    <cfRule type="containsText" dxfId="147" priority="345" operator="containsText" text="EN PROCESO">
      <formula>NOT(ISERROR(SEARCH("EN PROCESO",W548)))</formula>
    </cfRule>
    <cfRule type="containsText" dxfId="146" priority="346" operator="containsText" text="ENVIADO">
      <formula>NOT(ISERROR(SEARCH("ENVIADO",W548)))</formula>
    </cfRule>
    <cfRule type="containsText" dxfId="145" priority="347" operator="containsText" text="EN PROCESO">
      <formula>NOT(ISERROR(SEARCH("EN PROCESO",W548)))</formula>
    </cfRule>
    <cfRule type="containsText" dxfId="144" priority="348" operator="containsText" text="ENVIADO">
      <formula>NOT(ISERROR(SEARCH("ENVIADO",W548)))</formula>
    </cfRule>
    <cfRule type="containsText" dxfId="143" priority="349" operator="containsText" text="EN PROCESO">
      <formula>NOT(ISERROR(SEARCH("EN PROCESO",W548)))</formula>
    </cfRule>
    <cfRule type="containsText" dxfId="142" priority="350" operator="containsText" text="ENVIADO">
      <formula>NOT(ISERROR(SEARCH("ENVIADO",W548)))</formula>
    </cfRule>
  </conditionalFormatting>
  <conditionalFormatting sqref="W548:W563">
    <cfRule type="containsText" dxfId="141" priority="339" operator="containsText" text="EN PROCESO">
      <formula>NOT(ISERROR(SEARCH("EN PROCESO",W548)))</formula>
    </cfRule>
    <cfRule type="containsText" dxfId="138" priority="340" operator="containsText" text="ENVIADO">
      <formula>NOT(ISERROR(SEARCH("ENVIADO",W548)))</formula>
    </cfRule>
    <cfRule type="containsText" dxfId="139" priority="341" operator="containsText" text="EN PROCESO">
      <formula>NOT(ISERROR(SEARCH("EN PROCESO",W548)))</formula>
    </cfRule>
    <cfRule type="containsText" dxfId="140" priority="342" operator="containsText" text="ENVIADO">
      <formula>NOT(ISERROR(SEARCH("ENVIADO",W548)))</formula>
    </cfRule>
  </conditionalFormatting>
  <conditionalFormatting sqref="W548:W564">
    <cfRule type="containsText" dxfId="136" priority="343" operator="containsText" text="EN PROCESO">
      <formula>NOT(ISERROR(SEARCH("EN PROCESO",W548)))</formula>
    </cfRule>
    <cfRule type="containsText" dxfId="137" priority="344" operator="containsText" text="ENVIADO">
      <formula>NOT(ISERROR(SEARCH("ENVIADO",W548)))</formula>
    </cfRule>
  </conditionalFormatting>
  <conditionalFormatting sqref="W564">
    <cfRule type="containsText" dxfId="134" priority="381" operator="containsText" text="EN PROCESO">
      <formula>NOT(ISERROR(SEARCH("EN PROCESO",W564)))</formula>
    </cfRule>
    <cfRule type="containsText" dxfId="135" priority="382" operator="containsText" text="ENVIADO">
      <formula>NOT(ISERROR(SEARCH("ENVIADO",W564)))</formula>
    </cfRule>
  </conditionalFormatting>
  <conditionalFormatting sqref="W565">
    <cfRule type="containsText" dxfId="130" priority="333" operator="containsText" text="EN PROCESO">
      <formula>NOT(ISERROR(SEARCH("EN PROCESO",W565)))</formula>
    </cfRule>
    <cfRule type="containsText" dxfId="131" priority="334" operator="containsText" text="ENVIADO">
      <formula>NOT(ISERROR(SEARCH("ENVIADO",W565)))</formula>
    </cfRule>
    <cfRule type="containsText" dxfId="132" priority="335" operator="containsText" text="EN PROCESO">
      <formula>NOT(ISERROR(SEARCH("EN PROCESO",W565)))</formula>
    </cfRule>
    <cfRule type="containsText" dxfId="133" priority="336" operator="containsText" text="ENVIADO">
      <formula>NOT(ISERROR(SEARCH("ENVIADO",W565)))</formula>
    </cfRule>
  </conditionalFormatting>
  <conditionalFormatting sqref="W565:W566">
    <cfRule type="containsText" dxfId="128" priority="337" operator="containsText" text="EN PROCESO">
      <formula>NOT(ISERROR(SEARCH("EN PROCESO",W565)))</formula>
    </cfRule>
    <cfRule type="containsText" dxfId="129" priority="338" operator="containsText" text="ENVIADO">
      <formula>NOT(ISERROR(SEARCH("ENVIADO",W565)))</formula>
    </cfRule>
  </conditionalFormatting>
  <conditionalFormatting sqref="W566">
    <cfRule type="containsText" dxfId="122" priority="379" operator="containsText" text="EN PROCESO">
      <formula>NOT(ISERROR(SEARCH("EN PROCESO",W566)))</formula>
    </cfRule>
    <cfRule type="containsText" dxfId="125" priority="380" operator="containsText" text="ENVIADO">
      <formula>NOT(ISERROR(SEARCH("ENVIADO",W566)))</formula>
    </cfRule>
    <cfRule type="containsText" dxfId="127" priority="435" operator="containsText" text="EN PROCESO">
      <formula>NOT(ISERROR(SEARCH("EN PROCESO",W566)))</formula>
    </cfRule>
    <cfRule type="containsText" dxfId="126" priority="436" operator="containsText" text="ENVIADO">
      <formula>NOT(ISERROR(SEARCH("ENVIADO",W566)))</formula>
    </cfRule>
    <cfRule type="containsText" dxfId="124" priority="437" operator="containsText" text="EN PROCESO">
      <formula>NOT(ISERROR(SEARCH("EN PROCESO",W566)))</formula>
    </cfRule>
    <cfRule type="containsText" dxfId="123" priority="438" operator="containsText" text="ENVIADO">
      <formula>NOT(ISERROR(SEARCH("ENVIADO",W566)))</formula>
    </cfRule>
  </conditionalFormatting>
  <conditionalFormatting sqref="W581:W589">
    <cfRule type="containsText" dxfId="120" priority="331" operator="containsText" text="EN PROCESO">
      <formula>NOT(ISERROR(SEARCH("EN PROCESO",W581)))</formula>
    </cfRule>
    <cfRule type="containsText" dxfId="121" priority="332" operator="containsText" text="ENVIADO">
      <formula>NOT(ISERROR(SEARCH("ENVIADO",W581)))</formula>
    </cfRule>
  </conditionalFormatting>
  <conditionalFormatting sqref="W582:W589">
    <cfRule type="containsText" dxfId="118" priority="329" operator="containsText" text="EN PROCESO">
      <formula>NOT(ISERROR(SEARCH("EN PROCESO",W582)))</formula>
    </cfRule>
    <cfRule type="containsText" dxfId="119" priority="330" operator="containsText" text="ENVIADO">
      <formula>NOT(ISERROR(SEARCH("ENVIADO",W582)))</formula>
    </cfRule>
  </conditionalFormatting>
  <conditionalFormatting sqref="W582:W590">
    <cfRule type="containsText" dxfId="117" priority="213" operator="containsText" text="EN PROCESO">
      <formula>NOT(ISERROR(SEARCH("EN PROCESO",W582)))</formula>
    </cfRule>
    <cfRule type="containsText" dxfId="116" priority="214" operator="containsText" text="ENVIADO">
      <formula>NOT(ISERROR(SEARCH("ENVIADO",W582)))</formula>
    </cfRule>
  </conditionalFormatting>
  <conditionalFormatting sqref="W590">
    <cfRule type="containsText" dxfId="113" priority="205" operator="containsText" text="EN PROCESO">
      <formula>NOT(ISERROR(SEARCH("EN PROCESO",W590)))</formula>
    </cfRule>
    <cfRule type="containsText" dxfId="114" priority="206" operator="containsText" text="ENVIADO">
      <formula>NOT(ISERROR(SEARCH("ENVIADO",W590)))</formula>
    </cfRule>
    <cfRule type="containsText" dxfId="115" priority="207" operator="containsText" text="EN PROCESO">
      <formula>NOT(ISERROR(SEARCH("EN PROCESO",W590)))</formula>
    </cfRule>
    <cfRule type="containsText" dxfId="108" priority="208" operator="containsText" text="ENVIADO">
      <formula>NOT(ISERROR(SEARCH("ENVIADO",W590)))</formula>
    </cfRule>
    <cfRule type="containsText" dxfId="109" priority="209" operator="containsText" text="EN PROCESO">
      <formula>NOT(ISERROR(SEARCH("EN PROCESO",W590)))</formula>
    </cfRule>
    <cfRule type="containsText" dxfId="110" priority="210" operator="containsText" text="ENVIADO">
      <formula>NOT(ISERROR(SEARCH("ENVIADO",W590)))</formula>
    </cfRule>
    <cfRule type="containsText" dxfId="111" priority="211" operator="containsText" text="EN PROCESO">
      <formula>NOT(ISERROR(SEARCH("EN PROCESO",W590)))</formula>
    </cfRule>
    <cfRule type="containsText" dxfId="112" priority="212" operator="containsText" text="ENVIADO">
      <formula>NOT(ISERROR(SEARCH("ENVIADO",W590)))</formula>
    </cfRule>
  </conditionalFormatting>
  <conditionalFormatting sqref="W591:W596">
    <cfRule type="containsText" dxfId="106" priority="327" operator="containsText" text="EN PROCESO">
      <formula>NOT(ISERROR(SEARCH("EN PROCESO",W591)))</formula>
    </cfRule>
    <cfRule type="containsText" dxfId="107" priority="328" operator="containsText" text="ENVIADO">
      <formula>NOT(ISERROR(SEARCH("ENVIADO",W591)))</formula>
    </cfRule>
  </conditionalFormatting>
  <conditionalFormatting sqref="W592:W595">
    <cfRule type="containsText" dxfId="105" priority="325" operator="containsText" text="EN PROCESO">
      <formula>NOT(ISERROR(SEARCH("EN PROCESO",W592)))</formula>
    </cfRule>
    <cfRule type="containsText" dxfId="104" priority="326" operator="containsText" text="ENVIADO">
      <formula>NOT(ISERROR(SEARCH("ENVIADO",W592)))</formula>
    </cfRule>
  </conditionalFormatting>
  <conditionalFormatting sqref="W597:W603">
    <cfRule type="containsText" dxfId="100" priority="321" operator="containsText" text="EN PROCESO">
      <formula>NOT(ISERROR(SEARCH("EN PROCESO",W597)))</formula>
    </cfRule>
    <cfRule type="containsText" dxfId="103" priority="322" operator="containsText" text="ENVIADO">
      <formula>NOT(ISERROR(SEARCH("ENVIADO",W597)))</formula>
    </cfRule>
    <cfRule type="containsText" dxfId="102" priority="323" operator="containsText" text="EN PROCESO">
      <formula>NOT(ISERROR(SEARCH("EN PROCESO",W597)))</formula>
    </cfRule>
    <cfRule type="containsText" dxfId="101" priority="324" operator="containsText" text="ENVIADO">
      <formula>NOT(ISERROR(SEARCH("ENVIADO",W597)))</formula>
    </cfRule>
  </conditionalFormatting>
  <conditionalFormatting sqref="W597:W606">
    <cfRule type="containsText" dxfId="98" priority="203" operator="containsText" text="EN PROCESO">
      <formula>NOT(ISERROR(SEARCH("EN PROCESO",W597)))</formula>
    </cfRule>
    <cfRule type="containsText" dxfId="99" priority="204" operator="containsText" text="ENVIADO">
      <formula>NOT(ISERROR(SEARCH("ENVIADO",W597)))</formula>
    </cfRule>
  </conditionalFormatting>
  <conditionalFormatting sqref="W604">
    <cfRule type="containsText" dxfId="97" priority="195" operator="containsText" text="EN PROCESO">
      <formula>NOT(ISERROR(SEARCH("EN PROCESO",W604)))</formula>
    </cfRule>
    <cfRule type="containsText" dxfId="96" priority="196" operator="containsText" text="ENVIADO">
      <formula>NOT(ISERROR(SEARCH("ENVIADO",W604)))</formula>
    </cfRule>
    <cfRule type="containsText" dxfId="90" priority="197" operator="containsText" text="EN PROCESO">
      <formula>NOT(ISERROR(SEARCH("EN PROCESO",W604)))</formula>
    </cfRule>
    <cfRule type="containsText" dxfId="91" priority="198" operator="containsText" text="ENVIADO">
      <formula>NOT(ISERROR(SEARCH("ENVIADO",W604)))</formula>
    </cfRule>
    <cfRule type="containsText" dxfId="92" priority="199" operator="containsText" text="EN PROCESO">
      <formula>NOT(ISERROR(SEARCH("EN PROCESO",W604)))</formula>
    </cfRule>
    <cfRule type="containsText" dxfId="93" priority="200" operator="containsText" text="ENVIADO">
      <formula>NOT(ISERROR(SEARCH("ENVIADO",W604)))</formula>
    </cfRule>
    <cfRule type="containsText" dxfId="94" priority="201" operator="containsText" text="EN PROCESO">
      <formula>NOT(ISERROR(SEARCH("EN PROCESO",W604)))</formula>
    </cfRule>
    <cfRule type="containsText" dxfId="95" priority="202" operator="containsText" text="ENVIADO">
      <formula>NOT(ISERROR(SEARCH("ENVIADO",W604)))</formula>
    </cfRule>
  </conditionalFormatting>
  <conditionalFormatting sqref="W605:W606">
    <cfRule type="containsText" dxfId="88" priority="317" operator="containsText" text="EN PROCESO">
      <formula>NOT(ISERROR(SEARCH("EN PROCESO",W605)))</formula>
    </cfRule>
    <cfRule type="containsText" dxfId="89" priority="318" operator="containsText" text="ENVIADO">
      <formula>NOT(ISERROR(SEARCH("ENVIADO",W605)))</formula>
    </cfRule>
  </conditionalFormatting>
  <conditionalFormatting sqref="W605:W607">
    <cfRule type="containsText" dxfId="87" priority="319" operator="containsText" text="EN PROCESO">
      <formula>NOT(ISERROR(SEARCH("EN PROCESO",W605)))</formula>
    </cfRule>
    <cfRule type="containsText" dxfId="86" priority="320" operator="containsText" text="ENVIADO">
      <formula>NOT(ISERROR(SEARCH("ENVIADO",W605)))</formula>
    </cfRule>
  </conditionalFormatting>
  <conditionalFormatting sqref="W607">
    <cfRule type="containsText" dxfId="85" priority="377" operator="containsText" text="EN PROCESO">
      <formula>NOT(ISERROR(SEARCH("EN PROCESO",W607)))</formula>
    </cfRule>
    <cfRule type="containsText" dxfId="84" priority="378" operator="containsText" text="ENVIADO">
      <formula>NOT(ISERROR(SEARCH("ENVIADO",W607)))</formula>
    </cfRule>
  </conditionalFormatting>
  <conditionalFormatting sqref="W608:W613">
    <cfRule type="containsText" dxfId="78" priority="311" operator="containsText" text="EN PROCESO">
      <formula>NOT(ISERROR(SEARCH("EN PROCESO",W608)))</formula>
    </cfRule>
    <cfRule type="containsText" dxfId="79" priority="312" operator="containsText" text="ENVIADO">
      <formula>NOT(ISERROR(SEARCH("ENVIADO",W608)))</formula>
    </cfRule>
    <cfRule type="containsText" dxfId="83" priority="313" operator="containsText" text="EN PROCESO">
      <formula>NOT(ISERROR(SEARCH("EN PROCESO",W608)))</formula>
    </cfRule>
    <cfRule type="containsText" dxfId="80" priority="314" operator="containsText" text="ENVIADO">
      <formula>NOT(ISERROR(SEARCH("ENVIADO",W608)))</formula>
    </cfRule>
    <cfRule type="containsText" dxfId="81" priority="315" operator="containsText" text="EN PROCESO">
      <formula>NOT(ISERROR(SEARCH("EN PROCESO",W608)))</formula>
    </cfRule>
    <cfRule type="containsText" dxfId="82" priority="316" operator="containsText" text="ENVIADO">
      <formula>NOT(ISERROR(SEARCH("ENVIADO",W608)))</formula>
    </cfRule>
  </conditionalFormatting>
  <conditionalFormatting sqref="W610 Z2:AA613">
    <cfRule type="containsText" dxfId="77" priority="465" operator="containsText" text="SI">
      <formula>NOT(ISERROR(SEARCH("SI",W2)))</formula>
    </cfRule>
  </conditionalFormatting>
  <conditionalFormatting sqref="W2:X613 T2:T63 T596">
    <cfRule type="containsText" dxfId="75" priority="188" operator="containsText" text="ENVIADO">
      <formula>NOT(ISERROR(SEARCH("ENVIADO",T2)))</formula>
    </cfRule>
    <cfRule type="containsText" dxfId="76" priority="189" operator="containsText" text="EN PROCESO">
      <formula>NOT(ISERROR(SEARCH("EN PROCESO",T2)))</formula>
    </cfRule>
  </conditionalFormatting>
  <conditionalFormatting sqref="W243:X276 W517:X518">
    <cfRule type="containsText" dxfId="73" priority="423" operator="containsText" text="EN PROCESO">
      <formula>NOT(ISERROR(SEARCH("EN PROCESO",W243)))</formula>
    </cfRule>
    <cfRule type="containsText" dxfId="74" priority="424" operator="containsText" text="ENVIADO">
      <formula>NOT(ISERROR(SEARCH("ENVIADO",W243)))</formula>
    </cfRule>
  </conditionalFormatting>
  <conditionalFormatting sqref="W292:X292">
    <cfRule type="containsText" dxfId="72" priority="401" operator="containsText" text="EN PROCESO">
      <formula>NOT(ISERROR(SEARCH("EN PROCESO",W292)))</formula>
    </cfRule>
    <cfRule type="containsText" dxfId="71" priority="402" operator="containsText" text="ENVIADO">
      <formula>NOT(ISERROR(SEARCH("ENVIADO",W292)))</formula>
    </cfRule>
  </conditionalFormatting>
  <conditionalFormatting sqref="W396:X409">
    <cfRule type="containsText" dxfId="70" priority="415" operator="containsText" text="EN PROCESO">
      <formula>NOT(ISERROR(SEARCH("EN PROCESO",W396)))</formula>
    </cfRule>
    <cfRule type="containsText" dxfId="69" priority="416" operator="containsText" text="ENVIADO">
      <formula>NOT(ISERROR(SEARCH("ENVIADO",W396)))</formula>
    </cfRule>
  </conditionalFormatting>
  <conditionalFormatting sqref="W511:X511">
    <cfRule type="containsText" dxfId="67" priority="43" operator="containsText" text="EN REVISIÓN CENTRAL">
      <formula>NOT(ISERROR(SEARCH("EN REVISIÓN CENTRAL",W511)))</formula>
    </cfRule>
    <cfRule type="containsText" dxfId="68" priority="44" operator="containsText" text="ENVIADO A LA CE/UM">
      <formula>NOT(ISERROR(SEARCH("ENVIADO A LA CE/UM",W511)))</formula>
    </cfRule>
  </conditionalFormatting>
  <conditionalFormatting sqref="W514:X514">
    <cfRule type="containsText" dxfId="66" priority="41" operator="containsText" text="EN REVISIÓN CENTRAL">
      <formula>NOT(ISERROR(SEARCH("EN REVISIÓN CENTRAL",W514)))</formula>
    </cfRule>
    <cfRule type="containsText" dxfId="65" priority="42" operator="containsText" text="ENVIADO A LA CE/UM">
      <formula>NOT(ISERROR(SEARCH("ENVIADO A LA CE/UM",W514)))</formula>
    </cfRule>
  </conditionalFormatting>
  <conditionalFormatting sqref="W519:X521">
    <cfRule type="containsText" dxfId="63" priority="39" operator="containsText" text="EN REVISIÓN CENTRAL">
      <formula>NOT(ISERROR(SEARCH("EN REVISIÓN CENTRAL",W519)))</formula>
    </cfRule>
    <cfRule type="containsText" dxfId="64" priority="40" operator="containsText" text="ENVIADO A LA CE/UM">
      <formula>NOT(ISERROR(SEARCH("ENVIADO A LA CE/UM",W519)))</formula>
    </cfRule>
  </conditionalFormatting>
  <conditionalFormatting sqref="W520:X520 W533:X533">
    <cfRule type="containsText" dxfId="62" priority="421" operator="containsText" text="EN PROCESO">
      <formula>NOT(ISERROR(SEARCH("EN PROCESO",W520)))</formula>
    </cfRule>
    <cfRule type="containsText" dxfId="61" priority="422" operator="containsText" text="ENVIADO">
      <formula>NOT(ISERROR(SEARCH("ENVIADO",W520)))</formula>
    </cfRule>
  </conditionalFormatting>
  <conditionalFormatting sqref="W523:X523 W536:X536">
    <cfRule type="containsText" dxfId="60" priority="413" operator="containsText" text="EN PROCESO">
      <formula>NOT(ISERROR(SEARCH("EN PROCESO",W523)))</formula>
    </cfRule>
    <cfRule type="containsText" dxfId="59" priority="414" operator="containsText" text="ENVIADO">
      <formula>NOT(ISERROR(SEARCH("ENVIADO",W523)))</formula>
    </cfRule>
  </conditionalFormatting>
  <conditionalFormatting sqref="W523:X523">
    <cfRule type="containsText" dxfId="58" priority="37" operator="containsText" text="EN REVISIÓN CENTRAL">
      <formula>NOT(ISERROR(SEARCH("EN REVISIÓN CENTRAL",W523)))</formula>
    </cfRule>
    <cfRule type="containsText" dxfId="57" priority="38" operator="containsText" text="ENVIADO A LA CE/UM">
      <formula>NOT(ISERROR(SEARCH("ENVIADO A LA CE/UM",W523)))</formula>
    </cfRule>
  </conditionalFormatting>
  <conditionalFormatting sqref="W527:X527">
    <cfRule type="containsText" dxfId="49" priority="29" operator="containsText" text="EN REVISIÓN CENTRAL">
      <formula>NOT(ISERROR(SEARCH("EN REVISIÓN CENTRAL",W527)))</formula>
    </cfRule>
    <cfRule type="containsText" dxfId="55" priority="30" operator="containsText" text="ENVIADO A LA CE/UM">
      <formula>NOT(ISERROR(SEARCH("ENVIADO A LA CE/UM",W527)))</formula>
    </cfRule>
    <cfRule type="containsText" dxfId="52" priority="31" operator="containsText" text="EN PROCESO">
      <formula>NOT(ISERROR(SEARCH("EN PROCESO",W527)))</formula>
    </cfRule>
    <cfRule type="containsText" dxfId="51" priority="32" operator="containsText" text="ENVIADO">
      <formula>NOT(ISERROR(SEARCH("ENVIADO",W527)))</formula>
    </cfRule>
    <cfRule type="containsText" dxfId="54" priority="33" operator="containsText" text="EN PROCESO">
      <formula>NOT(ISERROR(SEARCH("EN PROCESO",W527)))</formula>
    </cfRule>
    <cfRule type="containsText" dxfId="53" priority="34" operator="containsText" text="ENVIADO">
      <formula>NOT(ISERROR(SEARCH("ENVIADO",W527)))</formula>
    </cfRule>
    <cfRule type="containsText" dxfId="56" priority="35" operator="containsText" text="EN PROCESO">
      <formula>NOT(ISERROR(SEARCH("EN PROCESO",W527)))</formula>
    </cfRule>
    <cfRule type="containsText" dxfId="50" priority="36" operator="containsText" text="ENVIADO">
      <formula>NOT(ISERROR(SEARCH("ENVIADO",W527)))</formula>
    </cfRule>
  </conditionalFormatting>
  <conditionalFormatting sqref="W529:X529">
    <cfRule type="containsText" dxfId="46" priority="9" operator="containsText" text="EN REVISIÓN CENTRAL">
      <formula>NOT(ISERROR(SEARCH("EN REVISIÓN CENTRAL",W529)))</formula>
    </cfRule>
    <cfRule type="containsText" dxfId="48" priority="10" operator="containsText" text="ENVIADO A LA CE/UM">
      <formula>NOT(ISERROR(SEARCH("ENVIADO A LA CE/UM",W529)))</formula>
    </cfRule>
    <cfRule type="containsText" dxfId="47" priority="21" operator="containsText" text="EN PROCESO">
      <formula>NOT(ISERROR(SEARCH("EN PROCESO",W529)))</formula>
    </cfRule>
    <cfRule type="containsText" dxfId="45" priority="22" operator="containsText" text="ENVIADO">
      <formula>NOT(ISERROR(SEARCH("ENVIADO",W529)))</formula>
    </cfRule>
  </conditionalFormatting>
  <conditionalFormatting sqref="W564:X564">
    <cfRule type="containsText" dxfId="43" priority="411" operator="containsText" text="EN PROCESO">
      <formula>NOT(ISERROR(SEARCH("EN PROCESO",W564)))</formula>
    </cfRule>
    <cfRule type="containsText" dxfId="44" priority="412" operator="containsText" text="ENVIADO">
      <formula>NOT(ISERROR(SEARCH("ENVIADO",W564)))</formula>
    </cfRule>
  </conditionalFormatting>
  <conditionalFormatting sqref="W586:X586 W599:X599">
    <cfRule type="containsText" dxfId="41" priority="409" operator="containsText" text="EN PROCESO">
      <formula>NOT(ISERROR(SEARCH("EN PROCESO",W586)))</formula>
    </cfRule>
    <cfRule type="containsText" dxfId="42" priority="410" operator="containsText" text="ENVIADO">
      <formula>NOT(ISERROR(SEARCH("ENVIADO",W586)))</formula>
    </cfRule>
  </conditionalFormatting>
  <conditionalFormatting sqref="X41:X43">
    <cfRule type="containsText" dxfId="40" priority="439" operator="containsText" text="EN PROCESO">
      <formula>NOT(ISERROR(SEARCH("EN PROCESO",X41)))</formula>
    </cfRule>
    <cfRule type="containsText" dxfId="39" priority="440" operator="containsText" text="ENVIADO">
      <formula>NOT(ISERROR(SEARCH("ENVIADO",X41)))</formula>
    </cfRule>
    <cfRule type="containsText" dxfId="33" priority="441" operator="containsText" text="EN PROCESO">
      <formula>NOT(ISERROR(SEARCH("EN PROCESO",X41)))</formula>
    </cfRule>
    <cfRule type="containsText" dxfId="38" priority="442" operator="containsText" text="ENVIADO">
      <formula>NOT(ISERROR(SEARCH("ENVIADO",X41)))</formula>
    </cfRule>
    <cfRule type="containsText" dxfId="37" priority="443" operator="containsText" text="EN PROCESO">
      <formula>NOT(ISERROR(SEARCH("EN PROCESO",X41)))</formula>
    </cfRule>
    <cfRule type="containsText" dxfId="36" priority="444" operator="containsText" text="ENVIADO">
      <formula>NOT(ISERROR(SEARCH("ENVIADO",X41)))</formula>
    </cfRule>
    <cfRule type="containsText" dxfId="35" priority="445" operator="containsText" text="EN PROCESO">
      <formula>NOT(ISERROR(SEARCH("EN PROCESO",X41)))</formula>
    </cfRule>
    <cfRule type="containsText" dxfId="34" priority="446" operator="containsText" text="ENVIADO">
      <formula>NOT(ISERROR(SEARCH("ENVIADO",X41)))</formula>
    </cfRule>
  </conditionalFormatting>
  <conditionalFormatting sqref="X46 X63">
    <cfRule type="containsText" dxfId="31" priority="425" operator="containsText" text="EN PROCESO">
      <formula>NOT(ISERROR(SEARCH("EN PROCESO",X46)))</formula>
    </cfRule>
    <cfRule type="containsText" dxfId="32" priority="426" operator="containsText" text="ENVIADO">
      <formula>NOT(ISERROR(SEARCH("ENVIADO",X46)))</formula>
    </cfRule>
    <cfRule type="containsText" dxfId="30" priority="427" operator="containsText" text="EN PROCESO">
      <formula>NOT(ISERROR(SEARCH("EN PROCESO",X46)))</formula>
    </cfRule>
    <cfRule type="containsText" dxfId="29" priority="428" operator="containsText" text="ENVIADO">
      <formula>NOT(ISERROR(SEARCH("ENVIADO",X46)))</formula>
    </cfRule>
  </conditionalFormatting>
  <conditionalFormatting sqref="X146">
    <cfRule type="containsText" dxfId="28" priority="419" operator="containsText" text="EN PROCESO">
      <formula>NOT(ISERROR(SEARCH("EN PROCESO",X146)))</formula>
    </cfRule>
    <cfRule type="containsText" dxfId="27" priority="420" operator="containsText" text="ENVIADO">
      <formula>NOT(ISERROR(SEARCH("ENVIADO",X146)))</formula>
    </cfRule>
  </conditionalFormatting>
  <conditionalFormatting sqref="X146:X164">
    <cfRule type="containsText" dxfId="25" priority="417" operator="containsText" text="EN PROCESO">
      <formula>NOT(ISERROR(SEARCH("EN PROCESO",X146)))</formula>
    </cfRule>
    <cfRule type="containsText" dxfId="26" priority="418" operator="containsText" text="ENVIADO">
      <formula>NOT(ISERROR(SEARCH("ENVIADO",X146)))</formula>
    </cfRule>
  </conditionalFormatting>
  <conditionalFormatting sqref="X241:X276">
    <cfRule type="containsText" dxfId="23" priority="453" operator="containsText" text="EN PROCESO">
      <formula>NOT(ISERROR(SEARCH("EN PROCESO",X241)))</formula>
    </cfRule>
    <cfRule type="containsText" dxfId="24" priority="454" operator="containsText" text="ENVIADO">
      <formula>NOT(ISERROR(SEARCH("ENVIADO",X241)))</formula>
    </cfRule>
  </conditionalFormatting>
  <conditionalFormatting sqref="X266:X283">
    <cfRule type="containsText" dxfId="21" priority="451" operator="containsText" text="EN PROCESO">
      <formula>NOT(ISERROR(SEARCH("EN PROCESO",X266)))</formula>
    </cfRule>
    <cfRule type="containsText" dxfId="22" priority="452" operator="containsText" text="ENVIADO">
      <formula>NOT(ISERROR(SEARCH("ENVIADO",X266)))</formula>
    </cfRule>
  </conditionalFormatting>
  <conditionalFormatting sqref="X277:X283">
    <cfRule type="containsText" dxfId="19" priority="449" operator="containsText" text="EN PROCESO">
      <formula>NOT(ISERROR(SEARCH("EN PROCESO",X277)))</formula>
    </cfRule>
    <cfRule type="containsText" dxfId="20" priority="450" operator="containsText" text="ENVIADO">
      <formula>NOT(ISERROR(SEARCH("ENVIADO",X277)))</formula>
    </cfRule>
  </conditionalFormatting>
  <conditionalFormatting sqref="X292">
    <cfRule type="containsText" dxfId="18" priority="447" operator="containsText" text="EN PROCESO">
      <formula>NOT(ISERROR(SEARCH("EN PROCESO",X292)))</formula>
    </cfRule>
    <cfRule type="containsText" dxfId="17" priority="448" operator="containsText" text="ENVIADO">
      <formula>NOT(ISERROR(SEARCH("ENVIADO",X292)))</formula>
    </cfRule>
  </conditionalFormatting>
  <conditionalFormatting sqref="X292:X299">
    <cfRule type="containsText" dxfId="15" priority="191" operator="containsText" text="EN PROCESO">
      <formula>NOT(ISERROR(SEARCH("EN PROCESO",X292)))</formula>
    </cfRule>
    <cfRule type="containsText" dxfId="16" priority="192" operator="containsText" text="ENVIADO">
      <formula>NOT(ISERROR(SEARCH("ENVIADO",X292)))</formula>
    </cfRule>
  </conditionalFormatting>
  <conditionalFormatting sqref="X299:X301">
    <cfRule type="containsText" dxfId="13" priority="193" operator="containsText" text="EN PROCESO">
      <formula>NOT(ISERROR(SEARCH("EN PROCESO",X299)))</formula>
    </cfRule>
    <cfRule type="containsText" dxfId="14" priority="194" operator="containsText" text="ENVIADO">
      <formula>NOT(ISERROR(SEARCH("ENVIADO",X299)))</formula>
    </cfRule>
  </conditionalFormatting>
  <conditionalFormatting sqref="X529">
    <cfRule type="containsText" dxfId="12" priority="11" operator="containsText" text="EN PROCESO">
      <formula>NOT(ISERROR(SEARCH("EN PROCESO",X529)))</formula>
    </cfRule>
    <cfRule type="containsText" dxfId="11" priority="12" operator="containsText" text="ENVIADO">
      <formula>NOT(ISERROR(SEARCH("ENVIADO",X529)))</formula>
    </cfRule>
    <cfRule type="containsText" dxfId="10" priority="13" operator="containsText" text="EN PROCESO">
      <formula>NOT(ISERROR(SEARCH("EN PROCESO",X529)))</formula>
    </cfRule>
    <cfRule type="containsText" dxfId="9" priority="14" operator="containsText" text="ENVIADO">
      <formula>NOT(ISERROR(SEARCH("ENVIADO",X529)))</formula>
    </cfRule>
    <cfRule type="containsText" dxfId="8" priority="15" operator="containsText" text="EN PROCESO">
      <formula>NOT(ISERROR(SEARCH("EN PROCESO",X529)))</formula>
    </cfRule>
    <cfRule type="containsText" dxfId="7" priority="16" operator="containsText" text="ENVIADO">
      <formula>NOT(ISERROR(SEARCH("ENVIADO",X529)))</formula>
    </cfRule>
    <cfRule type="containsText" dxfId="6" priority="17" operator="containsText" text="EN PROCESO">
      <formula>NOT(ISERROR(SEARCH("EN PROCESO",X529)))</formula>
    </cfRule>
    <cfRule type="containsText" dxfId="5" priority="18" operator="containsText" text="ENVIADO">
      <formula>NOT(ISERROR(SEARCH("ENVIADO",X529)))</formula>
    </cfRule>
    <cfRule type="containsText" dxfId="4" priority="19" operator="containsText" text="EN PROCESO">
      <formula>NOT(ISERROR(SEARCH("EN PROCESO",X529)))</formula>
    </cfRule>
    <cfRule type="containsText" dxfId="3" priority="20" operator="containsText" text="ENVIADO">
      <formula>NOT(ISERROR(SEARCH("ENVIADO",X529)))</formula>
    </cfRule>
  </conditionalFormatting>
  <conditionalFormatting sqref="Y2:Y613">
    <cfRule type="containsText" dxfId="2" priority="467" operator="containsText" text="CONCLUIDAS">
      <formula>NOT(ISERROR(SEARCH("CONCLUIDAS",Y2)))</formula>
    </cfRule>
    <cfRule type="containsText" dxfId="1" priority="468" operator="containsText" text="PROGRAMADAS">
      <formula>NOT(ISERROR(SEARCH("PROGRAMADAS",Y2)))</formula>
    </cfRule>
  </conditionalFormatting>
  <conditionalFormatting sqref="Z2:AA613 W610">
    <cfRule type="containsText" dxfId="0" priority="466" operator="containsText" text="NO">
      <formula>NOT(ISERROR(SEARCH("NO",W2)))</formula>
    </cfRule>
  </conditionalFormatting>
  <dataValidations count="11">
    <dataValidation type="list" allowBlank="1" showInputMessage="1" showErrorMessage="1" sqref="T610 V286:V287" xr:uid="{01ADFEBA-94EB-4C17-A3CA-47C199533DF0}">
      <formula1>"ENVIADO A LA CE/UM,EN REVISIÓN CENTRAL,CONCLUIDO"</formula1>
    </dataValidation>
    <dataValidation type="list" allowBlank="1" showInputMessage="1" showErrorMessage="1" sqref="R610 T611:T613 T96:T97 T99 T103 T609 T293:T294 T296 T298:T302 T304 T306 T308 T315:T328 T338:T384 T522:T540 T542:T543 T546 T548:T565 T386:T445 T607 T64:T92 T113:T114 T107:T108 T602 T156:T291 T453:T516" xr:uid="{A9CA852C-D151-44A6-BE59-5EBAF6E35C57}">
      <formula1>"EN PROCESO,CONCLUIDO"</formula1>
    </dataValidation>
    <dataValidation type="list" allowBlank="1" showInputMessage="1" showErrorMessage="1" sqref="Q610 S2:S613" xr:uid="{810A1A09-ECD4-4BCE-B678-CA41B4657867}">
      <formula1>"ENVIADO A LA CE/UM,ENTREGADO/REVISIÓN,ENVIADO A TICS"</formula1>
    </dataValidation>
    <dataValidation type="list" allowBlank="1" showInputMessage="1" showErrorMessage="1" sqref="Y2:Y613" xr:uid="{23207C50-9308-4557-88CB-AA065459C1C3}">
      <formula1>"PROGRAMADAS,CONCLUIDAS"</formula1>
    </dataValidation>
    <dataValidation type="list" allowBlank="1" showInputMessage="1" showErrorMessage="1" sqref="U64:U88 U97:V97 U99:V99 U243:U291 U229:U238 U567:U580 U319 U433:V439 V156:V285 V532:V545 U533:U540 U542:U543 U546:V546 U565:V565 U547:U563 U592:U595 U597:U603 U605:U606 U52:U62 U108:V108 U301:V301 U50 V547:V564 U608 U612:V613 U610 V98 V100:V107 V2:V96 V288:V300 U582:U589 U399:V411 U156:U222 V440:V508 V109:V114 U343 V302:V343 U440:U445 W7 V566:V611 U456:U483 U485:U508" xr:uid="{572822A8-7345-45F9-BA57-B63738A546AF}">
      <formula1>"ENVIADO A LA CE/UM,EN REVISIÓN CENTRAL,CONCLUIDO,NO APLICA"</formula1>
    </dataValidation>
    <dataValidation type="list" allowBlank="1" showInputMessage="1" showErrorMessage="1" sqref="U100:U107 U51 U63 U89:U96 U98 U320:U342 U223:U228 U239:U242 U292:U300 U344:V398 U302:U318 V115:V155 U446:U455 U484 U611 U109:U155 U531:U532 U541 U544:U545 U2:U49 U564 U566 U581 U590:U591 U596 U604 U607 U609 U412:V432 U509:V530 V531 W511:X511 W514:X514 W520:X521 W523:X523 W527:X527 W529:X529" xr:uid="{EF1A7F6A-C4B9-4248-9185-82F1EA4339D0}">
      <formula1>"ENVIADO A LA CE/UM,EN REVISIÓN CENTRAL,CONCLUIDO, NO APLICA"</formula1>
    </dataValidation>
    <dataValidation type="list" allowBlank="1" showInputMessage="1" showErrorMessage="1" sqref="AA2:AA613" xr:uid="{8E8A4818-60EF-47BD-8470-A815C958B9E4}">
      <formula1>"SI,NO,NO APLICA"</formula1>
    </dataValidation>
    <dataValidation type="list" allowBlank="1" showInputMessage="1" showErrorMessage="1" sqref="W49:W222 W530:W613 W528 W512:W513 W515:W519 W522 W524:W526 W224:W510 X399:X423" xr:uid="{A9094B11-5FBC-45F2-B0DE-22B662809B7C}">
      <formula1>"EN PROCESO,CONCLUIDO,NO APLICA"</formula1>
    </dataValidation>
    <dataValidation type="list" allowBlank="1" showInputMessage="1" showErrorMessage="1" sqref="W2:W6 W8:W48" xr:uid="{8D635C5B-DB78-45DE-B40D-C97224FC93EF}">
      <formula1>" EN PROCESO,CONCLUIDO,NO APLICA"</formula1>
    </dataValidation>
    <dataValidation type="list" allowBlank="1" showInputMessage="1" showErrorMessage="1" sqref="T608 T98 T100:T102 T104:T106 T109:T112 T292 T295 T297 T303 T305 T307 T309:T314 T329:T337 T385 W223 T517:T521 T541 T544:T545 T547 T566:T601 T93:T95 T446:T452 T115:T155 T2:T63 T603:T606 X424:X510 X530:X613 X528 X512:X513 X515:X519 X522 X524:X526 X2:X398" xr:uid="{250D03CA-C2E5-40AB-903E-4697DAB48E21}">
      <formula1>"EN PROCESO,CONCLUIDO, NO APLICA"</formula1>
    </dataValidation>
    <dataValidation type="list" allowBlank="1" showInputMessage="1" showErrorMessage="1" sqref="Z2:Z613" xr:uid="{74384A7B-CF88-4A96-A28D-2951333AC302}">
      <formula1>"SI,NO, NO APLICA"</formula1>
    </dataValidation>
  </dataValidations>
  <pageMargins left="0.7" right="0.7" top="0.75" bottom="0.75" header="0.3" footer="0.3"/>
  <pageSetup orientation="portrait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34A0EC5-E78B-4B5B-A287-78B76FB31DC7}">
            <x14:dataBar minLength="0" maxLength="100" border="1" direction="leftToRight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0062268D-0DC0-4DD5-B2E3-BD5D26B864B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AC2:AC613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01704A-208C-40E8-AC1E-42141A9C0459}">
  <dimension ref="A1:H29"/>
  <sheetViews>
    <sheetView topLeftCell="B1" workbookViewId="0">
      <selection activeCell="F1" sqref="F1"/>
    </sheetView>
  </sheetViews>
  <sheetFormatPr baseColWidth="10" defaultRowHeight="14.4" x14ac:dyDescent="0.3"/>
  <cols>
    <col min="1" max="1" width="3.109375" bestFit="1" customWidth="1"/>
    <col min="2" max="2" width="16.109375" customWidth="1"/>
    <col min="3" max="3" width="15.21875" customWidth="1"/>
    <col min="4" max="4" width="20.109375" customWidth="1"/>
    <col min="5" max="5" width="15.88671875" bestFit="1" customWidth="1"/>
    <col min="6" max="6" width="14.77734375" bestFit="1" customWidth="1"/>
    <col min="7" max="7" width="17.33203125" customWidth="1"/>
  </cols>
  <sheetData>
    <row r="1" spans="1:8" ht="26.4" x14ac:dyDescent="0.3">
      <c r="A1" s="41" t="s">
        <v>1797</v>
      </c>
      <c r="B1" s="41" t="s">
        <v>2</v>
      </c>
      <c r="C1" s="43" t="s">
        <v>1789</v>
      </c>
      <c r="D1" s="42" t="s">
        <v>1790</v>
      </c>
      <c r="E1" s="44" t="s">
        <v>1791</v>
      </c>
      <c r="F1" s="126" t="s">
        <v>1792</v>
      </c>
      <c r="G1" s="42" t="s">
        <v>1793</v>
      </c>
      <c r="H1" s="45" t="s">
        <v>1794</v>
      </c>
    </row>
    <row r="2" spans="1:8" ht="15" x14ac:dyDescent="0.35">
      <c r="A2" s="55">
        <v>1</v>
      </c>
      <c r="B2" s="106" t="s">
        <v>149</v>
      </c>
      <c r="C2" s="107">
        <v>395</v>
      </c>
      <c r="D2" s="127">
        <v>95</v>
      </c>
      <c r="E2" s="108">
        <v>58</v>
      </c>
      <c r="F2" s="128">
        <v>0</v>
      </c>
      <c r="G2" s="108">
        <v>49</v>
      </c>
      <c r="H2" s="127">
        <v>15</v>
      </c>
    </row>
    <row r="3" spans="1:8" ht="15" x14ac:dyDescent="0.35">
      <c r="A3" s="55">
        <v>2</v>
      </c>
      <c r="B3" s="106" t="s">
        <v>954</v>
      </c>
      <c r="C3" s="109">
        <v>722</v>
      </c>
      <c r="D3" s="127">
        <v>722</v>
      </c>
      <c r="E3" s="108">
        <v>97</v>
      </c>
      <c r="F3" s="128">
        <v>0</v>
      </c>
      <c r="G3" s="109">
        <v>245</v>
      </c>
      <c r="H3" s="127">
        <v>245</v>
      </c>
    </row>
    <row r="4" spans="1:8" ht="15" x14ac:dyDescent="0.35">
      <c r="A4" s="55">
        <v>3</v>
      </c>
      <c r="B4" s="110" t="s">
        <v>1858</v>
      </c>
      <c r="C4" s="109">
        <v>0</v>
      </c>
      <c r="D4" s="127">
        <v>0</v>
      </c>
      <c r="E4" s="109">
        <v>104</v>
      </c>
      <c r="F4" s="127">
        <v>104</v>
      </c>
      <c r="G4" s="109">
        <v>106</v>
      </c>
      <c r="H4" s="127">
        <v>106</v>
      </c>
    </row>
    <row r="5" spans="1:8" ht="15" x14ac:dyDescent="0.35">
      <c r="A5" s="55">
        <v>4</v>
      </c>
      <c r="B5" s="106" t="s">
        <v>708</v>
      </c>
      <c r="C5" s="108">
        <v>0</v>
      </c>
      <c r="D5" s="128">
        <v>0</v>
      </c>
      <c r="E5" s="108">
        <v>21</v>
      </c>
      <c r="F5" s="128">
        <v>15</v>
      </c>
      <c r="G5" s="109">
        <v>60</v>
      </c>
      <c r="H5" s="127">
        <v>60</v>
      </c>
    </row>
    <row r="6" spans="1:8" ht="15" x14ac:dyDescent="0.35">
      <c r="A6" s="56">
        <v>5</v>
      </c>
      <c r="B6" s="110" t="s">
        <v>1859</v>
      </c>
      <c r="C6" s="111">
        <v>1438</v>
      </c>
      <c r="D6" s="127">
        <v>700</v>
      </c>
      <c r="E6" s="111">
        <v>216</v>
      </c>
      <c r="F6" s="127">
        <v>216</v>
      </c>
      <c r="G6" s="109">
        <v>221</v>
      </c>
      <c r="H6" s="127">
        <v>221</v>
      </c>
    </row>
    <row r="7" spans="1:8" ht="15" x14ac:dyDescent="0.35">
      <c r="A7" s="56">
        <v>6</v>
      </c>
      <c r="B7" s="110" t="s">
        <v>1860</v>
      </c>
      <c r="C7" s="111">
        <v>1249</v>
      </c>
      <c r="D7" s="127">
        <v>349</v>
      </c>
      <c r="E7" s="111">
        <v>188</v>
      </c>
      <c r="F7" s="127">
        <v>188</v>
      </c>
      <c r="G7" s="109">
        <v>170</v>
      </c>
      <c r="H7" s="127">
        <v>170</v>
      </c>
    </row>
    <row r="8" spans="1:8" ht="15" x14ac:dyDescent="0.35">
      <c r="A8" s="55">
        <v>7</v>
      </c>
      <c r="B8" s="106" t="s">
        <v>172</v>
      </c>
      <c r="C8" s="108">
        <v>510</v>
      </c>
      <c r="D8" s="127">
        <v>200</v>
      </c>
      <c r="E8" s="108">
        <v>67</v>
      </c>
      <c r="F8" s="128">
        <v>0</v>
      </c>
      <c r="G8" s="108">
        <v>0</v>
      </c>
      <c r="H8" s="128">
        <v>0</v>
      </c>
    </row>
    <row r="9" spans="1:8" ht="15" x14ac:dyDescent="0.35">
      <c r="A9" s="55">
        <v>8</v>
      </c>
      <c r="B9" s="106" t="s">
        <v>886</v>
      </c>
      <c r="C9" s="108">
        <v>347</v>
      </c>
      <c r="D9" s="127">
        <v>347</v>
      </c>
      <c r="E9" s="108">
        <v>35</v>
      </c>
      <c r="F9" s="128">
        <v>0</v>
      </c>
      <c r="G9" s="108">
        <v>0</v>
      </c>
      <c r="H9" s="128">
        <v>0</v>
      </c>
    </row>
    <row r="10" spans="1:8" ht="15" x14ac:dyDescent="0.35">
      <c r="A10" s="55">
        <v>9</v>
      </c>
      <c r="B10" s="106" t="s">
        <v>440</v>
      </c>
      <c r="C10" s="108">
        <v>175</v>
      </c>
      <c r="D10" s="127">
        <v>175</v>
      </c>
      <c r="E10" s="108">
        <v>51</v>
      </c>
      <c r="F10" s="127">
        <v>51</v>
      </c>
      <c r="G10" s="109">
        <v>18</v>
      </c>
      <c r="H10" s="127">
        <v>18</v>
      </c>
    </row>
    <row r="11" spans="1:8" ht="15" x14ac:dyDescent="0.35">
      <c r="A11" s="55">
        <v>10</v>
      </c>
      <c r="B11" s="106" t="s">
        <v>837</v>
      </c>
      <c r="C11" s="109">
        <v>486</v>
      </c>
      <c r="D11" s="127">
        <v>486</v>
      </c>
      <c r="E11" s="108">
        <v>77</v>
      </c>
      <c r="F11" s="128">
        <v>0</v>
      </c>
      <c r="G11" s="108">
        <v>0</v>
      </c>
      <c r="H11" s="128">
        <v>0</v>
      </c>
    </row>
    <row r="12" spans="1:8" ht="15" x14ac:dyDescent="0.35">
      <c r="A12" s="55">
        <v>11</v>
      </c>
      <c r="B12" s="106" t="s">
        <v>755</v>
      </c>
      <c r="C12" s="108">
        <v>332</v>
      </c>
      <c r="D12" s="127">
        <v>332</v>
      </c>
      <c r="E12" s="108">
        <v>25</v>
      </c>
      <c r="F12" s="128">
        <v>17</v>
      </c>
      <c r="G12" s="109">
        <v>20</v>
      </c>
      <c r="H12" s="127">
        <v>20</v>
      </c>
    </row>
    <row r="13" spans="1:8" ht="15" x14ac:dyDescent="0.35">
      <c r="A13" s="55">
        <v>12</v>
      </c>
      <c r="B13" s="106" t="s">
        <v>628</v>
      </c>
      <c r="C13" s="108">
        <v>468</v>
      </c>
      <c r="D13" s="128">
        <v>0</v>
      </c>
      <c r="E13" s="108">
        <v>63</v>
      </c>
      <c r="F13" s="128">
        <v>0</v>
      </c>
      <c r="G13" s="109">
        <v>113</v>
      </c>
      <c r="H13" s="127">
        <v>113</v>
      </c>
    </row>
    <row r="14" spans="1:8" ht="15" x14ac:dyDescent="0.35">
      <c r="A14" s="55">
        <v>13</v>
      </c>
      <c r="B14" s="106" t="s">
        <v>187</v>
      </c>
      <c r="C14" s="108">
        <v>138</v>
      </c>
      <c r="D14" s="128">
        <v>0</v>
      </c>
      <c r="E14" s="108">
        <v>31</v>
      </c>
      <c r="F14" s="128">
        <v>0</v>
      </c>
      <c r="G14" s="109">
        <v>100</v>
      </c>
      <c r="H14" s="127">
        <v>103</v>
      </c>
    </row>
    <row r="15" spans="1:8" ht="15" x14ac:dyDescent="0.35">
      <c r="A15" s="55">
        <v>14</v>
      </c>
      <c r="B15" s="106" t="s">
        <v>450</v>
      </c>
      <c r="C15" s="108">
        <v>507</v>
      </c>
      <c r="D15" s="128">
        <v>0</v>
      </c>
      <c r="E15" s="108">
        <v>61</v>
      </c>
      <c r="F15" s="128">
        <v>0</v>
      </c>
      <c r="G15" s="109">
        <v>36</v>
      </c>
      <c r="H15" s="127">
        <v>36</v>
      </c>
    </row>
    <row r="16" spans="1:8" ht="15" x14ac:dyDescent="0.35">
      <c r="A16" s="55">
        <v>15</v>
      </c>
      <c r="B16" s="106" t="s">
        <v>647</v>
      </c>
      <c r="C16" s="108">
        <v>742</v>
      </c>
      <c r="D16" s="128">
        <v>0</v>
      </c>
      <c r="E16" s="108">
        <v>26</v>
      </c>
      <c r="F16" s="128">
        <v>0</v>
      </c>
      <c r="G16" s="108">
        <v>197</v>
      </c>
      <c r="H16" s="127">
        <v>197</v>
      </c>
    </row>
    <row r="17" spans="1:8" ht="15" x14ac:dyDescent="0.35">
      <c r="A17" s="55">
        <v>16</v>
      </c>
      <c r="B17" s="106" t="s">
        <v>724</v>
      </c>
      <c r="C17" s="108">
        <v>185</v>
      </c>
      <c r="D17" s="127">
        <v>185</v>
      </c>
      <c r="E17" s="108">
        <v>135</v>
      </c>
      <c r="F17" s="128">
        <v>99</v>
      </c>
      <c r="G17" s="109">
        <v>244</v>
      </c>
      <c r="H17" s="127">
        <v>244</v>
      </c>
    </row>
    <row r="18" spans="1:8" ht="15" x14ac:dyDescent="0.35">
      <c r="A18" s="55">
        <v>17</v>
      </c>
      <c r="B18" s="106" t="s">
        <v>418</v>
      </c>
      <c r="C18" s="108">
        <v>1165</v>
      </c>
      <c r="D18" s="128">
        <v>0</v>
      </c>
      <c r="E18" s="108">
        <v>162</v>
      </c>
      <c r="F18" s="128">
        <v>3</v>
      </c>
      <c r="G18" s="108">
        <v>0</v>
      </c>
      <c r="H18" s="128">
        <v>0</v>
      </c>
    </row>
    <row r="19" spans="1:8" ht="15" x14ac:dyDescent="0.35">
      <c r="A19" s="55">
        <v>18</v>
      </c>
      <c r="B19" s="106" t="s">
        <v>672</v>
      </c>
      <c r="C19" s="108">
        <v>1106</v>
      </c>
      <c r="D19" s="128">
        <v>0</v>
      </c>
      <c r="E19" s="108">
        <v>154</v>
      </c>
      <c r="F19" s="128">
        <v>0</v>
      </c>
      <c r="G19" s="108">
        <v>0</v>
      </c>
      <c r="H19" s="128">
        <v>0</v>
      </c>
    </row>
    <row r="20" spans="1:8" ht="15" x14ac:dyDescent="0.35">
      <c r="A20" s="55">
        <v>19</v>
      </c>
      <c r="B20" s="106" t="s">
        <v>159</v>
      </c>
      <c r="C20" s="108">
        <v>396</v>
      </c>
      <c r="D20" s="128">
        <v>0</v>
      </c>
      <c r="E20" s="108">
        <v>125</v>
      </c>
      <c r="F20" s="128">
        <v>15</v>
      </c>
      <c r="G20" s="108">
        <v>48</v>
      </c>
      <c r="H20" s="127">
        <v>48</v>
      </c>
    </row>
    <row r="21" spans="1:8" ht="15" x14ac:dyDescent="0.35">
      <c r="A21" s="55">
        <v>20</v>
      </c>
      <c r="B21" s="106" t="s">
        <v>229</v>
      </c>
      <c r="C21" s="108">
        <v>727</v>
      </c>
      <c r="D21" s="128">
        <v>0</v>
      </c>
      <c r="E21" s="108">
        <v>223</v>
      </c>
      <c r="F21" s="128">
        <v>0</v>
      </c>
      <c r="G21" s="108">
        <v>34</v>
      </c>
      <c r="H21" s="127">
        <v>34</v>
      </c>
    </row>
    <row r="22" spans="1:8" ht="15" x14ac:dyDescent="0.35">
      <c r="A22" s="55">
        <v>21</v>
      </c>
      <c r="B22" s="106" t="s">
        <v>477</v>
      </c>
      <c r="C22" s="108">
        <v>1351</v>
      </c>
      <c r="D22" s="128">
        <v>0</v>
      </c>
      <c r="E22" s="108">
        <v>175</v>
      </c>
      <c r="F22" s="128">
        <v>0</v>
      </c>
      <c r="G22" s="108">
        <v>86</v>
      </c>
      <c r="H22" s="127">
        <v>86</v>
      </c>
    </row>
    <row r="23" spans="1:8" ht="15" x14ac:dyDescent="0.35">
      <c r="A23" s="55">
        <v>22</v>
      </c>
      <c r="B23" s="106" t="s">
        <v>535</v>
      </c>
      <c r="C23" s="108">
        <v>2446</v>
      </c>
      <c r="D23" s="128">
        <v>0</v>
      </c>
      <c r="E23" s="108">
        <v>317</v>
      </c>
      <c r="F23" s="128">
        <v>301</v>
      </c>
      <c r="G23" s="108">
        <v>521</v>
      </c>
      <c r="H23" s="127">
        <v>521</v>
      </c>
    </row>
    <row r="24" spans="1:8" ht="15" x14ac:dyDescent="0.35">
      <c r="A24" s="55">
        <v>23</v>
      </c>
      <c r="B24" s="106" t="s">
        <v>218</v>
      </c>
      <c r="C24" s="108">
        <v>2583</v>
      </c>
      <c r="D24" s="128">
        <v>0</v>
      </c>
      <c r="E24" s="108">
        <v>355</v>
      </c>
      <c r="F24" s="128">
        <v>0</v>
      </c>
      <c r="G24" s="108">
        <v>324</v>
      </c>
      <c r="H24" s="127">
        <v>324</v>
      </c>
    </row>
    <row r="25" spans="1:8" ht="15" x14ac:dyDescent="0.35">
      <c r="A25" s="56">
        <v>24</v>
      </c>
      <c r="B25" s="110" t="s">
        <v>1861</v>
      </c>
      <c r="C25" s="111">
        <v>674</v>
      </c>
      <c r="D25" s="129">
        <v>0</v>
      </c>
      <c r="E25" s="111">
        <v>82</v>
      </c>
      <c r="F25" s="132">
        <v>71</v>
      </c>
      <c r="G25" s="111">
        <v>70</v>
      </c>
      <c r="H25" s="131">
        <v>70</v>
      </c>
    </row>
    <row r="26" spans="1:8" ht="15" x14ac:dyDescent="0.35">
      <c r="A26" s="56">
        <v>25</v>
      </c>
      <c r="B26" s="110" t="s">
        <v>1862</v>
      </c>
      <c r="C26" s="111">
        <v>1873</v>
      </c>
      <c r="D26" s="129">
        <v>0</v>
      </c>
      <c r="E26" s="111">
        <v>269</v>
      </c>
      <c r="F26" s="132">
        <v>119</v>
      </c>
      <c r="G26" s="111">
        <v>441</v>
      </c>
      <c r="H26" s="129">
        <v>224</v>
      </c>
    </row>
    <row r="27" spans="1:8" ht="15" x14ac:dyDescent="0.35">
      <c r="A27" s="55">
        <v>26</v>
      </c>
      <c r="B27" s="106" t="s">
        <v>1716</v>
      </c>
      <c r="C27" s="108">
        <v>0</v>
      </c>
      <c r="D27" s="128">
        <v>0</v>
      </c>
      <c r="E27" s="108">
        <v>6</v>
      </c>
      <c r="F27" s="128">
        <v>0</v>
      </c>
      <c r="G27" s="108">
        <v>0</v>
      </c>
      <c r="H27" s="128">
        <v>0</v>
      </c>
    </row>
    <row r="28" spans="1:8" ht="15" x14ac:dyDescent="0.35">
      <c r="A28" s="55">
        <v>27</v>
      </c>
      <c r="B28" s="110" t="s">
        <v>1863</v>
      </c>
      <c r="C28" s="109">
        <v>114</v>
      </c>
      <c r="D28" s="127">
        <v>114</v>
      </c>
      <c r="E28" s="111">
        <v>0</v>
      </c>
      <c r="F28" s="132"/>
      <c r="G28" s="109">
        <v>52</v>
      </c>
      <c r="H28" s="127">
        <v>52</v>
      </c>
    </row>
    <row r="29" spans="1:8" ht="15" x14ac:dyDescent="0.35">
      <c r="B29" s="106" t="s">
        <v>26</v>
      </c>
      <c r="C29" s="109">
        <v>1000</v>
      </c>
      <c r="D29" s="130">
        <v>1000</v>
      </c>
      <c r="E29" s="108">
        <v>39</v>
      </c>
      <c r="F29" s="133">
        <v>34</v>
      </c>
      <c r="G29" s="109">
        <v>698</v>
      </c>
      <c r="H29" s="130">
        <v>698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8068D6-1448-49B2-A2BE-984798C98292}">
  <dimension ref="A1:AB611"/>
  <sheetViews>
    <sheetView workbookViewId="0">
      <selection sqref="A1:AB611"/>
    </sheetView>
  </sheetViews>
  <sheetFormatPr baseColWidth="10" defaultRowHeight="14.4" x14ac:dyDescent="0.3"/>
  <sheetData>
    <row r="1" spans="1:28" ht="39.6" x14ac:dyDescent="0.3">
      <c r="A1" s="1" t="s">
        <v>0</v>
      </c>
      <c r="B1" s="1" t="s">
        <v>1</v>
      </c>
      <c r="C1" s="1" t="s">
        <v>2</v>
      </c>
      <c r="D1" s="1" t="s">
        <v>1772</v>
      </c>
      <c r="E1" s="1" t="s">
        <v>3</v>
      </c>
      <c r="F1" s="1" t="s">
        <v>4</v>
      </c>
      <c r="G1" s="1" t="s">
        <v>5</v>
      </c>
      <c r="H1" s="1" t="s">
        <v>1761</v>
      </c>
      <c r="I1" s="1" t="s">
        <v>6</v>
      </c>
      <c r="J1" s="1" t="s">
        <v>7</v>
      </c>
      <c r="K1" s="1" t="s">
        <v>8</v>
      </c>
      <c r="L1" s="1" t="s">
        <v>1762</v>
      </c>
      <c r="M1" s="1" t="s">
        <v>9</v>
      </c>
      <c r="N1" s="1" t="s">
        <v>10</v>
      </c>
      <c r="O1" s="1" t="s">
        <v>11</v>
      </c>
      <c r="P1" s="1" t="s">
        <v>1763</v>
      </c>
      <c r="Q1" s="1" t="s">
        <v>12</v>
      </c>
      <c r="R1" s="1" t="s">
        <v>13</v>
      </c>
      <c r="S1" s="2" t="s">
        <v>14</v>
      </c>
      <c r="T1" s="2" t="s">
        <v>15</v>
      </c>
      <c r="U1" s="2" t="s">
        <v>16</v>
      </c>
      <c r="V1" s="2" t="s">
        <v>17</v>
      </c>
      <c r="W1" s="3" t="s">
        <v>18</v>
      </c>
      <c r="X1" s="3" t="s">
        <v>19</v>
      </c>
      <c r="Y1" s="3" t="s">
        <v>20</v>
      </c>
      <c r="Z1" s="3" t="s">
        <v>21</v>
      </c>
      <c r="AA1" s="4" t="s">
        <v>22</v>
      </c>
      <c r="AB1" s="5" t="s">
        <v>23</v>
      </c>
    </row>
    <row r="2" spans="1:28" x14ac:dyDescent="0.3">
      <c r="A2" s="6" t="s">
        <v>97</v>
      </c>
      <c r="B2" s="7" t="s">
        <v>25</v>
      </c>
      <c r="C2" s="33" t="s">
        <v>26</v>
      </c>
      <c r="D2" s="33" t="s">
        <v>1775</v>
      </c>
      <c r="E2" s="6" t="s">
        <v>98</v>
      </c>
      <c r="F2" s="6" t="s">
        <v>99</v>
      </c>
      <c r="G2" s="9" t="s">
        <v>29</v>
      </c>
      <c r="H2" s="7">
        <v>1</v>
      </c>
      <c r="I2" s="6" t="s">
        <v>30</v>
      </c>
      <c r="J2" s="6" t="s">
        <v>31</v>
      </c>
      <c r="K2" s="6" t="s">
        <v>32</v>
      </c>
      <c r="L2" s="6" t="s">
        <v>1755</v>
      </c>
      <c r="M2" s="6" t="s">
        <v>33</v>
      </c>
      <c r="N2" s="10">
        <v>9</v>
      </c>
      <c r="O2" s="11">
        <v>2</v>
      </c>
      <c r="P2" s="12">
        <v>8</v>
      </c>
      <c r="Q2" s="13">
        <v>17.407516000000001</v>
      </c>
      <c r="R2" s="13">
        <v>-93.335205000000002</v>
      </c>
      <c r="S2" s="14" t="s">
        <v>34</v>
      </c>
      <c r="T2" s="14" t="s">
        <v>35</v>
      </c>
      <c r="U2" s="14" t="s">
        <v>35</v>
      </c>
      <c r="V2" s="14" t="s">
        <v>35</v>
      </c>
      <c r="W2" s="14" t="s">
        <v>35</v>
      </c>
      <c r="X2" s="14" t="s">
        <v>36</v>
      </c>
      <c r="Y2" s="14" t="s">
        <v>74</v>
      </c>
      <c r="Z2" s="14" t="s">
        <v>37</v>
      </c>
      <c r="AA2" s="15"/>
      <c r="AB2" s="16">
        <v>0.875</v>
      </c>
    </row>
    <row r="3" spans="1:28" x14ac:dyDescent="0.3">
      <c r="A3" s="6" t="s">
        <v>24</v>
      </c>
      <c r="B3" s="7" t="s">
        <v>25</v>
      </c>
      <c r="C3" s="34" t="s">
        <v>26</v>
      </c>
      <c r="D3" s="33" t="s">
        <v>1775</v>
      </c>
      <c r="E3" s="6" t="s">
        <v>27</v>
      </c>
      <c r="F3" s="6" t="s">
        <v>28</v>
      </c>
      <c r="G3" s="6" t="s">
        <v>29</v>
      </c>
      <c r="H3" s="7">
        <v>1</v>
      </c>
      <c r="I3" s="6" t="s">
        <v>30</v>
      </c>
      <c r="J3" s="6" t="s">
        <v>31</v>
      </c>
      <c r="K3" s="6" t="s">
        <v>32</v>
      </c>
      <c r="L3" s="6" t="s">
        <v>1755</v>
      </c>
      <c r="M3" s="6" t="s">
        <v>33</v>
      </c>
      <c r="N3" s="10">
        <v>7</v>
      </c>
      <c r="O3" s="11">
        <v>2</v>
      </c>
      <c r="P3" s="12">
        <v>23</v>
      </c>
      <c r="Q3" s="13">
        <v>16.556405000000002</v>
      </c>
      <c r="R3" s="13">
        <v>-92.815190999999999</v>
      </c>
      <c r="S3" s="14" t="s">
        <v>34</v>
      </c>
      <c r="T3" s="14" t="s">
        <v>35</v>
      </c>
      <c r="U3" s="14" t="s">
        <v>35</v>
      </c>
      <c r="V3" s="14" t="s">
        <v>35</v>
      </c>
      <c r="W3" s="14" t="s">
        <v>35</v>
      </c>
      <c r="X3" s="14" t="s">
        <v>36</v>
      </c>
      <c r="Y3" s="14" t="s">
        <v>37</v>
      </c>
      <c r="Z3" s="14" t="s">
        <v>37</v>
      </c>
      <c r="AA3" s="15"/>
      <c r="AB3" s="16">
        <v>1</v>
      </c>
    </row>
    <row r="4" spans="1:28" x14ac:dyDescent="0.3">
      <c r="A4" s="6" t="s">
        <v>38</v>
      </c>
      <c r="B4" s="7" t="s">
        <v>25</v>
      </c>
      <c r="C4" s="34" t="s">
        <v>26</v>
      </c>
      <c r="D4" s="33" t="s">
        <v>1775</v>
      </c>
      <c r="E4" s="6" t="s">
        <v>39</v>
      </c>
      <c r="F4" s="6" t="s">
        <v>40</v>
      </c>
      <c r="G4" s="6" t="s">
        <v>29</v>
      </c>
      <c r="H4" s="7">
        <v>1</v>
      </c>
      <c r="I4" s="6" t="s">
        <v>30</v>
      </c>
      <c r="J4" s="6" t="s">
        <v>31</v>
      </c>
      <c r="K4" s="6" t="s">
        <v>32</v>
      </c>
      <c r="L4" s="6" t="s">
        <v>1755</v>
      </c>
      <c r="M4" s="6" t="s">
        <v>33</v>
      </c>
      <c r="N4" s="10">
        <v>3</v>
      </c>
      <c r="O4" s="11">
        <v>2</v>
      </c>
      <c r="P4" s="12">
        <v>19</v>
      </c>
      <c r="Q4" s="13">
        <v>15.872464000000001</v>
      </c>
      <c r="R4" s="13">
        <v>-92.716949999999997</v>
      </c>
      <c r="S4" s="14" t="s">
        <v>34</v>
      </c>
      <c r="T4" s="14" t="s">
        <v>35</v>
      </c>
      <c r="U4" s="14" t="s">
        <v>35</v>
      </c>
      <c r="V4" s="14" t="s">
        <v>35</v>
      </c>
      <c r="W4" s="14" t="s">
        <v>35</v>
      </c>
      <c r="X4" s="14" t="s">
        <v>36</v>
      </c>
      <c r="Y4" s="14" t="s">
        <v>37</v>
      </c>
      <c r="Z4" s="14" t="s">
        <v>37</v>
      </c>
      <c r="AA4" s="15"/>
      <c r="AB4" s="16">
        <v>1</v>
      </c>
    </row>
    <row r="5" spans="1:28" x14ac:dyDescent="0.3">
      <c r="A5" s="6" t="s">
        <v>41</v>
      </c>
      <c r="B5" s="7" t="s">
        <v>25</v>
      </c>
      <c r="C5" s="34" t="s">
        <v>26</v>
      </c>
      <c r="D5" s="33" t="s">
        <v>1775</v>
      </c>
      <c r="E5" s="6" t="s">
        <v>42</v>
      </c>
      <c r="F5" s="6" t="s">
        <v>43</v>
      </c>
      <c r="G5" s="6" t="s">
        <v>29</v>
      </c>
      <c r="H5" s="7">
        <v>1</v>
      </c>
      <c r="I5" s="6" t="s">
        <v>30</v>
      </c>
      <c r="J5" s="6" t="s">
        <v>31</v>
      </c>
      <c r="K5" s="6" t="s">
        <v>32</v>
      </c>
      <c r="L5" s="6" t="s">
        <v>1755</v>
      </c>
      <c r="M5" s="6" t="s">
        <v>33</v>
      </c>
      <c r="N5" s="10">
        <v>11</v>
      </c>
      <c r="O5" s="11">
        <v>2</v>
      </c>
      <c r="P5" s="12">
        <v>20</v>
      </c>
      <c r="Q5" s="13">
        <v>16.681322999999999</v>
      </c>
      <c r="R5" s="13">
        <v>-93.730085000000003</v>
      </c>
      <c r="S5" s="14" t="s">
        <v>34</v>
      </c>
      <c r="T5" s="14" t="s">
        <v>35</v>
      </c>
      <c r="U5" s="14" t="s">
        <v>35</v>
      </c>
      <c r="V5" s="14" t="s">
        <v>35</v>
      </c>
      <c r="W5" s="14" t="s">
        <v>35</v>
      </c>
      <c r="X5" s="14" t="s">
        <v>36</v>
      </c>
      <c r="Y5" s="14" t="s">
        <v>37</v>
      </c>
      <c r="Z5" s="14" t="s">
        <v>37</v>
      </c>
      <c r="AA5" s="15"/>
      <c r="AB5" s="16">
        <v>1</v>
      </c>
    </row>
    <row r="6" spans="1:28" x14ac:dyDescent="0.3">
      <c r="A6" s="6" t="s">
        <v>44</v>
      </c>
      <c r="B6" s="7" t="s">
        <v>25</v>
      </c>
      <c r="C6" s="34" t="s">
        <v>26</v>
      </c>
      <c r="D6" s="33" t="s">
        <v>1775</v>
      </c>
      <c r="E6" s="6" t="s">
        <v>45</v>
      </c>
      <c r="F6" s="6" t="s">
        <v>46</v>
      </c>
      <c r="G6" s="6" t="s">
        <v>29</v>
      </c>
      <c r="H6" s="7">
        <v>1</v>
      </c>
      <c r="I6" s="6" t="s">
        <v>30</v>
      </c>
      <c r="J6" s="6" t="s">
        <v>31</v>
      </c>
      <c r="K6" s="6" t="s">
        <v>32</v>
      </c>
      <c r="L6" s="6" t="s">
        <v>1755</v>
      </c>
      <c r="M6" s="6" t="s">
        <v>33</v>
      </c>
      <c r="N6" s="10">
        <v>11</v>
      </c>
      <c r="O6" s="11">
        <v>1</v>
      </c>
      <c r="P6" s="12">
        <v>9</v>
      </c>
      <c r="Q6" s="13">
        <v>16.320459</v>
      </c>
      <c r="R6" s="13">
        <v>-91.977010000000007</v>
      </c>
      <c r="S6" s="14" t="s">
        <v>34</v>
      </c>
      <c r="T6" s="14" t="s">
        <v>35</v>
      </c>
      <c r="U6" s="14" t="s">
        <v>35</v>
      </c>
      <c r="V6" s="14" t="s">
        <v>35</v>
      </c>
      <c r="W6" s="14" t="s">
        <v>35</v>
      </c>
      <c r="X6" s="14" t="s">
        <v>36</v>
      </c>
      <c r="Y6" s="14" t="s">
        <v>37</v>
      </c>
      <c r="Z6" s="14" t="s">
        <v>37</v>
      </c>
      <c r="AA6" s="15"/>
      <c r="AB6" s="16">
        <v>1</v>
      </c>
    </row>
    <row r="7" spans="1:28" x14ac:dyDescent="0.3">
      <c r="A7" s="6" t="s">
        <v>47</v>
      </c>
      <c r="B7" s="7" t="s">
        <v>25</v>
      </c>
      <c r="C7" s="34" t="s">
        <v>26</v>
      </c>
      <c r="D7" s="33" t="s">
        <v>1775</v>
      </c>
      <c r="E7" s="6" t="s">
        <v>48</v>
      </c>
      <c r="F7" s="6" t="s">
        <v>49</v>
      </c>
      <c r="G7" s="6" t="s">
        <v>29</v>
      </c>
      <c r="H7" s="7">
        <v>1</v>
      </c>
      <c r="I7" s="6" t="s">
        <v>30</v>
      </c>
      <c r="J7" s="6" t="s">
        <v>31</v>
      </c>
      <c r="K7" s="6" t="s">
        <v>32</v>
      </c>
      <c r="L7" s="6" t="s">
        <v>1755</v>
      </c>
      <c r="M7" s="6" t="s">
        <v>33</v>
      </c>
      <c r="N7" s="10">
        <v>9</v>
      </c>
      <c r="O7" s="11">
        <v>1</v>
      </c>
      <c r="P7" s="12">
        <v>22</v>
      </c>
      <c r="Q7" s="13">
        <v>17.552807000000001</v>
      </c>
      <c r="R7" s="13">
        <v>-92.338727000000006</v>
      </c>
      <c r="S7" s="14" t="s">
        <v>34</v>
      </c>
      <c r="T7" s="14" t="s">
        <v>35</v>
      </c>
      <c r="U7" s="14" t="s">
        <v>35</v>
      </c>
      <c r="V7" s="14" t="s">
        <v>35</v>
      </c>
      <c r="W7" s="14" t="s">
        <v>35</v>
      </c>
      <c r="X7" s="14" t="s">
        <v>36</v>
      </c>
      <c r="Y7" s="14" t="s">
        <v>37</v>
      </c>
      <c r="Z7" s="14" t="s">
        <v>37</v>
      </c>
      <c r="AA7" s="15"/>
      <c r="AB7" s="16">
        <v>1</v>
      </c>
    </row>
    <row r="8" spans="1:28" x14ac:dyDescent="0.3">
      <c r="A8" s="6" t="s">
        <v>50</v>
      </c>
      <c r="B8" s="7" t="s">
        <v>25</v>
      </c>
      <c r="C8" s="33" t="s">
        <v>26</v>
      </c>
      <c r="D8" s="33" t="s">
        <v>1775</v>
      </c>
      <c r="E8" s="6" t="s">
        <v>51</v>
      </c>
      <c r="F8" s="6" t="s">
        <v>52</v>
      </c>
      <c r="G8" s="6" t="s">
        <v>29</v>
      </c>
      <c r="H8" s="7">
        <v>1</v>
      </c>
      <c r="I8" s="6" t="s">
        <v>30</v>
      </c>
      <c r="J8" s="6" t="s">
        <v>31</v>
      </c>
      <c r="K8" s="6" t="s">
        <v>32</v>
      </c>
      <c r="L8" s="6" t="s">
        <v>1755</v>
      </c>
      <c r="M8" s="6" t="s">
        <v>33</v>
      </c>
      <c r="N8" s="10">
        <v>7</v>
      </c>
      <c r="O8" s="11">
        <v>1</v>
      </c>
      <c r="P8" s="12">
        <v>28</v>
      </c>
      <c r="Q8" s="13">
        <v>17.313151000000001</v>
      </c>
      <c r="R8" s="13">
        <v>-92.428340000000006</v>
      </c>
      <c r="S8" s="14" t="s">
        <v>34</v>
      </c>
      <c r="T8" s="14" t="s">
        <v>35</v>
      </c>
      <c r="U8" s="14" t="s">
        <v>35</v>
      </c>
      <c r="V8" s="14" t="s">
        <v>35</v>
      </c>
      <c r="W8" s="14" t="s">
        <v>35</v>
      </c>
      <c r="X8" s="14" t="s">
        <v>36</v>
      </c>
      <c r="Y8" s="14" t="s">
        <v>37</v>
      </c>
      <c r="Z8" s="14" t="s">
        <v>37</v>
      </c>
      <c r="AA8" s="15"/>
      <c r="AB8" s="16">
        <v>1</v>
      </c>
    </row>
    <row r="9" spans="1:28" x14ac:dyDescent="0.3">
      <c r="A9" s="6" t="s">
        <v>53</v>
      </c>
      <c r="B9" s="7" t="s">
        <v>25</v>
      </c>
      <c r="C9" s="34" t="s">
        <v>26</v>
      </c>
      <c r="D9" s="33" t="s">
        <v>1775</v>
      </c>
      <c r="E9" s="6" t="s">
        <v>54</v>
      </c>
      <c r="F9" s="6" t="s">
        <v>55</v>
      </c>
      <c r="G9" s="6" t="s">
        <v>29</v>
      </c>
      <c r="H9" s="7">
        <v>1</v>
      </c>
      <c r="I9" s="6" t="s">
        <v>30</v>
      </c>
      <c r="J9" s="6" t="s">
        <v>31</v>
      </c>
      <c r="K9" s="6" t="s">
        <v>32</v>
      </c>
      <c r="L9" s="6" t="s">
        <v>1755</v>
      </c>
      <c r="M9" s="6" t="s">
        <v>33</v>
      </c>
      <c r="N9" s="10">
        <v>10</v>
      </c>
      <c r="O9" s="11">
        <v>2</v>
      </c>
      <c r="P9" s="12">
        <v>21</v>
      </c>
      <c r="Q9" s="13">
        <v>16.807812999999999</v>
      </c>
      <c r="R9" s="13">
        <v>-93.279999000000004</v>
      </c>
      <c r="S9" s="14" t="s">
        <v>34</v>
      </c>
      <c r="T9" s="14" t="s">
        <v>35</v>
      </c>
      <c r="U9" s="14" t="s">
        <v>35</v>
      </c>
      <c r="V9" s="14" t="s">
        <v>35</v>
      </c>
      <c r="W9" s="14" t="s">
        <v>35</v>
      </c>
      <c r="X9" s="14" t="s">
        <v>36</v>
      </c>
      <c r="Y9" s="14" t="s">
        <v>37</v>
      </c>
      <c r="Z9" s="14" t="s">
        <v>37</v>
      </c>
      <c r="AA9" s="15"/>
      <c r="AB9" s="16">
        <v>1</v>
      </c>
    </row>
    <row r="10" spans="1:28" x14ac:dyDescent="0.3">
      <c r="A10" s="6" t="s">
        <v>56</v>
      </c>
      <c r="B10" s="7" t="s">
        <v>25</v>
      </c>
      <c r="C10" s="34" t="s">
        <v>26</v>
      </c>
      <c r="D10" s="33" t="s">
        <v>1775</v>
      </c>
      <c r="E10" s="6" t="s">
        <v>57</v>
      </c>
      <c r="F10" s="6" t="s">
        <v>58</v>
      </c>
      <c r="G10" s="9" t="s">
        <v>29</v>
      </c>
      <c r="H10" s="7">
        <v>1</v>
      </c>
      <c r="I10" s="6" t="s">
        <v>30</v>
      </c>
      <c r="J10" s="6" t="s">
        <v>31</v>
      </c>
      <c r="K10" s="6" t="s">
        <v>32</v>
      </c>
      <c r="L10" s="6" t="s">
        <v>1755</v>
      </c>
      <c r="M10" s="6" t="s">
        <v>33</v>
      </c>
      <c r="N10" s="10">
        <v>7</v>
      </c>
      <c r="O10" s="11">
        <v>0</v>
      </c>
      <c r="P10" s="12">
        <v>20</v>
      </c>
      <c r="Q10" s="13">
        <v>17.134391999999998</v>
      </c>
      <c r="R10" s="13">
        <v>-92.719601999999995</v>
      </c>
      <c r="S10" s="14" t="s">
        <v>34</v>
      </c>
      <c r="T10" s="14" t="s">
        <v>35</v>
      </c>
      <c r="U10" s="14" t="s">
        <v>35</v>
      </c>
      <c r="V10" s="14" t="s">
        <v>35</v>
      </c>
      <c r="W10" s="14" t="s">
        <v>35</v>
      </c>
      <c r="X10" s="14" t="s">
        <v>36</v>
      </c>
      <c r="Y10" s="14" t="s">
        <v>37</v>
      </c>
      <c r="Z10" s="14" t="s">
        <v>37</v>
      </c>
      <c r="AA10" s="15"/>
      <c r="AB10" s="16">
        <v>1</v>
      </c>
    </row>
    <row r="11" spans="1:28" x14ac:dyDescent="0.3">
      <c r="A11" s="6" t="s">
        <v>59</v>
      </c>
      <c r="B11" s="7" t="s">
        <v>25</v>
      </c>
      <c r="C11" s="34" t="s">
        <v>26</v>
      </c>
      <c r="D11" s="33" t="s">
        <v>1775</v>
      </c>
      <c r="E11" s="6" t="s">
        <v>60</v>
      </c>
      <c r="F11" s="6" t="s">
        <v>61</v>
      </c>
      <c r="G11" s="9" t="s">
        <v>29</v>
      </c>
      <c r="H11" s="7">
        <v>1</v>
      </c>
      <c r="I11" s="6" t="s">
        <v>30</v>
      </c>
      <c r="J11" s="6" t="s">
        <v>31</v>
      </c>
      <c r="K11" s="6" t="s">
        <v>32</v>
      </c>
      <c r="L11" s="6" t="s">
        <v>1755</v>
      </c>
      <c r="M11" s="6" t="s">
        <v>33</v>
      </c>
      <c r="N11" s="10">
        <v>10</v>
      </c>
      <c r="O11" s="11">
        <v>2</v>
      </c>
      <c r="P11" s="12">
        <v>27</v>
      </c>
      <c r="Q11" s="13">
        <v>16.365531000000001</v>
      </c>
      <c r="R11" s="13">
        <v>-92.377345000000005</v>
      </c>
      <c r="S11" s="14" t="s">
        <v>34</v>
      </c>
      <c r="T11" s="14" t="s">
        <v>35</v>
      </c>
      <c r="U11" s="14" t="s">
        <v>35</v>
      </c>
      <c r="V11" s="14" t="s">
        <v>35</v>
      </c>
      <c r="W11" s="14" t="s">
        <v>35</v>
      </c>
      <c r="X11" s="14" t="s">
        <v>36</v>
      </c>
      <c r="Y11" s="14" t="s">
        <v>37</v>
      </c>
      <c r="Z11" s="14" t="s">
        <v>37</v>
      </c>
      <c r="AA11" s="15"/>
      <c r="AB11" s="16">
        <v>1</v>
      </c>
    </row>
    <row r="12" spans="1:28" x14ac:dyDescent="0.3">
      <c r="A12" s="6" t="s">
        <v>62</v>
      </c>
      <c r="B12" s="7" t="s">
        <v>25</v>
      </c>
      <c r="C12" s="34" t="s">
        <v>26</v>
      </c>
      <c r="D12" s="33" t="s">
        <v>1775</v>
      </c>
      <c r="E12" s="6" t="s">
        <v>63</v>
      </c>
      <c r="F12" s="6" t="s">
        <v>64</v>
      </c>
      <c r="G12" s="9" t="s">
        <v>29</v>
      </c>
      <c r="H12" s="7">
        <v>1</v>
      </c>
      <c r="I12" s="6" t="s">
        <v>30</v>
      </c>
      <c r="J12" s="6" t="s">
        <v>31</v>
      </c>
      <c r="K12" s="6" t="s">
        <v>32</v>
      </c>
      <c r="L12" s="6" t="s">
        <v>1755</v>
      </c>
      <c r="M12" s="6" t="s">
        <v>33</v>
      </c>
      <c r="N12" s="10">
        <v>10</v>
      </c>
      <c r="O12" s="11">
        <v>2</v>
      </c>
      <c r="P12" s="12">
        <v>24</v>
      </c>
      <c r="Q12" s="13">
        <v>16.720224999999999</v>
      </c>
      <c r="R12" s="13">
        <v>-93.012051</v>
      </c>
      <c r="S12" s="14" t="s">
        <v>34</v>
      </c>
      <c r="T12" s="14" t="s">
        <v>35</v>
      </c>
      <c r="U12" s="14" t="s">
        <v>35</v>
      </c>
      <c r="V12" s="14" t="s">
        <v>35</v>
      </c>
      <c r="W12" s="14" t="s">
        <v>35</v>
      </c>
      <c r="X12" s="14" t="s">
        <v>36</v>
      </c>
      <c r="Y12" s="14" t="s">
        <v>37</v>
      </c>
      <c r="Z12" s="14" t="s">
        <v>37</v>
      </c>
      <c r="AA12" s="15"/>
      <c r="AB12" s="16">
        <v>1</v>
      </c>
    </row>
    <row r="13" spans="1:28" x14ac:dyDescent="0.3">
      <c r="A13" s="6" t="s">
        <v>65</v>
      </c>
      <c r="B13" s="7" t="s">
        <v>25</v>
      </c>
      <c r="C13" s="34" t="s">
        <v>26</v>
      </c>
      <c r="D13" s="33" t="s">
        <v>1775</v>
      </c>
      <c r="E13" s="6" t="s">
        <v>66</v>
      </c>
      <c r="F13" s="6" t="s">
        <v>67</v>
      </c>
      <c r="G13" s="9" t="s">
        <v>29</v>
      </c>
      <c r="H13" s="7">
        <v>1</v>
      </c>
      <c r="I13" s="6" t="s">
        <v>30</v>
      </c>
      <c r="J13" s="6" t="s">
        <v>31</v>
      </c>
      <c r="K13" s="6" t="s">
        <v>32</v>
      </c>
      <c r="L13" s="6" t="s">
        <v>1755</v>
      </c>
      <c r="M13" s="6" t="s">
        <v>33</v>
      </c>
      <c r="N13" s="10">
        <v>8</v>
      </c>
      <c r="O13" s="11">
        <v>1</v>
      </c>
      <c r="P13" s="12">
        <v>17</v>
      </c>
      <c r="Q13" s="13">
        <v>17.377960000000002</v>
      </c>
      <c r="R13" s="13">
        <v>-92.811238000000003</v>
      </c>
      <c r="S13" s="14" t="s">
        <v>34</v>
      </c>
      <c r="T13" s="14" t="s">
        <v>35</v>
      </c>
      <c r="U13" s="14" t="s">
        <v>35</v>
      </c>
      <c r="V13" s="14" t="s">
        <v>35</v>
      </c>
      <c r="W13" s="14" t="s">
        <v>35</v>
      </c>
      <c r="X13" s="14" t="s">
        <v>36</v>
      </c>
      <c r="Y13" s="14" t="s">
        <v>37</v>
      </c>
      <c r="Z13" s="14" t="s">
        <v>37</v>
      </c>
      <c r="AA13" s="15"/>
      <c r="AB13" s="16">
        <v>1</v>
      </c>
    </row>
    <row r="14" spans="1:28" x14ac:dyDescent="0.3">
      <c r="A14" s="6" t="s">
        <v>68</v>
      </c>
      <c r="B14" s="7" t="s">
        <v>25</v>
      </c>
      <c r="C14" s="34" t="s">
        <v>26</v>
      </c>
      <c r="D14" s="33" t="s">
        <v>1775</v>
      </c>
      <c r="E14" s="6" t="s">
        <v>69</v>
      </c>
      <c r="F14" s="6" t="s">
        <v>70</v>
      </c>
      <c r="G14" s="6" t="s">
        <v>29</v>
      </c>
      <c r="H14" s="7">
        <v>1</v>
      </c>
      <c r="I14" s="6" t="s">
        <v>30</v>
      </c>
      <c r="J14" s="6" t="s">
        <v>31</v>
      </c>
      <c r="K14" s="6" t="s">
        <v>32</v>
      </c>
      <c r="L14" s="6" t="s">
        <v>1755</v>
      </c>
      <c r="M14" s="6" t="s">
        <v>33</v>
      </c>
      <c r="N14" s="10">
        <v>6</v>
      </c>
      <c r="O14" s="11">
        <v>2</v>
      </c>
      <c r="P14" s="12">
        <v>17</v>
      </c>
      <c r="Q14" s="13">
        <v>15.453841000000001</v>
      </c>
      <c r="R14" s="13">
        <v>-92.276784000000006</v>
      </c>
      <c r="S14" s="14" t="s">
        <v>34</v>
      </c>
      <c r="T14" s="14" t="s">
        <v>35</v>
      </c>
      <c r="U14" s="14" t="s">
        <v>35</v>
      </c>
      <c r="V14" s="14" t="s">
        <v>35</v>
      </c>
      <c r="W14" s="14" t="s">
        <v>35</v>
      </c>
      <c r="X14" s="14" t="s">
        <v>36</v>
      </c>
      <c r="Y14" s="14" t="s">
        <v>37</v>
      </c>
      <c r="Z14" s="14" t="s">
        <v>37</v>
      </c>
      <c r="AA14" s="15"/>
      <c r="AB14" s="16">
        <v>1</v>
      </c>
    </row>
    <row r="15" spans="1:28" x14ac:dyDescent="0.3">
      <c r="A15" s="6" t="s">
        <v>71</v>
      </c>
      <c r="B15" s="7" t="s">
        <v>25</v>
      </c>
      <c r="C15" s="33" t="s">
        <v>26</v>
      </c>
      <c r="D15" s="33" t="s">
        <v>1775</v>
      </c>
      <c r="E15" s="6" t="s">
        <v>72</v>
      </c>
      <c r="F15" s="6" t="s">
        <v>73</v>
      </c>
      <c r="G15" s="6" t="s">
        <v>29</v>
      </c>
      <c r="H15" s="7">
        <v>1</v>
      </c>
      <c r="I15" s="6" t="s">
        <v>30</v>
      </c>
      <c r="J15" s="6" t="s">
        <v>31</v>
      </c>
      <c r="K15" s="6" t="s">
        <v>32</v>
      </c>
      <c r="L15" s="6" t="s">
        <v>1755</v>
      </c>
      <c r="M15" s="6" t="s">
        <v>33</v>
      </c>
      <c r="N15" s="10">
        <v>10</v>
      </c>
      <c r="O15" s="11">
        <v>2</v>
      </c>
      <c r="P15" s="12">
        <v>31</v>
      </c>
      <c r="Q15" s="13">
        <v>16.166713000000001</v>
      </c>
      <c r="R15" s="13">
        <v>-93.079977</v>
      </c>
      <c r="S15" s="14" t="s">
        <v>34</v>
      </c>
      <c r="T15" s="14" t="s">
        <v>35</v>
      </c>
      <c r="U15" s="14" t="s">
        <v>35</v>
      </c>
      <c r="V15" s="14" t="s">
        <v>35</v>
      </c>
      <c r="W15" s="14" t="s">
        <v>35</v>
      </c>
      <c r="X15" s="14" t="s">
        <v>36</v>
      </c>
      <c r="Y15" s="14" t="s">
        <v>37</v>
      </c>
      <c r="Z15" s="14" t="s">
        <v>74</v>
      </c>
      <c r="AA15" s="15"/>
      <c r="AB15" s="16">
        <v>0.875</v>
      </c>
    </row>
    <row r="16" spans="1:28" x14ac:dyDescent="0.3">
      <c r="A16" s="6" t="s">
        <v>75</v>
      </c>
      <c r="B16" s="7" t="s">
        <v>25</v>
      </c>
      <c r="C16" s="34" t="s">
        <v>26</v>
      </c>
      <c r="D16" s="33" t="s">
        <v>1775</v>
      </c>
      <c r="E16" s="6" t="s">
        <v>76</v>
      </c>
      <c r="F16" s="6" t="s">
        <v>77</v>
      </c>
      <c r="G16" s="6" t="s">
        <v>29</v>
      </c>
      <c r="H16" s="7">
        <v>1</v>
      </c>
      <c r="I16" s="6" t="s">
        <v>30</v>
      </c>
      <c r="J16" s="6" t="s">
        <v>31</v>
      </c>
      <c r="K16" s="6" t="s">
        <v>32</v>
      </c>
      <c r="L16" s="6" t="s">
        <v>1755</v>
      </c>
      <c r="M16" s="6" t="s">
        <v>33</v>
      </c>
      <c r="N16" s="10">
        <v>8</v>
      </c>
      <c r="O16" s="11">
        <v>0</v>
      </c>
      <c r="P16" s="12">
        <v>23</v>
      </c>
      <c r="Q16" s="13">
        <v>17.255877999999999</v>
      </c>
      <c r="R16" s="13">
        <v>-93.017016999999996</v>
      </c>
      <c r="S16" s="14" t="s">
        <v>34</v>
      </c>
      <c r="T16" s="14" t="s">
        <v>35</v>
      </c>
      <c r="U16" s="14" t="s">
        <v>35</v>
      </c>
      <c r="V16" s="14" t="s">
        <v>35</v>
      </c>
      <c r="W16" s="14" t="s">
        <v>35</v>
      </c>
      <c r="X16" s="14" t="s">
        <v>36</v>
      </c>
      <c r="Y16" s="14" t="s">
        <v>37</v>
      </c>
      <c r="Z16" s="14" t="s">
        <v>37</v>
      </c>
      <c r="AA16" s="15"/>
      <c r="AB16" s="16">
        <v>1</v>
      </c>
    </row>
    <row r="17" spans="1:28" x14ac:dyDescent="0.3">
      <c r="A17" s="6" t="s">
        <v>78</v>
      </c>
      <c r="B17" s="7" t="s">
        <v>25</v>
      </c>
      <c r="C17" s="34" t="s">
        <v>26</v>
      </c>
      <c r="D17" s="33" t="s">
        <v>1775</v>
      </c>
      <c r="E17" s="6" t="s">
        <v>79</v>
      </c>
      <c r="F17" s="6" t="s">
        <v>80</v>
      </c>
      <c r="G17" s="6" t="s">
        <v>29</v>
      </c>
      <c r="H17" s="7">
        <v>1</v>
      </c>
      <c r="I17" s="6" t="s">
        <v>30</v>
      </c>
      <c r="J17" s="6" t="s">
        <v>31</v>
      </c>
      <c r="K17" s="6" t="s">
        <v>32</v>
      </c>
      <c r="L17" s="6" t="s">
        <v>1755</v>
      </c>
      <c r="M17" s="6" t="s">
        <v>33</v>
      </c>
      <c r="N17" s="10">
        <v>8</v>
      </c>
      <c r="O17" s="11">
        <v>2</v>
      </c>
      <c r="P17" s="12">
        <v>21</v>
      </c>
      <c r="Q17" s="13">
        <v>16.879071</v>
      </c>
      <c r="R17" s="13">
        <v>-92.714877999999999</v>
      </c>
      <c r="S17" s="14" t="s">
        <v>34</v>
      </c>
      <c r="T17" s="14" t="s">
        <v>35</v>
      </c>
      <c r="U17" s="14" t="s">
        <v>35</v>
      </c>
      <c r="V17" s="14" t="s">
        <v>35</v>
      </c>
      <c r="W17" s="14" t="s">
        <v>35</v>
      </c>
      <c r="X17" s="14" t="s">
        <v>36</v>
      </c>
      <c r="Y17" s="14" t="s">
        <v>37</v>
      </c>
      <c r="Z17" s="14" t="s">
        <v>37</v>
      </c>
      <c r="AA17" s="15"/>
      <c r="AB17" s="16">
        <v>1</v>
      </c>
    </row>
    <row r="18" spans="1:28" x14ac:dyDescent="0.3">
      <c r="A18" s="6" t="s">
        <v>81</v>
      </c>
      <c r="B18" s="7" t="s">
        <v>25</v>
      </c>
      <c r="C18" s="34" t="s">
        <v>26</v>
      </c>
      <c r="D18" s="33" t="s">
        <v>1775</v>
      </c>
      <c r="E18" s="6" t="s">
        <v>82</v>
      </c>
      <c r="F18" s="6" t="s">
        <v>83</v>
      </c>
      <c r="G18" s="6" t="s">
        <v>29</v>
      </c>
      <c r="H18" s="7">
        <v>1</v>
      </c>
      <c r="I18" s="6" t="s">
        <v>30</v>
      </c>
      <c r="J18" s="6" t="s">
        <v>31</v>
      </c>
      <c r="K18" s="6" t="s">
        <v>32</v>
      </c>
      <c r="L18" s="6" t="s">
        <v>1755</v>
      </c>
      <c r="M18" s="6" t="s">
        <v>84</v>
      </c>
      <c r="N18" s="10">
        <v>9</v>
      </c>
      <c r="O18" s="11">
        <v>2</v>
      </c>
      <c r="P18" s="12">
        <v>21</v>
      </c>
      <c r="Q18" s="13">
        <v>17.023199999999999</v>
      </c>
      <c r="R18" s="13">
        <v>-91.419499999999999</v>
      </c>
      <c r="S18" s="14" t="s">
        <v>34</v>
      </c>
      <c r="T18" s="14" t="s">
        <v>35</v>
      </c>
      <c r="U18" s="14" t="s">
        <v>35</v>
      </c>
      <c r="V18" s="14" t="s">
        <v>35</v>
      </c>
      <c r="W18" s="14" t="s">
        <v>35</v>
      </c>
      <c r="X18" s="14" t="s">
        <v>36</v>
      </c>
      <c r="Y18" s="14" t="s">
        <v>37</v>
      </c>
      <c r="Z18" s="14" t="s">
        <v>37</v>
      </c>
      <c r="AA18" s="15"/>
      <c r="AB18" s="16">
        <v>1</v>
      </c>
    </row>
    <row r="19" spans="1:28" x14ac:dyDescent="0.3">
      <c r="A19" s="6" t="s">
        <v>85</v>
      </c>
      <c r="B19" s="7" t="s">
        <v>25</v>
      </c>
      <c r="C19" s="34" t="s">
        <v>26</v>
      </c>
      <c r="D19" s="33" t="s">
        <v>1775</v>
      </c>
      <c r="E19" s="6" t="s">
        <v>86</v>
      </c>
      <c r="F19" s="6" t="s">
        <v>87</v>
      </c>
      <c r="G19" s="6" t="s">
        <v>29</v>
      </c>
      <c r="H19" s="7">
        <v>1</v>
      </c>
      <c r="I19" s="6" t="s">
        <v>30</v>
      </c>
      <c r="J19" s="6" t="s">
        <v>31</v>
      </c>
      <c r="K19" s="6" t="s">
        <v>32</v>
      </c>
      <c r="L19" s="6" t="s">
        <v>1755</v>
      </c>
      <c r="M19" s="6" t="s">
        <v>33</v>
      </c>
      <c r="N19" s="10">
        <v>9</v>
      </c>
      <c r="O19" s="11">
        <v>2</v>
      </c>
      <c r="P19" s="12">
        <v>22</v>
      </c>
      <c r="Q19" s="13">
        <v>15.671072199999999</v>
      </c>
      <c r="R19" s="13">
        <v>-93.211713599999996</v>
      </c>
      <c r="S19" s="14" t="s">
        <v>34</v>
      </c>
      <c r="T19" s="14" t="s">
        <v>35</v>
      </c>
      <c r="U19" s="14" t="s">
        <v>35</v>
      </c>
      <c r="V19" s="14" t="s">
        <v>35</v>
      </c>
      <c r="W19" s="14" t="s">
        <v>35</v>
      </c>
      <c r="X19" s="14" t="s">
        <v>36</v>
      </c>
      <c r="Y19" s="14" t="s">
        <v>37</v>
      </c>
      <c r="Z19" s="14" t="s">
        <v>37</v>
      </c>
      <c r="AA19" s="15"/>
      <c r="AB19" s="16">
        <v>1</v>
      </c>
    </row>
    <row r="20" spans="1:28" x14ac:dyDescent="0.3">
      <c r="A20" s="6" t="s">
        <v>88</v>
      </c>
      <c r="B20" s="7" t="s">
        <v>25</v>
      </c>
      <c r="C20" s="34" t="s">
        <v>26</v>
      </c>
      <c r="D20" s="33" t="s">
        <v>1775</v>
      </c>
      <c r="E20" s="6" t="s">
        <v>89</v>
      </c>
      <c r="F20" s="6" t="s">
        <v>90</v>
      </c>
      <c r="G20" s="6" t="s">
        <v>29</v>
      </c>
      <c r="H20" s="7">
        <v>1</v>
      </c>
      <c r="I20" s="6" t="s">
        <v>30</v>
      </c>
      <c r="J20" s="6" t="s">
        <v>31</v>
      </c>
      <c r="K20" s="6" t="s">
        <v>32</v>
      </c>
      <c r="L20" s="6" t="s">
        <v>1755</v>
      </c>
      <c r="M20" s="6" t="s">
        <v>33</v>
      </c>
      <c r="N20" s="10">
        <v>9</v>
      </c>
      <c r="O20" s="11">
        <v>2</v>
      </c>
      <c r="P20" s="12">
        <v>16</v>
      </c>
      <c r="Q20" s="13">
        <v>16.554808000000001</v>
      </c>
      <c r="R20" s="13">
        <v>-92.475661000000002</v>
      </c>
      <c r="S20" s="14" t="s">
        <v>34</v>
      </c>
      <c r="T20" s="14" t="s">
        <v>35</v>
      </c>
      <c r="U20" s="14" t="s">
        <v>35</v>
      </c>
      <c r="V20" s="14" t="s">
        <v>35</v>
      </c>
      <c r="W20" s="14" t="s">
        <v>35</v>
      </c>
      <c r="X20" s="14" t="s">
        <v>36</v>
      </c>
      <c r="Y20" s="14" t="s">
        <v>37</v>
      </c>
      <c r="Z20" s="14" t="s">
        <v>37</v>
      </c>
      <c r="AA20" s="15"/>
      <c r="AB20" s="16">
        <v>1</v>
      </c>
    </row>
    <row r="21" spans="1:28" x14ac:dyDescent="0.3">
      <c r="A21" s="6" t="s">
        <v>91</v>
      </c>
      <c r="B21" s="7" t="s">
        <v>25</v>
      </c>
      <c r="C21" s="34" t="s">
        <v>26</v>
      </c>
      <c r="D21" s="33" t="s">
        <v>1775</v>
      </c>
      <c r="E21" s="6" t="s">
        <v>92</v>
      </c>
      <c r="F21" s="6" t="s">
        <v>93</v>
      </c>
      <c r="G21" s="6" t="s">
        <v>29</v>
      </c>
      <c r="H21" s="7">
        <v>1</v>
      </c>
      <c r="I21" s="6" t="s">
        <v>30</v>
      </c>
      <c r="J21" s="6" t="s">
        <v>31</v>
      </c>
      <c r="K21" s="6" t="s">
        <v>32</v>
      </c>
      <c r="L21" s="6" t="s">
        <v>1755</v>
      </c>
      <c r="M21" s="6" t="s">
        <v>33</v>
      </c>
      <c r="N21" s="10">
        <v>8</v>
      </c>
      <c r="O21" s="11">
        <v>2</v>
      </c>
      <c r="P21" s="12">
        <v>29</v>
      </c>
      <c r="Q21" s="13">
        <v>15.667289</v>
      </c>
      <c r="R21" s="13">
        <v>-92.132599999999996</v>
      </c>
      <c r="S21" s="14" t="s">
        <v>34</v>
      </c>
      <c r="T21" s="14" t="s">
        <v>35</v>
      </c>
      <c r="U21" s="14" t="s">
        <v>35</v>
      </c>
      <c r="V21" s="14" t="s">
        <v>35</v>
      </c>
      <c r="W21" s="14" t="s">
        <v>35</v>
      </c>
      <c r="X21" s="14" t="s">
        <v>36</v>
      </c>
      <c r="Y21" s="14" t="s">
        <v>37</v>
      </c>
      <c r="Z21" s="14" t="s">
        <v>37</v>
      </c>
      <c r="AA21" s="15"/>
      <c r="AB21" s="16">
        <v>1</v>
      </c>
    </row>
    <row r="22" spans="1:28" x14ac:dyDescent="0.3">
      <c r="A22" s="6" t="s">
        <v>94</v>
      </c>
      <c r="B22" s="7" t="s">
        <v>25</v>
      </c>
      <c r="C22" s="34" t="s">
        <v>26</v>
      </c>
      <c r="D22" s="33" t="s">
        <v>1775</v>
      </c>
      <c r="E22" s="6" t="s">
        <v>95</v>
      </c>
      <c r="F22" s="6" t="s">
        <v>96</v>
      </c>
      <c r="G22" s="6" t="s">
        <v>29</v>
      </c>
      <c r="H22" s="7">
        <v>1</v>
      </c>
      <c r="I22" s="6" t="s">
        <v>30</v>
      </c>
      <c r="J22" s="6" t="s">
        <v>31</v>
      </c>
      <c r="K22" s="6" t="s">
        <v>32</v>
      </c>
      <c r="L22" s="6" t="s">
        <v>1755</v>
      </c>
      <c r="M22" s="6" t="s">
        <v>33</v>
      </c>
      <c r="N22" s="10">
        <v>7</v>
      </c>
      <c r="O22" s="11">
        <v>1</v>
      </c>
      <c r="P22" s="12">
        <v>9</v>
      </c>
      <c r="Q22" s="13">
        <v>16.957888000000001</v>
      </c>
      <c r="R22" s="13">
        <v>-92.619906999999998</v>
      </c>
      <c r="S22" s="14" t="s">
        <v>34</v>
      </c>
      <c r="T22" s="14" t="s">
        <v>35</v>
      </c>
      <c r="U22" s="14" t="s">
        <v>35</v>
      </c>
      <c r="V22" s="14" t="s">
        <v>35</v>
      </c>
      <c r="W22" s="14" t="s">
        <v>35</v>
      </c>
      <c r="X22" s="14" t="s">
        <v>36</v>
      </c>
      <c r="Y22" s="14" t="s">
        <v>37</v>
      </c>
      <c r="Z22" s="14" t="s">
        <v>37</v>
      </c>
      <c r="AA22" s="15"/>
      <c r="AB22" s="16">
        <v>1</v>
      </c>
    </row>
    <row r="23" spans="1:28" x14ac:dyDescent="0.3">
      <c r="A23" s="6" t="s">
        <v>100</v>
      </c>
      <c r="B23" s="7" t="s">
        <v>25</v>
      </c>
      <c r="C23" s="33" t="s">
        <v>26</v>
      </c>
      <c r="D23" s="33" t="s">
        <v>1775</v>
      </c>
      <c r="E23" s="6" t="s">
        <v>101</v>
      </c>
      <c r="F23" s="6" t="s">
        <v>102</v>
      </c>
      <c r="G23" s="9" t="s">
        <v>29</v>
      </c>
      <c r="H23" s="7">
        <v>1</v>
      </c>
      <c r="I23" s="6" t="s">
        <v>30</v>
      </c>
      <c r="J23" s="6" t="s">
        <v>31</v>
      </c>
      <c r="K23" s="6" t="s">
        <v>32</v>
      </c>
      <c r="L23" s="6" t="s">
        <v>1755</v>
      </c>
      <c r="M23" s="6" t="s">
        <v>33</v>
      </c>
      <c r="N23" s="10">
        <v>7</v>
      </c>
      <c r="O23" s="11">
        <v>2</v>
      </c>
      <c r="P23" s="12">
        <v>8</v>
      </c>
      <c r="Q23" s="13">
        <v>16.790454</v>
      </c>
      <c r="R23" s="13">
        <v>-92.343530999999999</v>
      </c>
      <c r="S23" s="14" t="s">
        <v>34</v>
      </c>
      <c r="T23" s="14" t="s">
        <v>35</v>
      </c>
      <c r="U23" s="14" t="s">
        <v>35</v>
      </c>
      <c r="V23" s="14" t="s">
        <v>35</v>
      </c>
      <c r="W23" s="14" t="s">
        <v>35</v>
      </c>
      <c r="X23" s="14" t="s">
        <v>36</v>
      </c>
      <c r="Y23" s="14" t="s">
        <v>37</v>
      </c>
      <c r="Z23" s="14" t="s">
        <v>74</v>
      </c>
      <c r="AA23" s="15"/>
      <c r="AB23" s="16">
        <v>0.875</v>
      </c>
    </row>
    <row r="24" spans="1:28" x14ac:dyDescent="0.3">
      <c r="A24" s="6" t="s">
        <v>103</v>
      </c>
      <c r="B24" s="7" t="s">
        <v>25</v>
      </c>
      <c r="C24" s="34" t="s">
        <v>26</v>
      </c>
      <c r="D24" s="33" t="s">
        <v>1775</v>
      </c>
      <c r="E24" s="6" t="s">
        <v>104</v>
      </c>
      <c r="F24" s="6" t="s">
        <v>105</v>
      </c>
      <c r="G24" s="9" t="s">
        <v>29</v>
      </c>
      <c r="H24" s="7">
        <v>1</v>
      </c>
      <c r="I24" s="6" t="s">
        <v>30</v>
      </c>
      <c r="J24" s="6" t="s">
        <v>31</v>
      </c>
      <c r="K24" s="6" t="s">
        <v>32</v>
      </c>
      <c r="L24" s="6" t="s">
        <v>1755</v>
      </c>
      <c r="M24" s="6" t="s">
        <v>33</v>
      </c>
      <c r="N24" s="10">
        <v>9</v>
      </c>
      <c r="O24" s="11">
        <v>2</v>
      </c>
      <c r="P24" s="12">
        <v>20</v>
      </c>
      <c r="Q24" s="13">
        <v>16.782468000000001</v>
      </c>
      <c r="R24" s="13">
        <v>-92.696190000000001</v>
      </c>
      <c r="S24" s="14" t="s">
        <v>34</v>
      </c>
      <c r="T24" s="14" t="s">
        <v>35</v>
      </c>
      <c r="U24" s="14" t="s">
        <v>35</v>
      </c>
      <c r="V24" s="14" t="s">
        <v>35</v>
      </c>
      <c r="W24" s="14" t="s">
        <v>35</v>
      </c>
      <c r="X24" s="14" t="s">
        <v>36</v>
      </c>
      <c r="Y24" s="14" t="s">
        <v>37</v>
      </c>
      <c r="Z24" s="14" t="s">
        <v>37</v>
      </c>
      <c r="AA24" s="15"/>
      <c r="AB24" s="16">
        <v>1</v>
      </c>
    </row>
    <row r="25" spans="1:28" x14ac:dyDescent="0.3">
      <c r="A25" s="6" t="s">
        <v>106</v>
      </c>
      <c r="B25" s="7" t="s">
        <v>25</v>
      </c>
      <c r="C25" s="34" t="s">
        <v>26</v>
      </c>
      <c r="D25" s="33" t="s">
        <v>1775</v>
      </c>
      <c r="E25" s="6" t="s">
        <v>82</v>
      </c>
      <c r="F25" s="6" t="s">
        <v>107</v>
      </c>
      <c r="G25" s="9" t="s">
        <v>29</v>
      </c>
      <c r="H25" s="7">
        <v>1</v>
      </c>
      <c r="I25" s="6" t="s">
        <v>30</v>
      </c>
      <c r="J25" s="6" t="s">
        <v>31</v>
      </c>
      <c r="K25" s="6" t="s">
        <v>32</v>
      </c>
      <c r="L25" s="6" t="s">
        <v>1755</v>
      </c>
      <c r="M25" s="6" t="s">
        <v>33</v>
      </c>
      <c r="N25" s="10">
        <v>9</v>
      </c>
      <c r="O25" s="11">
        <v>2</v>
      </c>
      <c r="P25" s="12">
        <v>34</v>
      </c>
      <c r="Q25" s="13">
        <v>16.896882999999999</v>
      </c>
      <c r="R25" s="13">
        <v>-92.063021000000006</v>
      </c>
      <c r="S25" s="14" t="s">
        <v>34</v>
      </c>
      <c r="T25" s="14" t="s">
        <v>35</v>
      </c>
      <c r="U25" s="14" t="s">
        <v>35</v>
      </c>
      <c r="V25" s="14" t="s">
        <v>35</v>
      </c>
      <c r="W25" s="14" t="s">
        <v>35</v>
      </c>
      <c r="X25" s="14" t="s">
        <v>36</v>
      </c>
      <c r="Y25" s="14" t="s">
        <v>37</v>
      </c>
      <c r="Z25" s="14" t="s">
        <v>37</v>
      </c>
      <c r="AA25" s="15"/>
      <c r="AB25" s="16">
        <v>1</v>
      </c>
    </row>
    <row r="26" spans="1:28" x14ac:dyDescent="0.3">
      <c r="A26" s="6" t="s">
        <v>108</v>
      </c>
      <c r="B26" s="7" t="s">
        <v>25</v>
      </c>
      <c r="C26" s="34" t="s">
        <v>26</v>
      </c>
      <c r="D26" s="33" t="s">
        <v>1775</v>
      </c>
      <c r="E26" s="6" t="s">
        <v>109</v>
      </c>
      <c r="F26" s="6" t="s">
        <v>110</v>
      </c>
      <c r="G26" s="6" t="s">
        <v>111</v>
      </c>
      <c r="H26" s="7">
        <v>1</v>
      </c>
      <c r="I26" s="6" t="s">
        <v>112</v>
      </c>
      <c r="J26" s="6" t="s">
        <v>31</v>
      </c>
      <c r="K26" s="6" t="s">
        <v>32</v>
      </c>
      <c r="L26" s="6" t="s">
        <v>1755</v>
      </c>
      <c r="M26" s="6" t="s">
        <v>33</v>
      </c>
      <c r="N26" s="10">
        <v>11</v>
      </c>
      <c r="O26" s="11">
        <v>2</v>
      </c>
      <c r="P26" s="12">
        <v>40</v>
      </c>
      <c r="Q26" s="13">
        <v>16.241557</v>
      </c>
      <c r="R26" s="13">
        <v>-93.887718000000007</v>
      </c>
      <c r="S26" s="14" t="s">
        <v>34</v>
      </c>
      <c r="T26" s="14" t="s">
        <v>35</v>
      </c>
      <c r="U26" s="14" t="s">
        <v>35</v>
      </c>
      <c r="V26" s="14" t="s">
        <v>35</v>
      </c>
      <c r="W26" s="14" t="s">
        <v>35</v>
      </c>
      <c r="X26" s="14" t="s">
        <v>36</v>
      </c>
      <c r="Y26" s="14" t="s">
        <v>37</v>
      </c>
      <c r="Z26" s="14" t="s">
        <v>37</v>
      </c>
      <c r="AA26" s="15"/>
      <c r="AB26" s="16">
        <v>1</v>
      </c>
    </row>
    <row r="27" spans="1:28" x14ac:dyDescent="0.3">
      <c r="A27" s="6" t="s">
        <v>113</v>
      </c>
      <c r="B27" s="7" t="s">
        <v>25</v>
      </c>
      <c r="C27" s="34" t="s">
        <v>26</v>
      </c>
      <c r="D27" s="33" t="s">
        <v>1775</v>
      </c>
      <c r="E27" s="6" t="s">
        <v>114</v>
      </c>
      <c r="F27" s="6" t="s">
        <v>115</v>
      </c>
      <c r="G27" s="6" t="s">
        <v>111</v>
      </c>
      <c r="H27" s="7">
        <v>1</v>
      </c>
      <c r="I27" s="6" t="s">
        <v>112</v>
      </c>
      <c r="J27" s="6" t="s">
        <v>31</v>
      </c>
      <c r="K27" s="6" t="s">
        <v>32</v>
      </c>
      <c r="L27" s="6" t="s">
        <v>1755</v>
      </c>
      <c r="M27" s="6" t="s">
        <v>33</v>
      </c>
      <c r="N27" s="10">
        <v>10</v>
      </c>
      <c r="O27" s="11">
        <v>5</v>
      </c>
      <c r="P27" s="12">
        <v>105</v>
      </c>
      <c r="Q27" s="13">
        <v>16.246123999999998</v>
      </c>
      <c r="R27" s="13">
        <v>-92.129626999999999</v>
      </c>
      <c r="S27" s="14" t="s">
        <v>34</v>
      </c>
      <c r="T27" s="14" t="s">
        <v>35</v>
      </c>
      <c r="U27" s="14" t="s">
        <v>35</v>
      </c>
      <c r="V27" s="14" t="s">
        <v>35</v>
      </c>
      <c r="W27" s="14" t="s">
        <v>35</v>
      </c>
      <c r="X27" s="14" t="s">
        <v>36</v>
      </c>
      <c r="Y27" s="14" t="s">
        <v>37</v>
      </c>
      <c r="Z27" s="14" t="s">
        <v>37</v>
      </c>
      <c r="AA27" s="15"/>
      <c r="AB27" s="16">
        <v>1</v>
      </c>
    </row>
    <row r="28" spans="1:28" x14ac:dyDescent="0.3">
      <c r="A28" s="6" t="s">
        <v>116</v>
      </c>
      <c r="B28" s="7" t="s">
        <v>25</v>
      </c>
      <c r="C28" s="34" t="s">
        <v>26</v>
      </c>
      <c r="D28" s="33" t="s">
        <v>1775</v>
      </c>
      <c r="E28" s="6" t="s">
        <v>117</v>
      </c>
      <c r="F28" s="6" t="s">
        <v>118</v>
      </c>
      <c r="G28" s="6" t="s">
        <v>111</v>
      </c>
      <c r="H28" s="7">
        <v>1</v>
      </c>
      <c r="I28" s="6" t="s">
        <v>112</v>
      </c>
      <c r="J28" s="6" t="s">
        <v>31</v>
      </c>
      <c r="K28" s="6" t="s">
        <v>32</v>
      </c>
      <c r="L28" s="6" t="s">
        <v>1755</v>
      </c>
      <c r="M28" s="6" t="s">
        <v>33</v>
      </c>
      <c r="N28" s="10">
        <v>9</v>
      </c>
      <c r="O28" s="11">
        <v>3</v>
      </c>
      <c r="P28" s="12">
        <v>68</v>
      </c>
      <c r="Q28" s="13">
        <v>15.145903000000001</v>
      </c>
      <c r="R28" s="13">
        <v>-92.457536000000005</v>
      </c>
      <c r="S28" s="14" t="s">
        <v>34</v>
      </c>
      <c r="T28" s="14" t="s">
        <v>35</v>
      </c>
      <c r="U28" s="14" t="s">
        <v>35</v>
      </c>
      <c r="V28" s="14" t="s">
        <v>35</v>
      </c>
      <c r="W28" s="14" t="s">
        <v>35</v>
      </c>
      <c r="X28" s="14" t="s">
        <v>36</v>
      </c>
      <c r="Y28" s="14" t="s">
        <v>37</v>
      </c>
      <c r="Z28" s="14" t="s">
        <v>37</v>
      </c>
      <c r="AA28" s="15"/>
      <c r="AB28" s="16">
        <v>1</v>
      </c>
    </row>
    <row r="29" spans="1:28" x14ac:dyDescent="0.3">
      <c r="A29" s="6" t="s">
        <v>119</v>
      </c>
      <c r="B29" s="7" t="s">
        <v>25</v>
      </c>
      <c r="C29" s="34" t="s">
        <v>26</v>
      </c>
      <c r="D29" s="33" t="s">
        <v>1775</v>
      </c>
      <c r="E29" s="6" t="s">
        <v>120</v>
      </c>
      <c r="F29" s="6" t="s">
        <v>121</v>
      </c>
      <c r="G29" s="6" t="s">
        <v>111</v>
      </c>
      <c r="H29" s="7">
        <v>1</v>
      </c>
      <c r="I29" s="6" t="s">
        <v>112</v>
      </c>
      <c r="J29" s="6" t="s">
        <v>31</v>
      </c>
      <c r="K29" s="6" t="s">
        <v>32</v>
      </c>
      <c r="L29" s="6" t="s">
        <v>1755</v>
      </c>
      <c r="M29" s="6" t="s">
        <v>33</v>
      </c>
      <c r="N29" s="10">
        <v>17</v>
      </c>
      <c r="O29" s="11">
        <v>3</v>
      </c>
      <c r="P29" s="12">
        <v>90</v>
      </c>
      <c r="Q29" s="13">
        <v>17.507697</v>
      </c>
      <c r="R29" s="13">
        <v>-91.988442000000006</v>
      </c>
      <c r="S29" s="14" t="s">
        <v>34</v>
      </c>
      <c r="T29" s="14" t="s">
        <v>35</v>
      </c>
      <c r="U29" s="14" t="s">
        <v>35</v>
      </c>
      <c r="V29" s="14" t="s">
        <v>35</v>
      </c>
      <c r="W29" s="14" t="s">
        <v>35</v>
      </c>
      <c r="X29" s="14" t="s">
        <v>36</v>
      </c>
      <c r="Y29" s="14" t="s">
        <v>37</v>
      </c>
      <c r="Z29" s="14" t="s">
        <v>37</v>
      </c>
      <c r="AA29" s="15"/>
      <c r="AB29" s="16">
        <v>1</v>
      </c>
    </row>
    <row r="30" spans="1:28" x14ac:dyDescent="0.3">
      <c r="A30" s="6" t="s">
        <v>122</v>
      </c>
      <c r="B30" s="7" t="s">
        <v>25</v>
      </c>
      <c r="C30" s="34" t="s">
        <v>26</v>
      </c>
      <c r="D30" s="33" t="s">
        <v>1775</v>
      </c>
      <c r="E30" s="6" t="s">
        <v>123</v>
      </c>
      <c r="F30" s="6" t="s">
        <v>124</v>
      </c>
      <c r="G30" s="6" t="s">
        <v>111</v>
      </c>
      <c r="H30" s="7">
        <v>1</v>
      </c>
      <c r="I30" s="6" t="s">
        <v>112</v>
      </c>
      <c r="J30" s="6" t="s">
        <v>31</v>
      </c>
      <c r="K30" s="6" t="s">
        <v>32</v>
      </c>
      <c r="L30" s="6" t="s">
        <v>1755</v>
      </c>
      <c r="M30" s="6" t="s">
        <v>33</v>
      </c>
      <c r="N30" s="10">
        <v>14</v>
      </c>
      <c r="O30" s="11">
        <v>3</v>
      </c>
      <c r="P30" s="12">
        <v>33</v>
      </c>
      <c r="Q30" s="13">
        <v>17.513850000000001</v>
      </c>
      <c r="R30" s="13">
        <v>-93.120507000000003</v>
      </c>
      <c r="S30" s="14" t="s">
        <v>34</v>
      </c>
      <c r="T30" s="14" t="s">
        <v>35</v>
      </c>
      <c r="U30" s="14" t="s">
        <v>35</v>
      </c>
      <c r="V30" s="14" t="s">
        <v>35</v>
      </c>
      <c r="W30" s="14" t="s">
        <v>35</v>
      </c>
      <c r="X30" s="14" t="s">
        <v>36</v>
      </c>
      <c r="Y30" s="14" t="s">
        <v>37</v>
      </c>
      <c r="Z30" s="14" t="s">
        <v>37</v>
      </c>
      <c r="AA30" s="15"/>
      <c r="AB30" s="16">
        <v>1</v>
      </c>
    </row>
    <row r="31" spans="1:28" x14ac:dyDescent="0.3">
      <c r="A31" s="6" t="s">
        <v>125</v>
      </c>
      <c r="B31" s="7" t="s">
        <v>25</v>
      </c>
      <c r="C31" s="34" t="s">
        <v>26</v>
      </c>
      <c r="D31" s="33" t="s">
        <v>1775</v>
      </c>
      <c r="E31" s="6" t="s">
        <v>126</v>
      </c>
      <c r="F31" s="6" t="s">
        <v>127</v>
      </c>
      <c r="G31" s="6" t="s">
        <v>111</v>
      </c>
      <c r="H31" s="7">
        <v>1</v>
      </c>
      <c r="I31" s="6" t="s">
        <v>112</v>
      </c>
      <c r="J31" s="6" t="s">
        <v>31</v>
      </c>
      <c r="K31" s="6" t="s">
        <v>32</v>
      </c>
      <c r="L31" s="6" t="s">
        <v>1755</v>
      </c>
      <c r="M31" s="6" t="s">
        <v>33</v>
      </c>
      <c r="N31" s="10">
        <v>10</v>
      </c>
      <c r="O31" s="11">
        <v>2</v>
      </c>
      <c r="P31" s="12">
        <v>47</v>
      </c>
      <c r="Q31" s="13">
        <v>16.090009999999999</v>
      </c>
      <c r="R31" s="13">
        <v>-93.744799999999998</v>
      </c>
      <c r="S31" s="14" t="s">
        <v>34</v>
      </c>
      <c r="T31" s="14" t="s">
        <v>35</v>
      </c>
      <c r="U31" s="14" t="s">
        <v>35</v>
      </c>
      <c r="V31" s="14" t="s">
        <v>35</v>
      </c>
      <c r="W31" s="14" t="s">
        <v>35</v>
      </c>
      <c r="X31" s="14" t="s">
        <v>36</v>
      </c>
      <c r="Y31" s="14" t="s">
        <v>37</v>
      </c>
      <c r="Z31" s="14" t="s">
        <v>37</v>
      </c>
      <c r="AA31" s="15"/>
      <c r="AB31" s="16">
        <v>1</v>
      </c>
    </row>
    <row r="32" spans="1:28" x14ac:dyDescent="0.3">
      <c r="A32" s="6" t="s">
        <v>128</v>
      </c>
      <c r="B32" s="7" t="s">
        <v>25</v>
      </c>
      <c r="C32" s="34" t="s">
        <v>26</v>
      </c>
      <c r="D32" s="33" t="s">
        <v>1775</v>
      </c>
      <c r="E32" s="6" t="s">
        <v>129</v>
      </c>
      <c r="F32" s="6" t="s">
        <v>130</v>
      </c>
      <c r="G32" s="6" t="s">
        <v>111</v>
      </c>
      <c r="H32" s="7">
        <v>1</v>
      </c>
      <c r="I32" s="6" t="s">
        <v>112</v>
      </c>
      <c r="J32" s="6" t="s">
        <v>31</v>
      </c>
      <c r="K32" s="6" t="s">
        <v>32</v>
      </c>
      <c r="L32" s="6" t="s">
        <v>1755</v>
      </c>
      <c r="M32" s="6" t="s">
        <v>33</v>
      </c>
      <c r="N32" s="10">
        <v>23</v>
      </c>
      <c r="O32" s="11">
        <v>9</v>
      </c>
      <c r="P32" s="12">
        <v>94</v>
      </c>
      <c r="Q32" s="13">
        <v>16.745825</v>
      </c>
      <c r="R32" s="13">
        <v>-93.116883999999999</v>
      </c>
      <c r="S32" s="14" t="s">
        <v>34</v>
      </c>
      <c r="T32" s="14" t="s">
        <v>35</v>
      </c>
      <c r="U32" s="14" t="s">
        <v>35</v>
      </c>
      <c r="V32" s="14" t="s">
        <v>35</v>
      </c>
      <c r="W32" s="14" t="s">
        <v>35</v>
      </c>
      <c r="X32" s="14" t="s">
        <v>36</v>
      </c>
      <c r="Y32" s="14" t="s">
        <v>37</v>
      </c>
      <c r="Z32" s="14" t="s">
        <v>37</v>
      </c>
      <c r="AA32" s="15"/>
      <c r="AB32" s="16">
        <v>1</v>
      </c>
    </row>
    <row r="33" spans="1:28" x14ac:dyDescent="0.3">
      <c r="A33" s="6" t="s">
        <v>131</v>
      </c>
      <c r="B33" s="7" t="s">
        <v>25</v>
      </c>
      <c r="C33" s="34" t="s">
        <v>26</v>
      </c>
      <c r="D33" s="33" t="s">
        <v>1775</v>
      </c>
      <c r="E33" s="6" t="s">
        <v>132</v>
      </c>
      <c r="F33" s="6" t="s">
        <v>133</v>
      </c>
      <c r="G33" s="6" t="s">
        <v>111</v>
      </c>
      <c r="H33" s="7">
        <v>1</v>
      </c>
      <c r="I33" s="6" t="s">
        <v>112</v>
      </c>
      <c r="J33" s="6" t="s">
        <v>31</v>
      </c>
      <c r="K33" s="6" t="s">
        <v>32</v>
      </c>
      <c r="L33" s="6" t="s">
        <v>1755</v>
      </c>
      <c r="M33" s="6" t="s">
        <v>33</v>
      </c>
      <c r="N33" s="10">
        <v>8</v>
      </c>
      <c r="O33" s="11">
        <v>3</v>
      </c>
      <c r="P33" s="12">
        <v>55</v>
      </c>
      <c r="Q33" s="13">
        <v>17.853377999999999</v>
      </c>
      <c r="R33" s="13">
        <v>-93.157189000000002</v>
      </c>
      <c r="S33" s="14" t="s">
        <v>34</v>
      </c>
      <c r="T33" s="14" t="s">
        <v>35</v>
      </c>
      <c r="U33" s="14" t="s">
        <v>35</v>
      </c>
      <c r="V33" s="14" t="s">
        <v>35</v>
      </c>
      <c r="W33" s="14" t="s">
        <v>35</v>
      </c>
      <c r="X33" s="14" t="s">
        <v>36</v>
      </c>
      <c r="Y33" s="14" t="s">
        <v>37</v>
      </c>
      <c r="Z33" s="14" t="s">
        <v>37</v>
      </c>
      <c r="AA33" s="15"/>
      <c r="AB33" s="16">
        <v>1</v>
      </c>
    </row>
    <row r="34" spans="1:28" x14ac:dyDescent="0.3">
      <c r="A34" s="6" t="s">
        <v>134</v>
      </c>
      <c r="B34" s="7" t="s">
        <v>25</v>
      </c>
      <c r="C34" s="33" t="s">
        <v>26</v>
      </c>
      <c r="D34" s="33" t="s">
        <v>1775</v>
      </c>
      <c r="E34" s="6" t="s">
        <v>135</v>
      </c>
      <c r="F34" s="6" t="s">
        <v>136</v>
      </c>
      <c r="G34" s="6" t="s">
        <v>111</v>
      </c>
      <c r="H34" s="7">
        <v>1</v>
      </c>
      <c r="I34" s="6" t="s">
        <v>112</v>
      </c>
      <c r="J34" s="6" t="s">
        <v>31</v>
      </c>
      <c r="K34" s="6" t="s">
        <v>32</v>
      </c>
      <c r="L34" s="6" t="s">
        <v>1755</v>
      </c>
      <c r="M34" s="6" t="s">
        <v>33</v>
      </c>
      <c r="N34" s="10">
        <v>6</v>
      </c>
      <c r="O34" s="11">
        <v>2</v>
      </c>
      <c r="P34" s="12">
        <v>63</v>
      </c>
      <c r="Q34" s="13">
        <v>17.178397</v>
      </c>
      <c r="R34" s="13">
        <v>-92.338070000000002</v>
      </c>
      <c r="S34" s="14" t="s">
        <v>34</v>
      </c>
      <c r="T34" s="14" t="s">
        <v>35</v>
      </c>
      <c r="U34" s="14" t="s">
        <v>35</v>
      </c>
      <c r="V34" s="14" t="s">
        <v>35</v>
      </c>
      <c r="W34" s="14" t="s">
        <v>35</v>
      </c>
      <c r="X34" s="14" t="s">
        <v>36</v>
      </c>
      <c r="Y34" s="14" t="s">
        <v>37</v>
      </c>
      <c r="Z34" s="14" t="s">
        <v>37</v>
      </c>
      <c r="AA34" s="15"/>
      <c r="AB34" s="16">
        <v>1</v>
      </c>
    </row>
    <row r="35" spans="1:28" x14ac:dyDescent="0.3">
      <c r="A35" s="6" t="s">
        <v>137</v>
      </c>
      <c r="B35" s="7" t="s">
        <v>25</v>
      </c>
      <c r="C35" s="33" t="s">
        <v>26</v>
      </c>
      <c r="D35" s="33" t="s">
        <v>1775</v>
      </c>
      <c r="E35" s="6" t="s">
        <v>138</v>
      </c>
      <c r="F35" s="6" t="s">
        <v>139</v>
      </c>
      <c r="G35" s="6" t="s">
        <v>111</v>
      </c>
      <c r="H35" s="7">
        <v>1</v>
      </c>
      <c r="I35" s="6" t="s">
        <v>112</v>
      </c>
      <c r="J35" s="6" t="s">
        <v>31</v>
      </c>
      <c r="K35" s="6" t="s">
        <v>32</v>
      </c>
      <c r="L35" s="6" t="s">
        <v>1755</v>
      </c>
      <c r="M35" s="6" t="s">
        <v>33</v>
      </c>
      <c r="N35" s="10">
        <v>29</v>
      </c>
      <c r="O35" s="11">
        <v>6</v>
      </c>
      <c r="P35" s="12">
        <v>205</v>
      </c>
      <c r="Q35" s="13">
        <v>14.842518500000001</v>
      </c>
      <c r="R35" s="13">
        <v>-92.318376099999995</v>
      </c>
      <c r="S35" s="14" t="s">
        <v>34</v>
      </c>
      <c r="T35" s="14" t="s">
        <v>35</v>
      </c>
      <c r="U35" s="14" t="s">
        <v>35</v>
      </c>
      <c r="V35" s="14" t="s">
        <v>35</v>
      </c>
      <c r="W35" s="14" t="s">
        <v>35</v>
      </c>
      <c r="X35" s="14" t="s">
        <v>36</v>
      </c>
      <c r="Y35" s="14" t="s">
        <v>37</v>
      </c>
      <c r="Z35" s="14" t="s">
        <v>37</v>
      </c>
      <c r="AA35" s="15"/>
      <c r="AB35" s="16">
        <v>1</v>
      </c>
    </row>
    <row r="36" spans="1:28" x14ac:dyDescent="0.3">
      <c r="A36" s="6" t="s">
        <v>140</v>
      </c>
      <c r="B36" s="7" t="s">
        <v>25</v>
      </c>
      <c r="C36" s="34" t="s">
        <v>26</v>
      </c>
      <c r="D36" s="33" t="s">
        <v>1775</v>
      </c>
      <c r="E36" s="6" t="s">
        <v>141</v>
      </c>
      <c r="F36" s="6" t="s">
        <v>142</v>
      </c>
      <c r="G36" s="6" t="s">
        <v>111</v>
      </c>
      <c r="H36" s="7">
        <v>1</v>
      </c>
      <c r="I36" s="6" t="s">
        <v>112</v>
      </c>
      <c r="J36" s="6" t="s">
        <v>31</v>
      </c>
      <c r="K36" s="6" t="s">
        <v>32</v>
      </c>
      <c r="L36" s="6" t="s">
        <v>1755</v>
      </c>
      <c r="M36" s="6" t="s">
        <v>33</v>
      </c>
      <c r="N36" s="10">
        <v>13</v>
      </c>
      <c r="O36" s="11">
        <v>3</v>
      </c>
      <c r="P36" s="12">
        <v>116</v>
      </c>
      <c r="Q36" s="13">
        <v>16.723703</v>
      </c>
      <c r="R36" s="13">
        <v>-92.652269000000004</v>
      </c>
      <c r="S36" s="14" t="s">
        <v>34</v>
      </c>
      <c r="T36" s="14" t="s">
        <v>35</v>
      </c>
      <c r="U36" s="14" t="s">
        <v>35</v>
      </c>
      <c r="V36" s="14" t="s">
        <v>35</v>
      </c>
      <c r="W36" s="14" t="s">
        <v>35</v>
      </c>
      <c r="X36" s="14" t="s">
        <v>36</v>
      </c>
      <c r="Y36" s="14" t="s">
        <v>37</v>
      </c>
      <c r="Z36" s="14" t="s">
        <v>37</v>
      </c>
      <c r="AA36" s="15"/>
      <c r="AB36" s="16">
        <v>1</v>
      </c>
    </row>
    <row r="37" spans="1:28" x14ac:dyDescent="0.3">
      <c r="A37" s="6" t="s">
        <v>143</v>
      </c>
      <c r="B37" s="7" t="s">
        <v>25</v>
      </c>
      <c r="C37" s="34" t="s">
        <v>26</v>
      </c>
      <c r="D37" s="33" t="s">
        <v>1775</v>
      </c>
      <c r="E37" s="6" t="s">
        <v>144</v>
      </c>
      <c r="F37" s="6" t="s">
        <v>145</v>
      </c>
      <c r="G37" s="6" t="s">
        <v>111</v>
      </c>
      <c r="H37" s="7">
        <v>1</v>
      </c>
      <c r="I37" s="6" t="s">
        <v>112</v>
      </c>
      <c r="J37" s="6" t="s">
        <v>31</v>
      </c>
      <c r="K37" s="6" t="s">
        <v>32</v>
      </c>
      <c r="L37" s="6" t="s">
        <v>1755</v>
      </c>
      <c r="M37" s="6" t="s">
        <v>33</v>
      </c>
      <c r="N37" s="10">
        <v>9</v>
      </c>
      <c r="O37" s="11">
        <v>6</v>
      </c>
      <c r="P37" s="12">
        <v>98</v>
      </c>
      <c r="Q37" s="13">
        <v>16.258402</v>
      </c>
      <c r="R37" s="13">
        <v>-93.265141</v>
      </c>
      <c r="S37" s="14" t="s">
        <v>34</v>
      </c>
      <c r="T37" s="14" t="s">
        <v>35</v>
      </c>
      <c r="U37" s="14" t="s">
        <v>35</v>
      </c>
      <c r="V37" s="14" t="s">
        <v>35</v>
      </c>
      <c r="W37" s="14" t="s">
        <v>35</v>
      </c>
      <c r="X37" s="14" t="s">
        <v>36</v>
      </c>
      <c r="Y37" s="14" t="s">
        <v>37</v>
      </c>
      <c r="Z37" s="14" t="s">
        <v>37</v>
      </c>
      <c r="AA37" s="15"/>
      <c r="AB37" s="16">
        <v>1</v>
      </c>
    </row>
    <row r="38" spans="1:28" x14ac:dyDescent="0.3">
      <c r="A38" s="6" t="s">
        <v>146</v>
      </c>
      <c r="B38" s="7" t="s">
        <v>25</v>
      </c>
      <c r="C38" s="34" t="s">
        <v>26</v>
      </c>
      <c r="D38" s="33" t="s">
        <v>1775</v>
      </c>
      <c r="E38" s="6" t="s">
        <v>129</v>
      </c>
      <c r="F38" s="6" t="s">
        <v>147</v>
      </c>
      <c r="G38" s="6" t="s">
        <v>111</v>
      </c>
      <c r="H38" s="7">
        <v>1</v>
      </c>
      <c r="I38" s="6" t="s">
        <v>112</v>
      </c>
      <c r="J38" s="6" t="s">
        <v>31</v>
      </c>
      <c r="K38" s="6" t="s">
        <v>32</v>
      </c>
      <c r="L38" s="6" t="s">
        <v>1756</v>
      </c>
      <c r="M38" s="6" t="s">
        <v>33</v>
      </c>
      <c r="N38" s="10">
        <v>39</v>
      </c>
      <c r="O38" s="11">
        <v>6</v>
      </c>
      <c r="P38" s="12">
        <v>222</v>
      </c>
      <c r="Q38" s="13">
        <v>16.748459700000002</v>
      </c>
      <c r="R38" s="13">
        <v>-93.072799500000002</v>
      </c>
      <c r="S38" s="14" t="s">
        <v>34</v>
      </c>
      <c r="T38" s="14" t="s">
        <v>35</v>
      </c>
      <c r="U38" s="14" t="s">
        <v>35</v>
      </c>
      <c r="V38" s="14" t="s">
        <v>35</v>
      </c>
      <c r="W38" s="14" t="s">
        <v>35</v>
      </c>
      <c r="X38" s="14" t="s">
        <v>36</v>
      </c>
      <c r="Y38" s="14" t="s">
        <v>37</v>
      </c>
      <c r="Z38" s="14" t="s">
        <v>37</v>
      </c>
      <c r="AA38" s="15"/>
      <c r="AB38" s="16">
        <v>1</v>
      </c>
    </row>
    <row r="39" spans="1:28" x14ac:dyDescent="0.3">
      <c r="A39" s="6" t="s">
        <v>148</v>
      </c>
      <c r="B39" s="7" t="s">
        <v>25</v>
      </c>
      <c r="C39" s="34" t="s">
        <v>149</v>
      </c>
      <c r="D39" s="33" t="s">
        <v>1775</v>
      </c>
      <c r="E39" s="6" t="s">
        <v>150</v>
      </c>
      <c r="F39" s="6" t="s">
        <v>151</v>
      </c>
      <c r="G39" s="6" t="s">
        <v>111</v>
      </c>
      <c r="H39" s="7">
        <v>1</v>
      </c>
      <c r="I39" s="6" t="s">
        <v>112</v>
      </c>
      <c r="J39" s="6" t="s">
        <v>31</v>
      </c>
      <c r="K39" s="6" t="s">
        <v>32</v>
      </c>
      <c r="L39" s="6" t="s">
        <v>1755</v>
      </c>
      <c r="M39" s="6" t="s">
        <v>33</v>
      </c>
      <c r="N39" s="10">
        <v>8</v>
      </c>
      <c r="O39" s="11">
        <v>2</v>
      </c>
      <c r="P39" s="12">
        <v>73</v>
      </c>
      <c r="Q39" s="13">
        <v>20.187197000000001</v>
      </c>
      <c r="R39" s="13">
        <v>-89.264460900000003</v>
      </c>
      <c r="S39" s="14" t="s">
        <v>34</v>
      </c>
      <c r="T39" s="14" t="s">
        <v>35</v>
      </c>
      <c r="U39" s="14" t="s">
        <v>35</v>
      </c>
      <c r="V39" s="14" t="s">
        <v>35</v>
      </c>
      <c r="W39" s="14" t="s">
        <v>35</v>
      </c>
      <c r="X39" s="14" t="s">
        <v>36</v>
      </c>
      <c r="Y39" s="14" t="s">
        <v>37</v>
      </c>
      <c r="Z39" s="14" t="s">
        <v>37</v>
      </c>
      <c r="AA39" s="15"/>
      <c r="AB39" s="16">
        <v>1</v>
      </c>
    </row>
    <row r="40" spans="1:28" x14ac:dyDescent="0.3">
      <c r="A40" s="6" t="s">
        <v>152</v>
      </c>
      <c r="B40" s="7" t="s">
        <v>25</v>
      </c>
      <c r="C40" s="34" t="s">
        <v>26</v>
      </c>
      <c r="D40" s="34" t="s">
        <v>1771</v>
      </c>
      <c r="E40" s="6" t="s">
        <v>138</v>
      </c>
      <c r="F40" s="6" t="s">
        <v>153</v>
      </c>
      <c r="G40" s="6" t="s">
        <v>154</v>
      </c>
      <c r="H40" s="7">
        <v>1</v>
      </c>
      <c r="I40" s="6" t="s">
        <v>155</v>
      </c>
      <c r="J40" s="6" t="s">
        <v>31</v>
      </c>
      <c r="K40" s="6" t="s">
        <v>32</v>
      </c>
      <c r="L40" s="6" t="s">
        <v>1756</v>
      </c>
      <c r="M40" s="6" t="s">
        <v>33</v>
      </c>
      <c r="N40" s="10">
        <v>36</v>
      </c>
      <c r="O40" s="11">
        <v>5</v>
      </c>
      <c r="P40" s="12">
        <v>137</v>
      </c>
      <c r="Q40" s="13">
        <v>14.809310999999999</v>
      </c>
      <c r="R40" s="13">
        <v>-92.345595000000003</v>
      </c>
      <c r="S40" s="14" t="s">
        <v>34</v>
      </c>
      <c r="T40" s="14" t="s">
        <v>35</v>
      </c>
      <c r="U40" s="14" t="s">
        <v>35</v>
      </c>
      <c r="V40" s="14" t="s">
        <v>35</v>
      </c>
      <c r="W40" s="14" t="s">
        <v>35</v>
      </c>
      <c r="X40" s="14" t="s">
        <v>36</v>
      </c>
      <c r="Y40" s="14" t="s">
        <v>37</v>
      </c>
      <c r="Z40" s="14" t="s">
        <v>37</v>
      </c>
      <c r="AA40" s="15"/>
      <c r="AB40" s="16">
        <v>1</v>
      </c>
    </row>
    <row r="41" spans="1:28" x14ac:dyDescent="0.3">
      <c r="A41" s="6" t="s">
        <v>156</v>
      </c>
      <c r="B41" s="7" t="s">
        <v>25</v>
      </c>
      <c r="C41" s="34" t="s">
        <v>26</v>
      </c>
      <c r="D41" s="34" t="s">
        <v>1771</v>
      </c>
      <c r="E41" s="6" t="s">
        <v>129</v>
      </c>
      <c r="F41" s="6" t="s">
        <v>157</v>
      </c>
      <c r="G41" s="6" t="s">
        <v>154</v>
      </c>
      <c r="H41" s="7">
        <v>1</v>
      </c>
      <c r="I41" s="6" t="s">
        <v>155</v>
      </c>
      <c r="J41" s="6" t="s">
        <v>31</v>
      </c>
      <c r="K41" s="6" t="s">
        <v>32</v>
      </c>
      <c r="L41" s="6" t="s">
        <v>1756</v>
      </c>
      <c r="M41" s="6" t="s">
        <v>33</v>
      </c>
      <c r="N41" s="10">
        <v>24</v>
      </c>
      <c r="O41" s="11">
        <v>4</v>
      </c>
      <c r="P41" s="12">
        <v>106</v>
      </c>
      <c r="Q41" s="13">
        <v>16.750662999999999</v>
      </c>
      <c r="R41" s="13">
        <v>-93.078046999999998</v>
      </c>
      <c r="S41" s="14" t="s">
        <v>34</v>
      </c>
      <c r="T41" s="14" t="s">
        <v>35</v>
      </c>
      <c r="U41" s="14" t="s">
        <v>35</v>
      </c>
      <c r="V41" s="14" t="s">
        <v>35</v>
      </c>
      <c r="W41" s="14" t="s">
        <v>35</v>
      </c>
      <c r="X41" s="14" t="s">
        <v>36</v>
      </c>
      <c r="Y41" s="14" t="s">
        <v>37</v>
      </c>
      <c r="Z41" s="14" t="s">
        <v>37</v>
      </c>
      <c r="AA41" s="15"/>
      <c r="AB41" s="16">
        <v>1</v>
      </c>
    </row>
    <row r="42" spans="1:28" x14ac:dyDescent="0.3">
      <c r="A42" s="6" t="s">
        <v>158</v>
      </c>
      <c r="B42" s="7" t="s">
        <v>25</v>
      </c>
      <c r="C42" s="34" t="s">
        <v>159</v>
      </c>
      <c r="D42" s="34" t="s">
        <v>1771</v>
      </c>
      <c r="E42" s="6" t="s">
        <v>160</v>
      </c>
      <c r="F42" s="6" t="s">
        <v>161</v>
      </c>
      <c r="G42" s="6" t="s">
        <v>154</v>
      </c>
      <c r="H42" s="7">
        <v>1</v>
      </c>
      <c r="I42" s="6" t="s">
        <v>155</v>
      </c>
      <c r="J42" s="6" t="s">
        <v>31</v>
      </c>
      <c r="K42" s="6" t="s">
        <v>32</v>
      </c>
      <c r="L42" s="6" t="s">
        <v>1756</v>
      </c>
      <c r="M42" s="6" t="s">
        <v>33</v>
      </c>
      <c r="N42" s="10">
        <v>37</v>
      </c>
      <c r="O42" s="11">
        <v>8</v>
      </c>
      <c r="P42" s="12">
        <v>179</v>
      </c>
      <c r="Q42" s="13">
        <v>23.761924</v>
      </c>
      <c r="R42" s="13">
        <v>-99.107735000000005</v>
      </c>
      <c r="S42" s="14" t="s">
        <v>34</v>
      </c>
      <c r="T42" s="14" t="s">
        <v>35</v>
      </c>
      <c r="U42" s="14" t="s">
        <v>35</v>
      </c>
      <c r="V42" s="14" t="s">
        <v>35</v>
      </c>
      <c r="W42" s="14" t="s">
        <v>35</v>
      </c>
      <c r="X42" s="14" t="s">
        <v>36</v>
      </c>
      <c r="Y42" s="14" t="s">
        <v>37</v>
      </c>
      <c r="Z42" s="14" t="s">
        <v>37</v>
      </c>
      <c r="AA42" s="15"/>
      <c r="AB42" s="16">
        <v>1</v>
      </c>
    </row>
    <row r="43" spans="1:28" x14ac:dyDescent="0.3">
      <c r="A43" s="6" t="s">
        <v>162</v>
      </c>
      <c r="B43" s="7" t="s">
        <v>25</v>
      </c>
      <c r="C43" s="34" t="s">
        <v>26</v>
      </c>
      <c r="D43" s="33" t="s">
        <v>1775</v>
      </c>
      <c r="E43" s="6" t="s">
        <v>114</v>
      </c>
      <c r="F43" s="6" t="s">
        <v>163</v>
      </c>
      <c r="G43" s="6" t="s">
        <v>164</v>
      </c>
      <c r="H43" s="7">
        <v>2</v>
      </c>
      <c r="I43" s="6" t="s">
        <v>112</v>
      </c>
      <c r="J43" s="6" t="s">
        <v>31</v>
      </c>
      <c r="K43" s="6" t="s">
        <v>32</v>
      </c>
      <c r="L43" s="6" t="s">
        <v>1755</v>
      </c>
      <c r="M43" s="6" t="s">
        <v>33</v>
      </c>
      <c r="N43" s="10">
        <v>11</v>
      </c>
      <c r="O43" s="11">
        <v>5</v>
      </c>
      <c r="P43" s="12">
        <v>106</v>
      </c>
      <c r="Q43" s="13">
        <v>16.207545</v>
      </c>
      <c r="R43" s="13">
        <v>-92.106986000000006</v>
      </c>
      <c r="S43" s="14" t="s">
        <v>34</v>
      </c>
      <c r="T43" s="14" t="s">
        <v>35</v>
      </c>
      <c r="U43" s="14" t="s">
        <v>35</v>
      </c>
      <c r="V43" s="14" t="s">
        <v>35</v>
      </c>
      <c r="W43" s="14" t="s">
        <v>35</v>
      </c>
      <c r="X43" s="14" t="s">
        <v>36</v>
      </c>
      <c r="Y43" s="14" t="s">
        <v>37</v>
      </c>
      <c r="Z43" s="14" t="s">
        <v>37</v>
      </c>
      <c r="AA43" s="15"/>
      <c r="AB43" s="16">
        <v>1</v>
      </c>
    </row>
    <row r="44" spans="1:28" x14ac:dyDescent="0.3">
      <c r="A44" s="6" t="s">
        <v>165</v>
      </c>
      <c r="B44" s="7" t="s">
        <v>25</v>
      </c>
      <c r="C44" s="34" t="s">
        <v>26</v>
      </c>
      <c r="D44" s="33" t="s">
        <v>1775</v>
      </c>
      <c r="E44" s="6" t="s">
        <v>141</v>
      </c>
      <c r="F44" s="6" t="s">
        <v>166</v>
      </c>
      <c r="G44" s="6" t="s">
        <v>164</v>
      </c>
      <c r="H44" s="7">
        <v>2</v>
      </c>
      <c r="I44" s="6" t="s">
        <v>112</v>
      </c>
      <c r="J44" s="6" t="s">
        <v>31</v>
      </c>
      <c r="K44" s="6" t="s">
        <v>32</v>
      </c>
      <c r="L44" s="6" t="s">
        <v>1755</v>
      </c>
      <c r="M44" s="6" t="s">
        <v>33</v>
      </c>
      <c r="N44" s="10">
        <v>9</v>
      </c>
      <c r="O44" s="11">
        <v>3</v>
      </c>
      <c r="P44" s="12">
        <v>81</v>
      </c>
      <c r="Q44" s="13">
        <v>16.733135999999998</v>
      </c>
      <c r="R44" s="13">
        <v>-92.636848999999998</v>
      </c>
      <c r="S44" s="14" t="s">
        <v>34</v>
      </c>
      <c r="T44" s="14" t="s">
        <v>35</v>
      </c>
      <c r="U44" s="14" t="s">
        <v>35</v>
      </c>
      <c r="V44" s="14" t="s">
        <v>35</v>
      </c>
      <c r="W44" s="14" t="s">
        <v>35</v>
      </c>
      <c r="X44" s="14" t="s">
        <v>36</v>
      </c>
      <c r="Y44" s="14" t="s">
        <v>37</v>
      </c>
      <c r="Z44" s="14" t="s">
        <v>37</v>
      </c>
      <c r="AA44" s="15"/>
      <c r="AB44" s="16">
        <v>1</v>
      </c>
    </row>
    <row r="45" spans="1:28" x14ac:dyDescent="0.3">
      <c r="A45" s="6" t="s">
        <v>167</v>
      </c>
      <c r="B45" s="7" t="s">
        <v>25</v>
      </c>
      <c r="C45" s="34" t="s">
        <v>26</v>
      </c>
      <c r="D45" s="33" t="s">
        <v>1775</v>
      </c>
      <c r="E45" s="6" t="s">
        <v>129</v>
      </c>
      <c r="F45" s="6" t="s">
        <v>168</v>
      </c>
      <c r="G45" s="6" t="s">
        <v>169</v>
      </c>
      <c r="H45" s="7">
        <v>2</v>
      </c>
      <c r="I45" s="6" t="s">
        <v>170</v>
      </c>
      <c r="J45" s="6" t="s">
        <v>31</v>
      </c>
      <c r="K45" s="6" t="s">
        <v>32</v>
      </c>
      <c r="L45" s="6" t="s">
        <v>1755</v>
      </c>
      <c r="M45" s="6" t="s">
        <v>33</v>
      </c>
      <c r="N45" s="10">
        <v>7</v>
      </c>
      <c r="O45" s="11">
        <v>0</v>
      </c>
      <c r="P45" s="12">
        <v>32</v>
      </c>
      <c r="Q45" s="13">
        <v>16.682003000000002</v>
      </c>
      <c r="R45" s="13">
        <v>-93.103123999999994</v>
      </c>
      <c r="S45" s="14" t="s">
        <v>34</v>
      </c>
      <c r="T45" s="14" t="s">
        <v>35</v>
      </c>
      <c r="U45" s="14" t="s">
        <v>35</v>
      </c>
      <c r="V45" s="14" t="s">
        <v>35</v>
      </c>
      <c r="W45" s="14" t="s">
        <v>35</v>
      </c>
      <c r="X45" s="14" t="s">
        <v>36</v>
      </c>
      <c r="Y45" s="14" t="s">
        <v>37</v>
      </c>
      <c r="Z45" s="14" t="s">
        <v>37</v>
      </c>
      <c r="AA45" s="15"/>
      <c r="AB45" s="16">
        <v>1</v>
      </c>
    </row>
    <row r="46" spans="1:28" x14ac:dyDescent="0.3">
      <c r="A46" s="6" t="s">
        <v>1670</v>
      </c>
      <c r="B46" s="7" t="s">
        <v>25</v>
      </c>
      <c r="C46" s="34" t="s">
        <v>225</v>
      </c>
      <c r="D46" s="33" t="s">
        <v>1775</v>
      </c>
      <c r="E46" s="6" t="s">
        <v>921</v>
      </c>
      <c r="F46" s="6" t="s">
        <v>1671</v>
      </c>
      <c r="G46" s="6" t="s">
        <v>111</v>
      </c>
      <c r="H46" s="7">
        <v>1</v>
      </c>
      <c r="I46" s="6" t="s">
        <v>112</v>
      </c>
      <c r="J46" s="6" t="s">
        <v>31</v>
      </c>
      <c r="K46" s="6" t="s">
        <v>32</v>
      </c>
      <c r="L46" s="6" t="s">
        <v>1755</v>
      </c>
      <c r="M46" s="6" t="s">
        <v>33</v>
      </c>
      <c r="N46" s="10">
        <v>6</v>
      </c>
      <c r="O46" s="11">
        <v>0</v>
      </c>
      <c r="P46" s="12">
        <v>15</v>
      </c>
      <c r="Q46" s="13">
        <v>19.524347599999999</v>
      </c>
      <c r="R46" s="13">
        <v>-99.140138399999998</v>
      </c>
      <c r="S46" s="14" t="s">
        <v>34</v>
      </c>
      <c r="T46" s="14" t="s">
        <v>35</v>
      </c>
      <c r="U46" s="14" t="s">
        <v>35</v>
      </c>
      <c r="V46" s="14" t="s">
        <v>35</v>
      </c>
      <c r="W46" s="14" t="s">
        <v>35</v>
      </c>
      <c r="X46" s="14" t="s">
        <v>36</v>
      </c>
      <c r="Y46" s="14" t="s">
        <v>37</v>
      </c>
      <c r="Z46" s="14" t="s">
        <v>37</v>
      </c>
      <c r="AA46" s="15"/>
      <c r="AB46" s="16">
        <v>1</v>
      </c>
    </row>
    <row r="47" spans="1:28" x14ac:dyDescent="0.3">
      <c r="A47" s="6" t="s">
        <v>1757</v>
      </c>
      <c r="B47" s="7" t="s">
        <v>25</v>
      </c>
      <c r="C47" s="34" t="s">
        <v>149</v>
      </c>
      <c r="D47" s="33" t="s">
        <v>1775</v>
      </c>
      <c r="E47" t="s">
        <v>1609</v>
      </c>
      <c r="F47" s="6" t="s">
        <v>1750</v>
      </c>
      <c r="G47" s="31" t="s">
        <v>111</v>
      </c>
      <c r="H47" s="7">
        <v>1</v>
      </c>
      <c r="I47" s="32" t="s">
        <v>30</v>
      </c>
      <c r="J47" s="6" t="s">
        <v>31</v>
      </c>
      <c r="K47" s="6" t="s">
        <v>32</v>
      </c>
      <c r="L47" s="6" t="s">
        <v>1756</v>
      </c>
      <c r="M47" s="6" t="s">
        <v>33</v>
      </c>
      <c r="N47" s="10"/>
      <c r="O47" s="11"/>
      <c r="P47" s="12"/>
      <c r="Q47" s="13" t="s">
        <v>1764</v>
      </c>
      <c r="R47" s="13" t="s">
        <v>1765</v>
      </c>
      <c r="S47" s="14" t="s">
        <v>34</v>
      </c>
      <c r="T47" s="14" t="s">
        <v>35</v>
      </c>
      <c r="U47" s="14" t="s">
        <v>35</v>
      </c>
      <c r="V47" s="14" t="s">
        <v>35</v>
      </c>
      <c r="W47" s="14" t="s">
        <v>35</v>
      </c>
      <c r="X47" s="14" t="s">
        <v>36</v>
      </c>
      <c r="Y47" s="14" t="s">
        <v>37</v>
      </c>
      <c r="Z47" s="14" t="s">
        <v>37</v>
      </c>
      <c r="AA47" s="15"/>
      <c r="AB47" s="16">
        <v>1</v>
      </c>
    </row>
    <row r="48" spans="1:28" x14ac:dyDescent="0.3">
      <c r="A48" s="17" t="s">
        <v>1748</v>
      </c>
      <c r="B48" s="7" t="s">
        <v>25</v>
      </c>
      <c r="C48" s="34" t="s">
        <v>1774</v>
      </c>
      <c r="D48" s="34" t="s">
        <v>1771</v>
      </c>
      <c r="E48" s="6" t="s">
        <v>1609</v>
      </c>
      <c r="F48" s="6" t="s">
        <v>1749</v>
      </c>
      <c r="G48" s="6"/>
      <c r="H48" s="7">
        <v>1</v>
      </c>
      <c r="I48" s="6" t="s">
        <v>155</v>
      </c>
      <c r="J48" s="6" t="s">
        <v>31</v>
      </c>
      <c r="K48" s="6" t="s">
        <v>32</v>
      </c>
      <c r="L48" s="6" t="s">
        <v>1756</v>
      </c>
      <c r="M48" s="6" t="s">
        <v>33</v>
      </c>
      <c r="N48" s="10"/>
      <c r="O48" s="11"/>
      <c r="P48" s="12"/>
      <c r="Q48" s="13" t="s">
        <v>1766</v>
      </c>
      <c r="R48" s="13" t="s">
        <v>1767</v>
      </c>
      <c r="S48" s="14" t="s">
        <v>34</v>
      </c>
      <c r="T48" s="14" t="s">
        <v>35</v>
      </c>
      <c r="U48" s="14" t="s">
        <v>35</v>
      </c>
      <c r="V48" s="14" t="s">
        <v>35</v>
      </c>
      <c r="W48" s="14" t="s">
        <v>35</v>
      </c>
      <c r="X48" s="14" t="s">
        <v>36</v>
      </c>
      <c r="Y48" s="14" t="s">
        <v>37</v>
      </c>
      <c r="Z48" s="14" t="s">
        <v>37</v>
      </c>
      <c r="AA48" s="15"/>
      <c r="AB48" s="16">
        <v>1</v>
      </c>
    </row>
    <row r="49" spans="1:28" x14ac:dyDescent="0.3">
      <c r="A49" s="6" t="s">
        <v>171</v>
      </c>
      <c r="B49" s="7" t="s">
        <v>25</v>
      </c>
      <c r="C49" s="34" t="s">
        <v>172</v>
      </c>
      <c r="D49" s="33" t="s">
        <v>1775</v>
      </c>
      <c r="E49" s="6" t="s">
        <v>173</v>
      </c>
      <c r="F49" s="18" t="s">
        <v>174</v>
      </c>
      <c r="G49" s="6" t="s">
        <v>29</v>
      </c>
      <c r="H49" s="7">
        <v>1</v>
      </c>
      <c r="I49" s="6" t="s">
        <v>30</v>
      </c>
      <c r="J49" s="6" t="s">
        <v>31</v>
      </c>
      <c r="K49" s="6" t="s">
        <v>32</v>
      </c>
      <c r="L49" s="6" t="s">
        <v>1755</v>
      </c>
      <c r="M49" s="6" t="s">
        <v>33</v>
      </c>
      <c r="N49" s="10">
        <v>7</v>
      </c>
      <c r="O49" s="11">
        <v>2</v>
      </c>
      <c r="P49" s="12">
        <v>28</v>
      </c>
      <c r="Q49" s="13">
        <v>31.023106200000001</v>
      </c>
      <c r="R49" s="13">
        <v>-114.839476</v>
      </c>
      <c r="S49" s="14" t="s">
        <v>34</v>
      </c>
      <c r="T49" s="14" t="s">
        <v>175</v>
      </c>
      <c r="U49" s="14" t="s">
        <v>176</v>
      </c>
      <c r="V49" s="14" t="s">
        <v>176</v>
      </c>
      <c r="W49" s="14"/>
      <c r="X49" s="14"/>
      <c r="Y49" s="14"/>
      <c r="Z49" s="14"/>
      <c r="AA49" s="15"/>
      <c r="AB49" s="16">
        <v>0.20833333333333331</v>
      </c>
    </row>
    <row r="50" spans="1:28" x14ac:dyDescent="0.3">
      <c r="A50" s="6" t="s">
        <v>177</v>
      </c>
      <c r="B50" s="7" t="s">
        <v>25</v>
      </c>
      <c r="C50" s="34" t="s">
        <v>172</v>
      </c>
      <c r="D50" s="33" t="s">
        <v>1775</v>
      </c>
      <c r="E50" s="6" t="s">
        <v>178</v>
      </c>
      <c r="F50" s="18" t="s">
        <v>179</v>
      </c>
      <c r="G50" s="6" t="s">
        <v>180</v>
      </c>
      <c r="H50" s="7">
        <v>3</v>
      </c>
      <c r="I50" s="6" t="s">
        <v>181</v>
      </c>
      <c r="J50" s="6" t="s">
        <v>182</v>
      </c>
      <c r="K50" s="6" t="s">
        <v>32</v>
      </c>
      <c r="L50" s="6" t="s">
        <v>1755</v>
      </c>
      <c r="M50" s="6" t="s">
        <v>33</v>
      </c>
      <c r="N50" s="10">
        <v>8</v>
      </c>
      <c r="O50" s="11">
        <v>0</v>
      </c>
      <c r="P50" s="12">
        <v>3</v>
      </c>
      <c r="Q50" s="13">
        <v>32.624479700000002</v>
      </c>
      <c r="R50" s="13">
        <v>-115.37542430000001</v>
      </c>
      <c r="S50" s="14" t="s">
        <v>34</v>
      </c>
      <c r="T50" s="14" t="s">
        <v>175</v>
      </c>
      <c r="U50" s="14" t="s">
        <v>176</v>
      </c>
      <c r="V50" s="14" t="s">
        <v>176</v>
      </c>
      <c r="W50" s="14"/>
      <c r="X50" s="14"/>
      <c r="Y50" s="14"/>
      <c r="Z50" s="14"/>
      <c r="AA50" s="15"/>
      <c r="AB50" s="16">
        <v>0.20833333333333331</v>
      </c>
    </row>
    <row r="51" spans="1:28" x14ac:dyDescent="0.3">
      <c r="A51" s="6" t="s">
        <v>183</v>
      </c>
      <c r="B51" s="7" t="s">
        <v>25</v>
      </c>
      <c r="C51" s="34" t="s">
        <v>172</v>
      </c>
      <c r="D51" s="33" t="s">
        <v>1775</v>
      </c>
      <c r="E51" s="6" t="s">
        <v>184</v>
      </c>
      <c r="F51" s="18" t="s">
        <v>185</v>
      </c>
      <c r="G51" s="6" t="s">
        <v>111</v>
      </c>
      <c r="H51" s="7">
        <v>1</v>
      </c>
      <c r="I51" s="6" t="s">
        <v>112</v>
      </c>
      <c r="J51" s="6" t="s">
        <v>31</v>
      </c>
      <c r="K51" s="6" t="s">
        <v>32</v>
      </c>
      <c r="L51" s="6" t="s">
        <v>1755</v>
      </c>
      <c r="M51" s="6" t="s">
        <v>33</v>
      </c>
      <c r="N51" s="10">
        <v>31</v>
      </c>
      <c r="O51" s="11">
        <v>5</v>
      </c>
      <c r="P51" s="12">
        <v>189</v>
      </c>
      <c r="Q51" s="13">
        <v>31.825116999999999</v>
      </c>
      <c r="R51" s="13">
        <v>-116.60028200000001</v>
      </c>
      <c r="S51" s="14" t="s">
        <v>34</v>
      </c>
      <c r="T51" s="14" t="s">
        <v>175</v>
      </c>
      <c r="U51" s="14" t="s">
        <v>176</v>
      </c>
      <c r="V51" s="14" t="s">
        <v>176</v>
      </c>
      <c r="W51" s="14"/>
      <c r="X51" s="14"/>
      <c r="Y51" s="14"/>
      <c r="Z51" s="14"/>
      <c r="AA51" s="15"/>
      <c r="AB51" s="16">
        <v>0.20833333333333331</v>
      </c>
    </row>
    <row r="52" spans="1:28" x14ac:dyDescent="0.3">
      <c r="A52" s="6" t="s">
        <v>186</v>
      </c>
      <c r="B52" s="7" t="s">
        <v>25</v>
      </c>
      <c r="C52" s="34" t="s">
        <v>187</v>
      </c>
      <c r="D52" s="33" t="s">
        <v>1775</v>
      </c>
      <c r="E52" s="6" t="s">
        <v>188</v>
      </c>
      <c r="F52" s="6" t="s">
        <v>189</v>
      </c>
      <c r="G52" s="6" t="s">
        <v>29</v>
      </c>
      <c r="H52" s="7">
        <v>1</v>
      </c>
      <c r="I52" s="6" t="s">
        <v>30</v>
      </c>
      <c r="J52" s="6" t="s">
        <v>31</v>
      </c>
      <c r="K52" s="6" t="s">
        <v>32</v>
      </c>
      <c r="L52" s="6" t="s">
        <v>1755</v>
      </c>
      <c r="M52" s="6" t="s">
        <v>33</v>
      </c>
      <c r="N52" s="10">
        <v>6</v>
      </c>
      <c r="O52" s="11">
        <v>2</v>
      </c>
      <c r="P52" s="12">
        <v>20</v>
      </c>
      <c r="Q52" s="13">
        <v>19.341048000000001</v>
      </c>
      <c r="R52" s="13">
        <v>-90.733362999999997</v>
      </c>
      <c r="S52" s="14" t="s">
        <v>190</v>
      </c>
      <c r="T52" s="14"/>
      <c r="U52" s="14"/>
      <c r="V52" s="14"/>
      <c r="W52" s="14"/>
      <c r="X52" s="14"/>
      <c r="Y52" s="14"/>
      <c r="Z52" s="14"/>
      <c r="AA52" s="15"/>
      <c r="AB52" s="16">
        <v>8.3333333333333329E-2</v>
      </c>
    </row>
    <row r="53" spans="1:28" x14ac:dyDescent="0.3">
      <c r="A53" s="6" t="s">
        <v>191</v>
      </c>
      <c r="B53" s="7" t="s">
        <v>25</v>
      </c>
      <c r="C53" s="34" t="s">
        <v>187</v>
      </c>
      <c r="D53" s="33" t="s">
        <v>1775</v>
      </c>
      <c r="E53" s="6" t="s">
        <v>192</v>
      </c>
      <c r="F53" s="6" t="s">
        <v>193</v>
      </c>
      <c r="G53" s="6" t="s">
        <v>29</v>
      </c>
      <c r="H53" s="7">
        <v>1</v>
      </c>
      <c r="I53" s="6" t="s">
        <v>30</v>
      </c>
      <c r="J53" s="6" t="s">
        <v>31</v>
      </c>
      <c r="K53" s="6" t="s">
        <v>32</v>
      </c>
      <c r="L53" s="6" t="s">
        <v>1755</v>
      </c>
      <c r="M53" s="6" t="s">
        <v>33</v>
      </c>
      <c r="N53" s="10">
        <v>9</v>
      </c>
      <c r="O53" s="11">
        <v>2</v>
      </c>
      <c r="P53" s="12">
        <v>40</v>
      </c>
      <c r="Q53" s="13">
        <v>18.185220000000001</v>
      </c>
      <c r="R53" s="13">
        <v>-91.037132</v>
      </c>
      <c r="S53" s="14" t="s">
        <v>190</v>
      </c>
      <c r="T53" s="14"/>
      <c r="U53" s="14"/>
      <c r="V53" s="14"/>
      <c r="W53" s="14"/>
      <c r="X53" s="14"/>
      <c r="Y53" s="14"/>
      <c r="Z53" s="14"/>
      <c r="AA53" s="15"/>
      <c r="AB53" s="16">
        <v>8.3333333333333329E-2</v>
      </c>
    </row>
    <row r="54" spans="1:28" x14ac:dyDescent="0.3">
      <c r="A54" s="6" t="s">
        <v>194</v>
      </c>
      <c r="B54" s="7" t="s">
        <v>25</v>
      </c>
      <c r="C54" s="34" t="s">
        <v>187</v>
      </c>
      <c r="D54" s="33" t="s">
        <v>1775</v>
      </c>
      <c r="E54" s="6" t="s">
        <v>195</v>
      </c>
      <c r="F54" s="6" t="s">
        <v>196</v>
      </c>
      <c r="G54" s="6" t="s">
        <v>29</v>
      </c>
      <c r="H54" s="7">
        <v>1</v>
      </c>
      <c r="I54" s="6" t="s">
        <v>30</v>
      </c>
      <c r="J54" s="6" t="s">
        <v>31</v>
      </c>
      <c r="K54" s="6" t="s">
        <v>32</v>
      </c>
      <c r="L54" s="6" t="s">
        <v>1755</v>
      </c>
      <c r="M54" s="6" t="s">
        <v>33</v>
      </c>
      <c r="N54" s="10">
        <v>8</v>
      </c>
      <c r="O54" s="11">
        <v>1</v>
      </c>
      <c r="P54" s="12">
        <v>26</v>
      </c>
      <c r="Q54" s="13">
        <v>19.754539000000001</v>
      </c>
      <c r="R54" s="13">
        <v>-89.847586000000007</v>
      </c>
      <c r="S54" s="14" t="s">
        <v>190</v>
      </c>
      <c r="T54" s="14"/>
      <c r="U54" s="14"/>
      <c r="V54" s="14"/>
      <c r="W54" s="14"/>
      <c r="X54" s="14"/>
      <c r="Y54" s="14"/>
      <c r="Z54" s="14"/>
      <c r="AA54" s="15"/>
      <c r="AB54" s="16">
        <v>8.3333333333333329E-2</v>
      </c>
    </row>
    <row r="55" spans="1:28" x14ac:dyDescent="0.3">
      <c r="A55" s="6" t="s">
        <v>197</v>
      </c>
      <c r="B55" s="7" t="s">
        <v>25</v>
      </c>
      <c r="C55" s="34" t="s">
        <v>187</v>
      </c>
      <c r="D55" s="33" t="s">
        <v>1775</v>
      </c>
      <c r="E55" s="6" t="s">
        <v>198</v>
      </c>
      <c r="F55" s="6" t="s">
        <v>199</v>
      </c>
      <c r="G55" s="6" t="s">
        <v>29</v>
      </c>
      <c r="H55" s="7">
        <v>1</v>
      </c>
      <c r="I55" s="6" t="s">
        <v>30</v>
      </c>
      <c r="J55" s="6" t="s">
        <v>31</v>
      </c>
      <c r="K55" s="6" t="s">
        <v>32</v>
      </c>
      <c r="L55" s="6" t="s">
        <v>1755</v>
      </c>
      <c r="M55" s="6" t="s">
        <v>33</v>
      </c>
      <c r="N55" s="10">
        <v>10</v>
      </c>
      <c r="O55" s="11">
        <v>1</v>
      </c>
      <c r="P55" s="12">
        <v>15</v>
      </c>
      <c r="Q55" s="13">
        <v>18.255417000000001</v>
      </c>
      <c r="R55" s="13">
        <v>-92.100193000000004</v>
      </c>
      <c r="S55" s="14" t="s">
        <v>190</v>
      </c>
      <c r="T55" s="14"/>
      <c r="U55" s="14"/>
      <c r="V55" s="14"/>
      <c r="W55" s="14"/>
      <c r="X55" s="14"/>
      <c r="Y55" s="14"/>
      <c r="Z55" s="14"/>
      <c r="AA55" s="15"/>
      <c r="AB55" s="16">
        <v>8.3333333333333329E-2</v>
      </c>
    </row>
    <row r="56" spans="1:28" x14ac:dyDescent="0.3">
      <c r="A56" s="6" t="s">
        <v>200</v>
      </c>
      <c r="B56" s="7" t="s">
        <v>25</v>
      </c>
      <c r="C56" s="34" t="s">
        <v>187</v>
      </c>
      <c r="D56" s="33" t="s">
        <v>1775</v>
      </c>
      <c r="E56" s="6" t="s">
        <v>201</v>
      </c>
      <c r="F56" s="6" t="s">
        <v>202</v>
      </c>
      <c r="G56" s="6" t="s">
        <v>29</v>
      </c>
      <c r="H56" s="7">
        <v>1</v>
      </c>
      <c r="I56" s="6" t="s">
        <v>30</v>
      </c>
      <c r="J56" s="6" t="s">
        <v>31</v>
      </c>
      <c r="K56" s="6" t="s">
        <v>32</v>
      </c>
      <c r="L56" s="6" t="s">
        <v>1755</v>
      </c>
      <c r="M56" s="6" t="s">
        <v>33</v>
      </c>
      <c r="N56" s="10">
        <v>9</v>
      </c>
      <c r="O56" s="11">
        <v>2</v>
      </c>
      <c r="P56" s="12">
        <v>30</v>
      </c>
      <c r="Q56" s="13">
        <v>18.968285999999999</v>
      </c>
      <c r="R56" s="13">
        <v>-91.175033999999997</v>
      </c>
      <c r="S56" s="14" t="s">
        <v>190</v>
      </c>
      <c r="T56" s="14"/>
      <c r="U56" s="14"/>
      <c r="V56" s="14"/>
      <c r="W56" s="14"/>
      <c r="X56" s="14"/>
      <c r="Y56" s="14"/>
      <c r="Z56" s="14"/>
      <c r="AA56" s="15"/>
      <c r="AB56" s="16">
        <v>8.3333333333333329E-2</v>
      </c>
    </row>
    <row r="57" spans="1:28" x14ac:dyDescent="0.3">
      <c r="A57" s="6" t="s">
        <v>203</v>
      </c>
      <c r="B57" s="7" t="s">
        <v>25</v>
      </c>
      <c r="C57" s="34" t="s">
        <v>187</v>
      </c>
      <c r="D57" s="33" t="s">
        <v>1775</v>
      </c>
      <c r="E57" s="6" t="s">
        <v>204</v>
      </c>
      <c r="F57" s="6" t="s">
        <v>205</v>
      </c>
      <c r="G57" s="6" t="s">
        <v>29</v>
      </c>
      <c r="H57" s="7">
        <v>1</v>
      </c>
      <c r="I57" s="6" t="s">
        <v>30</v>
      </c>
      <c r="J57" s="6" t="s">
        <v>31</v>
      </c>
      <c r="K57" s="6" t="s">
        <v>32</v>
      </c>
      <c r="L57" s="6" t="s">
        <v>1755</v>
      </c>
      <c r="M57" s="6" t="s">
        <v>33</v>
      </c>
      <c r="N57" s="10">
        <v>8</v>
      </c>
      <c r="O57" s="11">
        <v>1</v>
      </c>
      <c r="P57" s="12">
        <v>23</v>
      </c>
      <c r="Q57" s="13">
        <v>18.516774000000002</v>
      </c>
      <c r="R57" s="13">
        <v>-89.395938000000001</v>
      </c>
      <c r="S57" s="14" t="s">
        <v>190</v>
      </c>
      <c r="T57" s="14"/>
      <c r="U57" s="14"/>
      <c r="V57" s="14"/>
      <c r="W57" s="14"/>
      <c r="X57" s="14"/>
      <c r="Y57" s="14"/>
      <c r="Z57" s="14"/>
      <c r="AA57" s="15"/>
      <c r="AB57" s="16">
        <v>8.3333333333333329E-2</v>
      </c>
    </row>
    <row r="58" spans="1:28" x14ac:dyDescent="0.3">
      <c r="A58" s="6" t="s">
        <v>206</v>
      </c>
      <c r="B58" s="7" t="s">
        <v>25</v>
      </c>
      <c r="C58" s="34" t="s">
        <v>187</v>
      </c>
      <c r="D58" s="33" t="s">
        <v>1775</v>
      </c>
      <c r="E58" s="6" t="s">
        <v>207</v>
      </c>
      <c r="F58" s="6" t="s">
        <v>208</v>
      </c>
      <c r="G58" s="6" t="s">
        <v>29</v>
      </c>
      <c r="H58" s="7">
        <v>1</v>
      </c>
      <c r="I58" s="6" t="s">
        <v>30</v>
      </c>
      <c r="J58" s="6" t="s">
        <v>31</v>
      </c>
      <c r="K58" s="6" t="s">
        <v>32</v>
      </c>
      <c r="L58" s="6" t="s">
        <v>1755</v>
      </c>
      <c r="M58" s="6" t="s">
        <v>33</v>
      </c>
      <c r="N58" s="10">
        <v>8</v>
      </c>
      <c r="O58" s="11">
        <v>2</v>
      </c>
      <c r="P58" s="12">
        <v>32</v>
      </c>
      <c r="Q58" s="13">
        <v>20.380403000000001</v>
      </c>
      <c r="R58" s="13">
        <v>-90.064245</v>
      </c>
      <c r="S58" s="14" t="s">
        <v>190</v>
      </c>
      <c r="T58" s="14"/>
      <c r="U58" s="14"/>
      <c r="V58" s="14"/>
      <c r="W58" s="14"/>
      <c r="X58" s="14"/>
      <c r="Y58" s="14"/>
      <c r="Z58" s="14"/>
      <c r="AA58" s="15"/>
      <c r="AB58" s="16">
        <v>8.3333333333333329E-2</v>
      </c>
    </row>
    <row r="59" spans="1:28" x14ac:dyDescent="0.3">
      <c r="A59" s="19" t="s">
        <v>209</v>
      </c>
      <c r="B59" s="7" t="s">
        <v>210</v>
      </c>
      <c r="C59" s="34" t="s">
        <v>149</v>
      </c>
      <c r="D59" s="33" t="s">
        <v>1775</v>
      </c>
      <c r="E59" s="6" t="s">
        <v>211</v>
      </c>
      <c r="F59" s="6" t="s">
        <v>212</v>
      </c>
      <c r="G59" s="6" t="s">
        <v>29</v>
      </c>
      <c r="H59" s="7">
        <v>1</v>
      </c>
      <c r="I59" s="6" t="s">
        <v>30</v>
      </c>
      <c r="J59" s="6" t="s">
        <v>31</v>
      </c>
      <c r="K59" s="6" t="s">
        <v>32</v>
      </c>
      <c r="L59" s="6" t="s">
        <v>1755</v>
      </c>
      <c r="M59" s="6" t="s">
        <v>33</v>
      </c>
      <c r="N59" s="10">
        <v>8</v>
      </c>
      <c r="O59" s="11">
        <v>2</v>
      </c>
      <c r="P59" s="12">
        <v>27</v>
      </c>
      <c r="Q59" s="20">
        <v>20.124003299999998</v>
      </c>
      <c r="R59" s="20">
        <v>-88.938081400000002</v>
      </c>
      <c r="S59" s="14" t="s">
        <v>34</v>
      </c>
      <c r="T59" s="14" t="s">
        <v>175</v>
      </c>
      <c r="U59" s="14" t="s">
        <v>213</v>
      </c>
      <c r="V59" s="14" t="s">
        <v>213</v>
      </c>
      <c r="W59" s="14"/>
      <c r="X59" s="14"/>
      <c r="Y59" s="14"/>
      <c r="Z59" s="14"/>
      <c r="AA59" s="15"/>
      <c r="AB59" s="16">
        <v>0.29166666666666663</v>
      </c>
    </row>
    <row r="60" spans="1:28" x14ac:dyDescent="0.3">
      <c r="A60" s="19" t="s">
        <v>214</v>
      </c>
      <c r="B60" s="7" t="s">
        <v>210</v>
      </c>
      <c r="C60" s="34" t="s">
        <v>149</v>
      </c>
      <c r="D60" s="33" t="s">
        <v>1775</v>
      </c>
      <c r="E60" s="6" t="s">
        <v>215</v>
      </c>
      <c r="F60" s="6" t="s">
        <v>216</v>
      </c>
      <c r="G60" s="6" t="s">
        <v>29</v>
      </c>
      <c r="H60" s="7">
        <v>1</v>
      </c>
      <c r="I60" s="6" t="s">
        <v>30</v>
      </c>
      <c r="J60" s="6" t="s">
        <v>31</v>
      </c>
      <c r="K60" s="6" t="s">
        <v>32</v>
      </c>
      <c r="L60" s="6" t="s">
        <v>1755</v>
      </c>
      <c r="M60" s="6" t="s">
        <v>33</v>
      </c>
      <c r="N60" s="10">
        <v>10</v>
      </c>
      <c r="O60" s="11">
        <v>3</v>
      </c>
      <c r="P60" s="12">
        <v>25</v>
      </c>
      <c r="Q60" s="20">
        <v>20.398339700000001</v>
      </c>
      <c r="R60" s="20">
        <v>-89.556041100000002</v>
      </c>
      <c r="S60" s="14" t="s">
        <v>34</v>
      </c>
      <c r="T60" s="14" t="s">
        <v>175</v>
      </c>
      <c r="U60" s="14" t="s">
        <v>213</v>
      </c>
      <c r="V60" s="14" t="s">
        <v>213</v>
      </c>
      <c r="W60" s="14"/>
      <c r="X60" s="14"/>
      <c r="Y60" s="14"/>
      <c r="Z60" s="14"/>
      <c r="AA60" s="15"/>
      <c r="AB60" s="16">
        <v>0.29166666666666663</v>
      </c>
    </row>
    <row r="61" spans="1:28" x14ac:dyDescent="0.3">
      <c r="A61" s="21" t="s">
        <v>217</v>
      </c>
      <c r="B61" s="7" t="s">
        <v>25</v>
      </c>
      <c r="C61" s="34" t="s">
        <v>218</v>
      </c>
      <c r="D61" s="33" t="s">
        <v>1775</v>
      </c>
      <c r="E61" s="6" t="s">
        <v>219</v>
      </c>
      <c r="F61" s="6" t="s">
        <v>220</v>
      </c>
      <c r="G61" s="6" t="s">
        <v>29</v>
      </c>
      <c r="H61" s="7">
        <v>1</v>
      </c>
      <c r="I61" s="6" t="s">
        <v>30</v>
      </c>
      <c r="J61" s="6" t="s">
        <v>31</v>
      </c>
      <c r="K61" s="6" t="s">
        <v>32</v>
      </c>
      <c r="L61" s="6" t="s">
        <v>1755</v>
      </c>
      <c r="M61" s="6" t="s">
        <v>33</v>
      </c>
      <c r="N61" s="10">
        <v>19</v>
      </c>
      <c r="O61" s="11">
        <v>2</v>
      </c>
      <c r="P61" s="12">
        <v>35</v>
      </c>
      <c r="Q61" s="13">
        <v>18.833272099999999</v>
      </c>
      <c r="R61" s="13">
        <v>-97.0807717</v>
      </c>
      <c r="S61" s="14" t="s">
        <v>176</v>
      </c>
      <c r="T61" s="14"/>
      <c r="U61" s="14"/>
      <c r="V61" s="14"/>
      <c r="W61" s="14"/>
      <c r="X61" s="14"/>
      <c r="Y61" s="14"/>
      <c r="Z61" s="14"/>
      <c r="AA61" s="15"/>
      <c r="AB61" s="16">
        <v>4.1666666666666664E-2</v>
      </c>
    </row>
    <row r="62" spans="1:28" x14ac:dyDescent="0.3">
      <c r="A62" s="21" t="s">
        <v>221</v>
      </c>
      <c r="B62" s="7" t="s">
        <v>25</v>
      </c>
      <c r="C62" s="34" t="s">
        <v>218</v>
      </c>
      <c r="D62" s="33" t="s">
        <v>1775</v>
      </c>
      <c r="E62" s="6" t="s">
        <v>222</v>
      </c>
      <c r="F62" s="6" t="s">
        <v>223</v>
      </c>
      <c r="G62" s="6" t="s">
        <v>29</v>
      </c>
      <c r="H62" s="7">
        <v>1</v>
      </c>
      <c r="I62" s="6" t="s">
        <v>30</v>
      </c>
      <c r="J62" s="6" t="s">
        <v>31</v>
      </c>
      <c r="K62" s="6" t="s">
        <v>32</v>
      </c>
      <c r="L62" s="6" t="s">
        <v>1755</v>
      </c>
      <c r="M62" s="6" t="s">
        <v>33</v>
      </c>
      <c r="N62" s="10">
        <v>20</v>
      </c>
      <c r="O62" s="11">
        <v>4</v>
      </c>
      <c r="P62" s="12">
        <v>41</v>
      </c>
      <c r="Q62" s="13">
        <v>21.330146800000001</v>
      </c>
      <c r="R62" s="13">
        <v>-97.692479700000007</v>
      </c>
      <c r="S62" s="14" t="s">
        <v>176</v>
      </c>
      <c r="T62" s="14"/>
      <c r="U62" s="14"/>
      <c r="V62" s="14"/>
      <c r="W62" s="14"/>
      <c r="X62" s="14"/>
      <c r="Y62" s="14"/>
      <c r="Z62" s="14"/>
      <c r="AA62" s="15"/>
      <c r="AB62" s="16">
        <v>4.1666666666666664E-2</v>
      </c>
    </row>
    <row r="63" spans="1:28" x14ac:dyDescent="0.3">
      <c r="A63" s="6" t="s">
        <v>224</v>
      </c>
      <c r="B63" s="7" t="s">
        <v>25</v>
      </c>
      <c r="C63" s="34" t="s">
        <v>225</v>
      </c>
      <c r="D63" s="33" t="s">
        <v>1775</v>
      </c>
      <c r="E63" s="6" t="s">
        <v>226</v>
      </c>
      <c r="F63" s="19" t="s">
        <v>227</v>
      </c>
      <c r="G63" s="6" t="s">
        <v>111</v>
      </c>
      <c r="H63" s="7">
        <v>1</v>
      </c>
      <c r="I63" s="6" t="s">
        <v>112</v>
      </c>
      <c r="J63" s="6" t="s">
        <v>31</v>
      </c>
      <c r="K63" s="6" t="s">
        <v>32</v>
      </c>
      <c r="L63" s="6" t="s">
        <v>1756</v>
      </c>
      <c r="M63" s="6" t="s">
        <v>33</v>
      </c>
      <c r="N63" s="10">
        <v>29</v>
      </c>
      <c r="O63" s="11">
        <v>8</v>
      </c>
      <c r="P63" s="12">
        <v>253</v>
      </c>
      <c r="Q63" s="13">
        <v>19.359813599999999</v>
      </c>
      <c r="R63" s="13">
        <v>-99.163239399999995</v>
      </c>
      <c r="S63" s="14" t="s">
        <v>176</v>
      </c>
      <c r="T63" s="14"/>
      <c r="U63" s="14"/>
      <c r="V63" s="14"/>
      <c r="W63" s="14"/>
      <c r="X63" s="14" t="s">
        <v>36</v>
      </c>
      <c r="Y63" s="14" t="s">
        <v>74</v>
      </c>
      <c r="Z63" s="14" t="s">
        <v>74</v>
      </c>
      <c r="AA63" s="15"/>
      <c r="AB63" s="16">
        <v>0.16666666666666666</v>
      </c>
    </row>
    <row r="64" spans="1:28" x14ac:dyDescent="0.3">
      <c r="A64" s="6" t="s">
        <v>228</v>
      </c>
      <c r="B64" s="7" t="s">
        <v>25</v>
      </c>
      <c r="C64" s="34" t="s">
        <v>229</v>
      </c>
      <c r="D64" s="33" t="s">
        <v>1775</v>
      </c>
      <c r="E64" s="6" t="s">
        <v>230</v>
      </c>
      <c r="F64" s="6" t="s">
        <v>231</v>
      </c>
      <c r="G64" s="6" t="s">
        <v>29</v>
      </c>
      <c r="H64" s="7">
        <v>1</v>
      </c>
      <c r="I64" s="6" t="s">
        <v>30</v>
      </c>
      <c r="J64" s="6" t="s">
        <v>31</v>
      </c>
      <c r="K64" s="6" t="s">
        <v>32</v>
      </c>
      <c r="L64" s="6" t="s">
        <v>1755</v>
      </c>
      <c r="M64" s="6" t="s">
        <v>33</v>
      </c>
      <c r="N64" s="10">
        <v>5</v>
      </c>
      <c r="O64" s="11">
        <v>1</v>
      </c>
      <c r="P64" s="12">
        <v>15</v>
      </c>
      <c r="Q64" s="13">
        <v>17.468738999999999</v>
      </c>
      <c r="R64" s="13">
        <v>-98.386919000000006</v>
      </c>
      <c r="S64" s="14" t="s">
        <v>176</v>
      </c>
      <c r="T64" s="14"/>
      <c r="U64" s="14"/>
      <c r="V64" s="14"/>
      <c r="W64" s="14"/>
      <c r="X64" s="14"/>
      <c r="Y64" s="14"/>
      <c r="Z64" s="14"/>
      <c r="AA64" s="15"/>
      <c r="AB64" s="16">
        <v>4.1666666666666664E-2</v>
      </c>
    </row>
    <row r="65" spans="1:28" x14ac:dyDescent="0.3">
      <c r="A65" s="6" t="s">
        <v>232</v>
      </c>
      <c r="B65" s="7" t="s">
        <v>25</v>
      </c>
      <c r="C65" s="34" t="s">
        <v>229</v>
      </c>
      <c r="D65" s="33" t="s">
        <v>1775</v>
      </c>
      <c r="E65" s="6" t="s">
        <v>233</v>
      </c>
      <c r="F65" s="6" t="s">
        <v>234</v>
      </c>
      <c r="G65" s="6" t="s">
        <v>29</v>
      </c>
      <c r="H65" s="7">
        <v>1</v>
      </c>
      <c r="I65" s="6" t="s">
        <v>30</v>
      </c>
      <c r="J65" s="6" t="s">
        <v>31</v>
      </c>
      <c r="K65" s="6" t="s">
        <v>32</v>
      </c>
      <c r="L65" s="6" t="s">
        <v>1755</v>
      </c>
      <c r="M65" s="6" t="s">
        <v>33</v>
      </c>
      <c r="N65" s="10">
        <v>15</v>
      </c>
      <c r="O65" s="11">
        <v>2</v>
      </c>
      <c r="P65" s="12">
        <v>29</v>
      </c>
      <c r="Q65" s="13">
        <v>18.322120999999999</v>
      </c>
      <c r="R65" s="13">
        <v>-100.287227</v>
      </c>
      <c r="S65" s="14" t="s">
        <v>176</v>
      </c>
      <c r="T65" s="14"/>
      <c r="U65" s="14"/>
      <c r="V65" s="14"/>
      <c r="W65" s="14"/>
      <c r="X65" s="14"/>
      <c r="Y65" s="14"/>
      <c r="Z65" s="14"/>
      <c r="AA65" s="15"/>
      <c r="AB65" s="16">
        <v>4.1666666666666664E-2</v>
      </c>
    </row>
    <row r="66" spans="1:28" x14ac:dyDescent="0.3">
      <c r="A66" s="6" t="s">
        <v>235</v>
      </c>
      <c r="B66" s="7" t="s">
        <v>25</v>
      </c>
      <c r="C66" s="34" t="s">
        <v>229</v>
      </c>
      <c r="D66" s="33" t="s">
        <v>1775</v>
      </c>
      <c r="E66" s="6" t="s">
        <v>236</v>
      </c>
      <c r="F66" s="6" t="s">
        <v>237</v>
      </c>
      <c r="G66" s="6" t="s">
        <v>29</v>
      </c>
      <c r="H66" s="7">
        <v>1</v>
      </c>
      <c r="I66" s="6" t="s">
        <v>30</v>
      </c>
      <c r="J66" s="6" t="s">
        <v>31</v>
      </c>
      <c r="K66" s="6" t="s">
        <v>32</v>
      </c>
      <c r="L66" s="6" t="s">
        <v>1755</v>
      </c>
      <c r="M66" s="6" t="s">
        <v>33</v>
      </c>
      <c r="N66" s="10">
        <v>9</v>
      </c>
      <c r="O66" s="11">
        <v>1</v>
      </c>
      <c r="P66" s="12">
        <v>13</v>
      </c>
      <c r="Q66" s="13">
        <v>18.312176999999998</v>
      </c>
      <c r="R66" s="13">
        <v>-101.737381</v>
      </c>
      <c r="S66" s="14" t="s">
        <v>176</v>
      </c>
      <c r="T66" s="14"/>
      <c r="U66" s="14"/>
      <c r="V66" s="14"/>
      <c r="W66" s="14"/>
      <c r="X66" s="14"/>
      <c r="Y66" s="14"/>
      <c r="Z66" s="14"/>
      <c r="AA66" s="15"/>
      <c r="AB66" s="16">
        <v>4.1666666666666664E-2</v>
      </c>
    </row>
    <row r="67" spans="1:28" x14ac:dyDescent="0.3">
      <c r="A67" s="6" t="s">
        <v>238</v>
      </c>
      <c r="B67" s="7" t="s">
        <v>25</v>
      </c>
      <c r="C67" s="34" t="s">
        <v>229</v>
      </c>
      <c r="D67" s="33" t="s">
        <v>1775</v>
      </c>
      <c r="E67" s="6" t="s">
        <v>239</v>
      </c>
      <c r="F67" s="6" t="s">
        <v>240</v>
      </c>
      <c r="G67" s="6" t="s">
        <v>29</v>
      </c>
      <c r="H67" s="7">
        <v>1</v>
      </c>
      <c r="I67" s="6" t="s">
        <v>30</v>
      </c>
      <c r="J67" s="6" t="s">
        <v>31</v>
      </c>
      <c r="K67" s="6" t="s">
        <v>32</v>
      </c>
      <c r="L67" s="6" t="s">
        <v>1755</v>
      </c>
      <c r="M67" s="6" t="s">
        <v>33</v>
      </c>
      <c r="N67" s="10">
        <v>10</v>
      </c>
      <c r="O67" s="11">
        <v>1</v>
      </c>
      <c r="P67" s="12">
        <v>15</v>
      </c>
      <c r="Q67" s="13">
        <v>16.607900000000001</v>
      </c>
      <c r="R67" s="13">
        <v>-98.987965000000003</v>
      </c>
      <c r="S67" s="14" t="s">
        <v>176</v>
      </c>
      <c r="T67" s="14"/>
      <c r="U67" s="14"/>
      <c r="V67" s="14"/>
      <c r="W67" s="14"/>
      <c r="X67" s="14"/>
      <c r="Y67" s="14"/>
      <c r="Z67" s="14"/>
      <c r="AA67" s="15"/>
      <c r="AB67" s="16">
        <v>4.1666666666666664E-2</v>
      </c>
    </row>
    <row r="68" spans="1:28" x14ac:dyDescent="0.3">
      <c r="A68" s="6" t="s">
        <v>241</v>
      </c>
      <c r="B68" s="7" t="s">
        <v>25</v>
      </c>
      <c r="C68" s="34" t="s">
        <v>229</v>
      </c>
      <c r="D68" s="33" t="s">
        <v>1775</v>
      </c>
      <c r="E68" s="6" t="s">
        <v>242</v>
      </c>
      <c r="F68" s="6" t="s">
        <v>243</v>
      </c>
      <c r="G68" s="6" t="s">
        <v>29</v>
      </c>
      <c r="H68" s="7">
        <v>1</v>
      </c>
      <c r="I68" s="6" t="s">
        <v>30</v>
      </c>
      <c r="J68" s="6" t="s">
        <v>31</v>
      </c>
      <c r="K68" s="6" t="s">
        <v>32</v>
      </c>
      <c r="L68" s="6" t="s">
        <v>1755</v>
      </c>
      <c r="M68" s="6" t="s">
        <v>33</v>
      </c>
      <c r="N68" s="10">
        <v>6</v>
      </c>
      <c r="O68" s="11">
        <v>1</v>
      </c>
      <c r="P68" s="12">
        <v>13</v>
      </c>
      <c r="Q68" s="13">
        <v>16.480388999999999</v>
      </c>
      <c r="R68" s="13">
        <v>-98.414088000000007</v>
      </c>
      <c r="S68" s="14" t="s">
        <v>176</v>
      </c>
      <c r="T68" s="14"/>
      <c r="U68" s="14"/>
      <c r="V68" s="14"/>
      <c r="W68" s="14"/>
      <c r="X68" s="14"/>
      <c r="Y68" s="14"/>
      <c r="Z68" s="14"/>
      <c r="AA68" s="15"/>
      <c r="AB68" s="16">
        <v>4.1666666666666664E-2</v>
      </c>
    </row>
    <row r="69" spans="1:28" x14ac:dyDescent="0.3">
      <c r="A69" s="6" t="s">
        <v>244</v>
      </c>
      <c r="B69" s="7" t="s">
        <v>25</v>
      </c>
      <c r="C69" s="34" t="s">
        <v>229</v>
      </c>
      <c r="D69" s="33" t="s">
        <v>1775</v>
      </c>
      <c r="E69" s="6" t="s">
        <v>245</v>
      </c>
      <c r="F69" s="6" t="s">
        <v>246</v>
      </c>
      <c r="G69" s="6" t="s">
        <v>29</v>
      </c>
      <c r="H69" s="7">
        <v>1</v>
      </c>
      <c r="I69" s="6" t="s">
        <v>30</v>
      </c>
      <c r="J69" s="6" t="s">
        <v>31</v>
      </c>
      <c r="K69" s="6" t="s">
        <v>32</v>
      </c>
      <c r="L69" s="6" t="s">
        <v>1755</v>
      </c>
      <c r="M69" s="6" t="s">
        <v>33</v>
      </c>
      <c r="N69" s="10">
        <v>7</v>
      </c>
      <c r="O69" s="11">
        <v>1</v>
      </c>
      <c r="P69" s="12">
        <v>27</v>
      </c>
      <c r="Q69" s="13">
        <v>17.786453000000002</v>
      </c>
      <c r="R69" s="13">
        <v>-99.979870000000005</v>
      </c>
      <c r="S69" s="14" t="s">
        <v>176</v>
      </c>
      <c r="T69" s="14"/>
      <c r="U69" s="14"/>
      <c r="V69" s="14"/>
      <c r="W69" s="14"/>
      <c r="X69" s="14"/>
      <c r="Y69" s="14"/>
      <c r="Z69" s="14"/>
      <c r="AA69" s="15"/>
      <c r="AB69" s="16">
        <v>4.1666666666666664E-2</v>
      </c>
    </row>
    <row r="70" spans="1:28" x14ac:dyDescent="0.3">
      <c r="A70" s="6" t="s">
        <v>247</v>
      </c>
      <c r="B70" s="7" t="s">
        <v>25</v>
      </c>
      <c r="C70" s="34" t="s">
        <v>229</v>
      </c>
      <c r="D70" s="33" t="s">
        <v>1775</v>
      </c>
      <c r="E70" s="6" t="s">
        <v>248</v>
      </c>
      <c r="F70" s="6" t="s">
        <v>249</v>
      </c>
      <c r="G70" s="6" t="s">
        <v>29</v>
      </c>
      <c r="H70" s="7">
        <v>1</v>
      </c>
      <c r="I70" s="6" t="s">
        <v>30</v>
      </c>
      <c r="J70" s="6" t="s">
        <v>31</v>
      </c>
      <c r="K70" s="6" t="s">
        <v>32</v>
      </c>
      <c r="L70" s="6" t="s">
        <v>1755</v>
      </c>
      <c r="M70" s="6" t="s">
        <v>84</v>
      </c>
      <c r="N70" s="10">
        <v>10</v>
      </c>
      <c r="O70" s="11">
        <v>1</v>
      </c>
      <c r="P70" s="12">
        <v>13</v>
      </c>
      <c r="Q70" s="13">
        <v>17.651319000000001</v>
      </c>
      <c r="R70" s="13">
        <v>-99.835199000000003</v>
      </c>
      <c r="S70" s="14" t="s">
        <v>176</v>
      </c>
      <c r="T70" s="14"/>
      <c r="U70" s="14"/>
      <c r="V70" s="14"/>
      <c r="W70" s="14"/>
      <c r="X70" s="14"/>
      <c r="Y70" s="14"/>
      <c r="Z70" s="14"/>
      <c r="AA70" s="15"/>
      <c r="AB70" s="16">
        <v>4.1666666666666664E-2</v>
      </c>
    </row>
    <row r="71" spans="1:28" x14ac:dyDescent="0.3">
      <c r="A71" s="6" t="s">
        <v>250</v>
      </c>
      <c r="B71" s="7" t="s">
        <v>25</v>
      </c>
      <c r="C71" s="34" t="s">
        <v>229</v>
      </c>
      <c r="D71" s="33" t="s">
        <v>1775</v>
      </c>
      <c r="E71" s="6" t="s">
        <v>251</v>
      </c>
      <c r="F71" s="6" t="s">
        <v>252</v>
      </c>
      <c r="G71" s="6" t="s">
        <v>29</v>
      </c>
      <c r="H71" s="7">
        <v>1</v>
      </c>
      <c r="I71" s="6" t="s">
        <v>30</v>
      </c>
      <c r="J71" s="6" t="s">
        <v>31</v>
      </c>
      <c r="K71" s="6" t="s">
        <v>32</v>
      </c>
      <c r="L71" s="6" t="s">
        <v>1755</v>
      </c>
      <c r="M71" s="6" t="s">
        <v>33</v>
      </c>
      <c r="N71" s="10">
        <v>7</v>
      </c>
      <c r="O71" s="11">
        <v>1</v>
      </c>
      <c r="P71" s="12">
        <v>16</v>
      </c>
      <c r="Q71" s="13">
        <v>17.243397000000002</v>
      </c>
      <c r="R71" s="13">
        <v>-98.668840000000003</v>
      </c>
      <c r="S71" s="14" t="s">
        <v>176</v>
      </c>
      <c r="T71" s="14"/>
      <c r="U71" s="14"/>
      <c r="V71" s="14"/>
      <c r="W71" s="14"/>
      <c r="X71" s="14"/>
      <c r="Y71" s="14"/>
      <c r="Z71" s="14"/>
      <c r="AA71" s="15"/>
      <c r="AB71" s="16">
        <v>4.1666666666666664E-2</v>
      </c>
    </row>
    <row r="72" spans="1:28" x14ac:dyDescent="0.3">
      <c r="A72" s="6" t="s">
        <v>253</v>
      </c>
      <c r="B72" s="7" t="s">
        <v>25</v>
      </c>
      <c r="C72" s="34" t="s">
        <v>229</v>
      </c>
      <c r="D72" s="33" t="s">
        <v>1775</v>
      </c>
      <c r="E72" s="6" t="s">
        <v>254</v>
      </c>
      <c r="F72" s="6" t="s">
        <v>255</v>
      </c>
      <c r="G72" s="6" t="s">
        <v>29</v>
      </c>
      <c r="H72" s="7">
        <v>1</v>
      </c>
      <c r="I72" s="6" t="s">
        <v>30</v>
      </c>
      <c r="J72" s="6" t="s">
        <v>31</v>
      </c>
      <c r="K72" s="6" t="s">
        <v>32</v>
      </c>
      <c r="L72" s="6" t="s">
        <v>1755</v>
      </c>
      <c r="M72" s="6" t="s">
        <v>33</v>
      </c>
      <c r="N72" s="10">
        <v>11</v>
      </c>
      <c r="O72" s="11">
        <v>2</v>
      </c>
      <c r="P72" s="12">
        <v>24</v>
      </c>
      <c r="Q72" s="13">
        <v>17.536346000000002</v>
      </c>
      <c r="R72" s="13">
        <v>-101.27050199999999</v>
      </c>
      <c r="S72" s="14" t="s">
        <v>176</v>
      </c>
      <c r="T72" s="14"/>
      <c r="U72" s="14"/>
      <c r="V72" s="14"/>
      <c r="W72" s="14"/>
      <c r="X72" s="14"/>
      <c r="Y72" s="14"/>
      <c r="Z72" s="14"/>
      <c r="AA72" s="15"/>
      <c r="AB72" s="16">
        <v>4.1666666666666664E-2</v>
      </c>
    </row>
    <row r="73" spans="1:28" x14ac:dyDescent="0.3">
      <c r="A73" s="6" t="s">
        <v>256</v>
      </c>
      <c r="B73" s="7" t="s">
        <v>25</v>
      </c>
      <c r="C73" s="34" t="s">
        <v>229</v>
      </c>
      <c r="D73" s="33" t="s">
        <v>1775</v>
      </c>
      <c r="E73" s="6" t="s">
        <v>257</v>
      </c>
      <c r="F73" s="6" t="s">
        <v>258</v>
      </c>
      <c r="G73" s="6" t="s">
        <v>29</v>
      </c>
      <c r="H73" s="7">
        <v>1</v>
      </c>
      <c r="I73" s="6" t="s">
        <v>30</v>
      </c>
      <c r="J73" s="6" t="s">
        <v>31</v>
      </c>
      <c r="K73" s="6" t="s">
        <v>32</v>
      </c>
      <c r="L73" s="6" t="s">
        <v>1755</v>
      </c>
      <c r="M73" s="6" t="s">
        <v>33</v>
      </c>
      <c r="N73" s="10">
        <v>10</v>
      </c>
      <c r="O73" s="11">
        <v>2</v>
      </c>
      <c r="P73" s="12">
        <v>19</v>
      </c>
      <c r="Q73" s="13">
        <v>17.413819</v>
      </c>
      <c r="R73" s="13">
        <v>-99.245531</v>
      </c>
      <c r="S73" s="14" t="s">
        <v>176</v>
      </c>
      <c r="T73" s="14"/>
      <c r="U73" s="14"/>
      <c r="V73" s="14"/>
      <c r="W73" s="14"/>
      <c r="X73" s="14"/>
      <c r="Y73" s="14"/>
      <c r="Z73" s="14"/>
      <c r="AA73" s="15"/>
      <c r="AB73" s="16">
        <v>4.1666666666666664E-2</v>
      </c>
    </row>
    <row r="74" spans="1:28" x14ac:dyDescent="0.3">
      <c r="A74" s="6" t="s">
        <v>259</v>
      </c>
      <c r="B74" s="7" t="s">
        <v>25</v>
      </c>
      <c r="C74" s="34" t="s">
        <v>229</v>
      </c>
      <c r="D74" s="33" t="s">
        <v>1775</v>
      </c>
      <c r="E74" s="6" t="s">
        <v>260</v>
      </c>
      <c r="F74" s="6" t="s">
        <v>261</v>
      </c>
      <c r="G74" s="6" t="s">
        <v>29</v>
      </c>
      <c r="H74" s="7">
        <v>1</v>
      </c>
      <c r="I74" s="6" t="s">
        <v>30</v>
      </c>
      <c r="J74" s="6" t="s">
        <v>31</v>
      </c>
      <c r="K74" s="6" t="s">
        <v>32</v>
      </c>
      <c r="L74" s="6" t="s">
        <v>1755</v>
      </c>
      <c r="M74" s="6" t="s">
        <v>33</v>
      </c>
      <c r="N74" s="10">
        <v>12</v>
      </c>
      <c r="O74" s="11">
        <v>2</v>
      </c>
      <c r="P74" s="12">
        <v>29</v>
      </c>
      <c r="Q74" s="13">
        <v>17.220575</v>
      </c>
      <c r="R74" s="13">
        <v>-100.630533</v>
      </c>
      <c r="S74" s="14" t="s">
        <v>176</v>
      </c>
      <c r="T74" s="14"/>
      <c r="U74" s="14"/>
      <c r="V74" s="14"/>
      <c r="W74" s="14"/>
      <c r="X74" s="14"/>
      <c r="Y74" s="14"/>
      <c r="Z74" s="14"/>
      <c r="AA74" s="15"/>
      <c r="AB74" s="16">
        <v>4.1666666666666664E-2</v>
      </c>
    </row>
    <row r="75" spans="1:28" x14ac:dyDescent="0.3">
      <c r="A75" s="6" t="s">
        <v>262</v>
      </c>
      <c r="B75" s="7" t="s">
        <v>25</v>
      </c>
      <c r="C75" s="34" t="s">
        <v>229</v>
      </c>
      <c r="D75" s="33" t="s">
        <v>1775</v>
      </c>
      <c r="E75" s="6" t="s">
        <v>263</v>
      </c>
      <c r="F75" s="6" t="s">
        <v>264</v>
      </c>
      <c r="G75" s="6" t="s">
        <v>29</v>
      </c>
      <c r="H75" s="7">
        <v>1</v>
      </c>
      <c r="I75" s="6" t="s">
        <v>30</v>
      </c>
      <c r="J75" s="6" t="s">
        <v>31</v>
      </c>
      <c r="K75" s="6" t="s">
        <v>32</v>
      </c>
      <c r="L75" s="6" t="s">
        <v>1755</v>
      </c>
      <c r="M75" s="6" t="s">
        <v>84</v>
      </c>
      <c r="N75" s="10">
        <v>8</v>
      </c>
      <c r="O75" s="11">
        <v>1</v>
      </c>
      <c r="P75" s="12">
        <v>11</v>
      </c>
      <c r="Q75" s="13">
        <v>17.997495000000001</v>
      </c>
      <c r="R75" s="13">
        <v>-99.542936999999995</v>
      </c>
      <c r="S75" s="14" t="s">
        <v>176</v>
      </c>
      <c r="T75" s="14"/>
      <c r="U75" s="14"/>
      <c r="V75" s="14"/>
      <c r="W75" s="14"/>
      <c r="X75" s="14"/>
      <c r="Y75" s="14"/>
      <c r="Z75" s="14"/>
      <c r="AA75" s="15"/>
      <c r="AB75" s="16">
        <v>4.1666666666666664E-2</v>
      </c>
    </row>
    <row r="76" spans="1:28" x14ac:dyDescent="0.3">
      <c r="A76" s="6" t="s">
        <v>265</v>
      </c>
      <c r="B76" s="7" t="s">
        <v>25</v>
      </c>
      <c r="C76" s="34" t="s">
        <v>229</v>
      </c>
      <c r="D76" s="33" t="s">
        <v>1775</v>
      </c>
      <c r="E76" s="6" t="s">
        <v>266</v>
      </c>
      <c r="F76" s="6" t="s">
        <v>267</v>
      </c>
      <c r="G76" s="6" t="s">
        <v>29</v>
      </c>
      <c r="H76" s="7">
        <v>1</v>
      </c>
      <c r="I76" s="6" t="s">
        <v>30</v>
      </c>
      <c r="J76" s="6" t="s">
        <v>31</v>
      </c>
      <c r="K76" s="6" t="s">
        <v>32</v>
      </c>
      <c r="L76" s="6" t="s">
        <v>1755</v>
      </c>
      <c r="M76" s="6" t="s">
        <v>33</v>
      </c>
      <c r="N76" s="10">
        <v>15</v>
      </c>
      <c r="O76" s="11">
        <v>2</v>
      </c>
      <c r="P76" s="12">
        <v>28</v>
      </c>
      <c r="Q76" s="13">
        <v>17.561395999999998</v>
      </c>
      <c r="R76" s="13">
        <v>-99.404747</v>
      </c>
      <c r="S76" s="14" t="s">
        <v>176</v>
      </c>
      <c r="T76" s="14"/>
      <c r="U76" s="14"/>
      <c r="V76" s="14"/>
      <c r="W76" s="14"/>
      <c r="X76" s="14"/>
      <c r="Y76" s="14"/>
      <c r="Z76" s="14"/>
      <c r="AA76" s="15"/>
      <c r="AB76" s="16">
        <v>4.1666666666666664E-2</v>
      </c>
    </row>
    <row r="77" spans="1:28" x14ac:dyDescent="0.3">
      <c r="A77" s="6" t="s">
        <v>268</v>
      </c>
      <c r="B77" s="7" t="s">
        <v>25</v>
      </c>
      <c r="C77" s="34" t="s">
        <v>229</v>
      </c>
      <c r="D77" s="33" t="s">
        <v>1775</v>
      </c>
      <c r="E77" s="6" t="s">
        <v>269</v>
      </c>
      <c r="F77" s="6" t="s">
        <v>270</v>
      </c>
      <c r="G77" s="6" t="s">
        <v>29</v>
      </c>
      <c r="H77" s="7">
        <v>1</v>
      </c>
      <c r="I77" s="6" t="s">
        <v>30</v>
      </c>
      <c r="J77" s="6" t="s">
        <v>31</v>
      </c>
      <c r="K77" s="6" t="s">
        <v>32</v>
      </c>
      <c r="L77" s="6" t="s">
        <v>1755</v>
      </c>
      <c r="M77" s="6" t="s">
        <v>33</v>
      </c>
      <c r="N77" s="10">
        <v>9</v>
      </c>
      <c r="O77" s="11">
        <v>2</v>
      </c>
      <c r="P77" s="12">
        <v>10</v>
      </c>
      <c r="Q77" s="13">
        <v>17.908494999999998</v>
      </c>
      <c r="R77" s="13">
        <v>-98.486849000000007</v>
      </c>
      <c r="S77" s="14" t="s">
        <v>176</v>
      </c>
      <c r="T77" s="14"/>
      <c r="U77" s="14"/>
      <c r="V77" s="14"/>
      <c r="W77" s="14"/>
      <c r="X77" s="14"/>
      <c r="Y77" s="14"/>
      <c r="Z77" s="14"/>
      <c r="AA77" s="15"/>
      <c r="AB77" s="16">
        <v>4.1666666666666664E-2</v>
      </c>
    </row>
    <row r="78" spans="1:28" x14ac:dyDescent="0.3">
      <c r="A78" s="6" t="s">
        <v>271</v>
      </c>
      <c r="B78" s="7" t="s">
        <v>25</v>
      </c>
      <c r="C78" s="34" t="s">
        <v>229</v>
      </c>
      <c r="D78" s="33" t="s">
        <v>1775</v>
      </c>
      <c r="E78" s="6" t="s">
        <v>272</v>
      </c>
      <c r="F78" s="6" t="s">
        <v>273</v>
      </c>
      <c r="G78" s="6" t="s">
        <v>29</v>
      </c>
      <c r="H78" s="7">
        <v>1</v>
      </c>
      <c r="I78" s="6" t="s">
        <v>30</v>
      </c>
      <c r="J78" s="6" t="s">
        <v>31</v>
      </c>
      <c r="K78" s="6" t="s">
        <v>32</v>
      </c>
      <c r="L78" s="6" t="s">
        <v>1755</v>
      </c>
      <c r="M78" s="6" t="s">
        <v>33</v>
      </c>
      <c r="N78" s="10">
        <v>8</v>
      </c>
      <c r="O78" s="11">
        <v>1</v>
      </c>
      <c r="P78" s="12">
        <v>12</v>
      </c>
      <c r="Q78" s="13">
        <v>16.784161000000001</v>
      </c>
      <c r="R78" s="13">
        <v>-98.245851999999999</v>
      </c>
      <c r="S78" s="14" t="s">
        <v>176</v>
      </c>
      <c r="T78" s="14"/>
      <c r="U78" s="14"/>
      <c r="V78" s="14"/>
      <c r="W78" s="14"/>
      <c r="X78" s="14"/>
      <c r="Y78" s="14"/>
      <c r="Z78" s="14"/>
      <c r="AA78" s="15"/>
      <c r="AB78" s="16">
        <v>4.1666666666666664E-2</v>
      </c>
    </row>
    <row r="79" spans="1:28" x14ac:dyDescent="0.3">
      <c r="A79" s="6" t="s">
        <v>274</v>
      </c>
      <c r="B79" s="7" t="s">
        <v>25</v>
      </c>
      <c r="C79" s="34" t="s">
        <v>229</v>
      </c>
      <c r="D79" s="33" t="s">
        <v>1775</v>
      </c>
      <c r="E79" s="6" t="s">
        <v>275</v>
      </c>
      <c r="F79" s="6" t="s">
        <v>276</v>
      </c>
      <c r="G79" s="6" t="s">
        <v>29</v>
      </c>
      <c r="H79" s="7">
        <v>1</v>
      </c>
      <c r="I79" s="6" t="s">
        <v>30</v>
      </c>
      <c r="J79" s="6" t="s">
        <v>31</v>
      </c>
      <c r="K79" s="6" t="s">
        <v>32</v>
      </c>
      <c r="L79" s="6" t="s">
        <v>1755</v>
      </c>
      <c r="M79" s="6" t="s">
        <v>33</v>
      </c>
      <c r="N79" s="10">
        <v>7</v>
      </c>
      <c r="O79" s="11">
        <v>1</v>
      </c>
      <c r="P79" s="12">
        <v>16</v>
      </c>
      <c r="Q79" s="13">
        <v>17.653625000000002</v>
      </c>
      <c r="R79" s="13">
        <v>-99.530989000000005</v>
      </c>
      <c r="S79" s="14" t="s">
        <v>176</v>
      </c>
      <c r="T79" s="14"/>
      <c r="U79" s="14"/>
      <c r="V79" s="14"/>
      <c r="W79" s="14"/>
      <c r="X79" s="14"/>
      <c r="Y79" s="14"/>
      <c r="Z79" s="14"/>
      <c r="AA79" s="15"/>
      <c r="AB79" s="16">
        <v>4.1666666666666664E-2</v>
      </c>
    </row>
    <row r="80" spans="1:28" x14ac:dyDescent="0.3">
      <c r="A80" s="6" t="s">
        <v>277</v>
      </c>
      <c r="B80" s="7" t="s">
        <v>25</v>
      </c>
      <c r="C80" s="34" t="s">
        <v>229</v>
      </c>
      <c r="D80" s="33" t="s">
        <v>1775</v>
      </c>
      <c r="E80" s="6" t="s">
        <v>278</v>
      </c>
      <c r="F80" s="6" t="s">
        <v>279</v>
      </c>
      <c r="G80" s="6" t="s">
        <v>29</v>
      </c>
      <c r="H80" s="7">
        <v>1</v>
      </c>
      <c r="I80" s="6" t="s">
        <v>30</v>
      </c>
      <c r="J80" s="6" t="s">
        <v>31</v>
      </c>
      <c r="K80" s="6" t="s">
        <v>32</v>
      </c>
      <c r="L80" s="6" t="s">
        <v>1755</v>
      </c>
      <c r="M80" s="6" t="s">
        <v>33</v>
      </c>
      <c r="N80" s="10">
        <v>10</v>
      </c>
      <c r="O80" s="11">
        <v>1</v>
      </c>
      <c r="P80" s="12">
        <v>21</v>
      </c>
      <c r="Q80" s="13">
        <v>17.329127</v>
      </c>
      <c r="R80" s="13">
        <v>-98.907692999999995</v>
      </c>
      <c r="S80" s="14" t="s">
        <v>176</v>
      </c>
      <c r="T80" s="14"/>
      <c r="U80" s="14"/>
      <c r="V80" s="14"/>
      <c r="W80" s="14"/>
      <c r="X80" s="14"/>
      <c r="Y80" s="14"/>
      <c r="Z80" s="14"/>
      <c r="AA80" s="15"/>
      <c r="AB80" s="16">
        <v>4.1666666666666664E-2</v>
      </c>
    </row>
    <row r="81" spans="1:28" x14ac:dyDescent="0.3">
      <c r="A81" s="6" t="s">
        <v>280</v>
      </c>
      <c r="B81" s="7" t="s">
        <v>25</v>
      </c>
      <c r="C81" s="34" t="s">
        <v>229</v>
      </c>
      <c r="D81" s="33" t="s">
        <v>1775</v>
      </c>
      <c r="E81" s="6" t="s">
        <v>281</v>
      </c>
      <c r="F81" s="6" t="s">
        <v>282</v>
      </c>
      <c r="G81" s="6" t="s">
        <v>29</v>
      </c>
      <c r="H81" s="7">
        <v>1</v>
      </c>
      <c r="I81" s="6" t="s">
        <v>30</v>
      </c>
      <c r="J81" s="6" t="s">
        <v>31</v>
      </c>
      <c r="K81" s="6" t="s">
        <v>32</v>
      </c>
      <c r="L81" s="6" t="s">
        <v>1755</v>
      </c>
      <c r="M81" s="6" t="s">
        <v>33</v>
      </c>
      <c r="N81" s="10">
        <v>6</v>
      </c>
      <c r="O81" s="11">
        <v>1</v>
      </c>
      <c r="P81" s="12">
        <v>17</v>
      </c>
      <c r="Q81" s="13">
        <v>16.792333899999999</v>
      </c>
      <c r="R81" s="13">
        <v>-99.391720000000007</v>
      </c>
      <c r="S81" s="14" t="s">
        <v>176</v>
      </c>
      <c r="T81" s="14"/>
      <c r="U81" s="14"/>
      <c r="V81" s="14"/>
      <c r="W81" s="14"/>
      <c r="X81" s="14"/>
      <c r="Y81" s="14"/>
      <c r="Z81" s="14"/>
      <c r="AA81" s="15"/>
      <c r="AB81" s="16">
        <v>4.1666666666666664E-2</v>
      </c>
    </row>
    <row r="82" spans="1:28" x14ac:dyDescent="0.3">
      <c r="A82" s="6" t="s">
        <v>283</v>
      </c>
      <c r="B82" s="7" t="s">
        <v>25</v>
      </c>
      <c r="C82" s="34" t="s">
        <v>229</v>
      </c>
      <c r="D82" s="33" t="s">
        <v>1775</v>
      </c>
      <c r="E82" s="6" t="s">
        <v>284</v>
      </c>
      <c r="F82" s="6" t="s">
        <v>285</v>
      </c>
      <c r="G82" s="6" t="s">
        <v>29</v>
      </c>
      <c r="H82" s="7">
        <v>1</v>
      </c>
      <c r="I82" s="6" t="s">
        <v>30</v>
      </c>
      <c r="J82" s="6" t="s">
        <v>31</v>
      </c>
      <c r="K82" s="6" t="s">
        <v>32</v>
      </c>
      <c r="L82" s="6" t="s">
        <v>1755</v>
      </c>
      <c r="M82" s="6" t="s">
        <v>33</v>
      </c>
      <c r="N82" s="10">
        <v>7</v>
      </c>
      <c r="O82" s="11">
        <v>1</v>
      </c>
      <c r="P82" s="12">
        <v>11</v>
      </c>
      <c r="Q82" s="13">
        <v>17.425325000000001</v>
      </c>
      <c r="R82" s="13">
        <v>-98.779031000000003</v>
      </c>
      <c r="S82" s="14" t="s">
        <v>176</v>
      </c>
      <c r="T82" s="14"/>
      <c r="U82" s="14"/>
      <c r="V82" s="14"/>
      <c r="W82" s="14"/>
      <c r="X82" s="14"/>
      <c r="Y82" s="14"/>
      <c r="Z82" s="14"/>
      <c r="AA82" s="15"/>
      <c r="AB82" s="16">
        <v>4.1666666666666664E-2</v>
      </c>
    </row>
    <row r="83" spans="1:28" x14ac:dyDescent="0.3">
      <c r="A83" s="6" t="s">
        <v>286</v>
      </c>
      <c r="B83" s="7" t="s">
        <v>25</v>
      </c>
      <c r="C83" s="34" t="s">
        <v>229</v>
      </c>
      <c r="D83" s="33" t="s">
        <v>1775</v>
      </c>
      <c r="E83" s="6" t="s">
        <v>287</v>
      </c>
      <c r="F83" s="6" t="s">
        <v>288</v>
      </c>
      <c r="G83" s="6" t="s">
        <v>29</v>
      </c>
      <c r="H83" s="7">
        <v>1</v>
      </c>
      <c r="I83" s="6" t="s">
        <v>30</v>
      </c>
      <c r="J83" s="6" t="s">
        <v>31</v>
      </c>
      <c r="K83" s="6" t="s">
        <v>32</v>
      </c>
      <c r="L83" s="6" t="s">
        <v>1755</v>
      </c>
      <c r="M83" s="6" t="s">
        <v>33</v>
      </c>
      <c r="N83" s="10">
        <v>8</v>
      </c>
      <c r="O83" s="11">
        <v>1</v>
      </c>
      <c r="P83" s="12">
        <v>15</v>
      </c>
      <c r="Q83" s="13">
        <v>17.259172</v>
      </c>
      <c r="R83" s="13">
        <v>-98.748244</v>
      </c>
      <c r="S83" s="14" t="s">
        <v>176</v>
      </c>
      <c r="T83" s="14"/>
      <c r="U83" s="14"/>
      <c r="V83" s="14"/>
      <c r="W83" s="14"/>
      <c r="X83" s="14"/>
      <c r="Y83" s="14"/>
      <c r="Z83" s="14"/>
      <c r="AA83" s="15"/>
      <c r="AB83" s="16">
        <v>4.1666666666666664E-2</v>
      </c>
    </row>
    <row r="84" spans="1:28" x14ac:dyDescent="0.3">
      <c r="A84" s="6" t="s">
        <v>289</v>
      </c>
      <c r="B84" s="7" t="s">
        <v>25</v>
      </c>
      <c r="C84" s="34" t="s">
        <v>229</v>
      </c>
      <c r="D84" s="33" t="s">
        <v>1775</v>
      </c>
      <c r="E84" s="6" t="s">
        <v>290</v>
      </c>
      <c r="F84" s="6" t="s">
        <v>291</v>
      </c>
      <c r="G84" s="6" t="s">
        <v>29</v>
      </c>
      <c r="H84" s="7">
        <v>1</v>
      </c>
      <c r="I84" s="6" t="s">
        <v>30</v>
      </c>
      <c r="J84" s="6" t="s">
        <v>31</v>
      </c>
      <c r="K84" s="6" t="s">
        <v>32</v>
      </c>
      <c r="L84" s="6" t="s">
        <v>1755</v>
      </c>
      <c r="M84" s="6" t="s">
        <v>33</v>
      </c>
      <c r="N84" s="10">
        <v>7</v>
      </c>
      <c r="O84" s="11">
        <v>1</v>
      </c>
      <c r="P84" s="12">
        <v>24</v>
      </c>
      <c r="Q84" s="13">
        <v>18.355843</v>
      </c>
      <c r="R84" s="13">
        <v>-99.869639000000006</v>
      </c>
      <c r="S84" s="14" t="s">
        <v>176</v>
      </c>
      <c r="T84" s="14"/>
      <c r="U84" s="14"/>
      <c r="V84" s="14"/>
      <c r="W84" s="14"/>
      <c r="X84" s="14"/>
      <c r="Y84" s="14"/>
      <c r="Z84" s="14"/>
      <c r="AA84" s="15"/>
      <c r="AB84" s="16">
        <v>4.1666666666666664E-2</v>
      </c>
    </row>
    <row r="85" spans="1:28" x14ac:dyDescent="0.3">
      <c r="A85" s="6" t="s">
        <v>292</v>
      </c>
      <c r="B85" s="7" t="s">
        <v>25</v>
      </c>
      <c r="C85" s="34" t="s">
        <v>229</v>
      </c>
      <c r="D85" s="33" t="s">
        <v>1775</v>
      </c>
      <c r="E85" s="6" t="s">
        <v>293</v>
      </c>
      <c r="F85" s="6" t="s">
        <v>294</v>
      </c>
      <c r="G85" s="6" t="s">
        <v>29</v>
      </c>
      <c r="H85" s="7">
        <v>1</v>
      </c>
      <c r="I85" s="6" t="s">
        <v>30</v>
      </c>
      <c r="J85" s="6" t="s">
        <v>31</v>
      </c>
      <c r="K85" s="6" t="s">
        <v>32</v>
      </c>
      <c r="L85" s="6" t="s">
        <v>1755</v>
      </c>
      <c r="M85" s="6" t="s">
        <v>33</v>
      </c>
      <c r="N85" s="10">
        <v>5</v>
      </c>
      <c r="O85" s="11">
        <v>1</v>
      </c>
      <c r="P85" s="12">
        <v>21</v>
      </c>
      <c r="Q85" s="13">
        <v>17.811420300000002</v>
      </c>
      <c r="R85" s="13">
        <v>-98.562153800000004</v>
      </c>
      <c r="S85" s="14" t="s">
        <v>176</v>
      </c>
      <c r="T85" s="14"/>
      <c r="U85" s="14"/>
      <c r="V85" s="14"/>
      <c r="W85" s="14"/>
      <c r="X85" s="14"/>
      <c r="Y85" s="14"/>
      <c r="Z85" s="14"/>
      <c r="AA85" s="15"/>
      <c r="AB85" s="16">
        <v>4.1666666666666664E-2</v>
      </c>
    </row>
    <row r="86" spans="1:28" x14ac:dyDescent="0.3">
      <c r="A86" s="6" t="s">
        <v>295</v>
      </c>
      <c r="B86" s="7" t="s">
        <v>25</v>
      </c>
      <c r="C86" s="34" t="s">
        <v>229</v>
      </c>
      <c r="D86" s="33" t="s">
        <v>1775</v>
      </c>
      <c r="E86" s="6" t="s">
        <v>296</v>
      </c>
      <c r="F86" s="6" t="s">
        <v>297</v>
      </c>
      <c r="G86" s="6" t="s">
        <v>29</v>
      </c>
      <c r="H86" s="7">
        <v>1</v>
      </c>
      <c r="I86" s="6" t="s">
        <v>30</v>
      </c>
      <c r="J86" s="6" t="s">
        <v>31</v>
      </c>
      <c r="K86" s="6" t="s">
        <v>32</v>
      </c>
      <c r="L86" s="6" t="s">
        <v>1755</v>
      </c>
      <c r="M86" s="6" t="s">
        <v>33</v>
      </c>
      <c r="N86" s="10">
        <v>14</v>
      </c>
      <c r="O86" s="11">
        <v>2</v>
      </c>
      <c r="P86" s="12">
        <v>24</v>
      </c>
      <c r="Q86" s="13">
        <v>16.999649900000001</v>
      </c>
      <c r="R86" s="13">
        <v>-100.0763735</v>
      </c>
      <c r="S86" s="14" t="s">
        <v>176</v>
      </c>
      <c r="T86" s="14"/>
      <c r="U86" s="14"/>
      <c r="V86" s="14"/>
      <c r="W86" s="14"/>
      <c r="X86" s="14"/>
      <c r="Y86" s="14"/>
      <c r="Z86" s="14"/>
      <c r="AA86" s="15"/>
      <c r="AB86" s="16">
        <v>4.1666666666666664E-2</v>
      </c>
    </row>
    <row r="87" spans="1:28" x14ac:dyDescent="0.3">
      <c r="A87" s="6" t="s">
        <v>298</v>
      </c>
      <c r="B87" s="7" t="s">
        <v>25</v>
      </c>
      <c r="C87" s="34" t="s">
        <v>229</v>
      </c>
      <c r="D87" s="33" t="s">
        <v>1775</v>
      </c>
      <c r="E87" s="6" t="s">
        <v>299</v>
      </c>
      <c r="F87" s="6" t="s">
        <v>300</v>
      </c>
      <c r="G87" s="6" t="s">
        <v>29</v>
      </c>
      <c r="H87" s="7">
        <v>1</v>
      </c>
      <c r="I87" s="6" t="s">
        <v>30</v>
      </c>
      <c r="J87" s="6" t="s">
        <v>31</v>
      </c>
      <c r="K87" s="6" t="s">
        <v>32</v>
      </c>
      <c r="L87" s="6" t="s">
        <v>1755</v>
      </c>
      <c r="M87" s="6" t="s">
        <v>33</v>
      </c>
      <c r="N87" s="10">
        <v>11</v>
      </c>
      <c r="O87" s="11">
        <v>2</v>
      </c>
      <c r="P87" s="12">
        <v>24</v>
      </c>
      <c r="Q87" s="13">
        <v>16.7994181</v>
      </c>
      <c r="R87" s="13">
        <v>-98.737724200000002</v>
      </c>
      <c r="S87" s="14" t="s">
        <v>176</v>
      </c>
      <c r="T87" s="14"/>
      <c r="U87" s="14"/>
      <c r="V87" s="14"/>
      <c r="W87" s="14"/>
      <c r="X87" s="14"/>
      <c r="Y87" s="14"/>
      <c r="Z87" s="14"/>
      <c r="AA87" s="15"/>
      <c r="AB87" s="16">
        <v>4.1666666666666664E-2</v>
      </c>
    </row>
    <row r="88" spans="1:28" x14ac:dyDescent="0.3">
      <c r="A88" s="6" t="s">
        <v>301</v>
      </c>
      <c r="B88" s="7" t="s">
        <v>25</v>
      </c>
      <c r="C88" s="34" t="s">
        <v>229</v>
      </c>
      <c r="D88" s="33" t="s">
        <v>1775</v>
      </c>
      <c r="E88" s="6" t="s">
        <v>302</v>
      </c>
      <c r="F88" s="6" t="s">
        <v>303</v>
      </c>
      <c r="G88" s="6" t="s">
        <v>29</v>
      </c>
      <c r="H88" s="7">
        <v>1</v>
      </c>
      <c r="I88" s="6" t="s">
        <v>30</v>
      </c>
      <c r="J88" s="6" t="s">
        <v>31</v>
      </c>
      <c r="K88" s="6" t="s">
        <v>32</v>
      </c>
      <c r="L88" s="6" t="s">
        <v>1755</v>
      </c>
      <c r="M88" s="6" t="s">
        <v>33</v>
      </c>
      <c r="N88" s="10">
        <v>11</v>
      </c>
      <c r="O88" s="11">
        <v>1</v>
      </c>
      <c r="P88" s="12">
        <v>27</v>
      </c>
      <c r="Q88" s="13">
        <v>17.7609192</v>
      </c>
      <c r="R88" s="13">
        <v>-98.740321499999993</v>
      </c>
      <c r="S88" s="14" t="s">
        <v>176</v>
      </c>
      <c r="T88" s="14"/>
      <c r="U88" s="14"/>
      <c r="V88" s="14"/>
      <c r="W88" s="14"/>
      <c r="X88" s="14"/>
      <c r="Y88" s="14"/>
      <c r="Z88" s="14"/>
      <c r="AA88" s="15"/>
      <c r="AB88" s="16">
        <v>4.1666666666666664E-2</v>
      </c>
    </row>
    <row r="89" spans="1:28" x14ac:dyDescent="0.3">
      <c r="A89" s="6" t="s">
        <v>304</v>
      </c>
      <c r="B89" s="7" t="s">
        <v>25</v>
      </c>
      <c r="C89" s="34" t="s">
        <v>305</v>
      </c>
      <c r="D89" s="33" t="s">
        <v>1775</v>
      </c>
      <c r="E89" s="6" t="s">
        <v>306</v>
      </c>
      <c r="F89" s="6" t="s">
        <v>307</v>
      </c>
      <c r="G89" s="6" t="s">
        <v>111</v>
      </c>
      <c r="H89" s="7">
        <v>1</v>
      </c>
      <c r="I89" s="6" t="s">
        <v>112</v>
      </c>
      <c r="J89" s="6" t="s">
        <v>31</v>
      </c>
      <c r="K89" s="6" t="s">
        <v>32</v>
      </c>
      <c r="L89" s="6" t="s">
        <v>1755</v>
      </c>
      <c r="M89" s="6" t="s">
        <v>33</v>
      </c>
      <c r="N89" s="10">
        <v>12</v>
      </c>
      <c r="O89" s="11">
        <v>5</v>
      </c>
      <c r="P89" s="12">
        <v>105</v>
      </c>
      <c r="Q89" s="13">
        <v>20.433786999999999</v>
      </c>
      <c r="R89" s="13">
        <v>-99.155445999999998</v>
      </c>
      <c r="S89" s="14" t="s">
        <v>34</v>
      </c>
      <c r="T89" s="14" t="s">
        <v>35</v>
      </c>
      <c r="U89" s="14" t="s">
        <v>35</v>
      </c>
      <c r="V89" s="14" t="s">
        <v>35</v>
      </c>
      <c r="W89" s="14" t="s">
        <v>35</v>
      </c>
      <c r="X89" s="14" t="s">
        <v>36</v>
      </c>
      <c r="Y89" s="14" t="s">
        <v>37</v>
      </c>
      <c r="Z89" s="14" t="s">
        <v>74</v>
      </c>
      <c r="AA89" s="15"/>
      <c r="AB89" s="16">
        <v>0.875</v>
      </c>
    </row>
    <row r="90" spans="1:28" x14ac:dyDescent="0.3">
      <c r="A90" s="6" t="s">
        <v>308</v>
      </c>
      <c r="B90" s="7" t="s">
        <v>25</v>
      </c>
      <c r="C90" s="34" t="s">
        <v>305</v>
      </c>
      <c r="D90" s="33" t="s">
        <v>1775</v>
      </c>
      <c r="E90" s="6" t="s">
        <v>309</v>
      </c>
      <c r="F90" s="6" t="s">
        <v>310</v>
      </c>
      <c r="G90" s="6" t="s">
        <v>111</v>
      </c>
      <c r="H90" s="7">
        <v>1</v>
      </c>
      <c r="I90" s="6" t="s">
        <v>112</v>
      </c>
      <c r="J90" s="6" t="s">
        <v>31</v>
      </c>
      <c r="K90" s="6" t="s">
        <v>32</v>
      </c>
      <c r="L90" s="6" t="s">
        <v>1755</v>
      </c>
      <c r="M90" s="6" t="s">
        <v>33</v>
      </c>
      <c r="N90" s="10">
        <v>12</v>
      </c>
      <c r="O90" s="11">
        <v>4</v>
      </c>
      <c r="P90" s="12">
        <v>49</v>
      </c>
      <c r="Q90" s="8">
        <v>19.713632</v>
      </c>
      <c r="R90" s="8">
        <v>-98.465096000000003</v>
      </c>
      <c r="S90" s="14" t="s">
        <v>34</v>
      </c>
      <c r="T90" s="14" t="s">
        <v>35</v>
      </c>
      <c r="U90" s="14" t="s">
        <v>35</v>
      </c>
      <c r="V90" s="14" t="s">
        <v>35</v>
      </c>
      <c r="W90" s="14" t="s">
        <v>35</v>
      </c>
      <c r="X90" s="14" t="s">
        <v>36</v>
      </c>
      <c r="Y90" s="14" t="s">
        <v>37</v>
      </c>
      <c r="Z90" s="14" t="s">
        <v>37</v>
      </c>
      <c r="AA90" s="15"/>
      <c r="AB90" s="16">
        <v>1</v>
      </c>
    </row>
    <row r="91" spans="1:28" x14ac:dyDescent="0.3">
      <c r="A91" s="6" t="s">
        <v>311</v>
      </c>
      <c r="B91" s="7" t="s">
        <v>25</v>
      </c>
      <c r="C91" s="34" t="s">
        <v>305</v>
      </c>
      <c r="D91" s="33" t="s">
        <v>1775</v>
      </c>
      <c r="E91" s="6" t="s">
        <v>312</v>
      </c>
      <c r="F91" s="6" t="s">
        <v>313</v>
      </c>
      <c r="G91" s="6" t="s">
        <v>111</v>
      </c>
      <c r="H91" s="7">
        <v>1</v>
      </c>
      <c r="I91" s="6" t="s">
        <v>112</v>
      </c>
      <c r="J91" s="6" t="s">
        <v>31</v>
      </c>
      <c r="K91" s="6" t="s">
        <v>32</v>
      </c>
      <c r="L91" s="6" t="s">
        <v>1755</v>
      </c>
      <c r="M91" s="6" t="s">
        <v>84</v>
      </c>
      <c r="N91" s="10">
        <v>37</v>
      </c>
      <c r="O91" s="11">
        <v>10</v>
      </c>
      <c r="P91" s="12">
        <v>207</v>
      </c>
      <c r="Q91" s="8">
        <v>20.062166000000001</v>
      </c>
      <c r="R91" s="8">
        <v>-98.440731</v>
      </c>
      <c r="S91" s="14" t="s">
        <v>34</v>
      </c>
      <c r="T91" s="14" t="s">
        <v>35</v>
      </c>
      <c r="U91" s="14" t="s">
        <v>35</v>
      </c>
      <c r="V91" s="14" t="s">
        <v>35</v>
      </c>
      <c r="W91" s="14" t="s">
        <v>35</v>
      </c>
      <c r="X91" s="14" t="s">
        <v>36</v>
      </c>
      <c r="Y91" s="14" t="s">
        <v>37</v>
      </c>
      <c r="Z91" s="14" t="s">
        <v>37</v>
      </c>
      <c r="AA91" s="15"/>
      <c r="AB91" s="16">
        <v>1</v>
      </c>
    </row>
    <row r="92" spans="1:28" x14ac:dyDescent="0.3">
      <c r="A92" s="6" t="s">
        <v>314</v>
      </c>
      <c r="B92" s="7" t="s">
        <v>25</v>
      </c>
      <c r="C92" s="34" t="s">
        <v>305</v>
      </c>
      <c r="D92" s="33" t="s">
        <v>1775</v>
      </c>
      <c r="E92" s="6" t="s">
        <v>315</v>
      </c>
      <c r="F92" s="6" t="s">
        <v>316</v>
      </c>
      <c r="G92" s="6" t="s">
        <v>164</v>
      </c>
      <c r="H92" s="7">
        <v>2</v>
      </c>
      <c r="I92" s="6" t="s">
        <v>155</v>
      </c>
      <c r="J92" s="6" t="s">
        <v>31</v>
      </c>
      <c r="K92" s="6" t="s">
        <v>32</v>
      </c>
      <c r="L92" s="6" t="s">
        <v>1755</v>
      </c>
      <c r="M92" s="6" t="s">
        <v>33</v>
      </c>
      <c r="N92" s="10">
        <v>12</v>
      </c>
      <c r="O92" s="11">
        <v>3</v>
      </c>
      <c r="P92" s="12">
        <v>78</v>
      </c>
      <c r="Q92" s="8">
        <v>20.117775000000002</v>
      </c>
      <c r="R92" s="8">
        <v>-98.729855999999998</v>
      </c>
      <c r="S92" s="14" t="s">
        <v>34</v>
      </c>
      <c r="T92" s="14" t="s">
        <v>35</v>
      </c>
      <c r="U92" s="14" t="s">
        <v>35</v>
      </c>
      <c r="V92" s="14" t="s">
        <v>35</v>
      </c>
      <c r="W92" s="14" t="s">
        <v>35</v>
      </c>
      <c r="X92" s="14" t="s">
        <v>36</v>
      </c>
      <c r="Y92" s="14" t="s">
        <v>37</v>
      </c>
      <c r="Z92" s="14" t="s">
        <v>37</v>
      </c>
      <c r="AA92" s="15"/>
      <c r="AB92" s="16">
        <v>1</v>
      </c>
    </row>
    <row r="93" spans="1:28" x14ac:dyDescent="0.3">
      <c r="A93" s="6" t="s">
        <v>317</v>
      </c>
      <c r="B93" s="7" t="s">
        <v>25</v>
      </c>
      <c r="C93" s="34" t="s">
        <v>305</v>
      </c>
      <c r="D93" s="33" t="s">
        <v>1775</v>
      </c>
      <c r="E93" s="6" t="s">
        <v>318</v>
      </c>
      <c r="F93" s="6" t="s">
        <v>319</v>
      </c>
      <c r="G93" s="6" t="s">
        <v>29</v>
      </c>
      <c r="H93" s="7">
        <v>1</v>
      </c>
      <c r="I93" s="6" t="s">
        <v>30</v>
      </c>
      <c r="J93" s="6" t="s">
        <v>31</v>
      </c>
      <c r="K93" s="6" t="s">
        <v>32</v>
      </c>
      <c r="L93" s="6" t="s">
        <v>1755</v>
      </c>
      <c r="M93" s="6" t="s">
        <v>33</v>
      </c>
      <c r="N93" s="10">
        <v>11</v>
      </c>
      <c r="O93" s="11">
        <v>2</v>
      </c>
      <c r="P93" s="12">
        <v>27</v>
      </c>
      <c r="Q93" s="13">
        <v>21.021042000000001</v>
      </c>
      <c r="R93" s="13">
        <v>-98.348585</v>
      </c>
      <c r="S93" s="14" t="s">
        <v>34</v>
      </c>
      <c r="T93" s="14" t="s">
        <v>35</v>
      </c>
      <c r="U93" s="14" t="s">
        <v>35</v>
      </c>
      <c r="V93" s="14" t="s">
        <v>35</v>
      </c>
      <c r="W93" s="14" t="s">
        <v>175</v>
      </c>
      <c r="X93" s="14" t="s">
        <v>36</v>
      </c>
      <c r="Y93" s="14"/>
      <c r="Z93" s="14"/>
      <c r="AA93" s="15"/>
      <c r="AB93" s="16">
        <v>0.70833333333333337</v>
      </c>
    </row>
    <row r="94" spans="1:28" x14ac:dyDescent="0.3">
      <c r="A94" s="6" t="s">
        <v>320</v>
      </c>
      <c r="B94" s="7" t="s">
        <v>25</v>
      </c>
      <c r="C94" s="34" t="s">
        <v>305</v>
      </c>
      <c r="D94" s="33" t="s">
        <v>1775</v>
      </c>
      <c r="E94" s="6" t="s">
        <v>321</v>
      </c>
      <c r="F94" s="6" t="s">
        <v>322</v>
      </c>
      <c r="G94" s="6" t="s">
        <v>29</v>
      </c>
      <c r="H94" s="7">
        <v>1</v>
      </c>
      <c r="I94" s="6" t="s">
        <v>30</v>
      </c>
      <c r="J94" s="6" t="s">
        <v>31</v>
      </c>
      <c r="K94" s="6" t="s">
        <v>32</v>
      </c>
      <c r="L94" s="6" t="s">
        <v>1755</v>
      </c>
      <c r="M94" s="6" t="s">
        <v>33</v>
      </c>
      <c r="N94" s="10">
        <v>6</v>
      </c>
      <c r="O94" s="11">
        <v>3</v>
      </c>
      <c r="P94" s="12">
        <v>26</v>
      </c>
      <c r="Q94" s="13">
        <v>21.010408000000002</v>
      </c>
      <c r="R94" s="13">
        <v>-99.194832000000005</v>
      </c>
      <c r="S94" s="14" t="s">
        <v>34</v>
      </c>
      <c r="T94" s="14" t="s">
        <v>35</v>
      </c>
      <c r="U94" s="14" t="s">
        <v>35</v>
      </c>
      <c r="V94" s="14" t="s">
        <v>35</v>
      </c>
      <c r="W94" s="14" t="s">
        <v>175</v>
      </c>
      <c r="X94" s="14" t="s">
        <v>36</v>
      </c>
      <c r="Y94" s="14"/>
      <c r="Z94" s="14"/>
      <c r="AA94" s="15"/>
      <c r="AB94" s="16">
        <v>0.70833333333333337</v>
      </c>
    </row>
    <row r="95" spans="1:28" x14ac:dyDescent="0.3">
      <c r="A95" s="6" t="s">
        <v>323</v>
      </c>
      <c r="B95" s="7" t="s">
        <v>25</v>
      </c>
      <c r="C95" s="34" t="s">
        <v>305</v>
      </c>
      <c r="D95" s="33" t="s">
        <v>1775</v>
      </c>
      <c r="E95" s="6" t="s">
        <v>324</v>
      </c>
      <c r="F95" s="6" t="s">
        <v>325</v>
      </c>
      <c r="G95" s="6" t="s">
        <v>29</v>
      </c>
      <c r="H95" s="7">
        <v>1</v>
      </c>
      <c r="I95" s="6" t="s">
        <v>30</v>
      </c>
      <c r="J95" s="6" t="s">
        <v>31</v>
      </c>
      <c r="K95" s="6" t="s">
        <v>32</v>
      </c>
      <c r="L95" s="6" t="s">
        <v>1755</v>
      </c>
      <c r="M95" s="6" t="s">
        <v>84</v>
      </c>
      <c r="N95" s="10">
        <v>10</v>
      </c>
      <c r="O95" s="11">
        <v>3</v>
      </c>
      <c r="P95" s="12">
        <v>29</v>
      </c>
      <c r="Q95" s="13">
        <v>20.690989999999999</v>
      </c>
      <c r="R95" s="13">
        <v>-99.333370000000002</v>
      </c>
      <c r="S95" s="14" t="s">
        <v>34</v>
      </c>
      <c r="T95" s="14" t="s">
        <v>35</v>
      </c>
      <c r="U95" s="14" t="s">
        <v>35</v>
      </c>
      <c r="V95" s="14" t="s">
        <v>35</v>
      </c>
      <c r="W95" s="14" t="s">
        <v>175</v>
      </c>
      <c r="X95" s="14" t="s">
        <v>36</v>
      </c>
      <c r="Y95" s="14"/>
      <c r="Z95" s="14"/>
      <c r="AA95" s="15"/>
      <c r="AB95" s="16">
        <v>0.70833333333333337</v>
      </c>
    </row>
    <row r="96" spans="1:28" x14ac:dyDescent="0.3">
      <c r="A96" s="6" t="s">
        <v>326</v>
      </c>
      <c r="B96" s="7" t="s">
        <v>25</v>
      </c>
      <c r="C96" s="34" t="s">
        <v>327</v>
      </c>
      <c r="D96" s="33" t="s">
        <v>1775</v>
      </c>
      <c r="E96" s="6" t="s">
        <v>328</v>
      </c>
      <c r="F96" s="6" t="s">
        <v>329</v>
      </c>
      <c r="G96" s="6" t="s">
        <v>29</v>
      </c>
      <c r="H96" s="7">
        <v>1</v>
      </c>
      <c r="I96" s="6" t="s">
        <v>30</v>
      </c>
      <c r="J96" s="6" t="s">
        <v>31</v>
      </c>
      <c r="K96" s="6" t="s">
        <v>32</v>
      </c>
      <c r="L96" s="6" t="s">
        <v>1755</v>
      </c>
      <c r="M96" s="6" t="s">
        <v>33</v>
      </c>
      <c r="N96" s="10">
        <v>11</v>
      </c>
      <c r="O96" s="11">
        <v>2</v>
      </c>
      <c r="P96" s="12">
        <v>20</v>
      </c>
      <c r="Q96" s="13">
        <v>19.181763</v>
      </c>
      <c r="R96" s="13">
        <v>-99.490306000000004</v>
      </c>
      <c r="S96" s="14" t="s">
        <v>190</v>
      </c>
      <c r="T96" s="14"/>
      <c r="U96" s="14"/>
      <c r="V96" s="14"/>
      <c r="W96" s="14"/>
      <c r="X96" s="14"/>
      <c r="Y96" s="14"/>
      <c r="Z96" s="14"/>
      <c r="AA96" s="15"/>
      <c r="AB96" s="16">
        <v>8.3333333333333329E-2</v>
      </c>
    </row>
    <row r="97" spans="1:28" x14ac:dyDescent="0.3">
      <c r="A97" s="6" t="s">
        <v>330</v>
      </c>
      <c r="B97" s="7" t="s">
        <v>25</v>
      </c>
      <c r="C97" s="34" t="s">
        <v>327</v>
      </c>
      <c r="D97" s="33" t="s">
        <v>1775</v>
      </c>
      <c r="E97" s="6" t="s">
        <v>331</v>
      </c>
      <c r="F97" s="6" t="s">
        <v>332</v>
      </c>
      <c r="G97" s="6" t="s">
        <v>29</v>
      </c>
      <c r="H97" s="7">
        <v>1</v>
      </c>
      <c r="I97" s="6" t="s">
        <v>30</v>
      </c>
      <c r="J97" s="6" t="s">
        <v>31</v>
      </c>
      <c r="K97" s="6" t="s">
        <v>32</v>
      </c>
      <c r="L97" s="6" t="s">
        <v>1755</v>
      </c>
      <c r="M97" s="6" t="s">
        <v>33</v>
      </c>
      <c r="N97" s="10">
        <v>11</v>
      </c>
      <c r="O97" s="11">
        <v>2</v>
      </c>
      <c r="P97" s="12">
        <v>22</v>
      </c>
      <c r="Q97" s="13">
        <v>18.920839999999998</v>
      </c>
      <c r="R97" s="13">
        <v>-99.765491999999995</v>
      </c>
      <c r="S97" s="14" t="s">
        <v>190</v>
      </c>
      <c r="T97" s="14"/>
      <c r="U97" s="14"/>
      <c r="V97" s="14"/>
      <c r="W97" s="14"/>
      <c r="X97" s="14"/>
      <c r="Y97" s="14"/>
      <c r="Z97" s="14"/>
      <c r="AA97" s="15"/>
      <c r="AB97" s="16">
        <v>8.3333333333333329E-2</v>
      </c>
    </row>
    <row r="98" spans="1:28" x14ac:dyDescent="0.3">
      <c r="A98" s="6" t="s">
        <v>333</v>
      </c>
      <c r="B98" s="7" t="s">
        <v>25</v>
      </c>
      <c r="C98" s="34" t="s">
        <v>327</v>
      </c>
      <c r="D98" s="33" t="s">
        <v>1775</v>
      </c>
      <c r="E98" s="6" t="s">
        <v>334</v>
      </c>
      <c r="F98" s="6" t="s">
        <v>335</v>
      </c>
      <c r="G98" s="6" t="s">
        <v>29</v>
      </c>
      <c r="H98" s="7">
        <v>1</v>
      </c>
      <c r="I98" s="6" t="s">
        <v>30</v>
      </c>
      <c r="J98" s="6" t="s">
        <v>31</v>
      </c>
      <c r="K98" s="6" t="s">
        <v>32</v>
      </c>
      <c r="L98" s="6" t="s">
        <v>1755</v>
      </c>
      <c r="M98" s="6" t="s">
        <v>33</v>
      </c>
      <c r="N98" s="10">
        <v>11</v>
      </c>
      <c r="O98" s="11">
        <v>2</v>
      </c>
      <c r="P98" s="12">
        <v>30</v>
      </c>
      <c r="Q98" s="13">
        <v>19.828700000000001</v>
      </c>
      <c r="R98" s="13">
        <v>-99.230800000000002</v>
      </c>
      <c r="S98" s="14" t="s">
        <v>190</v>
      </c>
      <c r="T98" s="14"/>
      <c r="U98" s="14"/>
      <c r="V98" s="14"/>
      <c r="W98" s="14"/>
      <c r="X98" s="14"/>
      <c r="Y98" s="14"/>
      <c r="Z98" s="14"/>
      <c r="AA98" s="15"/>
      <c r="AB98" s="16">
        <v>8.3333333333333329E-2</v>
      </c>
    </row>
    <row r="99" spans="1:28" x14ac:dyDescent="0.3">
      <c r="A99" s="6" t="s">
        <v>336</v>
      </c>
      <c r="B99" s="7" t="s">
        <v>25</v>
      </c>
      <c r="C99" s="34" t="s">
        <v>327</v>
      </c>
      <c r="D99" s="33" t="s">
        <v>1775</v>
      </c>
      <c r="E99" s="6" t="s">
        <v>337</v>
      </c>
      <c r="F99" s="6" t="s">
        <v>338</v>
      </c>
      <c r="G99" s="6" t="s">
        <v>29</v>
      </c>
      <c r="H99" s="7">
        <v>1</v>
      </c>
      <c r="I99" s="6" t="s">
        <v>30</v>
      </c>
      <c r="J99" s="6" t="s">
        <v>31</v>
      </c>
      <c r="K99" s="6" t="s">
        <v>32</v>
      </c>
      <c r="L99" s="6" t="s">
        <v>1755</v>
      </c>
      <c r="M99" s="6" t="s">
        <v>33</v>
      </c>
      <c r="N99" s="10">
        <v>9</v>
      </c>
      <c r="O99" s="11">
        <v>2</v>
      </c>
      <c r="P99" s="12">
        <v>18</v>
      </c>
      <c r="Q99" s="13">
        <v>19.359231000000001</v>
      </c>
      <c r="R99" s="13">
        <v>-99.353081000000003</v>
      </c>
      <c r="S99" s="14" t="s">
        <v>190</v>
      </c>
      <c r="T99" s="14"/>
      <c r="U99" s="14"/>
      <c r="V99" s="14"/>
      <c r="W99" s="14"/>
      <c r="X99" s="14"/>
      <c r="Y99" s="14"/>
      <c r="Z99" s="14"/>
      <c r="AA99" s="15"/>
      <c r="AB99" s="16">
        <v>8.3333333333333329E-2</v>
      </c>
    </row>
    <row r="100" spans="1:28" x14ac:dyDescent="0.3">
      <c r="A100" s="6" t="s">
        <v>339</v>
      </c>
      <c r="B100" s="7" t="s">
        <v>25</v>
      </c>
      <c r="C100" s="34" t="s">
        <v>327</v>
      </c>
      <c r="D100" s="33" t="s">
        <v>1775</v>
      </c>
      <c r="E100" s="6" t="s">
        <v>340</v>
      </c>
      <c r="F100" s="6" t="s">
        <v>341</v>
      </c>
      <c r="G100" s="6" t="s">
        <v>29</v>
      </c>
      <c r="H100" s="7">
        <v>1</v>
      </c>
      <c r="I100" s="6" t="s">
        <v>30</v>
      </c>
      <c r="J100" s="6" t="s">
        <v>31</v>
      </c>
      <c r="K100" s="6" t="s">
        <v>32</v>
      </c>
      <c r="L100" s="6" t="s">
        <v>1755</v>
      </c>
      <c r="M100" s="6" t="s">
        <v>84</v>
      </c>
      <c r="N100" s="10">
        <v>6</v>
      </c>
      <c r="O100" s="11">
        <v>2</v>
      </c>
      <c r="P100" s="12">
        <v>25</v>
      </c>
      <c r="Q100" s="13">
        <v>19.1727001</v>
      </c>
      <c r="R100" s="13">
        <v>-99.418332300000003</v>
      </c>
      <c r="S100" s="14" t="s">
        <v>190</v>
      </c>
      <c r="T100" s="14"/>
      <c r="U100" s="14"/>
      <c r="V100" s="14"/>
      <c r="W100" s="14"/>
      <c r="X100" s="14"/>
      <c r="Y100" s="14"/>
      <c r="Z100" s="14"/>
      <c r="AA100" s="15"/>
      <c r="AB100" s="16">
        <v>8.3333333333333329E-2</v>
      </c>
    </row>
    <row r="101" spans="1:28" x14ac:dyDescent="0.3">
      <c r="A101" s="6" t="s">
        <v>342</v>
      </c>
      <c r="B101" s="7" t="s">
        <v>25</v>
      </c>
      <c r="C101" s="34" t="s">
        <v>327</v>
      </c>
      <c r="D101" s="33" t="s">
        <v>1775</v>
      </c>
      <c r="E101" s="6" t="s">
        <v>343</v>
      </c>
      <c r="F101" s="6" t="s">
        <v>344</v>
      </c>
      <c r="G101" s="6" t="s">
        <v>29</v>
      </c>
      <c r="H101" s="7">
        <v>1</v>
      </c>
      <c r="I101" s="6" t="s">
        <v>30</v>
      </c>
      <c r="J101" s="6" t="s">
        <v>31</v>
      </c>
      <c r="K101" s="6" t="s">
        <v>32</v>
      </c>
      <c r="L101" s="6" t="s">
        <v>1755</v>
      </c>
      <c r="M101" s="6" t="s">
        <v>33</v>
      </c>
      <c r="N101" s="10">
        <v>8</v>
      </c>
      <c r="O101" s="11">
        <v>2</v>
      </c>
      <c r="P101" s="12">
        <v>19</v>
      </c>
      <c r="Q101" s="13">
        <v>19.803249000000001</v>
      </c>
      <c r="R101" s="13">
        <v>-100.12938699999999</v>
      </c>
      <c r="S101" s="14" t="s">
        <v>190</v>
      </c>
      <c r="T101" s="14"/>
      <c r="U101" s="14"/>
      <c r="V101" s="14"/>
      <c r="W101" s="14"/>
      <c r="X101" s="14"/>
      <c r="Y101" s="14"/>
      <c r="Z101" s="14"/>
      <c r="AA101" s="15"/>
      <c r="AB101" s="16">
        <v>8.3333333333333329E-2</v>
      </c>
    </row>
    <row r="102" spans="1:28" x14ac:dyDescent="0.3">
      <c r="A102" s="6" t="s">
        <v>345</v>
      </c>
      <c r="B102" s="7" t="s">
        <v>25</v>
      </c>
      <c r="C102" s="34" t="s">
        <v>327</v>
      </c>
      <c r="D102" s="33" t="s">
        <v>1775</v>
      </c>
      <c r="E102" s="6" t="s">
        <v>346</v>
      </c>
      <c r="F102" s="6" t="s">
        <v>347</v>
      </c>
      <c r="G102" s="6" t="s">
        <v>29</v>
      </c>
      <c r="H102" s="7">
        <v>1</v>
      </c>
      <c r="I102" s="6" t="s">
        <v>30</v>
      </c>
      <c r="J102" s="6" t="s">
        <v>31</v>
      </c>
      <c r="K102" s="6" t="s">
        <v>32</v>
      </c>
      <c r="L102" s="6" t="s">
        <v>1755</v>
      </c>
      <c r="M102" s="6" t="s">
        <v>33</v>
      </c>
      <c r="N102" s="10">
        <v>9</v>
      </c>
      <c r="O102" s="11">
        <v>2</v>
      </c>
      <c r="P102" s="12">
        <v>26</v>
      </c>
      <c r="Q102" s="13">
        <v>19.702850000000002</v>
      </c>
      <c r="R102" s="13">
        <v>-98.763812999999999</v>
      </c>
      <c r="S102" s="14" t="s">
        <v>190</v>
      </c>
      <c r="T102" s="14"/>
      <c r="U102" s="14"/>
      <c r="V102" s="14"/>
      <c r="W102" s="14"/>
      <c r="X102" s="14"/>
      <c r="Y102" s="14"/>
      <c r="Z102" s="14"/>
      <c r="AA102" s="15"/>
      <c r="AB102" s="16">
        <v>8.3333333333333329E-2</v>
      </c>
    </row>
    <row r="103" spans="1:28" x14ac:dyDescent="0.3">
      <c r="A103" s="6" t="s">
        <v>348</v>
      </c>
      <c r="B103" s="7" t="s">
        <v>25</v>
      </c>
      <c r="C103" s="34" t="s">
        <v>327</v>
      </c>
      <c r="D103" s="33" t="s">
        <v>1775</v>
      </c>
      <c r="E103" s="6" t="s">
        <v>349</v>
      </c>
      <c r="F103" s="6" t="s">
        <v>350</v>
      </c>
      <c r="G103" s="6" t="s">
        <v>29</v>
      </c>
      <c r="H103" s="7">
        <v>1</v>
      </c>
      <c r="I103" s="6" t="s">
        <v>30</v>
      </c>
      <c r="J103" s="6" t="s">
        <v>31</v>
      </c>
      <c r="K103" s="6" t="s">
        <v>32</v>
      </c>
      <c r="L103" s="6" t="s">
        <v>1755</v>
      </c>
      <c r="M103" s="6" t="s">
        <v>33</v>
      </c>
      <c r="N103" s="10">
        <v>8</v>
      </c>
      <c r="O103" s="11">
        <v>2</v>
      </c>
      <c r="P103" s="12">
        <v>16</v>
      </c>
      <c r="Q103" s="13">
        <v>18.858986000000002</v>
      </c>
      <c r="R103" s="13">
        <v>-99.967138000000006</v>
      </c>
      <c r="S103" s="14" t="s">
        <v>190</v>
      </c>
      <c r="T103" s="14"/>
      <c r="U103" s="14"/>
      <c r="V103" s="14"/>
      <c r="W103" s="14"/>
      <c r="X103" s="14"/>
      <c r="Y103" s="14"/>
      <c r="Z103" s="14"/>
      <c r="AA103" s="15"/>
      <c r="AB103" s="16">
        <v>8.3333333333333329E-2</v>
      </c>
    </row>
    <row r="104" spans="1:28" x14ac:dyDescent="0.3">
      <c r="A104" s="6" t="s">
        <v>351</v>
      </c>
      <c r="B104" s="7" t="s">
        <v>25</v>
      </c>
      <c r="C104" s="34" t="s">
        <v>327</v>
      </c>
      <c r="D104" s="33" t="s">
        <v>1775</v>
      </c>
      <c r="E104" s="6" t="s">
        <v>352</v>
      </c>
      <c r="F104" s="6" t="s">
        <v>353</v>
      </c>
      <c r="G104" s="6" t="s">
        <v>29</v>
      </c>
      <c r="H104" s="7">
        <v>1</v>
      </c>
      <c r="I104" s="6" t="s">
        <v>30</v>
      </c>
      <c r="J104" s="6" t="s">
        <v>31</v>
      </c>
      <c r="K104" s="6" t="s">
        <v>32</v>
      </c>
      <c r="L104" s="6" t="s">
        <v>1755</v>
      </c>
      <c r="M104" s="6" t="s">
        <v>33</v>
      </c>
      <c r="N104" s="10">
        <v>10</v>
      </c>
      <c r="O104" s="11">
        <v>2</v>
      </c>
      <c r="P104" s="12">
        <v>24</v>
      </c>
      <c r="Q104" s="13">
        <v>19.103750000000002</v>
      </c>
      <c r="R104" s="13">
        <v>-99.584969999999998</v>
      </c>
      <c r="S104" s="14" t="s">
        <v>190</v>
      </c>
      <c r="T104" s="14"/>
      <c r="U104" s="14"/>
      <c r="V104" s="14"/>
      <c r="W104" s="14"/>
      <c r="X104" s="14"/>
      <c r="Y104" s="14"/>
      <c r="Z104" s="14"/>
      <c r="AA104" s="15"/>
      <c r="AB104" s="16">
        <v>8.3333333333333329E-2</v>
      </c>
    </row>
    <row r="105" spans="1:28" x14ac:dyDescent="0.3">
      <c r="A105" s="6" t="s">
        <v>354</v>
      </c>
      <c r="B105" s="7" t="s">
        <v>25</v>
      </c>
      <c r="C105" s="34" t="s">
        <v>327</v>
      </c>
      <c r="D105" s="33" t="s">
        <v>1775</v>
      </c>
      <c r="E105" s="6" t="s">
        <v>355</v>
      </c>
      <c r="F105" s="6" t="s">
        <v>356</v>
      </c>
      <c r="G105" s="6" t="s">
        <v>29</v>
      </c>
      <c r="H105" s="7">
        <v>1</v>
      </c>
      <c r="I105" s="6" t="s">
        <v>30</v>
      </c>
      <c r="J105" s="6" t="s">
        <v>31</v>
      </c>
      <c r="K105" s="6" t="s">
        <v>32</v>
      </c>
      <c r="L105" s="6" t="s">
        <v>1755</v>
      </c>
      <c r="M105" s="6" t="s">
        <v>33</v>
      </c>
      <c r="N105" s="10">
        <v>7</v>
      </c>
      <c r="O105" s="11">
        <v>2</v>
      </c>
      <c r="P105" s="12">
        <v>43</v>
      </c>
      <c r="Q105" s="13">
        <v>19.029802</v>
      </c>
      <c r="R105" s="13">
        <v>-98.817108000000005</v>
      </c>
      <c r="S105" s="14" t="s">
        <v>190</v>
      </c>
      <c r="T105" s="14"/>
      <c r="U105" s="14"/>
      <c r="V105" s="14"/>
      <c r="W105" s="14"/>
      <c r="X105" s="14"/>
      <c r="Y105" s="14"/>
      <c r="Z105" s="14"/>
      <c r="AA105" s="15"/>
      <c r="AB105" s="16">
        <v>8.3333333333333329E-2</v>
      </c>
    </row>
    <row r="106" spans="1:28" x14ac:dyDescent="0.3">
      <c r="A106" s="6" t="s">
        <v>357</v>
      </c>
      <c r="B106" s="7" t="s">
        <v>25</v>
      </c>
      <c r="C106" s="34" t="s">
        <v>327</v>
      </c>
      <c r="D106" s="33" t="s">
        <v>1775</v>
      </c>
      <c r="E106" s="6" t="s">
        <v>358</v>
      </c>
      <c r="F106" s="6" t="s">
        <v>359</v>
      </c>
      <c r="G106" s="6" t="s">
        <v>29</v>
      </c>
      <c r="H106" s="7">
        <v>1</v>
      </c>
      <c r="I106" s="6" t="s">
        <v>30</v>
      </c>
      <c r="J106" s="6" t="s">
        <v>31</v>
      </c>
      <c r="K106" s="6" t="s">
        <v>32</v>
      </c>
      <c r="L106" s="6" t="s">
        <v>1755</v>
      </c>
      <c r="M106" s="6" t="s">
        <v>84</v>
      </c>
      <c r="N106" s="10">
        <v>8</v>
      </c>
      <c r="O106" s="11">
        <v>2</v>
      </c>
      <c r="P106" s="12">
        <v>22</v>
      </c>
      <c r="Q106" s="13">
        <v>18.925802999999998</v>
      </c>
      <c r="R106" s="13">
        <v>-99.942142000000004</v>
      </c>
      <c r="S106" s="14" t="s">
        <v>190</v>
      </c>
      <c r="T106" s="14"/>
      <c r="U106" s="14"/>
      <c r="V106" s="14"/>
      <c r="W106" s="14"/>
      <c r="X106" s="14"/>
      <c r="Y106" s="14"/>
      <c r="Z106" s="14"/>
      <c r="AA106" s="15"/>
      <c r="AB106" s="16">
        <v>8.3333333333333329E-2</v>
      </c>
    </row>
    <row r="107" spans="1:28" x14ac:dyDescent="0.3">
      <c r="A107" s="6" t="s">
        <v>360</v>
      </c>
      <c r="B107" s="7" t="s">
        <v>25</v>
      </c>
      <c r="C107" s="34" t="s">
        <v>327</v>
      </c>
      <c r="D107" s="33" t="s">
        <v>1775</v>
      </c>
      <c r="E107" s="6" t="s">
        <v>361</v>
      </c>
      <c r="F107" s="6" t="s">
        <v>362</v>
      </c>
      <c r="G107" s="6" t="s">
        <v>29</v>
      </c>
      <c r="H107" s="7">
        <v>1</v>
      </c>
      <c r="I107" s="6" t="s">
        <v>30</v>
      </c>
      <c r="J107" s="6" t="s">
        <v>31</v>
      </c>
      <c r="K107" s="6" t="s">
        <v>32</v>
      </c>
      <c r="L107" s="6" t="s">
        <v>1755</v>
      </c>
      <c r="M107" s="6" t="s">
        <v>33</v>
      </c>
      <c r="N107" s="10">
        <v>8</v>
      </c>
      <c r="O107" s="11">
        <v>2</v>
      </c>
      <c r="P107" s="12">
        <v>30</v>
      </c>
      <c r="Q107" s="13">
        <v>18.571224999999998</v>
      </c>
      <c r="R107" s="13">
        <v>-100.31328000000001</v>
      </c>
      <c r="S107" s="14" t="s">
        <v>190</v>
      </c>
      <c r="T107" s="14"/>
      <c r="U107" s="14"/>
      <c r="V107" s="14"/>
      <c r="W107" s="14"/>
      <c r="X107" s="14"/>
      <c r="Y107" s="14"/>
      <c r="Z107" s="14"/>
      <c r="AA107" s="15"/>
      <c r="AB107" s="16">
        <v>8.3333333333333329E-2</v>
      </c>
    </row>
    <row r="108" spans="1:28" x14ac:dyDescent="0.3">
      <c r="A108" s="6" t="s">
        <v>363</v>
      </c>
      <c r="B108" s="7" t="s">
        <v>25</v>
      </c>
      <c r="C108" s="34" t="s">
        <v>327</v>
      </c>
      <c r="D108" s="33" t="s">
        <v>1775</v>
      </c>
      <c r="E108" s="6" t="s">
        <v>364</v>
      </c>
      <c r="F108" s="6" t="s">
        <v>365</v>
      </c>
      <c r="G108" s="6" t="s">
        <v>29</v>
      </c>
      <c r="H108" s="7">
        <v>1</v>
      </c>
      <c r="I108" s="6" t="s">
        <v>30</v>
      </c>
      <c r="J108" s="6" t="s">
        <v>31</v>
      </c>
      <c r="K108" s="6" t="s">
        <v>32</v>
      </c>
      <c r="L108" s="6" t="s">
        <v>1755</v>
      </c>
      <c r="M108" s="6" t="s">
        <v>33</v>
      </c>
      <c r="N108" s="10">
        <v>7</v>
      </c>
      <c r="O108" s="11">
        <v>2</v>
      </c>
      <c r="P108" s="12">
        <v>16</v>
      </c>
      <c r="Q108" s="13">
        <v>18.957221000000001</v>
      </c>
      <c r="R108" s="13">
        <v>-99.640535</v>
      </c>
      <c r="S108" s="14" t="s">
        <v>190</v>
      </c>
      <c r="T108" s="14"/>
      <c r="U108" s="14"/>
      <c r="V108" s="14"/>
      <c r="W108" s="14"/>
      <c r="X108" s="14"/>
      <c r="Y108" s="14"/>
      <c r="Z108" s="14"/>
      <c r="AA108" s="15"/>
      <c r="AB108" s="16">
        <v>8.3333333333333329E-2</v>
      </c>
    </row>
    <row r="109" spans="1:28" x14ac:dyDescent="0.3">
      <c r="A109" s="6" t="s">
        <v>366</v>
      </c>
      <c r="B109" s="7" t="s">
        <v>25</v>
      </c>
      <c r="C109" s="34" t="s">
        <v>327</v>
      </c>
      <c r="D109" s="33" t="s">
        <v>1775</v>
      </c>
      <c r="E109" s="6" t="s">
        <v>367</v>
      </c>
      <c r="F109" s="6" t="s">
        <v>368</v>
      </c>
      <c r="G109" s="6" t="s">
        <v>29</v>
      </c>
      <c r="H109" s="7">
        <v>1</v>
      </c>
      <c r="I109" s="6" t="s">
        <v>30</v>
      </c>
      <c r="J109" s="6" t="s">
        <v>31</v>
      </c>
      <c r="K109" s="6" t="s">
        <v>32</v>
      </c>
      <c r="L109" s="6" t="s">
        <v>1755</v>
      </c>
      <c r="M109" s="6" t="s">
        <v>33</v>
      </c>
      <c r="N109" s="10">
        <v>11</v>
      </c>
      <c r="O109" s="11">
        <v>2</v>
      </c>
      <c r="P109" s="12">
        <v>24</v>
      </c>
      <c r="Q109" s="13">
        <v>19.440958999999999</v>
      </c>
      <c r="R109" s="13">
        <v>-99.996043</v>
      </c>
      <c r="S109" s="14" t="s">
        <v>190</v>
      </c>
      <c r="T109" s="14"/>
      <c r="U109" s="14"/>
      <c r="V109" s="14"/>
      <c r="W109" s="14"/>
      <c r="X109" s="14"/>
      <c r="Y109" s="14"/>
      <c r="Z109" s="14"/>
      <c r="AA109" s="15"/>
      <c r="AB109" s="16">
        <v>8.3333333333333329E-2</v>
      </c>
    </row>
    <row r="110" spans="1:28" x14ac:dyDescent="0.3">
      <c r="A110" s="6" t="s">
        <v>369</v>
      </c>
      <c r="B110" s="7" t="s">
        <v>25</v>
      </c>
      <c r="C110" s="34" t="s">
        <v>327</v>
      </c>
      <c r="D110" s="33" t="s">
        <v>1775</v>
      </c>
      <c r="E110" s="6" t="s">
        <v>370</v>
      </c>
      <c r="F110" s="6" t="s">
        <v>371</v>
      </c>
      <c r="G110" s="6" t="s">
        <v>29</v>
      </c>
      <c r="H110" s="7">
        <v>1</v>
      </c>
      <c r="I110" s="6" t="s">
        <v>30</v>
      </c>
      <c r="J110" s="6" t="s">
        <v>31</v>
      </c>
      <c r="K110" s="6" t="s">
        <v>32</v>
      </c>
      <c r="L110" s="6" t="s">
        <v>1755</v>
      </c>
      <c r="M110" s="6" t="s">
        <v>33</v>
      </c>
      <c r="N110" s="10">
        <v>9</v>
      </c>
      <c r="O110" s="11">
        <v>2</v>
      </c>
      <c r="P110" s="12">
        <v>25</v>
      </c>
      <c r="Q110" s="13">
        <v>19.815152999999999</v>
      </c>
      <c r="R110" s="13">
        <v>-99.135655</v>
      </c>
      <c r="S110" s="14" t="s">
        <v>190</v>
      </c>
      <c r="T110" s="14"/>
      <c r="U110" s="14"/>
      <c r="V110" s="14"/>
      <c r="W110" s="14"/>
      <c r="X110" s="14"/>
      <c r="Y110" s="14"/>
      <c r="Z110" s="14"/>
      <c r="AA110" s="15"/>
      <c r="AB110" s="16">
        <v>8.3333333333333329E-2</v>
      </c>
    </row>
    <row r="111" spans="1:28" x14ac:dyDescent="0.3">
      <c r="A111" s="6" t="s">
        <v>372</v>
      </c>
      <c r="B111" s="7" t="s">
        <v>25</v>
      </c>
      <c r="C111" s="34" t="s">
        <v>327</v>
      </c>
      <c r="D111" s="33" t="s">
        <v>1775</v>
      </c>
      <c r="E111" s="6" t="s">
        <v>373</v>
      </c>
      <c r="F111" s="6" t="s">
        <v>374</v>
      </c>
      <c r="G111" s="6" t="s">
        <v>29</v>
      </c>
      <c r="H111" s="7">
        <v>1</v>
      </c>
      <c r="I111" s="6" t="s">
        <v>30</v>
      </c>
      <c r="J111" s="6" t="s">
        <v>31</v>
      </c>
      <c r="K111" s="6" t="s">
        <v>32</v>
      </c>
      <c r="L111" s="6" t="s">
        <v>1755</v>
      </c>
      <c r="M111" s="6" t="s">
        <v>33</v>
      </c>
      <c r="N111" s="10">
        <v>10</v>
      </c>
      <c r="O111" s="11">
        <v>2</v>
      </c>
      <c r="P111" s="12">
        <v>33</v>
      </c>
      <c r="Q111" s="13">
        <v>18.921659999999999</v>
      </c>
      <c r="R111" s="13">
        <v>-100.29931000000001</v>
      </c>
      <c r="S111" s="14" t="s">
        <v>190</v>
      </c>
      <c r="T111" s="14"/>
      <c r="U111" s="14"/>
      <c r="V111" s="14"/>
      <c r="W111" s="14"/>
      <c r="X111" s="14"/>
      <c r="Y111" s="14"/>
      <c r="Z111" s="14"/>
      <c r="AA111" s="15"/>
      <c r="AB111" s="16">
        <v>8.3333333333333329E-2</v>
      </c>
    </row>
    <row r="112" spans="1:28" x14ac:dyDescent="0.3">
      <c r="A112" s="6" t="s">
        <v>375</v>
      </c>
      <c r="B112" s="7" t="s">
        <v>25</v>
      </c>
      <c r="C112" s="34" t="s">
        <v>327</v>
      </c>
      <c r="D112" s="33" t="s">
        <v>1775</v>
      </c>
      <c r="E112" s="6" t="s">
        <v>376</v>
      </c>
      <c r="F112" s="6" t="s">
        <v>377</v>
      </c>
      <c r="G112" s="6" t="s">
        <v>29</v>
      </c>
      <c r="H112" s="7">
        <v>1</v>
      </c>
      <c r="I112" s="6" t="s">
        <v>30</v>
      </c>
      <c r="J112" s="6" t="s">
        <v>31</v>
      </c>
      <c r="K112" s="6" t="s">
        <v>32</v>
      </c>
      <c r="L112" s="6" t="s">
        <v>1755</v>
      </c>
      <c r="M112" s="6" t="s">
        <v>84</v>
      </c>
      <c r="N112" s="10">
        <v>6</v>
      </c>
      <c r="O112" s="11">
        <v>0</v>
      </c>
      <c r="P112" s="12">
        <v>37</v>
      </c>
      <c r="Q112" s="13">
        <v>19.746403000000001</v>
      </c>
      <c r="R112" s="13">
        <v>-98.971474999999998</v>
      </c>
      <c r="S112" s="14" t="s">
        <v>190</v>
      </c>
      <c r="T112" s="14"/>
      <c r="U112" s="14"/>
      <c r="V112" s="14"/>
      <c r="W112" s="14"/>
      <c r="X112" s="14"/>
      <c r="Y112" s="14"/>
      <c r="Z112" s="14"/>
      <c r="AA112" s="15"/>
      <c r="AB112" s="16">
        <v>8.3333333333333329E-2</v>
      </c>
    </row>
    <row r="113" spans="1:28" x14ac:dyDescent="0.3">
      <c r="A113" s="6" t="s">
        <v>378</v>
      </c>
      <c r="B113" s="7" t="s">
        <v>25</v>
      </c>
      <c r="C113" s="34" t="s">
        <v>327</v>
      </c>
      <c r="D113" s="33" t="s">
        <v>1775</v>
      </c>
      <c r="E113" s="6" t="s">
        <v>379</v>
      </c>
      <c r="F113" s="6" t="s">
        <v>380</v>
      </c>
      <c r="G113" s="6" t="s">
        <v>29</v>
      </c>
      <c r="H113" s="7">
        <v>1</v>
      </c>
      <c r="I113" s="6" t="s">
        <v>30</v>
      </c>
      <c r="J113" s="6" t="s">
        <v>31</v>
      </c>
      <c r="K113" s="6" t="s">
        <v>32</v>
      </c>
      <c r="L113" s="6" t="s">
        <v>1755</v>
      </c>
      <c r="M113" s="6" t="s">
        <v>33</v>
      </c>
      <c r="N113" s="10">
        <v>7</v>
      </c>
      <c r="O113" s="11">
        <v>2</v>
      </c>
      <c r="P113" s="12">
        <v>28</v>
      </c>
      <c r="Q113" s="13">
        <v>19.9436158</v>
      </c>
      <c r="R113" s="13">
        <v>-99.868368399999994</v>
      </c>
      <c r="S113" s="14" t="s">
        <v>190</v>
      </c>
      <c r="T113" s="14"/>
      <c r="U113" s="14"/>
      <c r="V113" s="14"/>
      <c r="W113" s="14"/>
      <c r="X113" s="14"/>
      <c r="Y113" s="14"/>
      <c r="Z113" s="14"/>
      <c r="AA113" s="15"/>
      <c r="AB113" s="16">
        <v>8.3333333333333329E-2</v>
      </c>
    </row>
    <row r="114" spans="1:28" x14ac:dyDescent="0.3">
      <c r="A114" s="6" t="s">
        <v>381</v>
      </c>
      <c r="B114" s="7" t="s">
        <v>25</v>
      </c>
      <c r="C114" s="34" t="s">
        <v>327</v>
      </c>
      <c r="D114" s="33" t="s">
        <v>1775</v>
      </c>
      <c r="E114" s="6" t="s">
        <v>382</v>
      </c>
      <c r="F114" s="6" t="s">
        <v>383</v>
      </c>
      <c r="G114" s="6" t="s">
        <v>29</v>
      </c>
      <c r="H114" s="7">
        <v>1</v>
      </c>
      <c r="I114" s="6" t="s">
        <v>30</v>
      </c>
      <c r="J114" s="6" t="s">
        <v>31</v>
      </c>
      <c r="K114" s="6" t="s">
        <v>32</v>
      </c>
      <c r="L114" s="6" t="s">
        <v>1755</v>
      </c>
      <c r="M114" s="6" t="s">
        <v>84</v>
      </c>
      <c r="N114" s="10">
        <v>6</v>
      </c>
      <c r="O114" s="11">
        <v>2</v>
      </c>
      <c r="P114" s="12">
        <v>31</v>
      </c>
      <c r="Q114" s="13">
        <v>19.467863000000001</v>
      </c>
      <c r="R114" s="13">
        <v>-99.605931999999996</v>
      </c>
      <c r="S114" s="14" t="s">
        <v>190</v>
      </c>
      <c r="T114" s="14"/>
      <c r="U114" s="14"/>
      <c r="V114" s="14"/>
      <c r="W114" s="14"/>
      <c r="X114" s="14"/>
      <c r="Y114" s="14"/>
      <c r="Z114" s="14"/>
      <c r="AA114" s="15"/>
      <c r="AB114" s="16">
        <v>8.3333333333333329E-2</v>
      </c>
    </row>
    <row r="115" spans="1:28" x14ac:dyDescent="0.3">
      <c r="A115" s="6" t="s">
        <v>384</v>
      </c>
      <c r="B115" s="7" t="s">
        <v>25</v>
      </c>
      <c r="C115" s="34" t="s">
        <v>327</v>
      </c>
      <c r="D115" s="33" t="s">
        <v>1775</v>
      </c>
      <c r="E115" s="6" t="s">
        <v>385</v>
      </c>
      <c r="F115" s="6" t="s">
        <v>386</v>
      </c>
      <c r="G115" s="6" t="s">
        <v>29</v>
      </c>
      <c r="H115" s="7">
        <v>1</v>
      </c>
      <c r="I115" s="6" t="s">
        <v>30</v>
      </c>
      <c r="J115" s="6" t="s">
        <v>31</v>
      </c>
      <c r="K115" s="6" t="s">
        <v>32</v>
      </c>
      <c r="L115" s="6" t="s">
        <v>1755</v>
      </c>
      <c r="M115" s="6" t="s">
        <v>33</v>
      </c>
      <c r="N115" s="10">
        <v>6</v>
      </c>
      <c r="O115" s="11">
        <v>2</v>
      </c>
      <c r="P115" s="12">
        <v>22</v>
      </c>
      <c r="Q115" s="13">
        <v>18.720703</v>
      </c>
      <c r="R115" s="13">
        <v>-99.781158000000005</v>
      </c>
      <c r="S115" s="14" t="s">
        <v>190</v>
      </c>
      <c r="T115" s="14"/>
      <c r="U115" s="14"/>
      <c r="V115" s="14"/>
      <c r="W115" s="14"/>
      <c r="X115" s="14"/>
      <c r="Y115" s="14"/>
      <c r="Z115" s="14"/>
      <c r="AA115" s="15"/>
      <c r="AB115" s="16">
        <v>8.3333333333333329E-2</v>
      </c>
    </row>
    <row r="116" spans="1:28" x14ac:dyDescent="0.3">
      <c r="A116" s="6" t="s">
        <v>387</v>
      </c>
      <c r="B116" s="7" t="s">
        <v>25</v>
      </c>
      <c r="C116" s="34" t="s">
        <v>327</v>
      </c>
      <c r="D116" s="33" t="s">
        <v>1775</v>
      </c>
      <c r="E116" s="6" t="s">
        <v>388</v>
      </c>
      <c r="F116" s="6" t="s">
        <v>389</v>
      </c>
      <c r="G116" s="6" t="s">
        <v>29</v>
      </c>
      <c r="H116" s="7">
        <v>1</v>
      </c>
      <c r="I116" s="6" t="s">
        <v>30</v>
      </c>
      <c r="J116" s="6" t="s">
        <v>31</v>
      </c>
      <c r="K116" s="6" t="s">
        <v>32</v>
      </c>
      <c r="L116" s="6" t="s">
        <v>1755</v>
      </c>
      <c r="M116" s="6" t="s">
        <v>33</v>
      </c>
      <c r="N116" s="10">
        <v>11</v>
      </c>
      <c r="O116" s="11">
        <v>2</v>
      </c>
      <c r="P116" s="12">
        <v>38</v>
      </c>
      <c r="Q116" s="13">
        <v>19.326934999999999</v>
      </c>
      <c r="R116" s="13">
        <v>-99.476313000000005</v>
      </c>
      <c r="S116" s="14" t="s">
        <v>190</v>
      </c>
      <c r="T116" s="14"/>
      <c r="U116" s="14"/>
      <c r="V116" s="14"/>
      <c r="W116" s="14"/>
      <c r="X116" s="14"/>
      <c r="Y116" s="14"/>
      <c r="Z116" s="14"/>
      <c r="AA116" s="15"/>
      <c r="AB116" s="16">
        <v>8.3333333333333329E-2</v>
      </c>
    </row>
    <row r="117" spans="1:28" x14ac:dyDescent="0.3">
      <c r="A117" s="6" t="s">
        <v>390</v>
      </c>
      <c r="B117" s="7" t="s">
        <v>25</v>
      </c>
      <c r="C117" s="34" t="s">
        <v>327</v>
      </c>
      <c r="D117" s="33" t="s">
        <v>1775</v>
      </c>
      <c r="E117" s="6" t="s">
        <v>391</v>
      </c>
      <c r="F117" s="6" t="s">
        <v>392</v>
      </c>
      <c r="G117" s="6" t="s">
        <v>29</v>
      </c>
      <c r="H117" s="7">
        <v>1</v>
      </c>
      <c r="I117" s="6" t="s">
        <v>30</v>
      </c>
      <c r="J117" s="6" t="s">
        <v>31</v>
      </c>
      <c r="K117" s="6" t="s">
        <v>32</v>
      </c>
      <c r="L117" s="6" t="s">
        <v>1755</v>
      </c>
      <c r="M117" s="6" t="s">
        <v>33</v>
      </c>
      <c r="N117" s="10">
        <v>10</v>
      </c>
      <c r="O117" s="11">
        <v>2</v>
      </c>
      <c r="P117" s="12">
        <v>37</v>
      </c>
      <c r="Q117" s="13">
        <v>19.728026</v>
      </c>
      <c r="R117" s="13">
        <v>-99.479425000000006</v>
      </c>
      <c r="S117" s="14" t="s">
        <v>190</v>
      </c>
      <c r="T117" s="14"/>
      <c r="U117" s="14"/>
      <c r="V117" s="14"/>
      <c r="W117" s="14"/>
      <c r="X117" s="14"/>
      <c r="Y117" s="14"/>
      <c r="Z117" s="14"/>
      <c r="AA117" s="15"/>
      <c r="AB117" s="16">
        <v>8.3333333333333329E-2</v>
      </c>
    </row>
    <row r="118" spans="1:28" x14ac:dyDescent="0.3">
      <c r="A118" s="6" t="s">
        <v>393</v>
      </c>
      <c r="B118" s="7" t="s">
        <v>25</v>
      </c>
      <c r="C118" s="34" t="s">
        <v>327</v>
      </c>
      <c r="D118" s="33" t="s">
        <v>1775</v>
      </c>
      <c r="E118" s="6" t="s">
        <v>394</v>
      </c>
      <c r="F118" s="6" t="s">
        <v>395</v>
      </c>
      <c r="G118" s="6" t="s">
        <v>29</v>
      </c>
      <c r="H118" s="7">
        <v>1</v>
      </c>
      <c r="I118" s="6" t="s">
        <v>30</v>
      </c>
      <c r="J118" s="6" t="s">
        <v>31</v>
      </c>
      <c r="K118" s="6" t="s">
        <v>32</v>
      </c>
      <c r="L118" s="6" t="s">
        <v>1755</v>
      </c>
      <c r="M118" s="6" t="s">
        <v>84</v>
      </c>
      <c r="N118" s="10">
        <v>11</v>
      </c>
      <c r="O118" s="11">
        <v>3</v>
      </c>
      <c r="P118" s="12">
        <v>52</v>
      </c>
      <c r="Q118" s="13">
        <v>19.543561</v>
      </c>
      <c r="R118" s="13">
        <v>-98.897240999999994</v>
      </c>
      <c r="S118" s="14" t="s">
        <v>190</v>
      </c>
      <c r="T118" s="14"/>
      <c r="U118" s="14"/>
      <c r="V118" s="14"/>
      <c r="W118" s="14"/>
      <c r="X118" s="14"/>
      <c r="Y118" s="14"/>
      <c r="Z118" s="14"/>
      <c r="AA118" s="15"/>
      <c r="AB118" s="16">
        <v>8.3333333333333329E-2</v>
      </c>
    </row>
    <row r="119" spans="1:28" x14ac:dyDescent="0.3">
      <c r="A119" s="6" t="s">
        <v>396</v>
      </c>
      <c r="B119" s="7" t="s">
        <v>25</v>
      </c>
      <c r="C119" s="34" t="s">
        <v>327</v>
      </c>
      <c r="D119" s="33" t="s">
        <v>1775</v>
      </c>
      <c r="E119" s="6" t="s">
        <v>397</v>
      </c>
      <c r="F119" s="6" t="s">
        <v>398</v>
      </c>
      <c r="G119" s="6" t="s">
        <v>29</v>
      </c>
      <c r="H119" s="7">
        <v>1</v>
      </c>
      <c r="I119" s="6" t="s">
        <v>30</v>
      </c>
      <c r="J119" s="6" t="s">
        <v>31</v>
      </c>
      <c r="K119" s="6" t="s">
        <v>32</v>
      </c>
      <c r="L119" s="6" t="s">
        <v>1755</v>
      </c>
      <c r="M119" s="6" t="s">
        <v>33</v>
      </c>
      <c r="N119" s="10">
        <v>6</v>
      </c>
      <c r="O119" s="11">
        <v>2</v>
      </c>
      <c r="P119" s="12">
        <v>31</v>
      </c>
      <c r="Q119" s="13">
        <v>18.947174</v>
      </c>
      <c r="R119" s="13">
        <v>-99.491534000000001</v>
      </c>
      <c r="S119" s="14" t="s">
        <v>190</v>
      </c>
      <c r="T119" s="14"/>
      <c r="U119" s="14"/>
      <c r="V119" s="14"/>
      <c r="W119" s="14"/>
      <c r="X119" s="14"/>
      <c r="Y119" s="14"/>
      <c r="Z119" s="14"/>
      <c r="AA119" s="15"/>
      <c r="AB119" s="16">
        <v>8.3333333333333329E-2</v>
      </c>
    </row>
    <row r="120" spans="1:28" x14ac:dyDescent="0.3">
      <c r="A120" s="6" t="s">
        <v>399</v>
      </c>
      <c r="B120" s="7" t="s">
        <v>25</v>
      </c>
      <c r="C120" s="34" t="s">
        <v>327</v>
      </c>
      <c r="D120" s="33" t="s">
        <v>1775</v>
      </c>
      <c r="E120" s="6" t="s">
        <v>400</v>
      </c>
      <c r="F120" s="6" t="s">
        <v>401</v>
      </c>
      <c r="G120" s="6" t="s">
        <v>29</v>
      </c>
      <c r="H120" s="7">
        <v>1</v>
      </c>
      <c r="I120" s="6" t="s">
        <v>30</v>
      </c>
      <c r="J120" s="6" t="s">
        <v>31</v>
      </c>
      <c r="K120" s="6" t="s">
        <v>32</v>
      </c>
      <c r="L120" s="6" t="s">
        <v>1755</v>
      </c>
      <c r="M120" s="6" t="s">
        <v>33</v>
      </c>
      <c r="N120" s="10">
        <v>7</v>
      </c>
      <c r="O120" s="11">
        <v>3</v>
      </c>
      <c r="P120" s="12">
        <v>28</v>
      </c>
      <c r="Q120" s="13">
        <v>19.306515999999998</v>
      </c>
      <c r="R120" s="13">
        <v>-98.859460100000007</v>
      </c>
      <c r="S120" s="14" t="s">
        <v>190</v>
      </c>
      <c r="T120" s="14"/>
      <c r="U120" s="14"/>
      <c r="V120" s="14"/>
      <c r="W120" s="14"/>
      <c r="X120" s="14"/>
      <c r="Y120" s="14"/>
      <c r="Z120" s="14"/>
      <c r="AA120" s="15"/>
      <c r="AB120" s="16">
        <v>8.3333333333333329E-2</v>
      </c>
    </row>
    <row r="121" spans="1:28" x14ac:dyDescent="0.3">
      <c r="A121" s="6" t="s">
        <v>402</v>
      </c>
      <c r="B121" s="7" t="s">
        <v>25</v>
      </c>
      <c r="C121" s="34" t="s">
        <v>327</v>
      </c>
      <c r="D121" s="33" t="s">
        <v>1775</v>
      </c>
      <c r="E121" s="6" t="s">
        <v>403</v>
      </c>
      <c r="F121" s="6" t="s">
        <v>404</v>
      </c>
      <c r="G121" s="6" t="s">
        <v>29</v>
      </c>
      <c r="H121" s="7">
        <v>1</v>
      </c>
      <c r="I121" s="6" t="s">
        <v>30</v>
      </c>
      <c r="J121" s="6" t="s">
        <v>31</v>
      </c>
      <c r="K121" s="6" t="s">
        <v>32</v>
      </c>
      <c r="L121" s="6" t="s">
        <v>1755</v>
      </c>
      <c r="M121" s="6" t="s">
        <v>33</v>
      </c>
      <c r="N121" s="10">
        <v>6</v>
      </c>
      <c r="O121" s="11">
        <v>2</v>
      </c>
      <c r="P121" s="12">
        <v>14</v>
      </c>
      <c r="Q121" s="13">
        <v>19.421738999999999</v>
      </c>
      <c r="R121" s="13">
        <v>-99.556623999999999</v>
      </c>
      <c r="S121" s="14" t="s">
        <v>190</v>
      </c>
      <c r="T121" s="14"/>
      <c r="U121" s="14"/>
      <c r="V121" s="14"/>
      <c r="W121" s="14"/>
      <c r="X121" s="14"/>
      <c r="Y121" s="14"/>
      <c r="Z121" s="14"/>
      <c r="AA121" s="15"/>
      <c r="AB121" s="16">
        <v>8.3333333333333329E-2</v>
      </c>
    </row>
    <row r="122" spans="1:28" x14ac:dyDescent="0.3">
      <c r="A122" s="6" t="s">
        <v>405</v>
      </c>
      <c r="B122" s="7" t="s">
        <v>25</v>
      </c>
      <c r="C122" s="34" t="s">
        <v>327</v>
      </c>
      <c r="D122" s="33" t="s">
        <v>1775</v>
      </c>
      <c r="E122" s="6" t="s">
        <v>406</v>
      </c>
      <c r="F122" s="6" t="s">
        <v>407</v>
      </c>
      <c r="G122" s="6" t="s">
        <v>29</v>
      </c>
      <c r="H122" s="7">
        <v>1</v>
      </c>
      <c r="I122" s="6" t="s">
        <v>30</v>
      </c>
      <c r="J122" s="6" t="s">
        <v>31</v>
      </c>
      <c r="K122" s="6" t="s">
        <v>32</v>
      </c>
      <c r="L122" s="6" t="s">
        <v>1755</v>
      </c>
      <c r="M122" s="6" t="s">
        <v>33</v>
      </c>
      <c r="N122" s="10">
        <v>13</v>
      </c>
      <c r="O122" s="11">
        <v>2</v>
      </c>
      <c r="P122" s="12">
        <v>36</v>
      </c>
      <c r="Q122" s="13">
        <v>19.390063999999999</v>
      </c>
      <c r="R122" s="13">
        <v>-99.542540700000004</v>
      </c>
      <c r="S122" s="14" t="s">
        <v>190</v>
      </c>
      <c r="T122" s="14"/>
      <c r="U122" s="14"/>
      <c r="V122" s="14"/>
      <c r="W122" s="14"/>
      <c r="X122" s="14"/>
      <c r="Y122" s="14"/>
      <c r="Z122" s="14"/>
      <c r="AA122" s="15"/>
      <c r="AB122" s="16">
        <v>8.3333333333333329E-2</v>
      </c>
    </row>
    <row r="123" spans="1:28" x14ac:dyDescent="0.3">
      <c r="A123" s="6" t="s">
        <v>408</v>
      </c>
      <c r="B123" s="7" t="s">
        <v>25</v>
      </c>
      <c r="C123" s="34" t="s">
        <v>327</v>
      </c>
      <c r="D123" s="33" t="s">
        <v>1775</v>
      </c>
      <c r="E123" s="6" t="s">
        <v>409</v>
      </c>
      <c r="F123" s="6" t="s">
        <v>410</v>
      </c>
      <c r="G123" s="6" t="s">
        <v>29</v>
      </c>
      <c r="H123" s="7">
        <v>1</v>
      </c>
      <c r="I123" s="6" t="s">
        <v>30</v>
      </c>
      <c r="J123" s="6" t="s">
        <v>31</v>
      </c>
      <c r="K123" s="6" t="s">
        <v>32</v>
      </c>
      <c r="L123" s="6" t="s">
        <v>1755</v>
      </c>
      <c r="M123" s="6" t="s">
        <v>84</v>
      </c>
      <c r="N123" s="10">
        <v>9</v>
      </c>
      <c r="O123" s="11">
        <v>2</v>
      </c>
      <c r="P123" s="12">
        <v>34</v>
      </c>
      <c r="Q123" s="13">
        <v>19.051632000000001</v>
      </c>
      <c r="R123" s="13">
        <v>-100.020031</v>
      </c>
      <c r="S123" s="14" t="s">
        <v>190</v>
      </c>
      <c r="T123" s="14"/>
      <c r="U123" s="14"/>
      <c r="V123" s="14"/>
      <c r="W123" s="14"/>
      <c r="X123" s="14"/>
      <c r="Y123" s="14"/>
      <c r="Z123" s="14"/>
      <c r="AA123" s="15"/>
      <c r="AB123" s="16">
        <v>8.3333333333333329E-2</v>
      </c>
    </row>
    <row r="124" spans="1:28" x14ac:dyDescent="0.3">
      <c r="A124" s="6" t="s">
        <v>411</v>
      </c>
      <c r="B124" s="7" t="s">
        <v>25</v>
      </c>
      <c r="C124" s="34" t="s">
        <v>327</v>
      </c>
      <c r="D124" s="33" t="s">
        <v>1775</v>
      </c>
      <c r="E124" s="6" t="s">
        <v>412</v>
      </c>
      <c r="F124" s="6" t="s">
        <v>413</v>
      </c>
      <c r="G124" s="6" t="s">
        <v>29</v>
      </c>
      <c r="H124" s="7">
        <v>1</v>
      </c>
      <c r="I124" s="6" t="s">
        <v>30</v>
      </c>
      <c r="J124" s="6" t="s">
        <v>31</v>
      </c>
      <c r="K124" s="6" t="s">
        <v>32</v>
      </c>
      <c r="L124" s="6" t="s">
        <v>1755</v>
      </c>
      <c r="M124" s="6" t="s">
        <v>84</v>
      </c>
      <c r="N124" s="10">
        <v>10</v>
      </c>
      <c r="O124" s="11">
        <v>2</v>
      </c>
      <c r="P124" s="12">
        <v>47</v>
      </c>
      <c r="Q124" s="13">
        <v>19.567789000000001</v>
      </c>
      <c r="R124" s="13">
        <v>-99.630523999999994</v>
      </c>
      <c r="S124" s="14" t="s">
        <v>190</v>
      </c>
      <c r="T124" s="14"/>
      <c r="U124" s="14"/>
      <c r="V124" s="14"/>
      <c r="W124" s="14"/>
      <c r="X124" s="14"/>
      <c r="Y124" s="14"/>
      <c r="Z124" s="14"/>
      <c r="AA124" s="15"/>
      <c r="AB124" s="16">
        <v>8.3333333333333329E-2</v>
      </c>
    </row>
    <row r="125" spans="1:28" x14ac:dyDescent="0.3">
      <c r="A125" s="6" t="s">
        <v>414</v>
      </c>
      <c r="B125" s="7" t="s">
        <v>25</v>
      </c>
      <c r="C125" s="34" t="s">
        <v>327</v>
      </c>
      <c r="D125" s="33" t="s">
        <v>1775</v>
      </c>
      <c r="E125" s="6" t="s">
        <v>415</v>
      </c>
      <c r="F125" s="6" t="s">
        <v>416</v>
      </c>
      <c r="G125" s="6" t="s">
        <v>29</v>
      </c>
      <c r="H125" s="7">
        <v>1</v>
      </c>
      <c r="I125" s="6" t="s">
        <v>30</v>
      </c>
      <c r="J125" s="6" t="s">
        <v>31</v>
      </c>
      <c r="K125" s="6" t="s">
        <v>32</v>
      </c>
      <c r="L125" s="6" t="s">
        <v>1755</v>
      </c>
      <c r="M125" s="6" t="s">
        <v>84</v>
      </c>
      <c r="N125" s="10">
        <v>10</v>
      </c>
      <c r="O125" s="11">
        <v>2</v>
      </c>
      <c r="P125" s="12">
        <v>45</v>
      </c>
      <c r="Q125" s="13">
        <v>19.639880099999999</v>
      </c>
      <c r="R125" s="13">
        <v>-99.377540100000004</v>
      </c>
      <c r="S125" s="14" t="s">
        <v>190</v>
      </c>
      <c r="T125" s="14"/>
      <c r="U125" s="14"/>
      <c r="V125" s="14"/>
      <c r="W125" s="14"/>
      <c r="X125" s="14"/>
      <c r="Y125" s="14"/>
      <c r="Z125" s="14"/>
      <c r="AA125" s="15"/>
      <c r="AB125" s="16">
        <v>8.3333333333333329E-2</v>
      </c>
    </row>
    <row r="126" spans="1:28" x14ac:dyDescent="0.3">
      <c r="A126" s="6" t="s">
        <v>417</v>
      </c>
      <c r="B126" s="7" t="s">
        <v>25</v>
      </c>
      <c r="C126" s="34" t="s">
        <v>418</v>
      </c>
      <c r="D126" s="33" t="s">
        <v>1775</v>
      </c>
      <c r="E126" s="6" t="s">
        <v>419</v>
      </c>
      <c r="F126" s="6" t="s">
        <v>420</v>
      </c>
      <c r="G126" s="6" t="s">
        <v>29</v>
      </c>
      <c r="H126" s="7">
        <v>1</v>
      </c>
      <c r="I126" s="6" t="s">
        <v>30</v>
      </c>
      <c r="J126" s="6" t="s">
        <v>31</v>
      </c>
      <c r="K126" s="6" t="s">
        <v>32</v>
      </c>
      <c r="L126" s="6" t="s">
        <v>1755</v>
      </c>
      <c r="M126" s="6" t="s">
        <v>33</v>
      </c>
      <c r="N126" s="10">
        <v>6</v>
      </c>
      <c r="O126" s="11">
        <v>1</v>
      </c>
      <c r="P126" s="12">
        <v>20</v>
      </c>
      <c r="Q126" s="13">
        <v>18.357019999999999</v>
      </c>
      <c r="R126" s="13">
        <v>-102.289435</v>
      </c>
      <c r="S126" s="14" t="s">
        <v>190</v>
      </c>
      <c r="T126" s="14"/>
      <c r="U126" s="14"/>
      <c r="V126" s="14"/>
      <c r="W126" s="14"/>
      <c r="X126" s="14"/>
      <c r="Y126" s="14"/>
      <c r="Z126" s="14"/>
      <c r="AA126" s="15"/>
      <c r="AB126" s="16">
        <v>8.3333333333333329E-2</v>
      </c>
    </row>
    <row r="127" spans="1:28" x14ac:dyDescent="0.3">
      <c r="A127" s="6" t="s">
        <v>421</v>
      </c>
      <c r="B127" s="7" t="s">
        <v>25</v>
      </c>
      <c r="C127" s="34" t="s">
        <v>418</v>
      </c>
      <c r="D127" s="33" t="s">
        <v>1775</v>
      </c>
      <c r="E127" s="6" t="s">
        <v>422</v>
      </c>
      <c r="F127" s="6" t="s">
        <v>423</v>
      </c>
      <c r="G127" s="6" t="s">
        <v>29</v>
      </c>
      <c r="H127" s="7">
        <v>1</v>
      </c>
      <c r="I127" s="6" t="s">
        <v>30</v>
      </c>
      <c r="J127" s="6" t="s">
        <v>31</v>
      </c>
      <c r="K127" s="6" t="s">
        <v>32</v>
      </c>
      <c r="L127" s="6" t="s">
        <v>1755</v>
      </c>
      <c r="M127" s="6" t="s">
        <v>33</v>
      </c>
      <c r="N127" s="10">
        <v>9</v>
      </c>
      <c r="O127" s="11">
        <v>1</v>
      </c>
      <c r="P127" s="12">
        <v>18</v>
      </c>
      <c r="Q127" s="13">
        <v>18.703586000000001</v>
      </c>
      <c r="R127" s="13">
        <v>-103.663438</v>
      </c>
      <c r="S127" s="14" t="s">
        <v>190</v>
      </c>
      <c r="T127" s="14"/>
      <c r="U127" s="14"/>
      <c r="V127" s="14"/>
      <c r="W127" s="14"/>
      <c r="X127" s="14"/>
      <c r="Y127" s="14"/>
      <c r="Z127" s="14"/>
      <c r="AA127" s="15"/>
      <c r="AB127" s="16">
        <v>8.3333333333333329E-2</v>
      </c>
    </row>
    <row r="128" spans="1:28" x14ac:dyDescent="0.3">
      <c r="A128" s="6" t="s">
        <v>424</v>
      </c>
      <c r="B128" s="7" t="s">
        <v>25</v>
      </c>
      <c r="C128" s="34" t="s">
        <v>418</v>
      </c>
      <c r="D128" s="33" t="s">
        <v>1775</v>
      </c>
      <c r="E128" s="6" t="s">
        <v>425</v>
      </c>
      <c r="F128" s="6" t="s">
        <v>426</v>
      </c>
      <c r="G128" s="6" t="s">
        <v>29</v>
      </c>
      <c r="H128" s="7">
        <v>1</v>
      </c>
      <c r="I128" s="6" t="s">
        <v>30</v>
      </c>
      <c r="J128" s="6" t="s">
        <v>31</v>
      </c>
      <c r="K128" s="6" t="s">
        <v>32</v>
      </c>
      <c r="L128" s="6" t="s">
        <v>1755</v>
      </c>
      <c r="M128" s="6" t="s">
        <v>33</v>
      </c>
      <c r="N128" s="10">
        <v>12</v>
      </c>
      <c r="O128" s="11">
        <v>2</v>
      </c>
      <c r="P128" s="12">
        <v>31</v>
      </c>
      <c r="Q128" s="13">
        <v>19.029256199999999</v>
      </c>
      <c r="R128" s="13">
        <v>-102.08839500000001</v>
      </c>
      <c r="S128" s="14" t="s">
        <v>190</v>
      </c>
      <c r="T128" s="14"/>
      <c r="U128" s="14"/>
      <c r="V128" s="14"/>
      <c r="W128" s="14"/>
      <c r="X128" s="14"/>
      <c r="Y128" s="14"/>
      <c r="Z128" s="14"/>
      <c r="AA128" s="15"/>
      <c r="AB128" s="16">
        <v>8.3333333333333329E-2</v>
      </c>
    </row>
    <row r="129" spans="1:28" x14ac:dyDescent="0.3">
      <c r="A129" s="6" t="s">
        <v>427</v>
      </c>
      <c r="B129" s="7" t="s">
        <v>25</v>
      </c>
      <c r="C129" s="34" t="s">
        <v>418</v>
      </c>
      <c r="D129" s="33" t="s">
        <v>1775</v>
      </c>
      <c r="E129" s="6" t="s">
        <v>428</v>
      </c>
      <c r="F129" s="6" t="s">
        <v>429</v>
      </c>
      <c r="G129" s="6" t="s">
        <v>29</v>
      </c>
      <c r="H129" s="7">
        <v>1</v>
      </c>
      <c r="I129" s="6" t="s">
        <v>30</v>
      </c>
      <c r="J129" s="6" t="s">
        <v>31</v>
      </c>
      <c r="K129" s="6" t="s">
        <v>32</v>
      </c>
      <c r="L129" s="6" t="s">
        <v>1755</v>
      </c>
      <c r="M129" s="6" t="s">
        <v>33</v>
      </c>
      <c r="N129" s="10">
        <v>12</v>
      </c>
      <c r="O129" s="11">
        <v>3</v>
      </c>
      <c r="P129" s="12">
        <v>37</v>
      </c>
      <c r="Q129" s="13">
        <v>19.234168</v>
      </c>
      <c r="R129" s="13">
        <v>-100.551917</v>
      </c>
      <c r="S129" s="14" t="s">
        <v>190</v>
      </c>
      <c r="T129" s="14"/>
      <c r="U129" s="14"/>
      <c r="V129" s="14"/>
      <c r="W129" s="14"/>
      <c r="X129" s="14"/>
      <c r="Y129" s="14"/>
      <c r="Z129" s="14"/>
      <c r="AA129" s="15"/>
      <c r="AB129" s="16">
        <v>8.3333333333333329E-2</v>
      </c>
    </row>
    <row r="130" spans="1:28" x14ac:dyDescent="0.3">
      <c r="A130" s="6" t="s">
        <v>430</v>
      </c>
      <c r="B130" s="7" t="s">
        <v>25</v>
      </c>
      <c r="C130" s="34" t="s">
        <v>418</v>
      </c>
      <c r="D130" s="33" t="s">
        <v>1775</v>
      </c>
      <c r="E130" s="6" t="s">
        <v>431</v>
      </c>
      <c r="F130" s="6" t="s">
        <v>432</v>
      </c>
      <c r="G130" s="6" t="s">
        <v>29</v>
      </c>
      <c r="H130" s="7">
        <v>1</v>
      </c>
      <c r="I130" s="6" t="s">
        <v>30</v>
      </c>
      <c r="J130" s="6" t="s">
        <v>31</v>
      </c>
      <c r="K130" s="6" t="s">
        <v>32</v>
      </c>
      <c r="L130" s="6" t="s">
        <v>1755</v>
      </c>
      <c r="M130" s="6" t="s">
        <v>33</v>
      </c>
      <c r="N130" s="10">
        <v>12</v>
      </c>
      <c r="O130" s="11">
        <v>2</v>
      </c>
      <c r="P130" s="12">
        <v>28</v>
      </c>
      <c r="Q130" s="13">
        <v>19.037299999999998</v>
      </c>
      <c r="R130" s="13">
        <v>-101.139718</v>
      </c>
      <c r="S130" s="14" t="s">
        <v>190</v>
      </c>
      <c r="T130" s="14"/>
      <c r="U130" s="14"/>
      <c r="V130" s="14"/>
      <c r="W130" s="14"/>
      <c r="X130" s="14"/>
      <c r="Y130" s="14"/>
      <c r="Z130" s="14"/>
      <c r="AA130" s="15"/>
      <c r="AB130" s="16">
        <v>8.3333333333333329E-2</v>
      </c>
    </row>
    <row r="131" spans="1:28" x14ac:dyDescent="0.3">
      <c r="A131" s="6" t="s">
        <v>433</v>
      </c>
      <c r="B131" s="7" t="s">
        <v>25</v>
      </c>
      <c r="C131" s="34" t="s">
        <v>418</v>
      </c>
      <c r="D131" s="33" t="s">
        <v>1775</v>
      </c>
      <c r="E131" s="6" t="s">
        <v>434</v>
      </c>
      <c r="F131" s="6" t="s">
        <v>435</v>
      </c>
      <c r="G131" s="6" t="s">
        <v>29</v>
      </c>
      <c r="H131" s="7">
        <v>1</v>
      </c>
      <c r="I131" s="6" t="s">
        <v>30</v>
      </c>
      <c r="J131" s="6" t="s">
        <v>31</v>
      </c>
      <c r="K131" s="6" t="s">
        <v>32</v>
      </c>
      <c r="L131" s="6" t="s">
        <v>1755</v>
      </c>
      <c r="M131" s="6" t="s">
        <v>33</v>
      </c>
      <c r="N131" s="10">
        <v>12</v>
      </c>
      <c r="O131" s="11">
        <v>2</v>
      </c>
      <c r="P131" s="12">
        <v>28</v>
      </c>
      <c r="Q131" s="13">
        <v>18.950931000000001</v>
      </c>
      <c r="R131" s="13">
        <v>-101.819063</v>
      </c>
      <c r="S131" s="14" t="s">
        <v>190</v>
      </c>
      <c r="T131" s="14"/>
      <c r="U131" s="14"/>
      <c r="V131" s="14"/>
      <c r="W131" s="14"/>
      <c r="X131" s="14"/>
      <c r="Y131" s="14"/>
      <c r="Z131" s="14"/>
      <c r="AA131" s="15"/>
      <c r="AB131" s="16">
        <v>8.3333333333333329E-2</v>
      </c>
    </row>
    <row r="132" spans="1:28" x14ac:dyDescent="0.3">
      <c r="A132" s="6" t="s">
        <v>436</v>
      </c>
      <c r="B132" s="7" t="s">
        <v>25</v>
      </c>
      <c r="C132" s="34" t="s">
        <v>418</v>
      </c>
      <c r="D132" s="33" t="s">
        <v>1775</v>
      </c>
      <c r="E132" s="6" t="s">
        <v>437</v>
      </c>
      <c r="F132" s="6" t="s">
        <v>438</v>
      </c>
      <c r="G132" s="6" t="s">
        <v>29</v>
      </c>
      <c r="H132" s="7">
        <v>1</v>
      </c>
      <c r="I132" s="6" t="s">
        <v>30</v>
      </c>
      <c r="J132" s="6" t="s">
        <v>31</v>
      </c>
      <c r="K132" s="6" t="s">
        <v>32</v>
      </c>
      <c r="L132" s="6" t="s">
        <v>1755</v>
      </c>
      <c r="M132" s="6" t="s">
        <v>84</v>
      </c>
      <c r="N132" s="10">
        <v>22</v>
      </c>
      <c r="O132" s="11">
        <v>3</v>
      </c>
      <c r="P132" s="12">
        <v>45</v>
      </c>
      <c r="Q132" s="13">
        <v>18.273816499999999</v>
      </c>
      <c r="R132" s="13">
        <v>-103.341942</v>
      </c>
      <c r="S132" s="14" t="s">
        <v>190</v>
      </c>
      <c r="T132" s="14"/>
      <c r="U132" s="14"/>
      <c r="V132" s="14"/>
      <c r="W132" s="14"/>
      <c r="X132" s="14"/>
      <c r="Y132" s="14"/>
      <c r="Z132" s="14"/>
      <c r="AA132" s="15"/>
      <c r="AB132" s="16">
        <v>8.3333333333333329E-2</v>
      </c>
    </row>
    <row r="133" spans="1:28" x14ac:dyDescent="0.3">
      <c r="A133" s="6" t="s">
        <v>439</v>
      </c>
      <c r="B133" s="7" t="s">
        <v>25</v>
      </c>
      <c r="C133" s="34" t="s">
        <v>440</v>
      </c>
      <c r="D133" s="33" t="s">
        <v>1775</v>
      </c>
      <c r="E133" s="6" t="s">
        <v>441</v>
      </c>
      <c r="F133" s="6" t="s">
        <v>442</v>
      </c>
      <c r="G133" s="6" t="s">
        <v>29</v>
      </c>
      <c r="H133" s="7">
        <v>1</v>
      </c>
      <c r="I133" s="6" t="s">
        <v>30</v>
      </c>
      <c r="J133" s="6" t="s">
        <v>31</v>
      </c>
      <c r="K133" s="6" t="s">
        <v>32</v>
      </c>
      <c r="L133" s="6" t="s">
        <v>1755</v>
      </c>
      <c r="M133" s="6" t="s">
        <v>33</v>
      </c>
      <c r="N133" s="10">
        <v>8</v>
      </c>
      <c r="O133" s="11">
        <v>2</v>
      </c>
      <c r="P133" s="12">
        <v>21</v>
      </c>
      <c r="Q133" s="13">
        <v>18.615729999999999</v>
      </c>
      <c r="R133" s="13">
        <v>-99.32647</v>
      </c>
      <c r="S133" s="14" t="s">
        <v>190</v>
      </c>
      <c r="T133" s="14"/>
      <c r="U133" s="14"/>
      <c r="V133" s="14"/>
      <c r="W133" s="14"/>
      <c r="X133" s="14"/>
      <c r="Y133" s="14"/>
      <c r="Z133" s="14"/>
      <c r="AA133" s="15"/>
      <c r="AB133" s="16">
        <v>8.3333333333333329E-2</v>
      </c>
    </row>
    <row r="134" spans="1:28" x14ac:dyDescent="0.3">
      <c r="A134" s="6" t="s">
        <v>1758</v>
      </c>
      <c r="B134" s="7" t="s">
        <v>25</v>
      </c>
      <c r="C134" s="34" t="s">
        <v>440</v>
      </c>
      <c r="D134" s="33" t="s">
        <v>1775</v>
      </c>
      <c r="E134" s="6" t="s">
        <v>1768</v>
      </c>
      <c r="F134" s="6" t="s">
        <v>1751</v>
      </c>
      <c r="G134" s="6" t="s">
        <v>29</v>
      </c>
      <c r="H134" s="7">
        <v>1</v>
      </c>
      <c r="I134" s="32" t="s">
        <v>30</v>
      </c>
      <c r="J134" s="6" t="s">
        <v>31</v>
      </c>
      <c r="K134" s="6" t="s">
        <v>32</v>
      </c>
      <c r="L134" s="6" t="s">
        <v>1755</v>
      </c>
      <c r="M134" s="6" t="s">
        <v>33</v>
      </c>
      <c r="N134" s="10"/>
      <c r="O134" s="11"/>
      <c r="P134" s="12"/>
      <c r="Q134" s="13" t="s">
        <v>1769</v>
      </c>
      <c r="R134" s="13" t="s">
        <v>1770</v>
      </c>
      <c r="S134" s="14" t="s">
        <v>34</v>
      </c>
      <c r="T134" s="14" t="s">
        <v>35</v>
      </c>
      <c r="U134" s="14" t="s">
        <v>35</v>
      </c>
      <c r="V134" s="14" t="s">
        <v>35</v>
      </c>
      <c r="W134" s="14" t="s">
        <v>35</v>
      </c>
      <c r="X134" s="14" t="s">
        <v>36</v>
      </c>
      <c r="Y134" s="14" t="s">
        <v>74</v>
      </c>
      <c r="Z134" s="14" t="s">
        <v>74</v>
      </c>
      <c r="AA134" s="15"/>
      <c r="AB134" s="16">
        <v>0.75</v>
      </c>
    </row>
    <row r="135" spans="1:28" x14ac:dyDescent="0.3">
      <c r="A135" s="6" t="s">
        <v>443</v>
      </c>
      <c r="B135" s="7" t="s">
        <v>25</v>
      </c>
      <c r="C135" s="34" t="s">
        <v>440</v>
      </c>
      <c r="D135" s="33" t="s">
        <v>1775</v>
      </c>
      <c r="E135" s="6" t="s">
        <v>444</v>
      </c>
      <c r="F135" s="6" t="s">
        <v>445</v>
      </c>
      <c r="G135" s="6" t="s">
        <v>29</v>
      </c>
      <c r="H135" s="7">
        <v>1</v>
      </c>
      <c r="I135" s="6" t="s">
        <v>30</v>
      </c>
      <c r="J135" s="6" t="s">
        <v>31</v>
      </c>
      <c r="K135" s="6" t="s">
        <v>32</v>
      </c>
      <c r="L135" s="6" t="s">
        <v>1755</v>
      </c>
      <c r="M135" s="6" t="s">
        <v>33</v>
      </c>
      <c r="N135" s="10">
        <v>10</v>
      </c>
      <c r="O135" s="11">
        <v>3</v>
      </c>
      <c r="P135" s="12">
        <v>51</v>
      </c>
      <c r="Q135" s="13">
        <v>18.881989799999999</v>
      </c>
      <c r="R135" s="13">
        <v>-98.784947299999999</v>
      </c>
      <c r="S135" s="14" t="s">
        <v>190</v>
      </c>
      <c r="T135" s="14"/>
      <c r="U135" s="14"/>
      <c r="V135" s="14"/>
      <c r="W135" s="14"/>
      <c r="X135" s="14"/>
      <c r="Y135" s="14"/>
      <c r="Z135" s="14"/>
      <c r="AA135" s="15"/>
      <c r="AB135" s="16">
        <v>8.3333333333333329E-2</v>
      </c>
    </row>
    <row r="136" spans="1:28" x14ac:dyDescent="0.3">
      <c r="A136" s="6" t="s">
        <v>446</v>
      </c>
      <c r="B136" s="7" t="s">
        <v>25</v>
      </c>
      <c r="C136" s="34" t="s">
        <v>440</v>
      </c>
      <c r="D136" s="33" t="s">
        <v>1775</v>
      </c>
      <c r="E136" s="6" t="s">
        <v>447</v>
      </c>
      <c r="F136" s="6" t="s">
        <v>448</v>
      </c>
      <c r="G136" s="6" t="s">
        <v>29</v>
      </c>
      <c r="H136" s="7">
        <v>1</v>
      </c>
      <c r="I136" s="6" t="s">
        <v>30</v>
      </c>
      <c r="J136" s="6" t="s">
        <v>31</v>
      </c>
      <c r="K136" s="6" t="s">
        <v>32</v>
      </c>
      <c r="L136" s="6" t="s">
        <v>1755</v>
      </c>
      <c r="M136" s="6" t="s">
        <v>33</v>
      </c>
      <c r="N136" s="10">
        <v>9</v>
      </c>
      <c r="O136" s="11">
        <v>2</v>
      </c>
      <c r="P136" s="12">
        <v>28</v>
      </c>
      <c r="Q136" s="13">
        <v>18.670223700000001</v>
      </c>
      <c r="R136" s="13">
        <v>-98.8065608</v>
      </c>
      <c r="S136" s="14" t="s">
        <v>190</v>
      </c>
      <c r="T136" s="14"/>
      <c r="U136" s="14"/>
      <c r="V136" s="14"/>
      <c r="W136" s="14"/>
      <c r="X136" s="14"/>
      <c r="Y136" s="14"/>
      <c r="Z136" s="14"/>
      <c r="AA136" s="15"/>
      <c r="AB136" s="16">
        <v>8.3333333333333329E-2</v>
      </c>
    </row>
    <row r="137" spans="1:28" x14ac:dyDescent="0.3">
      <c r="A137" s="6" t="s">
        <v>449</v>
      </c>
      <c r="B137" s="7" t="s">
        <v>25</v>
      </c>
      <c r="C137" s="34" t="s">
        <v>450</v>
      </c>
      <c r="D137" s="33" t="s">
        <v>1775</v>
      </c>
      <c r="E137" s="6" t="s">
        <v>451</v>
      </c>
      <c r="F137" s="6" t="s">
        <v>452</v>
      </c>
      <c r="G137" s="6" t="s">
        <v>29</v>
      </c>
      <c r="H137" s="7">
        <v>1</v>
      </c>
      <c r="I137" s="6" t="s">
        <v>30</v>
      </c>
      <c r="J137" s="6" t="s">
        <v>31</v>
      </c>
      <c r="K137" s="6" t="s">
        <v>32</v>
      </c>
      <c r="L137" s="6" t="s">
        <v>1755</v>
      </c>
      <c r="M137" s="6" t="s">
        <v>33</v>
      </c>
      <c r="N137" s="10">
        <v>14</v>
      </c>
      <c r="O137" s="11">
        <v>2</v>
      </c>
      <c r="P137" s="12">
        <v>21</v>
      </c>
      <c r="Q137" s="13">
        <v>22.4898682</v>
      </c>
      <c r="R137" s="13">
        <v>-105.3677335</v>
      </c>
      <c r="S137" s="14" t="s">
        <v>190</v>
      </c>
      <c r="T137" s="14"/>
      <c r="U137" s="14"/>
      <c r="V137" s="14"/>
      <c r="W137" s="14"/>
      <c r="X137" s="14"/>
      <c r="Y137" s="14"/>
      <c r="Z137" s="14"/>
      <c r="AA137" s="15"/>
      <c r="AB137" s="16">
        <v>8.3333333333333329E-2</v>
      </c>
    </row>
    <row r="138" spans="1:28" x14ac:dyDescent="0.3">
      <c r="A138" s="6" t="s">
        <v>453</v>
      </c>
      <c r="B138" s="7" t="s">
        <v>25</v>
      </c>
      <c r="C138" s="34" t="s">
        <v>450</v>
      </c>
      <c r="D138" s="33" t="s">
        <v>1775</v>
      </c>
      <c r="E138" s="6" t="s">
        <v>454</v>
      </c>
      <c r="F138" s="6" t="s">
        <v>455</v>
      </c>
      <c r="G138" s="6" t="s">
        <v>29</v>
      </c>
      <c r="H138" s="7">
        <v>1</v>
      </c>
      <c r="I138" s="6" t="s">
        <v>30</v>
      </c>
      <c r="J138" s="6" t="s">
        <v>31</v>
      </c>
      <c r="K138" s="6" t="s">
        <v>32</v>
      </c>
      <c r="L138" s="6" t="s">
        <v>1755</v>
      </c>
      <c r="M138" s="6" t="s">
        <v>33</v>
      </c>
      <c r="N138" s="10">
        <v>14</v>
      </c>
      <c r="O138" s="11">
        <v>2</v>
      </c>
      <c r="P138" s="12">
        <v>38</v>
      </c>
      <c r="Q138" s="13">
        <v>21.0370861</v>
      </c>
      <c r="R138" s="13">
        <v>-104.3780574</v>
      </c>
      <c r="S138" s="14" t="s">
        <v>190</v>
      </c>
      <c r="T138" s="14"/>
      <c r="U138" s="14"/>
      <c r="V138" s="14"/>
      <c r="W138" s="14"/>
      <c r="X138" s="14"/>
      <c r="Y138" s="14"/>
      <c r="Z138" s="14"/>
      <c r="AA138" s="15"/>
      <c r="AB138" s="16">
        <v>8.3333333333333329E-2</v>
      </c>
    </row>
    <row r="139" spans="1:28" x14ac:dyDescent="0.3">
      <c r="A139" s="6" t="s">
        <v>456</v>
      </c>
      <c r="B139" s="7" t="s">
        <v>25</v>
      </c>
      <c r="C139" s="34" t="s">
        <v>450</v>
      </c>
      <c r="D139" s="33" t="s">
        <v>1775</v>
      </c>
      <c r="E139" s="6" t="s">
        <v>457</v>
      </c>
      <c r="F139" s="6" t="s">
        <v>458</v>
      </c>
      <c r="G139" s="6" t="s">
        <v>29</v>
      </c>
      <c r="H139" s="7">
        <v>1</v>
      </c>
      <c r="I139" s="6" t="s">
        <v>30</v>
      </c>
      <c r="J139" s="6" t="s">
        <v>31</v>
      </c>
      <c r="K139" s="6" t="s">
        <v>32</v>
      </c>
      <c r="L139" s="6" t="s">
        <v>1755</v>
      </c>
      <c r="M139" s="6" t="s">
        <v>33</v>
      </c>
      <c r="N139" s="10">
        <v>10</v>
      </c>
      <c r="O139" s="11">
        <v>2</v>
      </c>
      <c r="P139" s="12">
        <v>39</v>
      </c>
      <c r="Q139" s="13">
        <v>22.256481999999998</v>
      </c>
      <c r="R139" s="13">
        <v>-104.5171004</v>
      </c>
      <c r="S139" s="14" t="s">
        <v>190</v>
      </c>
      <c r="T139" s="14"/>
      <c r="U139" s="14"/>
      <c r="V139" s="14"/>
      <c r="W139" s="14"/>
      <c r="X139" s="14"/>
      <c r="Y139" s="14"/>
      <c r="Z139" s="14"/>
      <c r="AA139" s="15"/>
      <c r="AB139" s="16">
        <v>8.3333333333333329E-2</v>
      </c>
    </row>
    <row r="140" spans="1:28" x14ac:dyDescent="0.3">
      <c r="A140" s="6" t="s">
        <v>459</v>
      </c>
      <c r="B140" s="7" t="s">
        <v>25</v>
      </c>
      <c r="C140" s="34" t="s">
        <v>450</v>
      </c>
      <c r="D140" s="33" t="s">
        <v>1775</v>
      </c>
      <c r="E140" s="6" t="s">
        <v>460</v>
      </c>
      <c r="F140" s="6" t="s">
        <v>461</v>
      </c>
      <c r="G140" s="6" t="s">
        <v>29</v>
      </c>
      <c r="H140" s="7">
        <v>1</v>
      </c>
      <c r="I140" s="6" t="s">
        <v>30</v>
      </c>
      <c r="J140" s="6" t="s">
        <v>31</v>
      </c>
      <c r="K140" s="6" t="s">
        <v>32</v>
      </c>
      <c r="L140" s="6" t="s">
        <v>1755</v>
      </c>
      <c r="M140" s="6" t="s">
        <v>84</v>
      </c>
      <c r="N140" s="10">
        <v>9</v>
      </c>
      <c r="O140" s="11">
        <v>2</v>
      </c>
      <c r="P140" s="12">
        <v>17</v>
      </c>
      <c r="Q140" s="13">
        <v>21.697759000000001</v>
      </c>
      <c r="R140" s="13">
        <v>-104.08296</v>
      </c>
      <c r="S140" s="14" t="s">
        <v>190</v>
      </c>
      <c r="T140" s="14"/>
      <c r="U140" s="14"/>
      <c r="V140" s="14"/>
      <c r="W140" s="14"/>
      <c r="X140" s="14"/>
      <c r="Y140" s="14"/>
      <c r="Z140" s="14"/>
      <c r="AA140" s="15"/>
      <c r="AB140" s="16">
        <v>8.3333333333333329E-2</v>
      </c>
    </row>
    <row r="141" spans="1:28" x14ac:dyDescent="0.3">
      <c r="A141" s="6" t="s">
        <v>462</v>
      </c>
      <c r="B141" s="7" t="s">
        <v>25</v>
      </c>
      <c r="C141" s="34" t="s">
        <v>450</v>
      </c>
      <c r="D141" s="33" t="s">
        <v>1775</v>
      </c>
      <c r="E141" s="6" t="s">
        <v>463</v>
      </c>
      <c r="F141" s="6" t="s">
        <v>464</v>
      </c>
      <c r="G141" s="6" t="s">
        <v>29</v>
      </c>
      <c r="H141" s="7">
        <v>1</v>
      </c>
      <c r="I141" s="6" t="s">
        <v>30</v>
      </c>
      <c r="J141" s="6" t="s">
        <v>31</v>
      </c>
      <c r="K141" s="6" t="s">
        <v>32</v>
      </c>
      <c r="L141" s="6" t="s">
        <v>1755</v>
      </c>
      <c r="M141" s="6" t="s">
        <v>84</v>
      </c>
      <c r="N141" s="10">
        <v>10</v>
      </c>
      <c r="O141" s="11">
        <v>2</v>
      </c>
      <c r="P141" s="12">
        <v>23</v>
      </c>
      <c r="Q141" s="13">
        <v>20.746101100000001</v>
      </c>
      <c r="R141" s="13">
        <v>-105.29866920000001</v>
      </c>
      <c r="S141" s="14" t="s">
        <v>190</v>
      </c>
      <c r="T141" s="14"/>
      <c r="U141" s="14"/>
      <c r="V141" s="14"/>
      <c r="W141" s="14"/>
      <c r="X141" s="14"/>
      <c r="Y141" s="14"/>
      <c r="Z141" s="14"/>
      <c r="AA141" s="15"/>
      <c r="AB141" s="16">
        <v>8.3333333333333329E-2</v>
      </c>
    </row>
    <row r="142" spans="1:28" x14ac:dyDescent="0.3">
      <c r="A142" s="6" t="s">
        <v>465</v>
      </c>
      <c r="B142" s="7" t="s">
        <v>25</v>
      </c>
      <c r="C142" s="34" t="s">
        <v>450</v>
      </c>
      <c r="D142" s="33" t="s">
        <v>1775</v>
      </c>
      <c r="E142" s="6" t="s">
        <v>466</v>
      </c>
      <c r="F142" s="6" t="s">
        <v>467</v>
      </c>
      <c r="G142" s="6" t="s">
        <v>29</v>
      </c>
      <c r="H142" s="7">
        <v>1</v>
      </c>
      <c r="I142" s="6" t="s">
        <v>30</v>
      </c>
      <c r="J142" s="6" t="s">
        <v>31</v>
      </c>
      <c r="K142" s="6" t="s">
        <v>32</v>
      </c>
      <c r="L142" s="6" t="s">
        <v>1755</v>
      </c>
      <c r="M142" s="6" t="s">
        <v>33</v>
      </c>
      <c r="N142" s="10">
        <v>10</v>
      </c>
      <c r="O142" s="11">
        <v>1</v>
      </c>
      <c r="P142" s="12">
        <v>20</v>
      </c>
      <c r="Q142" s="13">
        <v>21.2409052</v>
      </c>
      <c r="R142" s="13">
        <v>-104.8913778</v>
      </c>
      <c r="S142" s="14" t="s">
        <v>190</v>
      </c>
      <c r="T142" s="14"/>
      <c r="U142" s="14"/>
      <c r="V142" s="14"/>
      <c r="W142" s="14"/>
      <c r="X142" s="14"/>
      <c r="Y142" s="14"/>
      <c r="Z142" s="14"/>
      <c r="AA142" s="15"/>
      <c r="AB142" s="16">
        <v>8.3333333333333329E-2</v>
      </c>
    </row>
    <row r="143" spans="1:28" x14ac:dyDescent="0.3">
      <c r="A143" s="6" t="s">
        <v>468</v>
      </c>
      <c r="B143" s="7" t="s">
        <v>25</v>
      </c>
      <c r="C143" s="34" t="s">
        <v>450</v>
      </c>
      <c r="D143" s="33" t="s">
        <v>1775</v>
      </c>
      <c r="E143" s="6" t="s">
        <v>469</v>
      </c>
      <c r="F143" s="6" t="s">
        <v>470</v>
      </c>
      <c r="G143" s="6" t="s">
        <v>29</v>
      </c>
      <c r="H143" s="7">
        <v>1</v>
      </c>
      <c r="I143" s="6" t="s">
        <v>30</v>
      </c>
      <c r="J143" s="6" t="s">
        <v>31</v>
      </c>
      <c r="K143" s="6" t="s">
        <v>32</v>
      </c>
      <c r="L143" s="6" t="s">
        <v>1755</v>
      </c>
      <c r="M143" s="6" t="s">
        <v>33</v>
      </c>
      <c r="N143" s="10">
        <v>17</v>
      </c>
      <c r="O143" s="11">
        <v>3</v>
      </c>
      <c r="P143" s="12">
        <v>28</v>
      </c>
      <c r="Q143" s="13">
        <v>22.409665</v>
      </c>
      <c r="R143" s="13">
        <v>-105.45058400000001</v>
      </c>
      <c r="S143" s="14" t="s">
        <v>190</v>
      </c>
      <c r="T143" s="14"/>
      <c r="U143" s="14"/>
      <c r="V143" s="14"/>
      <c r="W143" s="14"/>
      <c r="X143" s="14"/>
      <c r="Y143" s="14"/>
      <c r="Z143" s="14"/>
      <c r="AA143" s="15"/>
      <c r="AB143" s="16">
        <v>8.3333333333333329E-2</v>
      </c>
    </row>
    <row r="144" spans="1:28" x14ac:dyDescent="0.3">
      <c r="A144" s="6" t="s">
        <v>471</v>
      </c>
      <c r="B144" s="7" t="s">
        <v>25</v>
      </c>
      <c r="C144" s="34" t="s">
        <v>450</v>
      </c>
      <c r="D144" s="33" t="s">
        <v>1775</v>
      </c>
      <c r="E144" s="6" t="s">
        <v>466</v>
      </c>
      <c r="F144" s="6" t="s">
        <v>472</v>
      </c>
      <c r="G144" s="6" t="s">
        <v>29</v>
      </c>
      <c r="H144" s="7">
        <v>1</v>
      </c>
      <c r="I144" s="6" t="s">
        <v>30</v>
      </c>
      <c r="J144" s="6" t="s">
        <v>31</v>
      </c>
      <c r="K144" s="6" t="s">
        <v>32</v>
      </c>
      <c r="L144" s="6" t="s">
        <v>1755</v>
      </c>
      <c r="M144" s="6" t="s">
        <v>33</v>
      </c>
      <c r="N144" s="10">
        <v>11</v>
      </c>
      <c r="O144" s="11">
        <v>1</v>
      </c>
      <c r="P144" s="12">
        <v>19</v>
      </c>
      <c r="Q144" s="13">
        <v>21.189</v>
      </c>
      <c r="R144" s="13">
        <v>-105.134699</v>
      </c>
      <c r="S144" s="14" t="s">
        <v>190</v>
      </c>
      <c r="T144" s="14"/>
      <c r="U144" s="14"/>
      <c r="V144" s="14"/>
      <c r="W144" s="14"/>
      <c r="X144" s="14"/>
      <c r="Y144" s="14"/>
      <c r="Z144" s="14"/>
      <c r="AA144" s="15"/>
      <c r="AB144" s="16">
        <v>8.3333333333333329E-2</v>
      </c>
    </row>
    <row r="145" spans="1:28" x14ac:dyDescent="0.3">
      <c r="A145" s="6" t="s">
        <v>473</v>
      </c>
      <c r="B145" s="7" t="s">
        <v>25</v>
      </c>
      <c r="C145" s="34" t="s">
        <v>450</v>
      </c>
      <c r="D145" s="33" t="s">
        <v>1775</v>
      </c>
      <c r="E145" s="6" t="s">
        <v>474</v>
      </c>
      <c r="F145" s="6" t="s">
        <v>475</v>
      </c>
      <c r="G145" s="6" t="s">
        <v>29</v>
      </c>
      <c r="H145" s="7">
        <v>1</v>
      </c>
      <c r="I145" s="6" t="s">
        <v>30</v>
      </c>
      <c r="J145" s="6" t="s">
        <v>31</v>
      </c>
      <c r="K145" s="6" t="s">
        <v>32</v>
      </c>
      <c r="L145" s="6" t="s">
        <v>1755</v>
      </c>
      <c r="M145" s="6" t="s">
        <v>33</v>
      </c>
      <c r="N145" s="10">
        <v>11</v>
      </c>
      <c r="O145" s="11">
        <v>2</v>
      </c>
      <c r="P145" s="12">
        <v>25</v>
      </c>
      <c r="Q145" s="13">
        <v>21.947095300000001</v>
      </c>
      <c r="R145" s="13">
        <v>-105.3119832</v>
      </c>
      <c r="S145" s="14" t="s">
        <v>190</v>
      </c>
      <c r="T145" s="14"/>
      <c r="U145" s="14"/>
      <c r="V145" s="14"/>
      <c r="W145" s="14"/>
      <c r="X145" s="14"/>
      <c r="Y145" s="14"/>
      <c r="Z145" s="14"/>
      <c r="AA145" s="15"/>
      <c r="AB145" s="16">
        <v>8.3333333333333329E-2</v>
      </c>
    </row>
    <row r="146" spans="1:28" x14ac:dyDescent="0.3">
      <c r="A146" s="6" t="s">
        <v>476</v>
      </c>
      <c r="B146" s="7" t="s">
        <v>25</v>
      </c>
      <c r="C146" s="34" t="s">
        <v>477</v>
      </c>
      <c r="D146" s="33" t="s">
        <v>1775</v>
      </c>
      <c r="E146" s="6" t="s">
        <v>478</v>
      </c>
      <c r="F146" s="6" t="s">
        <v>479</v>
      </c>
      <c r="G146" s="6" t="s">
        <v>29</v>
      </c>
      <c r="H146" s="7">
        <v>1</v>
      </c>
      <c r="I146" s="6" t="s">
        <v>30</v>
      </c>
      <c r="J146" s="6" t="s">
        <v>31</v>
      </c>
      <c r="K146" s="6" t="s">
        <v>32</v>
      </c>
      <c r="L146" s="6" t="s">
        <v>1755</v>
      </c>
      <c r="M146" s="6" t="s">
        <v>33</v>
      </c>
      <c r="N146" s="10">
        <v>5</v>
      </c>
      <c r="O146" s="11">
        <v>2</v>
      </c>
      <c r="P146" s="12">
        <v>24</v>
      </c>
      <c r="Q146" s="13">
        <v>17.450281400000001</v>
      </c>
      <c r="R146" s="13">
        <v>-97.225345599999997</v>
      </c>
      <c r="S146" s="14" t="s">
        <v>190</v>
      </c>
      <c r="T146" s="14"/>
      <c r="U146" s="14"/>
      <c r="V146" s="14"/>
      <c r="W146" s="14"/>
      <c r="X146" s="14"/>
      <c r="Y146" s="14"/>
      <c r="Z146" s="14"/>
      <c r="AA146" s="15"/>
      <c r="AB146" s="16">
        <v>8.3333333333333329E-2</v>
      </c>
    </row>
    <row r="147" spans="1:28" x14ac:dyDescent="0.3">
      <c r="A147" s="6" t="s">
        <v>480</v>
      </c>
      <c r="B147" s="7" t="s">
        <v>25</v>
      </c>
      <c r="C147" s="34" t="s">
        <v>477</v>
      </c>
      <c r="D147" s="33" t="s">
        <v>1775</v>
      </c>
      <c r="E147" s="6" t="s">
        <v>481</v>
      </c>
      <c r="F147" s="6" t="s">
        <v>482</v>
      </c>
      <c r="G147" s="6" t="s">
        <v>29</v>
      </c>
      <c r="H147" s="7">
        <v>1</v>
      </c>
      <c r="I147" s="6" t="s">
        <v>30</v>
      </c>
      <c r="J147" s="6" t="s">
        <v>31</v>
      </c>
      <c r="K147" s="6" t="s">
        <v>32</v>
      </c>
      <c r="L147" s="6" t="s">
        <v>1755</v>
      </c>
      <c r="M147" s="6" t="s">
        <v>33</v>
      </c>
      <c r="N147" s="10">
        <v>7</v>
      </c>
      <c r="O147" s="11">
        <v>2</v>
      </c>
      <c r="P147" s="12">
        <v>60</v>
      </c>
      <c r="Q147" s="13">
        <v>17.024463000000001</v>
      </c>
      <c r="R147" s="13">
        <v>-97.570828000000006</v>
      </c>
      <c r="S147" s="14" t="s">
        <v>190</v>
      </c>
      <c r="T147" s="14"/>
      <c r="U147" s="14"/>
      <c r="V147" s="14"/>
      <c r="W147" s="14"/>
      <c r="X147" s="14"/>
      <c r="Y147" s="14"/>
      <c r="Z147" s="14"/>
      <c r="AA147" s="15"/>
      <c r="AB147" s="16">
        <v>8.3333333333333329E-2</v>
      </c>
    </row>
    <row r="148" spans="1:28" x14ac:dyDescent="0.3">
      <c r="A148" s="6" t="s">
        <v>483</v>
      </c>
      <c r="B148" s="7" t="s">
        <v>25</v>
      </c>
      <c r="C148" s="34" t="s">
        <v>477</v>
      </c>
      <c r="D148" s="33" t="s">
        <v>1775</v>
      </c>
      <c r="E148" s="6" t="s">
        <v>484</v>
      </c>
      <c r="F148" s="6" t="s">
        <v>485</v>
      </c>
      <c r="G148" s="6" t="s">
        <v>29</v>
      </c>
      <c r="H148" s="7">
        <v>1</v>
      </c>
      <c r="I148" s="6" t="s">
        <v>30</v>
      </c>
      <c r="J148" s="6" t="s">
        <v>31</v>
      </c>
      <c r="K148" s="6" t="s">
        <v>32</v>
      </c>
      <c r="L148" s="6" t="s">
        <v>1755</v>
      </c>
      <c r="M148" s="6" t="s">
        <v>33</v>
      </c>
      <c r="N148" s="10">
        <v>10</v>
      </c>
      <c r="O148" s="11">
        <v>2</v>
      </c>
      <c r="P148" s="12">
        <v>23</v>
      </c>
      <c r="Q148" s="13">
        <v>17.053614</v>
      </c>
      <c r="R148" s="13">
        <v>-96.073087999999998</v>
      </c>
      <c r="S148" s="14" t="s">
        <v>176</v>
      </c>
      <c r="T148" s="14"/>
      <c r="U148" s="14"/>
      <c r="V148" s="14"/>
      <c r="W148" s="14"/>
      <c r="X148" s="14"/>
      <c r="Y148" s="14"/>
      <c r="Z148" s="14"/>
      <c r="AA148" s="15"/>
      <c r="AB148" s="16">
        <v>4.1666666666666664E-2</v>
      </c>
    </row>
    <row r="149" spans="1:28" x14ac:dyDescent="0.3">
      <c r="A149" s="6" t="s">
        <v>486</v>
      </c>
      <c r="B149" s="7" t="s">
        <v>25</v>
      </c>
      <c r="C149" s="34" t="s">
        <v>477</v>
      </c>
      <c r="D149" s="33" t="s">
        <v>1775</v>
      </c>
      <c r="E149" s="6" t="s">
        <v>487</v>
      </c>
      <c r="F149" s="6" t="s">
        <v>488</v>
      </c>
      <c r="G149" s="6" t="s">
        <v>29</v>
      </c>
      <c r="H149" s="7">
        <v>1</v>
      </c>
      <c r="I149" s="6" t="s">
        <v>30</v>
      </c>
      <c r="J149" s="6" t="s">
        <v>31</v>
      </c>
      <c r="K149" s="6" t="s">
        <v>32</v>
      </c>
      <c r="L149" s="6" t="s">
        <v>1755</v>
      </c>
      <c r="M149" s="6" t="s">
        <v>33</v>
      </c>
      <c r="N149" s="10">
        <v>6</v>
      </c>
      <c r="O149" s="11">
        <v>3</v>
      </c>
      <c r="P149" s="12">
        <v>23</v>
      </c>
      <c r="Q149" s="13">
        <v>16.370761000000002</v>
      </c>
      <c r="R149" s="13">
        <v>-94.191479000000001</v>
      </c>
      <c r="S149" s="14" t="s">
        <v>190</v>
      </c>
      <c r="T149" s="14"/>
      <c r="U149" s="14"/>
      <c r="V149" s="14"/>
      <c r="W149" s="14"/>
      <c r="X149" s="14"/>
      <c r="Y149" s="14"/>
      <c r="Z149" s="14"/>
      <c r="AA149" s="15"/>
      <c r="AB149" s="16">
        <v>8.3333333333333329E-2</v>
      </c>
    </row>
    <row r="150" spans="1:28" x14ac:dyDescent="0.3">
      <c r="A150" s="6" t="s">
        <v>489</v>
      </c>
      <c r="B150" s="7" t="s">
        <v>25</v>
      </c>
      <c r="C150" s="34" t="s">
        <v>477</v>
      </c>
      <c r="D150" s="33" t="s">
        <v>1775</v>
      </c>
      <c r="E150" s="6" t="s">
        <v>490</v>
      </c>
      <c r="F150" s="6" t="s">
        <v>491</v>
      </c>
      <c r="G150" s="6" t="s">
        <v>29</v>
      </c>
      <c r="H150" s="7">
        <v>1</v>
      </c>
      <c r="I150" s="6" t="s">
        <v>30</v>
      </c>
      <c r="J150" s="6" t="s">
        <v>31</v>
      </c>
      <c r="K150" s="6" t="s">
        <v>32</v>
      </c>
      <c r="L150" s="6" t="s">
        <v>1755</v>
      </c>
      <c r="M150" s="6" t="s">
        <v>33</v>
      </c>
      <c r="N150" s="10">
        <v>10</v>
      </c>
      <c r="O150" s="11">
        <v>2</v>
      </c>
      <c r="P150" s="12">
        <v>32</v>
      </c>
      <c r="Q150" s="13">
        <v>16.230820000000001</v>
      </c>
      <c r="R150" s="13">
        <v>-97.289050000000003</v>
      </c>
      <c r="S150" s="14" t="s">
        <v>190</v>
      </c>
      <c r="T150" s="14"/>
      <c r="U150" s="14"/>
      <c r="V150" s="14"/>
      <c r="W150" s="14"/>
      <c r="X150" s="14"/>
      <c r="Y150" s="14"/>
      <c r="Z150" s="14"/>
      <c r="AA150" s="15"/>
      <c r="AB150" s="16">
        <v>8.3333333333333329E-2</v>
      </c>
    </row>
    <row r="151" spans="1:28" x14ac:dyDescent="0.3">
      <c r="A151" s="6" t="s">
        <v>492</v>
      </c>
      <c r="B151" s="7" t="s">
        <v>25</v>
      </c>
      <c r="C151" s="34" t="s">
        <v>477</v>
      </c>
      <c r="D151" s="33" t="s">
        <v>1775</v>
      </c>
      <c r="E151" s="6" t="s">
        <v>493</v>
      </c>
      <c r="F151" s="6" t="s">
        <v>494</v>
      </c>
      <c r="G151" s="6" t="s">
        <v>29</v>
      </c>
      <c r="H151" s="7">
        <v>1</v>
      </c>
      <c r="I151" s="6" t="s">
        <v>30</v>
      </c>
      <c r="J151" s="6" t="s">
        <v>31</v>
      </c>
      <c r="K151" s="6" t="s">
        <v>32</v>
      </c>
      <c r="L151" s="6" t="s">
        <v>1755</v>
      </c>
      <c r="M151" s="6" t="s">
        <v>33</v>
      </c>
      <c r="N151" s="10">
        <v>6</v>
      </c>
      <c r="O151" s="11">
        <v>2</v>
      </c>
      <c r="P151" s="12">
        <v>18</v>
      </c>
      <c r="Q151" s="13">
        <v>16.514914300000001</v>
      </c>
      <c r="R151" s="13">
        <v>-97.386174100000005</v>
      </c>
      <c r="S151" s="14" t="s">
        <v>190</v>
      </c>
      <c r="T151" s="14"/>
      <c r="U151" s="14"/>
      <c r="V151" s="14"/>
      <c r="W151" s="14"/>
      <c r="X151" s="14"/>
      <c r="Y151" s="14"/>
      <c r="Z151" s="14"/>
      <c r="AA151" s="15"/>
      <c r="AB151" s="16">
        <v>8.3333333333333329E-2</v>
      </c>
    </row>
    <row r="152" spans="1:28" x14ac:dyDescent="0.3">
      <c r="A152" s="6" t="s">
        <v>495</v>
      </c>
      <c r="B152" s="7" t="s">
        <v>25</v>
      </c>
      <c r="C152" s="34" t="s">
        <v>477</v>
      </c>
      <c r="D152" s="33" t="s">
        <v>1775</v>
      </c>
      <c r="E152" s="6" t="s">
        <v>496</v>
      </c>
      <c r="F152" s="6" t="s">
        <v>497</v>
      </c>
      <c r="G152" s="6" t="s">
        <v>29</v>
      </c>
      <c r="H152" s="7">
        <v>1</v>
      </c>
      <c r="I152" s="6" t="s">
        <v>30</v>
      </c>
      <c r="J152" s="6" t="s">
        <v>31</v>
      </c>
      <c r="K152" s="6" t="s">
        <v>32</v>
      </c>
      <c r="L152" s="6" t="s">
        <v>1755</v>
      </c>
      <c r="M152" s="6" t="s">
        <v>33</v>
      </c>
      <c r="N152" s="10">
        <v>7</v>
      </c>
      <c r="O152" s="11">
        <v>2</v>
      </c>
      <c r="P152" s="12">
        <v>23</v>
      </c>
      <c r="Q152" s="13">
        <v>16.588799999999999</v>
      </c>
      <c r="R152" s="13">
        <v>-97.2256</v>
      </c>
      <c r="S152" s="14" t="s">
        <v>190</v>
      </c>
      <c r="T152" s="14"/>
      <c r="U152" s="14"/>
      <c r="V152" s="14"/>
      <c r="W152" s="14"/>
      <c r="X152" s="14"/>
      <c r="Y152" s="14"/>
      <c r="Z152" s="14"/>
      <c r="AA152" s="15"/>
      <c r="AB152" s="16">
        <v>8.3333333333333329E-2</v>
      </c>
    </row>
    <row r="153" spans="1:28" x14ac:dyDescent="0.3">
      <c r="A153" s="6" t="s">
        <v>498</v>
      </c>
      <c r="B153" s="7" t="s">
        <v>25</v>
      </c>
      <c r="C153" s="34" t="s">
        <v>477</v>
      </c>
      <c r="D153" s="33" t="s">
        <v>1775</v>
      </c>
      <c r="E153" s="6" t="s">
        <v>499</v>
      </c>
      <c r="F153" s="6" t="s">
        <v>500</v>
      </c>
      <c r="G153" s="6" t="s">
        <v>29</v>
      </c>
      <c r="H153" s="7">
        <v>1</v>
      </c>
      <c r="I153" s="6" t="s">
        <v>30</v>
      </c>
      <c r="J153" s="6" t="s">
        <v>31</v>
      </c>
      <c r="K153" s="6" t="s">
        <v>32</v>
      </c>
      <c r="L153" s="6" t="s">
        <v>1755</v>
      </c>
      <c r="M153" s="6" t="s">
        <v>33</v>
      </c>
      <c r="N153" s="10">
        <v>6</v>
      </c>
      <c r="O153" s="11">
        <v>2</v>
      </c>
      <c r="P153" s="12">
        <v>28</v>
      </c>
      <c r="Q153" s="13">
        <v>17.663733100000002</v>
      </c>
      <c r="R153" s="13">
        <v>-98.222764100000006</v>
      </c>
      <c r="S153" s="14" t="s">
        <v>190</v>
      </c>
      <c r="T153" s="14"/>
      <c r="U153" s="14"/>
      <c r="V153" s="14"/>
      <c r="W153" s="14"/>
      <c r="X153" s="14"/>
      <c r="Y153" s="14"/>
      <c r="Z153" s="14"/>
      <c r="AA153" s="15"/>
      <c r="AB153" s="16">
        <v>8.3333333333333329E-2</v>
      </c>
    </row>
    <row r="154" spans="1:28" x14ac:dyDescent="0.3">
      <c r="A154" s="6" t="s">
        <v>501</v>
      </c>
      <c r="B154" s="7" t="s">
        <v>25</v>
      </c>
      <c r="C154" s="34" t="s">
        <v>477</v>
      </c>
      <c r="D154" s="33" t="s">
        <v>1775</v>
      </c>
      <c r="E154" s="6" t="s">
        <v>502</v>
      </c>
      <c r="F154" s="6" t="s">
        <v>503</v>
      </c>
      <c r="G154" s="6" t="s">
        <v>29</v>
      </c>
      <c r="H154" s="7">
        <v>1</v>
      </c>
      <c r="I154" s="6" t="s">
        <v>30</v>
      </c>
      <c r="J154" s="6" t="s">
        <v>31</v>
      </c>
      <c r="K154" s="6" t="s">
        <v>32</v>
      </c>
      <c r="L154" s="6" t="s">
        <v>1755</v>
      </c>
      <c r="M154" s="6" t="s">
        <v>33</v>
      </c>
      <c r="N154" s="10">
        <v>7</v>
      </c>
      <c r="O154" s="11">
        <v>1</v>
      </c>
      <c r="P154" s="12">
        <v>24</v>
      </c>
      <c r="Q154" s="13">
        <v>18.120239399999999</v>
      </c>
      <c r="R154" s="13">
        <v>-95.885583699999998</v>
      </c>
      <c r="S154" s="14" t="s">
        <v>190</v>
      </c>
      <c r="T154" s="14"/>
      <c r="U154" s="14"/>
      <c r="V154" s="14"/>
      <c r="W154" s="14"/>
      <c r="X154" s="14"/>
      <c r="Y154" s="14"/>
      <c r="Z154" s="14"/>
      <c r="AA154" s="15"/>
      <c r="AB154" s="16">
        <v>8.3333333333333329E-2</v>
      </c>
    </row>
    <row r="155" spans="1:28" x14ac:dyDescent="0.3">
      <c r="A155" s="6" t="s">
        <v>504</v>
      </c>
      <c r="B155" s="7" t="s">
        <v>25</v>
      </c>
      <c r="C155" s="34" t="s">
        <v>477</v>
      </c>
      <c r="D155" s="33" t="s">
        <v>1775</v>
      </c>
      <c r="E155" s="6" t="s">
        <v>505</v>
      </c>
      <c r="F155" s="6" t="s">
        <v>506</v>
      </c>
      <c r="G155" s="6" t="s">
        <v>29</v>
      </c>
      <c r="H155" s="7">
        <v>1</v>
      </c>
      <c r="I155" s="6" t="s">
        <v>30</v>
      </c>
      <c r="J155" s="6" t="s">
        <v>31</v>
      </c>
      <c r="K155" s="6" t="s">
        <v>32</v>
      </c>
      <c r="L155" s="6" t="s">
        <v>1755</v>
      </c>
      <c r="M155" s="6" t="s">
        <v>33</v>
      </c>
      <c r="N155" s="10">
        <v>8</v>
      </c>
      <c r="O155" s="11">
        <v>2</v>
      </c>
      <c r="P155" s="12">
        <v>25</v>
      </c>
      <c r="Q155" s="13">
        <v>16.599668999999999</v>
      </c>
      <c r="R155" s="13">
        <v>-95.984734000000003</v>
      </c>
      <c r="S155" s="14" t="s">
        <v>190</v>
      </c>
      <c r="T155" s="14"/>
      <c r="U155" s="14"/>
      <c r="V155" s="14"/>
      <c r="W155" s="14"/>
      <c r="X155" s="14"/>
      <c r="Y155" s="14"/>
      <c r="Z155" s="14"/>
      <c r="AA155" s="15"/>
      <c r="AB155" s="16">
        <v>8.3333333333333329E-2</v>
      </c>
    </row>
    <row r="156" spans="1:28" x14ac:dyDescent="0.3">
      <c r="A156" s="6" t="s">
        <v>507</v>
      </c>
      <c r="B156" s="7" t="s">
        <v>25</v>
      </c>
      <c r="C156" s="34" t="s">
        <v>477</v>
      </c>
      <c r="D156" s="33" t="s">
        <v>1775</v>
      </c>
      <c r="E156" s="6" t="s">
        <v>508</v>
      </c>
      <c r="F156" s="6" t="s">
        <v>509</v>
      </c>
      <c r="G156" s="6" t="s">
        <v>29</v>
      </c>
      <c r="H156" s="7">
        <v>1</v>
      </c>
      <c r="I156" s="6" t="s">
        <v>30</v>
      </c>
      <c r="J156" s="6" t="s">
        <v>31</v>
      </c>
      <c r="K156" s="6" t="s">
        <v>32</v>
      </c>
      <c r="L156" s="6" t="s">
        <v>1755</v>
      </c>
      <c r="M156" s="6" t="s">
        <v>33</v>
      </c>
      <c r="N156" s="10">
        <v>8</v>
      </c>
      <c r="O156" s="11">
        <v>2</v>
      </c>
      <c r="P156" s="12">
        <v>21</v>
      </c>
      <c r="Q156" s="13">
        <v>17.773565000000001</v>
      </c>
      <c r="R156" s="13">
        <v>-96.313990000000004</v>
      </c>
      <c r="S156" s="14" t="s">
        <v>190</v>
      </c>
      <c r="T156" s="14"/>
      <c r="U156" s="14"/>
      <c r="V156" s="14"/>
      <c r="W156" s="14"/>
      <c r="X156" s="14"/>
      <c r="Y156" s="14"/>
      <c r="Z156" s="14"/>
      <c r="AA156" s="15"/>
      <c r="AB156" s="16">
        <v>8.3333333333333329E-2</v>
      </c>
    </row>
    <row r="157" spans="1:28" x14ac:dyDescent="0.3">
      <c r="A157" s="6" t="s">
        <v>510</v>
      </c>
      <c r="B157" s="7" t="s">
        <v>25</v>
      </c>
      <c r="C157" s="34" t="s">
        <v>477</v>
      </c>
      <c r="D157" s="33" t="s">
        <v>1775</v>
      </c>
      <c r="E157" s="6" t="s">
        <v>511</v>
      </c>
      <c r="F157" s="6" t="s">
        <v>512</v>
      </c>
      <c r="G157" s="6" t="s">
        <v>29</v>
      </c>
      <c r="H157" s="7">
        <v>1</v>
      </c>
      <c r="I157" s="6" t="s">
        <v>30</v>
      </c>
      <c r="J157" s="6" t="s">
        <v>31</v>
      </c>
      <c r="K157" s="6" t="s">
        <v>32</v>
      </c>
      <c r="L157" s="6" t="s">
        <v>1755</v>
      </c>
      <c r="M157" s="6" t="s">
        <v>33</v>
      </c>
      <c r="N157" s="10">
        <v>5</v>
      </c>
      <c r="O157" s="11">
        <v>2</v>
      </c>
      <c r="P157" s="12">
        <v>25</v>
      </c>
      <c r="Q157" s="13">
        <v>18.240500000000001</v>
      </c>
      <c r="R157" s="13">
        <v>-96.401799999999994</v>
      </c>
      <c r="S157" s="14" t="s">
        <v>190</v>
      </c>
      <c r="T157" s="14"/>
      <c r="U157" s="14"/>
      <c r="V157" s="14"/>
      <c r="W157" s="14"/>
      <c r="X157" s="14"/>
      <c r="Y157" s="14"/>
      <c r="Z157" s="14"/>
      <c r="AA157" s="15"/>
      <c r="AB157" s="16">
        <v>8.3333333333333329E-2</v>
      </c>
    </row>
    <row r="158" spans="1:28" x14ac:dyDescent="0.3">
      <c r="A158" s="6" t="s">
        <v>513</v>
      </c>
      <c r="B158" s="7" t="s">
        <v>25</v>
      </c>
      <c r="C158" s="34" t="s">
        <v>477</v>
      </c>
      <c r="D158" s="33" t="s">
        <v>1775</v>
      </c>
      <c r="E158" s="6" t="s">
        <v>514</v>
      </c>
      <c r="F158" s="6" t="s">
        <v>515</v>
      </c>
      <c r="G158" s="6" t="s">
        <v>29</v>
      </c>
      <c r="H158" s="7">
        <v>1</v>
      </c>
      <c r="I158" s="6" t="s">
        <v>30</v>
      </c>
      <c r="J158" s="6" t="s">
        <v>31</v>
      </c>
      <c r="K158" s="6" t="s">
        <v>32</v>
      </c>
      <c r="L158" s="6" t="s">
        <v>1755</v>
      </c>
      <c r="M158" s="6" t="s">
        <v>33</v>
      </c>
      <c r="N158" s="10">
        <v>5</v>
      </c>
      <c r="O158" s="11">
        <v>2</v>
      </c>
      <c r="P158" s="12">
        <v>23</v>
      </c>
      <c r="Q158" s="13">
        <v>16.1005772</v>
      </c>
      <c r="R158" s="13">
        <v>-97.144174500000005</v>
      </c>
      <c r="S158" s="14" t="s">
        <v>190</v>
      </c>
      <c r="T158" s="14"/>
      <c r="U158" s="14"/>
      <c r="V158" s="14"/>
      <c r="W158" s="14"/>
      <c r="X158" s="14"/>
      <c r="Y158" s="14"/>
      <c r="Z158" s="14"/>
      <c r="AA158" s="15"/>
      <c r="AB158" s="16">
        <v>8.3333333333333329E-2</v>
      </c>
    </row>
    <row r="159" spans="1:28" x14ac:dyDescent="0.3">
      <c r="A159" s="6" t="s">
        <v>516</v>
      </c>
      <c r="B159" s="7" t="s">
        <v>25</v>
      </c>
      <c r="C159" s="34" t="s">
        <v>477</v>
      </c>
      <c r="D159" s="33" t="s">
        <v>1775</v>
      </c>
      <c r="E159" s="6" t="s">
        <v>517</v>
      </c>
      <c r="F159" s="6" t="s">
        <v>518</v>
      </c>
      <c r="G159" s="6" t="s">
        <v>29</v>
      </c>
      <c r="H159" s="7">
        <v>1</v>
      </c>
      <c r="I159" s="6" t="s">
        <v>30</v>
      </c>
      <c r="J159" s="6" t="s">
        <v>31</v>
      </c>
      <c r="K159" s="6" t="s">
        <v>32</v>
      </c>
      <c r="L159" s="6" t="s">
        <v>1755</v>
      </c>
      <c r="M159" s="6" t="s">
        <v>33</v>
      </c>
      <c r="N159" s="10">
        <v>6</v>
      </c>
      <c r="O159" s="11">
        <v>3</v>
      </c>
      <c r="P159" s="12">
        <v>22</v>
      </c>
      <c r="Q159" s="13">
        <v>15.9898486</v>
      </c>
      <c r="R159" s="13">
        <v>-97.4153807</v>
      </c>
      <c r="S159" s="14" t="s">
        <v>190</v>
      </c>
      <c r="T159" s="14"/>
      <c r="U159" s="14"/>
      <c r="V159" s="14"/>
      <c r="W159" s="14"/>
      <c r="X159" s="14"/>
      <c r="Y159" s="14"/>
      <c r="Z159" s="14"/>
      <c r="AA159" s="15"/>
      <c r="AB159" s="16">
        <v>8.3333333333333329E-2</v>
      </c>
    </row>
    <row r="160" spans="1:28" x14ac:dyDescent="0.3">
      <c r="A160" s="6" t="s">
        <v>519</v>
      </c>
      <c r="B160" s="7" t="s">
        <v>25</v>
      </c>
      <c r="C160" s="34" t="s">
        <v>477</v>
      </c>
      <c r="D160" s="33" t="s">
        <v>1775</v>
      </c>
      <c r="E160" s="6" t="s">
        <v>520</v>
      </c>
      <c r="F160" s="6" t="s">
        <v>521</v>
      </c>
      <c r="G160" s="6" t="s">
        <v>29</v>
      </c>
      <c r="H160" s="7">
        <v>1</v>
      </c>
      <c r="I160" s="6" t="s">
        <v>30</v>
      </c>
      <c r="J160" s="6" t="s">
        <v>31</v>
      </c>
      <c r="K160" s="6" t="s">
        <v>32</v>
      </c>
      <c r="L160" s="6" t="s">
        <v>1755</v>
      </c>
      <c r="M160" s="6" t="s">
        <v>33</v>
      </c>
      <c r="N160" s="10">
        <v>8</v>
      </c>
      <c r="O160" s="11">
        <v>1</v>
      </c>
      <c r="P160" s="12">
        <v>23</v>
      </c>
      <c r="Q160" s="13">
        <v>18.130797000000001</v>
      </c>
      <c r="R160" s="13">
        <v>-97.075310999999999</v>
      </c>
      <c r="S160" s="14" t="s">
        <v>176</v>
      </c>
      <c r="T160" s="14"/>
      <c r="U160" s="14"/>
      <c r="V160" s="14"/>
      <c r="W160" s="14"/>
      <c r="X160" s="14"/>
      <c r="Y160" s="14"/>
      <c r="Z160" s="14"/>
      <c r="AA160" s="15"/>
      <c r="AB160" s="16">
        <v>4.1666666666666664E-2</v>
      </c>
    </row>
    <row r="161" spans="1:28" x14ac:dyDescent="0.3">
      <c r="A161" s="6" t="s">
        <v>522</v>
      </c>
      <c r="B161" s="7" t="s">
        <v>25</v>
      </c>
      <c r="C161" s="34" t="s">
        <v>477</v>
      </c>
      <c r="D161" s="33" t="s">
        <v>1775</v>
      </c>
      <c r="E161" s="6" t="s">
        <v>523</v>
      </c>
      <c r="F161" s="6" t="s">
        <v>524</v>
      </c>
      <c r="G161" s="6" t="s">
        <v>29</v>
      </c>
      <c r="H161" s="7">
        <v>1</v>
      </c>
      <c r="I161" s="6" t="s">
        <v>30</v>
      </c>
      <c r="J161" s="6" t="s">
        <v>31</v>
      </c>
      <c r="K161" s="6" t="s">
        <v>32</v>
      </c>
      <c r="L161" s="6" t="s">
        <v>1755</v>
      </c>
      <c r="M161" s="6" t="s">
        <v>33</v>
      </c>
      <c r="N161" s="10">
        <v>7</v>
      </c>
      <c r="O161" s="11">
        <v>2</v>
      </c>
      <c r="P161" s="12">
        <v>26</v>
      </c>
      <c r="Q161" s="13">
        <v>16.529184999999998</v>
      </c>
      <c r="R161" s="13">
        <v>-96.978973999999994</v>
      </c>
      <c r="S161" s="14" t="s">
        <v>176</v>
      </c>
      <c r="T161" s="14"/>
      <c r="U161" s="14"/>
      <c r="V161" s="14"/>
      <c r="W161" s="14"/>
      <c r="X161" s="14"/>
      <c r="Y161" s="14"/>
      <c r="Z161" s="14"/>
      <c r="AA161" s="15"/>
      <c r="AB161" s="16">
        <v>4.1666666666666664E-2</v>
      </c>
    </row>
    <row r="162" spans="1:28" x14ac:dyDescent="0.3">
      <c r="A162" s="6" t="s">
        <v>525</v>
      </c>
      <c r="B162" s="7" t="s">
        <v>25</v>
      </c>
      <c r="C162" s="34" t="s">
        <v>477</v>
      </c>
      <c r="D162" s="33" t="s">
        <v>1775</v>
      </c>
      <c r="E162" s="6" t="s">
        <v>526</v>
      </c>
      <c r="F162" s="6" t="s">
        <v>527</v>
      </c>
      <c r="G162" s="6" t="s">
        <v>29</v>
      </c>
      <c r="H162" s="7">
        <v>1</v>
      </c>
      <c r="I162" s="6" t="s">
        <v>30</v>
      </c>
      <c r="J162" s="6" t="s">
        <v>31</v>
      </c>
      <c r="K162" s="6" t="s">
        <v>32</v>
      </c>
      <c r="L162" s="6" t="s">
        <v>1755</v>
      </c>
      <c r="M162" s="6" t="s">
        <v>33</v>
      </c>
      <c r="N162" s="10">
        <v>7</v>
      </c>
      <c r="O162" s="11">
        <v>2</v>
      </c>
      <c r="P162" s="12">
        <v>22</v>
      </c>
      <c r="Q162" s="13">
        <v>15.8318727</v>
      </c>
      <c r="R162" s="13">
        <v>-96.3176232</v>
      </c>
      <c r="S162" s="14" t="s">
        <v>190</v>
      </c>
      <c r="T162" s="14"/>
      <c r="U162" s="14"/>
      <c r="V162" s="14"/>
      <c r="W162" s="14"/>
      <c r="X162" s="14"/>
      <c r="Y162" s="14"/>
      <c r="Z162" s="14"/>
      <c r="AA162" s="15"/>
      <c r="AB162" s="16">
        <v>8.3333333333333329E-2</v>
      </c>
    </row>
    <row r="163" spans="1:28" x14ac:dyDescent="0.3">
      <c r="A163" s="6" t="s">
        <v>528</v>
      </c>
      <c r="B163" s="7" t="s">
        <v>25</v>
      </c>
      <c r="C163" s="34" t="s">
        <v>477</v>
      </c>
      <c r="D163" s="33" t="s">
        <v>1775</v>
      </c>
      <c r="E163" s="6" t="s">
        <v>529</v>
      </c>
      <c r="F163" s="6" t="s">
        <v>530</v>
      </c>
      <c r="G163" s="6" t="s">
        <v>29</v>
      </c>
      <c r="H163" s="7">
        <v>1</v>
      </c>
      <c r="I163" s="6" t="s">
        <v>30</v>
      </c>
      <c r="J163" s="6" t="s">
        <v>31</v>
      </c>
      <c r="K163" s="6" t="s">
        <v>32</v>
      </c>
      <c r="L163" s="6" t="s">
        <v>1755</v>
      </c>
      <c r="M163" s="6" t="s">
        <v>33</v>
      </c>
      <c r="N163" s="10">
        <v>7</v>
      </c>
      <c r="O163" s="11">
        <v>2</v>
      </c>
      <c r="P163" s="12">
        <v>25</v>
      </c>
      <c r="Q163" s="13">
        <v>16.018833699999998</v>
      </c>
      <c r="R163" s="13">
        <v>-95.666330200000004</v>
      </c>
      <c r="S163" s="14" t="s">
        <v>190</v>
      </c>
      <c r="T163" s="14"/>
      <c r="U163" s="14"/>
      <c r="V163" s="14"/>
      <c r="W163" s="14"/>
      <c r="X163" s="14"/>
      <c r="Y163" s="14"/>
      <c r="Z163" s="14"/>
      <c r="AA163" s="15"/>
      <c r="AB163" s="16">
        <v>8.3333333333333329E-2</v>
      </c>
    </row>
    <row r="164" spans="1:28" x14ac:dyDescent="0.3">
      <c r="A164" s="6" t="s">
        <v>531</v>
      </c>
      <c r="B164" s="7" t="s">
        <v>25</v>
      </c>
      <c r="C164" s="34" t="s">
        <v>477</v>
      </c>
      <c r="D164" s="33" t="s">
        <v>1775</v>
      </c>
      <c r="E164" s="6" t="s">
        <v>532</v>
      </c>
      <c r="F164" s="6" t="s">
        <v>533</v>
      </c>
      <c r="G164" s="6" t="s">
        <v>29</v>
      </c>
      <c r="H164" s="7">
        <v>1</v>
      </c>
      <c r="I164" s="6" t="s">
        <v>30</v>
      </c>
      <c r="J164" s="6" t="s">
        <v>31</v>
      </c>
      <c r="K164" s="6" t="s">
        <v>32</v>
      </c>
      <c r="L164" s="6" t="s">
        <v>1755</v>
      </c>
      <c r="M164" s="6" t="s">
        <v>33</v>
      </c>
      <c r="N164" s="10">
        <v>0</v>
      </c>
      <c r="O164" s="11">
        <v>0</v>
      </c>
      <c r="P164" s="12">
        <v>0</v>
      </c>
      <c r="Q164" s="13">
        <v>17.3265268</v>
      </c>
      <c r="R164" s="13">
        <v>-96.490165599999997</v>
      </c>
      <c r="S164" s="14" t="s">
        <v>190</v>
      </c>
      <c r="T164" s="14"/>
      <c r="U164" s="14"/>
      <c r="V164" s="14"/>
      <c r="W164" s="14"/>
      <c r="X164" s="14"/>
      <c r="Y164" s="14"/>
      <c r="Z164" s="14"/>
      <c r="AA164" s="15"/>
      <c r="AB164" s="16">
        <v>8.3333333333333329E-2</v>
      </c>
    </row>
    <row r="165" spans="1:28" x14ac:dyDescent="0.3">
      <c r="A165" s="6" t="s">
        <v>534</v>
      </c>
      <c r="B165" s="7" t="s">
        <v>25</v>
      </c>
      <c r="C165" s="34" t="s">
        <v>535</v>
      </c>
      <c r="D165" s="33" t="s">
        <v>1775</v>
      </c>
      <c r="E165" s="6" t="s">
        <v>536</v>
      </c>
      <c r="F165" s="6" t="s">
        <v>537</v>
      </c>
      <c r="G165" s="6" t="s">
        <v>29</v>
      </c>
      <c r="H165" s="7">
        <v>1</v>
      </c>
      <c r="I165" s="6" t="s">
        <v>30</v>
      </c>
      <c r="J165" s="6" t="s">
        <v>31</v>
      </c>
      <c r="K165" s="6" t="s">
        <v>32</v>
      </c>
      <c r="L165" s="6" t="s">
        <v>1755</v>
      </c>
      <c r="M165" s="6" t="s">
        <v>33</v>
      </c>
      <c r="N165" s="10">
        <v>9</v>
      </c>
      <c r="O165" s="11">
        <v>2</v>
      </c>
      <c r="P165" s="12">
        <v>28</v>
      </c>
      <c r="Q165" s="13">
        <v>20.007110699999998</v>
      </c>
      <c r="R165" s="13">
        <v>-97.855073500000003</v>
      </c>
      <c r="S165" s="14" t="s">
        <v>190</v>
      </c>
      <c r="T165" s="14"/>
      <c r="U165" s="14"/>
      <c r="V165" s="14"/>
      <c r="W165" s="14"/>
      <c r="X165" s="14"/>
      <c r="Y165" s="14"/>
      <c r="Z165" s="14"/>
      <c r="AA165" s="15"/>
      <c r="AB165" s="16">
        <v>8.3333333333333329E-2</v>
      </c>
    </row>
    <row r="166" spans="1:28" x14ac:dyDescent="0.3">
      <c r="A166" s="6" t="s">
        <v>538</v>
      </c>
      <c r="B166" s="7" t="s">
        <v>25</v>
      </c>
      <c r="C166" s="34" t="s">
        <v>535</v>
      </c>
      <c r="D166" s="33" t="s">
        <v>1775</v>
      </c>
      <c r="E166" s="6" t="s">
        <v>539</v>
      </c>
      <c r="F166" s="6" t="s">
        <v>540</v>
      </c>
      <c r="G166" s="6" t="s">
        <v>29</v>
      </c>
      <c r="H166" s="7">
        <v>1</v>
      </c>
      <c r="I166" s="6" t="s">
        <v>30</v>
      </c>
      <c r="J166" s="6" t="s">
        <v>31</v>
      </c>
      <c r="K166" s="6" t="s">
        <v>32</v>
      </c>
      <c r="L166" s="6" t="s">
        <v>1755</v>
      </c>
      <c r="M166" s="6" t="s">
        <v>33</v>
      </c>
      <c r="N166" s="10">
        <v>5</v>
      </c>
      <c r="O166" s="11">
        <v>2</v>
      </c>
      <c r="P166" s="12">
        <v>14</v>
      </c>
      <c r="Q166" s="13">
        <v>20.094164500000002</v>
      </c>
      <c r="R166" s="13">
        <v>-97.409838399999998</v>
      </c>
      <c r="S166" s="14" t="s">
        <v>190</v>
      </c>
      <c r="T166" s="14"/>
      <c r="U166" s="14"/>
      <c r="V166" s="14"/>
      <c r="W166" s="14"/>
      <c r="X166" s="14"/>
      <c r="Y166" s="14"/>
      <c r="Z166" s="14"/>
      <c r="AA166" s="15"/>
      <c r="AB166" s="16">
        <v>8.3333333333333329E-2</v>
      </c>
    </row>
    <row r="167" spans="1:28" x14ac:dyDescent="0.3">
      <c r="A167" s="6" t="s">
        <v>541</v>
      </c>
      <c r="B167" s="7" t="s">
        <v>25</v>
      </c>
      <c r="C167" s="34" t="s">
        <v>535</v>
      </c>
      <c r="D167" s="33" t="s">
        <v>1775</v>
      </c>
      <c r="E167" s="6" t="s">
        <v>542</v>
      </c>
      <c r="F167" s="6" t="s">
        <v>543</v>
      </c>
      <c r="G167" s="6" t="s">
        <v>29</v>
      </c>
      <c r="H167" s="7">
        <v>1</v>
      </c>
      <c r="I167" s="6" t="s">
        <v>30</v>
      </c>
      <c r="J167" s="6" t="s">
        <v>31</v>
      </c>
      <c r="K167" s="6" t="s">
        <v>32</v>
      </c>
      <c r="L167" s="6" t="s">
        <v>1755</v>
      </c>
      <c r="M167" s="6" t="s">
        <v>33</v>
      </c>
      <c r="N167" s="10">
        <v>7</v>
      </c>
      <c r="O167" s="11">
        <v>2</v>
      </c>
      <c r="P167" s="12">
        <v>23</v>
      </c>
      <c r="Q167" s="13">
        <v>18.268096799999999</v>
      </c>
      <c r="R167" s="13">
        <v>-97.157081899999994</v>
      </c>
      <c r="S167" s="14" t="s">
        <v>190</v>
      </c>
      <c r="T167" s="14"/>
      <c r="U167" s="14"/>
      <c r="V167" s="14"/>
      <c r="W167" s="14"/>
      <c r="X167" s="14"/>
      <c r="Y167" s="14"/>
      <c r="Z167" s="14"/>
      <c r="AA167" s="15"/>
      <c r="AB167" s="16">
        <v>8.3333333333333329E-2</v>
      </c>
    </row>
    <row r="168" spans="1:28" x14ac:dyDescent="0.3">
      <c r="A168" s="6" t="s">
        <v>544</v>
      </c>
      <c r="B168" s="7" t="s">
        <v>25</v>
      </c>
      <c r="C168" s="34" t="s">
        <v>535</v>
      </c>
      <c r="D168" s="33" t="s">
        <v>1775</v>
      </c>
      <c r="E168" s="6" t="s">
        <v>545</v>
      </c>
      <c r="F168" s="6" t="s">
        <v>546</v>
      </c>
      <c r="G168" s="6" t="s">
        <v>29</v>
      </c>
      <c r="H168" s="7">
        <v>1</v>
      </c>
      <c r="I168" s="6" t="s">
        <v>30</v>
      </c>
      <c r="J168" s="6" t="s">
        <v>31</v>
      </c>
      <c r="K168" s="6" t="s">
        <v>32</v>
      </c>
      <c r="L168" s="6" t="s">
        <v>1755</v>
      </c>
      <c r="M168" s="6" t="s">
        <v>33</v>
      </c>
      <c r="N168" s="10">
        <v>7</v>
      </c>
      <c r="O168" s="11">
        <v>2</v>
      </c>
      <c r="P168" s="12">
        <v>16</v>
      </c>
      <c r="Q168" s="13">
        <v>19.599952099999999</v>
      </c>
      <c r="R168" s="13">
        <v>-97.615153500000005</v>
      </c>
      <c r="S168" s="14" t="s">
        <v>190</v>
      </c>
      <c r="T168" s="14"/>
      <c r="U168" s="14"/>
      <c r="V168" s="14"/>
      <c r="W168" s="14"/>
      <c r="X168" s="14"/>
      <c r="Y168" s="14"/>
      <c r="Z168" s="14"/>
      <c r="AA168" s="15"/>
      <c r="AB168" s="16">
        <v>8.3333333333333329E-2</v>
      </c>
    </row>
    <row r="169" spans="1:28" x14ac:dyDescent="0.3">
      <c r="A169" s="6" t="s">
        <v>547</v>
      </c>
      <c r="B169" s="7" t="s">
        <v>25</v>
      </c>
      <c r="C169" s="34" t="s">
        <v>535</v>
      </c>
      <c r="D169" s="33" t="s">
        <v>1775</v>
      </c>
      <c r="E169" s="6" t="s">
        <v>548</v>
      </c>
      <c r="F169" s="6" t="s">
        <v>549</v>
      </c>
      <c r="G169" s="6" t="s">
        <v>29</v>
      </c>
      <c r="H169" s="7">
        <v>1</v>
      </c>
      <c r="I169" s="6" t="s">
        <v>30</v>
      </c>
      <c r="J169" s="6" t="s">
        <v>31</v>
      </c>
      <c r="K169" s="6" t="s">
        <v>32</v>
      </c>
      <c r="L169" s="6" t="s">
        <v>1755</v>
      </c>
      <c r="M169" s="6" t="s">
        <v>33</v>
      </c>
      <c r="N169" s="10">
        <v>7</v>
      </c>
      <c r="O169" s="11">
        <v>2</v>
      </c>
      <c r="P169" s="12">
        <v>26</v>
      </c>
      <c r="Q169" s="13">
        <v>20.0959121</v>
      </c>
      <c r="R169" s="13">
        <v>-97.624335200000004</v>
      </c>
      <c r="S169" s="14" t="s">
        <v>190</v>
      </c>
      <c r="T169" s="14"/>
      <c r="U169" s="14"/>
      <c r="V169" s="14"/>
      <c r="W169" s="14"/>
      <c r="X169" s="14"/>
      <c r="Y169" s="14"/>
      <c r="Z169" s="14"/>
      <c r="AA169" s="15"/>
      <c r="AB169" s="16">
        <v>8.3333333333333329E-2</v>
      </c>
    </row>
    <row r="170" spans="1:28" x14ac:dyDescent="0.3">
      <c r="A170" s="6" t="s">
        <v>550</v>
      </c>
      <c r="B170" s="7" t="s">
        <v>25</v>
      </c>
      <c r="C170" s="34" t="s">
        <v>535</v>
      </c>
      <c r="D170" s="33" t="s">
        <v>1775</v>
      </c>
      <c r="E170" s="6" t="s">
        <v>551</v>
      </c>
      <c r="F170" s="6" t="s">
        <v>552</v>
      </c>
      <c r="G170" s="6" t="s">
        <v>29</v>
      </c>
      <c r="H170" s="7">
        <v>1</v>
      </c>
      <c r="I170" s="6" t="s">
        <v>30</v>
      </c>
      <c r="J170" s="6" t="s">
        <v>31</v>
      </c>
      <c r="K170" s="6" t="s">
        <v>32</v>
      </c>
      <c r="L170" s="6" t="s">
        <v>1755</v>
      </c>
      <c r="M170" s="6" t="s">
        <v>33</v>
      </c>
      <c r="N170" s="10">
        <v>7</v>
      </c>
      <c r="O170" s="11">
        <v>2</v>
      </c>
      <c r="P170" s="12">
        <v>22</v>
      </c>
      <c r="Q170" s="13">
        <v>19.622851699999998</v>
      </c>
      <c r="R170" s="13">
        <v>-97.818262300000001</v>
      </c>
      <c r="S170" s="14" t="s">
        <v>190</v>
      </c>
      <c r="T170" s="14"/>
      <c r="U170" s="14"/>
      <c r="V170" s="14"/>
      <c r="W170" s="14"/>
      <c r="X170" s="14"/>
      <c r="Y170" s="14"/>
      <c r="Z170" s="14"/>
      <c r="AA170" s="15"/>
      <c r="AB170" s="16">
        <v>8.3333333333333329E-2</v>
      </c>
    </row>
    <row r="171" spans="1:28" x14ac:dyDescent="0.3">
      <c r="A171" s="6" t="s">
        <v>553</v>
      </c>
      <c r="B171" s="7" t="s">
        <v>25</v>
      </c>
      <c r="C171" s="34" t="s">
        <v>535</v>
      </c>
      <c r="D171" s="33" t="s">
        <v>1775</v>
      </c>
      <c r="E171" s="6" t="s">
        <v>554</v>
      </c>
      <c r="F171" s="6" t="s">
        <v>555</v>
      </c>
      <c r="G171" s="6" t="s">
        <v>29</v>
      </c>
      <c r="H171" s="7">
        <v>1</v>
      </c>
      <c r="I171" s="6" t="s">
        <v>30</v>
      </c>
      <c r="J171" s="6" t="s">
        <v>31</v>
      </c>
      <c r="K171" s="6" t="s">
        <v>32</v>
      </c>
      <c r="L171" s="6" t="s">
        <v>1755</v>
      </c>
      <c r="M171" s="6" t="s">
        <v>33</v>
      </c>
      <c r="N171" s="10">
        <v>5</v>
      </c>
      <c r="O171" s="11">
        <v>0</v>
      </c>
      <c r="P171" s="12">
        <v>22</v>
      </c>
      <c r="Q171" s="13">
        <v>18.824774000000001</v>
      </c>
      <c r="R171" s="13">
        <v>-97.509792000000004</v>
      </c>
      <c r="S171" s="14" t="s">
        <v>190</v>
      </c>
      <c r="T171" s="14"/>
      <c r="U171" s="14"/>
      <c r="V171" s="14"/>
      <c r="W171" s="14"/>
      <c r="X171" s="14"/>
      <c r="Y171" s="14"/>
      <c r="Z171" s="14"/>
      <c r="AA171" s="15"/>
      <c r="AB171" s="16">
        <v>8.3333333333333329E-2</v>
      </c>
    </row>
    <row r="172" spans="1:28" x14ac:dyDescent="0.3">
      <c r="A172" s="6" t="s">
        <v>556</v>
      </c>
      <c r="B172" s="7" t="s">
        <v>25</v>
      </c>
      <c r="C172" s="34" t="s">
        <v>535</v>
      </c>
      <c r="D172" s="33" t="s">
        <v>1775</v>
      </c>
      <c r="E172" s="6" t="s">
        <v>557</v>
      </c>
      <c r="F172" s="6" t="s">
        <v>558</v>
      </c>
      <c r="G172" s="6" t="s">
        <v>29</v>
      </c>
      <c r="H172" s="7">
        <v>1</v>
      </c>
      <c r="I172" s="6" t="s">
        <v>30</v>
      </c>
      <c r="J172" s="6" t="s">
        <v>31</v>
      </c>
      <c r="K172" s="6" t="s">
        <v>32</v>
      </c>
      <c r="L172" s="6" t="s">
        <v>1755</v>
      </c>
      <c r="M172" s="6" t="s">
        <v>33</v>
      </c>
      <c r="N172" s="10">
        <v>10</v>
      </c>
      <c r="O172" s="11">
        <v>2</v>
      </c>
      <c r="P172" s="12">
        <v>46</v>
      </c>
      <c r="Q172" s="13">
        <v>19.2681702</v>
      </c>
      <c r="R172" s="13">
        <v>-98.434539999999998</v>
      </c>
      <c r="S172" s="14" t="s">
        <v>190</v>
      </c>
      <c r="T172" s="14"/>
      <c r="U172" s="14"/>
      <c r="V172" s="14"/>
      <c r="W172" s="14"/>
      <c r="X172" s="14"/>
      <c r="Y172" s="14"/>
      <c r="Z172" s="14"/>
      <c r="AA172" s="15"/>
      <c r="AB172" s="16">
        <v>8.3333333333333329E-2</v>
      </c>
    </row>
    <row r="173" spans="1:28" x14ac:dyDescent="0.3">
      <c r="A173" s="6" t="s">
        <v>559</v>
      </c>
      <c r="B173" s="7" t="s">
        <v>25</v>
      </c>
      <c r="C173" s="34" t="s">
        <v>535</v>
      </c>
      <c r="D173" s="33" t="s">
        <v>1775</v>
      </c>
      <c r="E173" s="6" t="s">
        <v>560</v>
      </c>
      <c r="F173" s="6" t="s">
        <v>561</v>
      </c>
      <c r="G173" s="6" t="s">
        <v>29</v>
      </c>
      <c r="H173" s="7">
        <v>1</v>
      </c>
      <c r="I173" s="6" t="s">
        <v>30</v>
      </c>
      <c r="J173" s="6" t="s">
        <v>31</v>
      </c>
      <c r="K173" s="6" t="s">
        <v>32</v>
      </c>
      <c r="L173" s="6" t="s">
        <v>1755</v>
      </c>
      <c r="M173" s="6" t="s">
        <v>33</v>
      </c>
      <c r="N173" s="10">
        <v>9</v>
      </c>
      <c r="O173" s="11">
        <v>2</v>
      </c>
      <c r="P173" s="12">
        <v>38</v>
      </c>
      <c r="Q173" s="13">
        <v>18.1173863</v>
      </c>
      <c r="R173" s="13">
        <v>-98.313500899999994</v>
      </c>
      <c r="S173" s="14" t="s">
        <v>190</v>
      </c>
      <c r="T173" s="14"/>
      <c r="U173" s="14"/>
      <c r="V173" s="14"/>
      <c r="W173" s="14"/>
      <c r="X173" s="14"/>
      <c r="Y173" s="14"/>
      <c r="Z173" s="14"/>
      <c r="AA173" s="15"/>
      <c r="AB173" s="16">
        <v>8.3333333333333329E-2</v>
      </c>
    </row>
    <row r="174" spans="1:28" x14ac:dyDescent="0.3">
      <c r="A174" s="6" t="s">
        <v>562</v>
      </c>
      <c r="B174" s="7" t="s">
        <v>25</v>
      </c>
      <c r="C174" s="34" t="s">
        <v>535</v>
      </c>
      <c r="D174" s="33" t="s">
        <v>1775</v>
      </c>
      <c r="E174" s="6" t="s">
        <v>563</v>
      </c>
      <c r="F174" s="6" t="s">
        <v>564</v>
      </c>
      <c r="G174" s="6" t="s">
        <v>29</v>
      </c>
      <c r="H174" s="7">
        <v>1</v>
      </c>
      <c r="I174" s="6" t="s">
        <v>30</v>
      </c>
      <c r="J174" s="6" t="s">
        <v>31</v>
      </c>
      <c r="K174" s="6" t="s">
        <v>32</v>
      </c>
      <c r="L174" s="6" t="s">
        <v>1755</v>
      </c>
      <c r="M174" s="6" t="s">
        <v>33</v>
      </c>
      <c r="N174" s="10">
        <v>12</v>
      </c>
      <c r="O174" s="11">
        <v>2</v>
      </c>
      <c r="P174" s="12">
        <v>23</v>
      </c>
      <c r="Q174" s="13">
        <v>18.035221499999999</v>
      </c>
      <c r="R174" s="13">
        <v>-98.445998900000006</v>
      </c>
      <c r="S174" s="14" t="s">
        <v>190</v>
      </c>
      <c r="T174" s="14"/>
      <c r="U174" s="14"/>
      <c r="V174" s="14"/>
      <c r="W174" s="14"/>
      <c r="X174" s="14"/>
      <c r="Y174" s="14"/>
      <c r="Z174" s="14"/>
      <c r="AA174" s="15"/>
      <c r="AB174" s="16">
        <v>8.3333333333333329E-2</v>
      </c>
    </row>
    <row r="175" spans="1:28" x14ac:dyDescent="0.3">
      <c r="A175" s="6" t="s">
        <v>565</v>
      </c>
      <c r="B175" s="7" t="s">
        <v>25</v>
      </c>
      <c r="C175" s="34" t="s">
        <v>535</v>
      </c>
      <c r="D175" s="33" t="s">
        <v>1775</v>
      </c>
      <c r="E175" s="6" t="s">
        <v>566</v>
      </c>
      <c r="F175" s="6" t="s">
        <v>567</v>
      </c>
      <c r="G175" s="6" t="s">
        <v>29</v>
      </c>
      <c r="H175" s="7">
        <v>1</v>
      </c>
      <c r="I175" s="6" t="s">
        <v>30</v>
      </c>
      <c r="J175" s="6" t="s">
        <v>31</v>
      </c>
      <c r="K175" s="6" t="s">
        <v>32</v>
      </c>
      <c r="L175" s="6" t="s">
        <v>1755</v>
      </c>
      <c r="M175" s="6" t="s">
        <v>33</v>
      </c>
      <c r="N175" s="10">
        <v>8</v>
      </c>
      <c r="O175" s="11">
        <v>2</v>
      </c>
      <c r="P175" s="12">
        <v>17</v>
      </c>
      <c r="Q175" s="13">
        <v>20.005520799999999</v>
      </c>
      <c r="R175" s="13">
        <v>-97.721253099999998</v>
      </c>
      <c r="S175" s="14" t="s">
        <v>190</v>
      </c>
      <c r="T175" s="14"/>
      <c r="U175" s="14"/>
      <c r="V175" s="14"/>
      <c r="W175" s="14"/>
      <c r="X175" s="14"/>
      <c r="Y175" s="14"/>
      <c r="Z175" s="14"/>
      <c r="AA175" s="15"/>
      <c r="AB175" s="16">
        <v>8.3333333333333329E-2</v>
      </c>
    </row>
    <row r="176" spans="1:28" x14ac:dyDescent="0.3">
      <c r="A176" s="6" t="s">
        <v>568</v>
      </c>
      <c r="B176" s="7" t="s">
        <v>25</v>
      </c>
      <c r="C176" s="34" t="s">
        <v>535</v>
      </c>
      <c r="D176" s="33" t="s">
        <v>1775</v>
      </c>
      <c r="E176" s="6" t="s">
        <v>569</v>
      </c>
      <c r="F176" s="6" t="s">
        <v>570</v>
      </c>
      <c r="G176" s="6" t="s">
        <v>29</v>
      </c>
      <c r="H176" s="7">
        <v>1</v>
      </c>
      <c r="I176" s="6" t="s">
        <v>30</v>
      </c>
      <c r="J176" s="6" t="s">
        <v>31</v>
      </c>
      <c r="K176" s="6" t="s">
        <v>32</v>
      </c>
      <c r="L176" s="6" t="s">
        <v>1755</v>
      </c>
      <c r="M176" s="6" t="s">
        <v>33</v>
      </c>
      <c r="N176" s="10">
        <v>8</v>
      </c>
      <c r="O176" s="11">
        <v>2</v>
      </c>
      <c r="P176" s="12">
        <v>24</v>
      </c>
      <c r="Q176" s="13">
        <v>18.3380671</v>
      </c>
      <c r="R176" s="13">
        <v>-97.034808100000006</v>
      </c>
      <c r="S176" s="14" t="s">
        <v>190</v>
      </c>
      <c r="T176" s="14"/>
      <c r="U176" s="14"/>
      <c r="V176" s="14"/>
      <c r="W176" s="14"/>
      <c r="X176" s="14"/>
      <c r="Y176" s="14"/>
      <c r="Z176" s="14"/>
      <c r="AA176" s="15"/>
      <c r="AB176" s="16">
        <v>8.3333333333333329E-2</v>
      </c>
    </row>
    <row r="177" spans="1:28" x14ac:dyDescent="0.3">
      <c r="A177" s="6" t="s">
        <v>571</v>
      </c>
      <c r="B177" s="7" t="s">
        <v>25</v>
      </c>
      <c r="C177" s="34" t="s">
        <v>535</v>
      </c>
      <c r="D177" s="33" t="s">
        <v>1775</v>
      </c>
      <c r="E177" s="6" t="s">
        <v>572</v>
      </c>
      <c r="F177" s="6" t="s">
        <v>573</v>
      </c>
      <c r="G177" s="6" t="s">
        <v>29</v>
      </c>
      <c r="H177" s="7">
        <v>1</v>
      </c>
      <c r="I177" s="6" t="s">
        <v>30</v>
      </c>
      <c r="J177" s="6" t="s">
        <v>31</v>
      </c>
      <c r="K177" s="6" t="s">
        <v>32</v>
      </c>
      <c r="L177" s="6" t="s">
        <v>1755</v>
      </c>
      <c r="M177" s="6" t="s">
        <v>33</v>
      </c>
      <c r="N177" s="10">
        <v>8</v>
      </c>
      <c r="O177" s="11">
        <v>2</v>
      </c>
      <c r="P177" s="12">
        <v>13</v>
      </c>
      <c r="Q177" s="13">
        <v>20.137400700000001</v>
      </c>
      <c r="R177" s="13">
        <v>-97.928800100000004</v>
      </c>
      <c r="S177" s="14" t="s">
        <v>190</v>
      </c>
      <c r="T177" s="14"/>
      <c r="U177" s="14"/>
      <c r="V177" s="14"/>
      <c r="W177" s="14"/>
      <c r="X177" s="14"/>
      <c r="Y177" s="14"/>
      <c r="Z177" s="14"/>
      <c r="AA177" s="15"/>
      <c r="AB177" s="16">
        <v>8.3333333333333329E-2</v>
      </c>
    </row>
    <row r="178" spans="1:28" x14ac:dyDescent="0.3">
      <c r="A178" s="6" t="s">
        <v>574</v>
      </c>
      <c r="B178" s="7" t="s">
        <v>25</v>
      </c>
      <c r="C178" s="34" t="s">
        <v>535</v>
      </c>
      <c r="D178" s="33" t="s">
        <v>1775</v>
      </c>
      <c r="E178" s="6" t="s">
        <v>575</v>
      </c>
      <c r="F178" s="6" t="s">
        <v>576</v>
      </c>
      <c r="G178" s="6" t="s">
        <v>29</v>
      </c>
      <c r="H178" s="7">
        <v>1</v>
      </c>
      <c r="I178" s="6" t="s">
        <v>30</v>
      </c>
      <c r="J178" s="6" t="s">
        <v>31</v>
      </c>
      <c r="K178" s="6" t="s">
        <v>32</v>
      </c>
      <c r="L178" s="6" t="s">
        <v>1755</v>
      </c>
      <c r="M178" s="6" t="s">
        <v>33</v>
      </c>
      <c r="N178" s="10">
        <v>8</v>
      </c>
      <c r="O178" s="11">
        <v>2</v>
      </c>
      <c r="P178" s="12">
        <v>33</v>
      </c>
      <c r="Q178" s="13">
        <v>18.978186900000001</v>
      </c>
      <c r="R178" s="13">
        <v>-97.799322900000007</v>
      </c>
      <c r="S178" s="14" t="s">
        <v>190</v>
      </c>
      <c r="T178" s="14"/>
      <c r="U178" s="14"/>
      <c r="V178" s="14"/>
      <c r="W178" s="14"/>
      <c r="X178" s="14"/>
      <c r="Y178" s="14"/>
      <c r="Z178" s="14"/>
      <c r="AA178" s="15"/>
      <c r="AB178" s="16">
        <v>8.3333333333333329E-2</v>
      </c>
    </row>
    <row r="179" spans="1:28" x14ac:dyDescent="0.3">
      <c r="A179" s="6" t="s">
        <v>577</v>
      </c>
      <c r="B179" s="7" t="s">
        <v>25</v>
      </c>
      <c r="C179" s="34" t="s">
        <v>535</v>
      </c>
      <c r="D179" s="33" t="s">
        <v>1775</v>
      </c>
      <c r="E179" s="6" t="s">
        <v>578</v>
      </c>
      <c r="F179" s="6" t="s">
        <v>579</v>
      </c>
      <c r="G179" s="6" t="s">
        <v>29</v>
      </c>
      <c r="H179" s="7">
        <v>1</v>
      </c>
      <c r="I179" s="6" t="s">
        <v>30</v>
      </c>
      <c r="J179" s="6" t="s">
        <v>31</v>
      </c>
      <c r="K179" s="6" t="s">
        <v>32</v>
      </c>
      <c r="L179" s="6" t="s">
        <v>1755</v>
      </c>
      <c r="M179" s="6" t="s">
        <v>33</v>
      </c>
      <c r="N179" s="10">
        <v>7</v>
      </c>
      <c r="O179" s="11">
        <v>2</v>
      </c>
      <c r="P179" s="12">
        <v>24</v>
      </c>
      <c r="Q179" s="13">
        <v>18.379176000000001</v>
      </c>
      <c r="R179" s="13">
        <v>-97.274599199999997</v>
      </c>
      <c r="S179" s="14" t="s">
        <v>190</v>
      </c>
      <c r="T179" s="14"/>
      <c r="U179" s="14"/>
      <c r="V179" s="14"/>
      <c r="W179" s="14"/>
      <c r="X179" s="14"/>
      <c r="Y179" s="14"/>
      <c r="Z179" s="14"/>
      <c r="AA179" s="15"/>
      <c r="AB179" s="16">
        <v>8.3333333333333329E-2</v>
      </c>
    </row>
    <row r="180" spans="1:28" x14ac:dyDescent="0.3">
      <c r="A180" s="6" t="s">
        <v>580</v>
      </c>
      <c r="B180" s="7" t="s">
        <v>25</v>
      </c>
      <c r="C180" s="34" t="s">
        <v>535</v>
      </c>
      <c r="D180" s="33" t="s">
        <v>1775</v>
      </c>
      <c r="E180" s="6" t="s">
        <v>581</v>
      </c>
      <c r="F180" s="6" t="s">
        <v>582</v>
      </c>
      <c r="G180" s="6" t="s">
        <v>29</v>
      </c>
      <c r="H180" s="7">
        <v>1</v>
      </c>
      <c r="I180" s="6" t="s">
        <v>30</v>
      </c>
      <c r="J180" s="6" t="s">
        <v>31</v>
      </c>
      <c r="K180" s="6" t="s">
        <v>32</v>
      </c>
      <c r="L180" s="6" t="s">
        <v>1755</v>
      </c>
      <c r="M180" s="6" t="s">
        <v>84</v>
      </c>
      <c r="N180" s="10">
        <v>7</v>
      </c>
      <c r="O180" s="11">
        <v>2</v>
      </c>
      <c r="P180" s="12">
        <v>30</v>
      </c>
      <c r="Q180" s="13">
        <v>18.655071</v>
      </c>
      <c r="R180" s="13">
        <v>-97.631644100000003</v>
      </c>
      <c r="S180" s="14" t="s">
        <v>190</v>
      </c>
      <c r="T180" s="14"/>
      <c r="U180" s="14"/>
      <c r="V180" s="14"/>
      <c r="W180" s="14"/>
      <c r="X180" s="14"/>
      <c r="Y180" s="14"/>
      <c r="Z180" s="14"/>
      <c r="AA180" s="15"/>
      <c r="AB180" s="16">
        <v>8.3333333333333329E-2</v>
      </c>
    </row>
    <row r="181" spans="1:28" x14ac:dyDescent="0.3">
      <c r="A181" s="6" t="s">
        <v>583</v>
      </c>
      <c r="B181" s="7" t="s">
        <v>25</v>
      </c>
      <c r="C181" s="34" t="s">
        <v>535</v>
      </c>
      <c r="D181" s="33" t="s">
        <v>1775</v>
      </c>
      <c r="E181" s="6" t="s">
        <v>584</v>
      </c>
      <c r="F181" s="6" t="s">
        <v>585</v>
      </c>
      <c r="G181" s="6" t="s">
        <v>29</v>
      </c>
      <c r="H181" s="7">
        <v>1</v>
      </c>
      <c r="I181" s="6" t="s">
        <v>30</v>
      </c>
      <c r="J181" s="6" t="s">
        <v>31</v>
      </c>
      <c r="K181" s="6" t="s">
        <v>32</v>
      </c>
      <c r="L181" s="6" t="s">
        <v>1755</v>
      </c>
      <c r="M181" s="6" t="s">
        <v>33</v>
      </c>
      <c r="N181" s="10">
        <v>8</v>
      </c>
      <c r="O181" s="11">
        <v>2</v>
      </c>
      <c r="P181" s="12">
        <v>20</v>
      </c>
      <c r="Q181" s="13">
        <v>20.531479600000001</v>
      </c>
      <c r="R181" s="13">
        <v>-97.851676299999994</v>
      </c>
      <c r="S181" s="14" t="s">
        <v>190</v>
      </c>
      <c r="T181" s="14"/>
      <c r="U181" s="14"/>
      <c r="V181" s="14"/>
      <c r="W181" s="14"/>
      <c r="X181" s="14"/>
      <c r="Y181" s="14"/>
      <c r="Z181" s="14"/>
      <c r="AA181" s="15"/>
      <c r="AB181" s="16">
        <v>8.3333333333333329E-2</v>
      </c>
    </row>
    <row r="182" spans="1:28" x14ac:dyDescent="0.3">
      <c r="A182" s="6" t="s">
        <v>586</v>
      </c>
      <c r="B182" s="7" t="s">
        <v>25</v>
      </c>
      <c r="C182" s="34" t="s">
        <v>535</v>
      </c>
      <c r="D182" s="33" t="s">
        <v>1775</v>
      </c>
      <c r="E182" s="6" t="s">
        <v>587</v>
      </c>
      <c r="F182" s="6" t="s">
        <v>588</v>
      </c>
      <c r="G182" s="6" t="s">
        <v>29</v>
      </c>
      <c r="H182" s="7">
        <v>1</v>
      </c>
      <c r="I182" s="6" t="s">
        <v>30</v>
      </c>
      <c r="J182" s="6" t="s">
        <v>31</v>
      </c>
      <c r="K182" s="6" t="s">
        <v>32</v>
      </c>
      <c r="L182" s="6" t="s">
        <v>1755</v>
      </c>
      <c r="M182" s="6" t="s">
        <v>33</v>
      </c>
      <c r="N182" s="10">
        <v>10</v>
      </c>
      <c r="O182" s="11">
        <v>2</v>
      </c>
      <c r="P182" s="12">
        <v>22</v>
      </c>
      <c r="Q182" s="13">
        <v>18.5302936</v>
      </c>
      <c r="R182" s="13">
        <v>-97.206224300000002</v>
      </c>
      <c r="S182" s="14" t="s">
        <v>190</v>
      </c>
      <c r="T182" s="14"/>
      <c r="U182" s="14"/>
      <c r="V182" s="14"/>
      <c r="W182" s="14"/>
      <c r="X182" s="14"/>
      <c r="Y182" s="14"/>
      <c r="Z182" s="14"/>
      <c r="AA182" s="15"/>
      <c r="AB182" s="16">
        <v>8.3333333333333329E-2</v>
      </c>
    </row>
    <row r="183" spans="1:28" x14ac:dyDescent="0.3">
      <c r="A183" s="6" t="s">
        <v>589</v>
      </c>
      <c r="B183" s="7" t="s">
        <v>25</v>
      </c>
      <c r="C183" s="34" t="s">
        <v>535</v>
      </c>
      <c r="D183" s="33" t="s">
        <v>1775</v>
      </c>
      <c r="E183" s="6" t="s">
        <v>590</v>
      </c>
      <c r="F183" s="6" t="s">
        <v>591</v>
      </c>
      <c r="G183" s="6" t="s">
        <v>29</v>
      </c>
      <c r="H183" s="7">
        <v>1</v>
      </c>
      <c r="I183" s="6" t="s">
        <v>30</v>
      </c>
      <c r="J183" s="6" t="s">
        <v>31</v>
      </c>
      <c r="K183" s="6" t="s">
        <v>32</v>
      </c>
      <c r="L183" s="6" t="s">
        <v>1755</v>
      </c>
      <c r="M183" s="6" t="s">
        <v>84</v>
      </c>
      <c r="N183" s="10">
        <v>9</v>
      </c>
      <c r="O183" s="11">
        <v>2</v>
      </c>
      <c r="P183" s="12">
        <v>28</v>
      </c>
      <c r="Q183" s="13">
        <v>18.474757199999999</v>
      </c>
      <c r="R183" s="13">
        <v>-96.864161100000004</v>
      </c>
      <c r="S183" s="14" t="s">
        <v>190</v>
      </c>
      <c r="T183" s="14"/>
      <c r="U183" s="14"/>
      <c r="V183" s="14"/>
      <c r="W183" s="14"/>
      <c r="X183" s="14"/>
      <c r="Y183" s="14"/>
      <c r="Z183" s="14"/>
      <c r="AA183" s="15"/>
      <c r="AB183" s="16">
        <v>8.3333333333333329E-2</v>
      </c>
    </row>
    <row r="184" spans="1:28" x14ac:dyDescent="0.3">
      <c r="A184" s="6" t="s">
        <v>592</v>
      </c>
      <c r="B184" s="7" t="s">
        <v>25</v>
      </c>
      <c r="C184" s="34" t="s">
        <v>535</v>
      </c>
      <c r="D184" s="33" t="s">
        <v>1775</v>
      </c>
      <c r="E184" s="6" t="s">
        <v>593</v>
      </c>
      <c r="F184" s="6" t="s">
        <v>594</v>
      </c>
      <c r="G184" s="6" t="s">
        <v>29</v>
      </c>
      <c r="H184" s="7">
        <v>1</v>
      </c>
      <c r="I184" s="6" t="s">
        <v>30</v>
      </c>
      <c r="J184" s="6" t="s">
        <v>31</v>
      </c>
      <c r="K184" s="6" t="s">
        <v>32</v>
      </c>
      <c r="L184" s="6" t="s">
        <v>1755</v>
      </c>
      <c r="M184" s="6" t="s">
        <v>33</v>
      </c>
      <c r="N184" s="10">
        <v>6</v>
      </c>
      <c r="O184" s="11">
        <v>2</v>
      </c>
      <c r="P184" s="12">
        <v>22</v>
      </c>
      <c r="Q184" s="13">
        <v>19.287557400000001</v>
      </c>
      <c r="R184" s="13">
        <v>-97.332424200000005</v>
      </c>
      <c r="S184" s="14" t="s">
        <v>190</v>
      </c>
      <c r="T184" s="14"/>
      <c r="U184" s="14"/>
      <c r="V184" s="14"/>
      <c r="W184" s="14"/>
      <c r="X184" s="14"/>
      <c r="Y184" s="14"/>
      <c r="Z184" s="14"/>
      <c r="AA184" s="15"/>
      <c r="AB184" s="16">
        <v>8.3333333333333329E-2</v>
      </c>
    </row>
    <row r="185" spans="1:28" x14ac:dyDescent="0.3">
      <c r="A185" s="6" t="s">
        <v>595</v>
      </c>
      <c r="B185" s="7" t="s">
        <v>25</v>
      </c>
      <c r="C185" s="34" t="s">
        <v>535</v>
      </c>
      <c r="D185" s="33" t="s">
        <v>1775</v>
      </c>
      <c r="E185" s="6" t="s">
        <v>596</v>
      </c>
      <c r="F185" s="6" t="s">
        <v>597</v>
      </c>
      <c r="G185" s="6" t="s">
        <v>29</v>
      </c>
      <c r="H185" s="7">
        <v>1</v>
      </c>
      <c r="I185" s="6" t="s">
        <v>30</v>
      </c>
      <c r="J185" s="6" t="s">
        <v>31</v>
      </c>
      <c r="K185" s="6" t="s">
        <v>32</v>
      </c>
      <c r="L185" s="6" t="s">
        <v>1755</v>
      </c>
      <c r="M185" s="6" t="s">
        <v>33</v>
      </c>
      <c r="N185" s="10">
        <v>10</v>
      </c>
      <c r="O185" s="11">
        <v>2</v>
      </c>
      <c r="P185" s="12">
        <v>27</v>
      </c>
      <c r="Q185" s="13">
        <v>19.899813099999999</v>
      </c>
      <c r="R185" s="13">
        <v>-97.589125199999998</v>
      </c>
      <c r="S185" s="14" t="s">
        <v>190</v>
      </c>
      <c r="T185" s="14"/>
      <c r="U185" s="14"/>
      <c r="V185" s="14"/>
      <c r="W185" s="14"/>
      <c r="X185" s="14"/>
      <c r="Y185" s="14"/>
      <c r="Z185" s="14"/>
      <c r="AA185" s="15"/>
      <c r="AB185" s="16">
        <v>8.3333333333333329E-2</v>
      </c>
    </row>
    <row r="186" spans="1:28" x14ac:dyDescent="0.3">
      <c r="A186" s="6" t="s">
        <v>598</v>
      </c>
      <c r="B186" s="7" t="s">
        <v>25</v>
      </c>
      <c r="C186" s="34" t="s">
        <v>535</v>
      </c>
      <c r="D186" s="33" t="s">
        <v>1775</v>
      </c>
      <c r="E186" s="6" t="s">
        <v>599</v>
      </c>
      <c r="F186" s="6" t="s">
        <v>600</v>
      </c>
      <c r="G186" s="6" t="s">
        <v>29</v>
      </c>
      <c r="H186" s="7">
        <v>1</v>
      </c>
      <c r="I186" s="6" t="s">
        <v>30</v>
      </c>
      <c r="J186" s="6" t="s">
        <v>31</v>
      </c>
      <c r="K186" s="6" t="s">
        <v>32</v>
      </c>
      <c r="L186" s="6" t="s">
        <v>1755</v>
      </c>
      <c r="M186" s="6" t="s">
        <v>33</v>
      </c>
      <c r="N186" s="10">
        <v>6</v>
      </c>
      <c r="O186" s="11">
        <v>2</v>
      </c>
      <c r="P186" s="12">
        <v>30</v>
      </c>
      <c r="Q186" s="13">
        <v>19.2480984</v>
      </c>
      <c r="R186" s="13">
        <v>-97.756586400000003</v>
      </c>
      <c r="S186" s="14" t="s">
        <v>190</v>
      </c>
      <c r="T186" s="14"/>
      <c r="U186" s="14"/>
      <c r="V186" s="14"/>
      <c r="W186" s="14"/>
      <c r="X186" s="14"/>
      <c r="Y186" s="14"/>
      <c r="Z186" s="14"/>
      <c r="AA186" s="15"/>
      <c r="AB186" s="16">
        <v>8.3333333333333329E-2</v>
      </c>
    </row>
    <row r="187" spans="1:28" x14ac:dyDescent="0.3">
      <c r="A187" s="6" t="s">
        <v>601</v>
      </c>
      <c r="B187" s="7" t="s">
        <v>25</v>
      </c>
      <c r="C187" s="34" t="s">
        <v>535</v>
      </c>
      <c r="D187" s="33" t="s">
        <v>1775</v>
      </c>
      <c r="E187" s="6" t="s">
        <v>602</v>
      </c>
      <c r="F187" s="6" t="s">
        <v>603</v>
      </c>
      <c r="G187" s="6" t="s">
        <v>29</v>
      </c>
      <c r="H187" s="7">
        <v>1</v>
      </c>
      <c r="I187" s="6" t="s">
        <v>30</v>
      </c>
      <c r="J187" s="6" t="s">
        <v>31</v>
      </c>
      <c r="K187" s="6" t="s">
        <v>32</v>
      </c>
      <c r="L187" s="6" t="s">
        <v>1755</v>
      </c>
      <c r="M187" s="6" t="s">
        <v>33</v>
      </c>
      <c r="N187" s="10">
        <v>8</v>
      </c>
      <c r="O187" s="11">
        <v>2</v>
      </c>
      <c r="P187" s="12">
        <v>23</v>
      </c>
      <c r="Q187" s="13">
        <v>19.115588299999999</v>
      </c>
      <c r="R187" s="13">
        <v>-97.947517199999993</v>
      </c>
      <c r="S187" s="14" t="s">
        <v>190</v>
      </c>
      <c r="T187" s="14"/>
      <c r="U187" s="14"/>
      <c r="V187" s="14"/>
      <c r="W187" s="14"/>
      <c r="X187" s="14"/>
      <c r="Y187" s="14"/>
      <c r="Z187" s="14"/>
      <c r="AA187" s="15"/>
      <c r="AB187" s="16">
        <v>8.3333333333333329E-2</v>
      </c>
    </row>
    <row r="188" spans="1:28" x14ac:dyDescent="0.3">
      <c r="A188" s="6" t="s">
        <v>604</v>
      </c>
      <c r="B188" s="7" t="s">
        <v>25</v>
      </c>
      <c r="C188" s="34" t="s">
        <v>535</v>
      </c>
      <c r="D188" s="33" t="s">
        <v>1775</v>
      </c>
      <c r="E188" s="6" t="s">
        <v>554</v>
      </c>
      <c r="F188" s="6" t="s">
        <v>605</v>
      </c>
      <c r="G188" s="6" t="s">
        <v>29</v>
      </c>
      <c r="H188" s="7">
        <v>1</v>
      </c>
      <c r="I188" s="6" t="s">
        <v>30</v>
      </c>
      <c r="J188" s="6" t="s">
        <v>31</v>
      </c>
      <c r="K188" s="6" t="s">
        <v>32</v>
      </c>
      <c r="L188" s="6" t="s">
        <v>1755</v>
      </c>
      <c r="M188" s="6" t="s">
        <v>33</v>
      </c>
      <c r="N188" s="10">
        <v>7</v>
      </c>
      <c r="O188" s="11">
        <v>2</v>
      </c>
      <c r="P188" s="12">
        <v>26</v>
      </c>
      <c r="Q188" s="13">
        <v>18.826962600000002</v>
      </c>
      <c r="R188" s="13">
        <v>-97.537684200000001</v>
      </c>
      <c r="S188" s="14" t="s">
        <v>190</v>
      </c>
      <c r="T188" s="14"/>
      <c r="U188" s="14"/>
      <c r="V188" s="14"/>
      <c r="W188" s="14"/>
      <c r="X188" s="14"/>
      <c r="Y188" s="14"/>
      <c r="Z188" s="14"/>
      <c r="AA188" s="15"/>
      <c r="AB188" s="16">
        <v>8.3333333333333329E-2</v>
      </c>
    </row>
    <row r="189" spans="1:28" x14ac:dyDescent="0.3">
      <c r="A189" s="6" t="s">
        <v>606</v>
      </c>
      <c r="B189" s="7" t="s">
        <v>25</v>
      </c>
      <c r="C189" s="34" t="s">
        <v>535</v>
      </c>
      <c r="D189" s="33" t="s">
        <v>1775</v>
      </c>
      <c r="E189" s="6" t="s">
        <v>607</v>
      </c>
      <c r="F189" s="6" t="s">
        <v>608</v>
      </c>
      <c r="G189" s="6" t="s">
        <v>29</v>
      </c>
      <c r="H189" s="7">
        <v>1</v>
      </c>
      <c r="I189" s="6" t="s">
        <v>30</v>
      </c>
      <c r="J189" s="6" t="s">
        <v>31</v>
      </c>
      <c r="K189" s="6" t="s">
        <v>32</v>
      </c>
      <c r="L189" s="6" t="s">
        <v>1755</v>
      </c>
      <c r="M189" s="6" t="s">
        <v>33</v>
      </c>
      <c r="N189" s="10">
        <v>8</v>
      </c>
      <c r="O189" s="11">
        <v>3</v>
      </c>
      <c r="P189" s="12">
        <v>43</v>
      </c>
      <c r="Q189" s="13">
        <v>20.256616900000001</v>
      </c>
      <c r="R189" s="13">
        <v>-97.965180399999994</v>
      </c>
      <c r="S189" s="14" t="s">
        <v>190</v>
      </c>
      <c r="T189" s="14"/>
      <c r="U189" s="14"/>
      <c r="V189" s="14"/>
      <c r="W189" s="14"/>
      <c r="X189" s="14"/>
      <c r="Y189" s="14"/>
      <c r="Z189" s="14"/>
      <c r="AA189" s="15"/>
      <c r="AB189" s="16">
        <v>8.3333333333333329E-2</v>
      </c>
    </row>
    <row r="190" spans="1:28" x14ac:dyDescent="0.3">
      <c r="A190" s="6" t="s">
        <v>609</v>
      </c>
      <c r="B190" s="7" t="s">
        <v>25</v>
      </c>
      <c r="C190" s="34" t="s">
        <v>535</v>
      </c>
      <c r="D190" s="33" t="s">
        <v>1775</v>
      </c>
      <c r="E190" s="6" t="s">
        <v>610</v>
      </c>
      <c r="F190" s="6" t="s">
        <v>611</v>
      </c>
      <c r="G190" s="6" t="s">
        <v>29</v>
      </c>
      <c r="H190" s="7">
        <v>1</v>
      </c>
      <c r="I190" s="6" t="s">
        <v>30</v>
      </c>
      <c r="J190" s="6" t="s">
        <v>31</v>
      </c>
      <c r="K190" s="6" t="s">
        <v>32</v>
      </c>
      <c r="L190" s="6" t="s">
        <v>1755</v>
      </c>
      <c r="M190" s="6" t="s">
        <v>33</v>
      </c>
      <c r="N190" s="10">
        <v>8</v>
      </c>
      <c r="O190" s="11">
        <v>2</v>
      </c>
      <c r="P190" s="12">
        <v>19</v>
      </c>
      <c r="Q190" s="13">
        <v>19.256586500000001</v>
      </c>
      <c r="R190" s="13">
        <v>-97.1398923</v>
      </c>
      <c r="S190" s="14" t="s">
        <v>190</v>
      </c>
      <c r="T190" s="14"/>
      <c r="U190" s="14"/>
      <c r="V190" s="14"/>
      <c r="W190" s="14"/>
      <c r="X190" s="14"/>
      <c r="Y190" s="14"/>
      <c r="Z190" s="14"/>
      <c r="AA190" s="15"/>
      <c r="AB190" s="16">
        <v>8.3333333333333329E-2</v>
      </c>
    </row>
    <row r="191" spans="1:28" x14ac:dyDescent="0.3">
      <c r="A191" s="6" t="s">
        <v>612</v>
      </c>
      <c r="B191" s="7" t="s">
        <v>25</v>
      </c>
      <c r="C191" s="34" t="s">
        <v>535</v>
      </c>
      <c r="D191" s="33" t="s">
        <v>1775</v>
      </c>
      <c r="E191" s="6" t="s">
        <v>613</v>
      </c>
      <c r="F191" s="6" t="s">
        <v>614</v>
      </c>
      <c r="G191" s="6" t="s">
        <v>29</v>
      </c>
      <c r="H191" s="7">
        <v>1</v>
      </c>
      <c r="I191" s="6" t="s">
        <v>30</v>
      </c>
      <c r="J191" s="6" t="s">
        <v>31</v>
      </c>
      <c r="K191" s="6" t="s">
        <v>32</v>
      </c>
      <c r="L191" s="6" t="s">
        <v>1755</v>
      </c>
      <c r="M191" s="6" t="s">
        <v>33</v>
      </c>
      <c r="N191" s="10">
        <v>6</v>
      </c>
      <c r="O191" s="11">
        <v>2</v>
      </c>
      <c r="P191" s="12">
        <v>19</v>
      </c>
      <c r="Q191" s="13">
        <v>18.451055799999999</v>
      </c>
      <c r="R191" s="13">
        <v>-97.832876900000002</v>
      </c>
      <c r="S191" s="14" t="s">
        <v>190</v>
      </c>
      <c r="T191" s="14"/>
      <c r="U191" s="14"/>
      <c r="V191" s="14"/>
      <c r="W191" s="14"/>
      <c r="X191" s="14"/>
      <c r="Y191" s="14"/>
      <c r="Z191" s="14"/>
      <c r="AA191" s="15"/>
      <c r="AB191" s="16">
        <v>8.3333333333333329E-2</v>
      </c>
    </row>
    <row r="192" spans="1:28" x14ac:dyDescent="0.3">
      <c r="A192" s="6" t="s">
        <v>615</v>
      </c>
      <c r="B192" s="7" t="s">
        <v>25</v>
      </c>
      <c r="C192" s="34" t="s">
        <v>535</v>
      </c>
      <c r="D192" s="33" t="s">
        <v>1775</v>
      </c>
      <c r="E192" s="6" t="s">
        <v>616</v>
      </c>
      <c r="F192" s="6" t="s">
        <v>617</v>
      </c>
      <c r="G192" s="6" t="s">
        <v>29</v>
      </c>
      <c r="H192" s="7">
        <v>1</v>
      </c>
      <c r="I192" s="6" t="s">
        <v>30</v>
      </c>
      <c r="J192" s="6" t="s">
        <v>31</v>
      </c>
      <c r="K192" s="6" t="s">
        <v>32</v>
      </c>
      <c r="L192" s="6" t="s">
        <v>1755</v>
      </c>
      <c r="M192" s="6" t="s">
        <v>33</v>
      </c>
      <c r="N192" s="10">
        <v>4</v>
      </c>
      <c r="O192" s="11">
        <v>2</v>
      </c>
      <c r="P192" s="12">
        <v>19</v>
      </c>
      <c r="Q192" s="13">
        <v>18.598345299999998</v>
      </c>
      <c r="R192" s="13">
        <v>-98.065132500000004</v>
      </c>
      <c r="S192" s="14" t="s">
        <v>190</v>
      </c>
      <c r="T192" s="14"/>
      <c r="U192" s="14"/>
      <c r="V192" s="14"/>
      <c r="W192" s="14"/>
      <c r="X192" s="14"/>
      <c r="Y192" s="14"/>
      <c r="Z192" s="14"/>
      <c r="AA192" s="15"/>
      <c r="AB192" s="16">
        <v>8.3333333333333329E-2</v>
      </c>
    </row>
    <row r="193" spans="1:28" x14ac:dyDescent="0.3">
      <c r="A193" s="6" t="s">
        <v>618</v>
      </c>
      <c r="B193" s="7" t="s">
        <v>25</v>
      </c>
      <c r="C193" s="34" t="s">
        <v>535</v>
      </c>
      <c r="D193" s="33" t="s">
        <v>1775</v>
      </c>
      <c r="E193" s="6" t="s">
        <v>619</v>
      </c>
      <c r="F193" s="6" t="s">
        <v>620</v>
      </c>
      <c r="G193" s="6" t="s">
        <v>29</v>
      </c>
      <c r="H193" s="7">
        <v>1</v>
      </c>
      <c r="I193" s="6" t="s">
        <v>30</v>
      </c>
      <c r="J193" s="6" t="s">
        <v>31</v>
      </c>
      <c r="K193" s="6" t="s">
        <v>32</v>
      </c>
      <c r="L193" s="6" t="s">
        <v>1755</v>
      </c>
      <c r="M193" s="6" t="s">
        <v>33</v>
      </c>
      <c r="N193" s="10">
        <v>8</v>
      </c>
      <c r="O193" s="11">
        <v>2</v>
      </c>
      <c r="P193" s="12">
        <v>32</v>
      </c>
      <c r="Q193" s="13">
        <v>19.818607</v>
      </c>
      <c r="R193" s="13">
        <v>-97.813686000000004</v>
      </c>
      <c r="S193" s="14" t="s">
        <v>190</v>
      </c>
      <c r="T193" s="14"/>
      <c r="U193" s="14"/>
      <c r="V193" s="14"/>
      <c r="W193" s="14"/>
      <c r="X193" s="14"/>
      <c r="Y193" s="14"/>
      <c r="Z193" s="14"/>
      <c r="AA193" s="15"/>
      <c r="AB193" s="16">
        <v>8.3333333333333329E-2</v>
      </c>
    </row>
    <row r="194" spans="1:28" x14ac:dyDescent="0.3">
      <c r="A194" s="6" t="s">
        <v>621</v>
      </c>
      <c r="B194" s="7" t="s">
        <v>25</v>
      </c>
      <c r="C194" s="34" t="s">
        <v>535</v>
      </c>
      <c r="D194" s="33" t="s">
        <v>1775</v>
      </c>
      <c r="E194" s="6" t="s">
        <v>622</v>
      </c>
      <c r="F194" s="6" t="s">
        <v>623</v>
      </c>
      <c r="G194" s="6" t="s">
        <v>29</v>
      </c>
      <c r="H194" s="7">
        <v>1</v>
      </c>
      <c r="I194" s="6" t="s">
        <v>30</v>
      </c>
      <c r="J194" s="6" t="s">
        <v>31</v>
      </c>
      <c r="K194" s="6" t="s">
        <v>32</v>
      </c>
      <c r="L194" s="6" t="s">
        <v>1755</v>
      </c>
      <c r="M194" s="6" t="s">
        <v>33</v>
      </c>
      <c r="N194" s="10">
        <v>8</v>
      </c>
      <c r="O194" s="11">
        <v>2</v>
      </c>
      <c r="P194" s="12">
        <v>27</v>
      </c>
      <c r="Q194" s="13">
        <v>20.277867799999999</v>
      </c>
      <c r="R194" s="13">
        <v>-98.1575433</v>
      </c>
      <c r="S194" s="14" t="s">
        <v>190</v>
      </c>
      <c r="T194" s="14"/>
      <c r="U194" s="14"/>
      <c r="V194" s="14"/>
      <c r="W194" s="14"/>
      <c r="X194" s="14"/>
      <c r="Y194" s="14"/>
      <c r="Z194" s="14"/>
      <c r="AA194" s="15"/>
      <c r="AB194" s="16">
        <v>8.3333333333333329E-2</v>
      </c>
    </row>
    <row r="195" spans="1:28" x14ac:dyDescent="0.3">
      <c r="A195" s="6" t="s">
        <v>624</v>
      </c>
      <c r="B195" s="7" t="s">
        <v>25</v>
      </c>
      <c r="C195" s="34" t="s">
        <v>535</v>
      </c>
      <c r="D195" s="33" t="s">
        <v>1775</v>
      </c>
      <c r="E195" s="6" t="s">
        <v>625</v>
      </c>
      <c r="F195" s="6" t="s">
        <v>626</v>
      </c>
      <c r="G195" s="6" t="s">
        <v>29</v>
      </c>
      <c r="H195" s="7">
        <v>1</v>
      </c>
      <c r="I195" s="6" t="s">
        <v>30</v>
      </c>
      <c r="J195" s="6" t="s">
        <v>31</v>
      </c>
      <c r="K195" s="6" t="s">
        <v>32</v>
      </c>
      <c r="L195" s="6" t="s">
        <v>1755</v>
      </c>
      <c r="M195" s="6" t="s">
        <v>33</v>
      </c>
      <c r="N195" s="10">
        <v>9</v>
      </c>
      <c r="O195" s="11">
        <v>2</v>
      </c>
      <c r="P195" s="12">
        <v>24</v>
      </c>
      <c r="Q195" s="13">
        <v>20.477243999999999</v>
      </c>
      <c r="R195" s="13">
        <v>-97.685379999999995</v>
      </c>
      <c r="S195" s="14" t="s">
        <v>190</v>
      </c>
      <c r="T195" s="14"/>
      <c r="U195" s="14"/>
      <c r="V195" s="14"/>
      <c r="W195" s="14"/>
      <c r="X195" s="14"/>
      <c r="Y195" s="14"/>
      <c r="Z195" s="14"/>
      <c r="AA195" s="15"/>
      <c r="AB195" s="16">
        <v>8.3333333333333329E-2</v>
      </c>
    </row>
    <row r="196" spans="1:28" x14ac:dyDescent="0.3">
      <c r="A196" s="6" t="s">
        <v>627</v>
      </c>
      <c r="B196" s="7" t="s">
        <v>25</v>
      </c>
      <c r="C196" s="34" t="s">
        <v>628</v>
      </c>
      <c r="D196" s="33" t="s">
        <v>1775</v>
      </c>
      <c r="E196" s="6" t="s">
        <v>629</v>
      </c>
      <c r="F196" s="6" t="s">
        <v>630</v>
      </c>
      <c r="G196" s="6" t="s">
        <v>29</v>
      </c>
      <c r="H196" s="7">
        <v>1</v>
      </c>
      <c r="I196" s="6" t="s">
        <v>30</v>
      </c>
      <c r="J196" s="6" t="s">
        <v>31</v>
      </c>
      <c r="K196" s="6" t="s">
        <v>32</v>
      </c>
      <c r="L196" s="6" t="s">
        <v>1755</v>
      </c>
      <c r="M196" s="6" t="s">
        <v>33</v>
      </c>
      <c r="N196" s="10">
        <v>6</v>
      </c>
      <c r="O196" s="11">
        <v>2</v>
      </c>
      <c r="P196" s="12">
        <v>21</v>
      </c>
      <c r="Q196" s="13">
        <v>18.6783936</v>
      </c>
      <c r="R196" s="13">
        <v>-88.388762999999997</v>
      </c>
      <c r="S196" s="14" t="s">
        <v>176</v>
      </c>
      <c r="T196" s="14"/>
      <c r="U196" s="14"/>
      <c r="V196" s="14"/>
      <c r="W196" s="14"/>
      <c r="X196" s="14"/>
      <c r="Y196" s="14"/>
      <c r="Z196" s="14"/>
      <c r="AA196" s="15"/>
      <c r="AB196" s="16">
        <v>4.1666666666666664E-2</v>
      </c>
    </row>
    <row r="197" spans="1:28" x14ac:dyDescent="0.3">
      <c r="A197" s="6" t="s">
        <v>631</v>
      </c>
      <c r="B197" s="7" t="s">
        <v>25</v>
      </c>
      <c r="C197" s="34" t="s">
        <v>628</v>
      </c>
      <c r="D197" s="33" t="s">
        <v>1775</v>
      </c>
      <c r="E197" s="6" t="s">
        <v>632</v>
      </c>
      <c r="F197" s="6" t="s">
        <v>633</v>
      </c>
      <c r="G197" s="6" t="s">
        <v>29</v>
      </c>
      <c r="H197" s="7">
        <v>1</v>
      </c>
      <c r="I197" s="6" t="s">
        <v>30</v>
      </c>
      <c r="J197" s="6" t="s">
        <v>31</v>
      </c>
      <c r="K197" s="6" t="s">
        <v>32</v>
      </c>
      <c r="L197" s="6" t="s">
        <v>1755</v>
      </c>
      <c r="M197" s="6" t="s">
        <v>33</v>
      </c>
      <c r="N197" s="10">
        <v>10</v>
      </c>
      <c r="O197" s="11">
        <v>1</v>
      </c>
      <c r="P197" s="12">
        <v>21</v>
      </c>
      <c r="Q197" s="13">
        <v>19.7463701</v>
      </c>
      <c r="R197" s="13">
        <v>-88.705877900000004</v>
      </c>
      <c r="S197" s="14" t="s">
        <v>176</v>
      </c>
      <c r="T197" s="14"/>
      <c r="U197" s="14"/>
      <c r="V197" s="14"/>
      <c r="W197" s="14"/>
      <c r="X197" s="14"/>
      <c r="Y197" s="14"/>
      <c r="Z197" s="14"/>
      <c r="AA197" s="15"/>
      <c r="AB197" s="16">
        <v>4.1666666666666664E-2</v>
      </c>
    </row>
    <row r="198" spans="1:28" x14ac:dyDescent="0.3">
      <c r="A198" s="6" t="s">
        <v>634</v>
      </c>
      <c r="B198" s="7" t="s">
        <v>25</v>
      </c>
      <c r="C198" s="34" t="s">
        <v>628</v>
      </c>
      <c r="D198" s="33" t="s">
        <v>1775</v>
      </c>
      <c r="E198" s="6" t="s">
        <v>635</v>
      </c>
      <c r="F198" s="6" t="s">
        <v>636</v>
      </c>
      <c r="G198" s="6" t="s">
        <v>29</v>
      </c>
      <c r="H198" s="7">
        <v>1</v>
      </c>
      <c r="I198" s="6" t="s">
        <v>30</v>
      </c>
      <c r="J198" s="6" t="s">
        <v>31</v>
      </c>
      <c r="K198" s="6" t="s">
        <v>32</v>
      </c>
      <c r="L198" s="6" t="s">
        <v>1755</v>
      </c>
      <c r="M198" s="6" t="s">
        <v>33</v>
      </c>
      <c r="N198" s="10">
        <v>6</v>
      </c>
      <c r="O198" s="11">
        <v>1</v>
      </c>
      <c r="P198" s="12">
        <v>17</v>
      </c>
      <c r="Q198" s="13">
        <v>21.105785999999998</v>
      </c>
      <c r="R198" s="13">
        <v>-87.486121900000001</v>
      </c>
      <c r="S198" s="14" t="s">
        <v>176</v>
      </c>
      <c r="T198" s="14"/>
      <c r="U198" s="14"/>
      <c r="V198" s="14"/>
      <c r="W198" s="14"/>
      <c r="X198" s="14"/>
      <c r="Y198" s="14"/>
      <c r="Z198" s="14"/>
      <c r="AA198" s="15"/>
      <c r="AB198" s="16">
        <v>4.1666666666666664E-2</v>
      </c>
    </row>
    <row r="199" spans="1:28" x14ac:dyDescent="0.3">
      <c r="A199" s="6" t="s">
        <v>637</v>
      </c>
      <c r="B199" s="7" t="s">
        <v>25</v>
      </c>
      <c r="C199" s="34" t="s">
        <v>628</v>
      </c>
      <c r="D199" s="33" t="s">
        <v>1775</v>
      </c>
      <c r="E199" s="6" t="s">
        <v>638</v>
      </c>
      <c r="F199" s="6" t="s">
        <v>639</v>
      </c>
      <c r="G199" s="6" t="s">
        <v>29</v>
      </c>
      <c r="H199" s="7">
        <v>1</v>
      </c>
      <c r="I199" s="6" t="s">
        <v>30</v>
      </c>
      <c r="J199" s="6" t="s">
        <v>31</v>
      </c>
      <c r="K199" s="6" t="s">
        <v>32</v>
      </c>
      <c r="L199" s="6" t="s">
        <v>1755</v>
      </c>
      <c r="M199" s="6" t="s">
        <v>33</v>
      </c>
      <c r="N199" s="10">
        <v>9</v>
      </c>
      <c r="O199" s="11">
        <v>3</v>
      </c>
      <c r="P199" s="12">
        <v>30</v>
      </c>
      <c r="Q199" s="13">
        <v>21.220455000000001</v>
      </c>
      <c r="R199" s="13">
        <v>-86.727023000000003</v>
      </c>
      <c r="S199" s="14" t="s">
        <v>176</v>
      </c>
      <c r="T199" s="14"/>
      <c r="U199" s="14"/>
      <c r="V199" s="14"/>
      <c r="W199" s="14"/>
      <c r="X199" s="14"/>
      <c r="Y199" s="14"/>
      <c r="Z199" s="14"/>
      <c r="AA199" s="15"/>
      <c r="AB199" s="16">
        <v>4.1666666666666664E-2</v>
      </c>
    </row>
    <row r="200" spans="1:28" x14ac:dyDescent="0.3">
      <c r="A200" s="6" t="s">
        <v>640</v>
      </c>
      <c r="B200" s="7" t="s">
        <v>25</v>
      </c>
      <c r="C200" s="34" t="s">
        <v>628</v>
      </c>
      <c r="D200" s="33" t="s">
        <v>1775</v>
      </c>
      <c r="E200" s="6" t="s">
        <v>641</v>
      </c>
      <c r="F200" s="6" t="s">
        <v>642</v>
      </c>
      <c r="G200" s="6" t="s">
        <v>29</v>
      </c>
      <c r="H200" s="7">
        <v>1</v>
      </c>
      <c r="I200" s="6" t="s">
        <v>30</v>
      </c>
      <c r="J200" s="6" t="s">
        <v>31</v>
      </c>
      <c r="K200" s="6" t="s">
        <v>32</v>
      </c>
      <c r="L200" s="6" t="s">
        <v>1755</v>
      </c>
      <c r="M200" s="6" t="s">
        <v>33</v>
      </c>
      <c r="N200" s="10">
        <v>4</v>
      </c>
      <c r="O200" s="11">
        <v>1</v>
      </c>
      <c r="P200" s="12">
        <v>8</v>
      </c>
      <c r="Q200" s="13">
        <v>18.453884800000001</v>
      </c>
      <c r="R200" s="13">
        <v>-88.932495700000004</v>
      </c>
      <c r="S200" s="14" t="s">
        <v>176</v>
      </c>
      <c r="T200" s="14"/>
      <c r="U200" s="14"/>
      <c r="V200" s="14"/>
      <c r="W200" s="14"/>
      <c r="X200" s="14"/>
      <c r="Y200" s="14"/>
      <c r="Z200" s="14"/>
      <c r="AA200" s="15"/>
      <c r="AB200" s="16">
        <v>4.1666666666666664E-2</v>
      </c>
    </row>
    <row r="201" spans="1:28" x14ac:dyDescent="0.3">
      <c r="A201" s="6" t="s">
        <v>643</v>
      </c>
      <c r="B201" s="7" t="s">
        <v>25</v>
      </c>
      <c r="C201" s="34" t="s">
        <v>628</v>
      </c>
      <c r="D201" s="33" t="s">
        <v>1775</v>
      </c>
      <c r="E201" s="6" t="s">
        <v>644</v>
      </c>
      <c r="F201" s="6" t="s">
        <v>645</v>
      </c>
      <c r="G201" s="6" t="s">
        <v>29</v>
      </c>
      <c r="H201" s="7">
        <v>1</v>
      </c>
      <c r="I201" s="6" t="s">
        <v>30</v>
      </c>
      <c r="J201" s="6" t="s">
        <v>31</v>
      </c>
      <c r="K201" s="6" t="s">
        <v>32</v>
      </c>
      <c r="L201" s="6" t="s">
        <v>1755</v>
      </c>
      <c r="M201" s="6" t="s">
        <v>33</v>
      </c>
      <c r="N201" s="10">
        <v>6</v>
      </c>
      <c r="O201" s="11">
        <v>0</v>
      </c>
      <c r="P201" s="12">
        <v>13</v>
      </c>
      <c r="Q201" s="13">
        <v>20.206857899999999</v>
      </c>
      <c r="R201" s="13">
        <v>-87.470106799999996</v>
      </c>
      <c r="S201" s="14" t="s">
        <v>176</v>
      </c>
      <c r="T201" s="14"/>
      <c r="U201" s="14"/>
      <c r="V201" s="14"/>
      <c r="W201" s="14"/>
      <c r="X201" s="14"/>
      <c r="Y201" s="14"/>
      <c r="Z201" s="14"/>
      <c r="AA201" s="15"/>
      <c r="AB201" s="16">
        <v>4.1666666666666664E-2</v>
      </c>
    </row>
    <row r="202" spans="1:28" x14ac:dyDescent="0.3">
      <c r="A202" s="6" t="s">
        <v>646</v>
      </c>
      <c r="B202" s="7" t="s">
        <v>25</v>
      </c>
      <c r="C202" s="34" t="s">
        <v>647</v>
      </c>
      <c r="D202" s="33" t="s">
        <v>1775</v>
      </c>
      <c r="E202" s="6" t="s">
        <v>648</v>
      </c>
      <c r="F202" s="6" t="s">
        <v>649</v>
      </c>
      <c r="G202" s="6" t="s">
        <v>29</v>
      </c>
      <c r="H202" s="7">
        <v>1</v>
      </c>
      <c r="I202" s="6" t="s">
        <v>30</v>
      </c>
      <c r="J202" s="6" t="s">
        <v>31</v>
      </c>
      <c r="K202" s="6" t="s">
        <v>32</v>
      </c>
      <c r="L202" s="6" t="s">
        <v>1755</v>
      </c>
      <c r="M202" s="6" t="s">
        <v>33</v>
      </c>
      <c r="N202" s="10">
        <v>7</v>
      </c>
      <c r="O202" s="11">
        <v>3</v>
      </c>
      <c r="P202" s="12">
        <v>28</v>
      </c>
      <c r="Q202" s="13">
        <v>21.625724000000002</v>
      </c>
      <c r="R202" s="13">
        <v>-99.016046000000003</v>
      </c>
      <c r="S202" s="14" t="s">
        <v>190</v>
      </c>
      <c r="T202" s="14"/>
      <c r="U202" s="14"/>
      <c r="V202" s="14"/>
      <c r="W202" s="14"/>
      <c r="X202" s="14"/>
      <c r="Y202" s="14"/>
      <c r="Z202" s="14"/>
      <c r="AA202" s="15"/>
      <c r="AB202" s="16">
        <v>8.3333333333333329E-2</v>
      </c>
    </row>
    <row r="203" spans="1:28" x14ac:dyDescent="0.3">
      <c r="A203" s="6" t="s">
        <v>650</v>
      </c>
      <c r="B203" s="7" t="s">
        <v>25</v>
      </c>
      <c r="C203" s="34" t="s">
        <v>647</v>
      </c>
      <c r="D203" s="33" t="s">
        <v>1775</v>
      </c>
      <c r="E203" s="6" t="s">
        <v>651</v>
      </c>
      <c r="F203" s="6" t="s">
        <v>652</v>
      </c>
      <c r="G203" s="6" t="s">
        <v>29</v>
      </c>
      <c r="H203" s="7">
        <v>1</v>
      </c>
      <c r="I203" s="6" t="s">
        <v>30</v>
      </c>
      <c r="J203" s="6" t="s">
        <v>31</v>
      </c>
      <c r="K203" s="6" t="s">
        <v>32</v>
      </c>
      <c r="L203" s="6" t="s">
        <v>1755</v>
      </c>
      <c r="M203" s="6" t="s">
        <v>33</v>
      </c>
      <c r="N203" s="10">
        <v>6</v>
      </c>
      <c r="O203" s="11">
        <v>1</v>
      </c>
      <c r="P203" s="12">
        <v>16</v>
      </c>
      <c r="Q203" s="13">
        <v>22.399570000000001</v>
      </c>
      <c r="R203" s="13">
        <v>-99.606881999999999</v>
      </c>
      <c r="S203" s="14" t="s">
        <v>190</v>
      </c>
      <c r="T203" s="14"/>
      <c r="U203" s="14"/>
      <c r="V203" s="14"/>
      <c r="W203" s="14"/>
      <c r="X203" s="14"/>
      <c r="Y203" s="14"/>
      <c r="Z203" s="14"/>
      <c r="AA203" s="15"/>
      <c r="AB203" s="16">
        <v>8.3333333333333329E-2</v>
      </c>
    </row>
    <row r="204" spans="1:28" x14ac:dyDescent="0.3">
      <c r="A204" s="6" t="s">
        <v>653</v>
      </c>
      <c r="B204" s="7" t="s">
        <v>25</v>
      </c>
      <c r="C204" s="34" t="s">
        <v>647</v>
      </c>
      <c r="D204" s="33" t="s">
        <v>1775</v>
      </c>
      <c r="E204" s="6" t="s">
        <v>654</v>
      </c>
      <c r="F204" s="6" t="s">
        <v>655</v>
      </c>
      <c r="G204" s="6" t="s">
        <v>29</v>
      </c>
      <c r="H204" s="7">
        <v>1</v>
      </c>
      <c r="I204" s="6" t="s">
        <v>30</v>
      </c>
      <c r="J204" s="6" t="s">
        <v>31</v>
      </c>
      <c r="K204" s="6" t="s">
        <v>32</v>
      </c>
      <c r="L204" s="6" t="s">
        <v>1755</v>
      </c>
      <c r="M204" s="6" t="s">
        <v>33</v>
      </c>
      <c r="N204" s="10">
        <v>8</v>
      </c>
      <c r="O204" s="11">
        <v>1</v>
      </c>
      <c r="P204" s="12">
        <v>22</v>
      </c>
      <c r="Q204" s="13">
        <v>22.618849999999998</v>
      </c>
      <c r="R204" s="13">
        <v>-101.72011999999999</v>
      </c>
      <c r="S204" s="14" t="s">
        <v>190</v>
      </c>
      <c r="T204" s="14"/>
      <c r="U204" s="14"/>
      <c r="V204" s="14"/>
      <c r="W204" s="14"/>
      <c r="X204" s="14"/>
      <c r="Y204" s="14"/>
      <c r="Z204" s="14"/>
      <c r="AA204" s="15"/>
      <c r="AB204" s="16">
        <v>8.3333333333333329E-2</v>
      </c>
    </row>
    <row r="205" spans="1:28" x14ac:dyDescent="0.3">
      <c r="A205" s="6" t="s">
        <v>656</v>
      </c>
      <c r="B205" s="7" t="s">
        <v>25</v>
      </c>
      <c r="C205" s="34" t="s">
        <v>647</v>
      </c>
      <c r="D205" s="33" t="s">
        <v>1775</v>
      </c>
      <c r="E205" s="6" t="s">
        <v>657</v>
      </c>
      <c r="F205" s="6" t="s">
        <v>658</v>
      </c>
      <c r="G205" s="6" t="s">
        <v>29</v>
      </c>
      <c r="H205" s="7">
        <v>1</v>
      </c>
      <c r="I205" s="6" t="s">
        <v>30</v>
      </c>
      <c r="J205" s="6" t="s">
        <v>31</v>
      </c>
      <c r="K205" s="6" t="s">
        <v>32</v>
      </c>
      <c r="L205" s="6" t="s">
        <v>1755</v>
      </c>
      <c r="M205" s="6" t="s">
        <v>33</v>
      </c>
      <c r="N205" s="10">
        <v>6</v>
      </c>
      <c r="O205" s="11">
        <v>1</v>
      </c>
      <c r="P205" s="12">
        <v>20</v>
      </c>
      <c r="Q205" s="13">
        <v>21.277280000000001</v>
      </c>
      <c r="R205" s="13">
        <v>-98.75067</v>
      </c>
      <c r="S205" s="14" t="s">
        <v>190</v>
      </c>
      <c r="T205" s="14"/>
      <c r="U205" s="14"/>
      <c r="V205" s="14"/>
      <c r="W205" s="14"/>
      <c r="X205" s="14"/>
      <c r="Y205" s="14"/>
      <c r="Z205" s="14"/>
      <c r="AA205" s="15"/>
      <c r="AB205" s="16">
        <v>8.3333333333333329E-2</v>
      </c>
    </row>
    <row r="206" spans="1:28" x14ac:dyDescent="0.3">
      <c r="A206" s="6" t="s">
        <v>659</v>
      </c>
      <c r="B206" s="7" t="s">
        <v>25</v>
      </c>
      <c r="C206" s="34" t="s">
        <v>647</v>
      </c>
      <c r="D206" s="33" t="s">
        <v>1775</v>
      </c>
      <c r="E206" s="6" t="s">
        <v>660</v>
      </c>
      <c r="F206" s="6" t="s">
        <v>661</v>
      </c>
      <c r="G206" s="6" t="s">
        <v>29</v>
      </c>
      <c r="H206" s="7">
        <v>1</v>
      </c>
      <c r="I206" s="6" t="s">
        <v>30</v>
      </c>
      <c r="J206" s="6" t="s">
        <v>31</v>
      </c>
      <c r="K206" s="6" t="s">
        <v>32</v>
      </c>
      <c r="L206" s="6" t="s">
        <v>1755</v>
      </c>
      <c r="M206" s="6" t="s">
        <v>33</v>
      </c>
      <c r="N206" s="10">
        <v>7</v>
      </c>
      <c r="O206" s="11">
        <v>1</v>
      </c>
      <c r="P206" s="12">
        <v>17</v>
      </c>
      <c r="Q206" s="13">
        <v>22.639489999999999</v>
      </c>
      <c r="R206" s="13">
        <v>-100.83897</v>
      </c>
      <c r="S206" s="14" t="s">
        <v>190</v>
      </c>
      <c r="T206" s="14"/>
      <c r="U206" s="14"/>
      <c r="V206" s="14"/>
      <c r="W206" s="14"/>
      <c r="X206" s="14"/>
      <c r="Y206" s="14"/>
      <c r="Z206" s="14"/>
      <c r="AA206" s="15"/>
      <c r="AB206" s="16">
        <v>8.3333333333333329E-2</v>
      </c>
    </row>
    <row r="207" spans="1:28" x14ac:dyDescent="0.3">
      <c r="A207" s="6" t="s">
        <v>662</v>
      </c>
      <c r="B207" s="7" t="s">
        <v>25</v>
      </c>
      <c r="C207" s="34" t="s">
        <v>647</v>
      </c>
      <c r="D207" s="33" t="s">
        <v>1775</v>
      </c>
      <c r="E207" s="6" t="s">
        <v>663</v>
      </c>
      <c r="F207" s="6" t="s">
        <v>664</v>
      </c>
      <c r="G207" s="6" t="s">
        <v>29</v>
      </c>
      <c r="H207" s="7">
        <v>1</v>
      </c>
      <c r="I207" s="6" t="s">
        <v>30</v>
      </c>
      <c r="J207" s="6" t="s">
        <v>31</v>
      </c>
      <c r="K207" s="6" t="s">
        <v>32</v>
      </c>
      <c r="L207" s="6" t="s">
        <v>1755</v>
      </c>
      <c r="M207" s="6" t="s">
        <v>84</v>
      </c>
      <c r="N207" s="10">
        <v>9</v>
      </c>
      <c r="O207" s="11">
        <v>2</v>
      </c>
      <c r="P207" s="12">
        <v>38</v>
      </c>
      <c r="Q207" s="13">
        <v>22.2149444</v>
      </c>
      <c r="R207" s="13">
        <v>-98.379060999999993</v>
      </c>
      <c r="S207" s="14" t="s">
        <v>190</v>
      </c>
      <c r="T207" s="14"/>
      <c r="U207" s="14"/>
      <c r="V207" s="14"/>
      <c r="W207" s="14"/>
      <c r="X207" s="14"/>
      <c r="Y207" s="14"/>
      <c r="Z207" s="14"/>
      <c r="AA207" s="15"/>
      <c r="AB207" s="16">
        <v>8.3333333333333329E-2</v>
      </c>
    </row>
    <row r="208" spans="1:28" x14ac:dyDescent="0.3">
      <c r="A208" s="6" t="s">
        <v>665</v>
      </c>
      <c r="B208" s="7" t="s">
        <v>25</v>
      </c>
      <c r="C208" s="34" t="s">
        <v>647</v>
      </c>
      <c r="D208" s="33" t="s">
        <v>1775</v>
      </c>
      <c r="E208" s="6" t="s">
        <v>666</v>
      </c>
      <c r="F208" s="6" t="s">
        <v>667</v>
      </c>
      <c r="G208" s="6" t="s">
        <v>29</v>
      </c>
      <c r="H208" s="7">
        <v>1</v>
      </c>
      <c r="I208" s="6" t="s">
        <v>30</v>
      </c>
      <c r="J208" s="6" t="s">
        <v>31</v>
      </c>
      <c r="K208" s="6" t="s">
        <v>32</v>
      </c>
      <c r="L208" s="6" t="s">
        <v>1755</v>
      </c>
      <c r="M208" s="6" t="s">
        <v>33</v>
      </c>
      <c r="N208" s="10">
        <v>3</v>
      </c>
      <c r="O208" s="11">
        <v>2</v>
      </c>
      <c r="P208" s="12">
        <v>20</v>
      </c>
      <c r="Q208" s="13">
        <v>22.014194400000001</v>
      </c>
      <c r="R208" s="13">
        <v>-98.788833299999993</v>
      </c>
      <c r="S208" s="14" t="s">
        <v>190</v>
      </c>
      <c r="T208" s="14"/>
      <c r="U208" s="14"/>
      <c r="V208" s="14"/>
      <c r="W208" s="14"/>
      <c r="X208" s="14"/>
      <c r="Y208" s="14"/>
      <c r="Z208" s="14"/>
      <c r="AA208" s="15"/>
      <c r="AB208" s="16">
        <v>8.3333333333333329E-2</v>
      </c>
    </row>
    <row r="209" spans="1:28" x14ac:dyDescent="0.3">
      <c r="A209" s="6" t="s">
        <v>668</v>
      </c>
      <c r="B209" s="7" t="s">
        <v>25</v>
      </c>
      <c r="C209" s="34" t="s">
        <v>647</v>
      </c>
      <c r="D209" s="33" t="s">
        <v>1775</v>
      </c>
      <c r="E209" s="6" t="s">
        <v>669</v>
      </c>
      <c r="F209" s="6" t="s">
        <v>670</v>
      </c>
      <c r="G209" s="6" t="s">
        <v>29</v>
      </c>
      <c r="H209" s="7">
        <v>1</v>
      </c>
      <c r="I209" s="6" t="s">
        <v>30</v>
      </c>
      <c r="J209" s="6" t="s">
        <v>31</v>
      </c>
      <c r="K209" s="6" t="s">
        <v>32</v>
      </c>
      <c r="L209" s="6" t="s">
        <v>1755</v>
      </c>
      <c r="M209" s="6" t="s">
        <v>33</v>
      </c>
      <c r="N209" s="10">
        <v>10</v>
      </c>
      <c r="O209" s="11">
        <v>2</v>
      </c>
      <c r="P209" s="12">
        <v>14</v>
      </c>
      <c r="Q209" s="13">
        <v>21.372530000000001</v>
      </c>
      <c r="R209" s="13">
        <v>-99.006029999999996</v>
      </c>
      <c r="S209" s="14" t="s">
        <v>190</v>
      </c>
      <c r="T209" s="14"/>
      <c r="U209" s="14"/>
      <c r="V209" s="14"/>
      <c r="W209" s="14"/>
      <c r="X209" s="14"/>
      <c r="Y209" s="14"/>
      <c r="Z209" s="14"/>
      <c r="AA209" s="15"/>
      <c r="AB209" s="16">
        <v>8.3333333333333329E-2</v>
      </c>
    </row>
    <row r="210" spans="1:28" x14ac:dyDescent="0.3">
      <c r="A210" s="6" t="s">
        <v>671</v>
      </c>
      <c r="B210" s="7" t="s">
        <v>25</v>
      </c>
      <c r="C210" s="34" t="s">
        <v>672</v>
      </c>
      <c r="D210" s="33" t="s">
        <v>1775</v>
      </c>
      <c r="E210" s="6" t="s">
        <v>673</v>
      </c>
      <c r="F210" s="6" t="s">
        <v>674</v>
      </c>
      <c r="G210" s="6" t="s">
        <v>29</v>
      </c>
      <c r="H210" s="7">
        <v>1</v>
      </c>
      <c r="I210" s="6" t="s">
        <v>30</v>
      </c>
      <c r="J210" s="6" t="s">
        <v>31</v>
      </c>
      <c r="K210" s="6" t="s">
        <v>32</v>
      </c>
      <c r="L210" s="6" t="s">
        <v>1755</v>
      </c>
      <c r="M210" s="6" t="s">
        <v>33</v>
      </c>
      <c r="N210" s="10">
        <v>5</v>
      </c>
      <c r="O210" s="11">
        <v>1</v>
      </c>
      <c r="P210" s="12">
        <v>33</v>
      </c>
      <c r="Q210" s="13">
        <v>25.368026700000001</v>
      </c>
      <c r="R210" s="13">
        <v>-108.1564539</v>
      </c>
      <c r="S210" s="14" t="s">
        <v>190</v>
      </c>
      <c r="T210" s="14"/>
      <c r="U210" s="14"/>
      <c r="V210" s="14"/>
      <c r="W210" s="14"/>
      <c r="X210" s="14"/>
      <c r="Y210" s="14"/>
      <c r="Z210" s="14"/>
      <c r="AA210" s="15"/>
      <c r="AB210" s="16">
        <v>8.3333333333333329E-2</v>
      </c>
    </row>
    <row r="211" spans="1:28" x14ac:dyDescent="0.3">
      <c r="A211" s="6" t="s">
        <v>675</v>
      </c>
      <c r="B211" s="7" t="s">
        <v>25</v>
      </c>
      <c r="C211" s="34" t="s">
        <v>672</v>
      </c>
      <c r="D211" s="33" t="s">
        <v>1775</v>
      </c>
      <c r="E211" s="6" t="s">
        <v>676</v>
      </c>
      <c r="F211" s="6" t="s">
        <v>677</v>
      </c>
      <c r="G211" s="6" t="s">
        <v>29</v>
      </c>
      <c r="H211" s="7">
        <v>1</v>
      </c>
      <c r="I211" s="6" t="s">
        <v>30</v>
      </c>
      <c r="J211" s="6" t="s">
        <v>31</v>
      </c>
      <c r="K211" s="6" t="s">
        <v>32</v>
      </c>
      <c r="L211" s="6" t="s">
        <v>1755</v>
      </c>
      <c r="M211" s="6" t="s">
        <v>33</v>
      </c>
      <c r="N211" s="10">
        <v>8</v>
      </c>
      <c r="O211" s="11">
        <v>2</v>
      </c>
      <c r="P211" s="12">
        <v>15</v>
      </c>
      <c r="Q211" s="13">
        <v>25.351084700000001</v>
      </c>
      <c r="R211" s="13">
        <v>-107.5551293</v>
      </c>
      <c r="S211" s="14" t="s">
        <v>190</v>
      </c>
      <c r="T211" s="14"/>
      <c r="U211" s="14"/>
      <c r="V211" s="14"/>
      <c r="W211" s="14"/>
      <c r="X211" s="14"/>
      <c r="Y211" s="14"/>
      <c r="Z211" s="14"/>
      <c r="AA211" s="15"/>
      <c r="AB211" s="16">
        <v>8.3333333333333329E-2</v>
      </c>
    </row>
    <row r="212" spans="1:28" x14ac:dyDescent="0.3">
      <c r="A212" s="6" t="s">
        <v>678</v>
      </c>
      <c r="B212" s="7" t="s">
        <v>25</v>
      </c>
      <c r="C212" s="34" t="s">
        <v>672</v>
      </c>
      <c r="D212" s="33" t="s">
        <v>1775</v>
      </c>
      <c r="E212" s="6" t="s">
        <v>679</v>
      </c>
      <c r="F212" s="6" t="s">
        <v>680</v>
      </c>
      <c r="G212" s="6" t="s">
        <v>29</v>
      </c>
      <c r="H212" s="7">
        <v>1</v>
      </c>
      <c r="I212" s="6" t="s">
        <v>30</v>
      </c>
      <c r="J212" s="6" t="s">
        <v>31</v>
      </c>
      <c r="K212" s="6" t="s">
        <v>32</v>
      </c>
      <c r="L212" s="6" t="s">
        <v>1755</v>
      </c>
      <c r="M212" s="6" t="s">
        <v>33</v>
      </c>
      <c r="N212" s="10">
        <v>6</v>
      </c>
      <c r="O212" s="11">
        <v>3</v>
      </c>
      <c r="P212" s="12">
        <v>20</v>
      </c>
      <c r="Q212" s="13">
        <v>23.2853976</v>
      </c>
      <c r="R212" s="13">
        <v>-106.066862</v>
      </c>
      <c r="S212" s="14" t="s">
        <v>190</v>
      </c>
      <c r="T212" s="14"/>
      <c r="U212" s="14"/>
      <c r="V212" s="14"/>
      <c r="W212" s="14"/>
      <c r="X212" s="14"/>
      <c r="Y212" s="14"/>
      <c r="Z212" s="14"/>
      <c r="AA212" s="15"/>
      <c r="AB212" s="16">
        <v>8.3333333333333329E-2</v>
      </c>
    </row>
    <row r="213" spans="1:28" x14ac:dyDescent="0.3">
      <c r="A213" s="6" t="s">
        <v>681</v>
      </c>
      <c r="B213" s="7" t="s">
        <v>25</v>
      </c>
      <c r="C213" s="34" t="s">
        <v>672</v>
      </c>
      <c r="D213" s="33" t="s">
        <v>1775</v>
      </c>
      <c r="E213" s="6" t="s">
        <v>682</v>
      </c>
      <c r="F213" s="6" t="s">
        <v>683</v>
      </c>
      <c r="G213" s="6" t="s">
        <v>29</v>
      </c>
      <c r="H213" s="7">
        <v>1</v>
      </c>
      <c r="I213" s="6" t="s">
        <v>30</v>
      </c>
      <c r="J213" s="6" t="s">
        <v>31</v>
      </c>
      <c r="K213" s="6" t="s">
        <v>32</v>
      </c>
      <c r="L213" s="6" t="s">
        <v>1755</v>
      </c>
      <c r="M213" s="6" t="s">
        <v>33</v>
      </c>
      <c r="N213" s="10">
        <v>11</v>
      </c>
      <c r="O213" s="11">
        <v>2</v>
      </c>
      <c r="P213" s="12">
        <v>16</v>
      </c>
      <c r="Q213" s="13">
        <v>24.410132399999998</v>
      </c>
      <c r="R213" s="13">
        <v>-106.6910791</v>
      </c>
      <c r="S213" s="14" t="s">
        <v>190</v>
      </c>
      <c r="T213" s="14"/>
      <c r="U213" s="14"/>
      <c r="V213" s="14"/>
      <c r="W213" s="14"/>
      <c r="X213" s="14"/>
      <c r="Y213" s="14"/>
      <c r="Z213" s="14"/>
      <c r="AA213" s="15"/>
      <c r="AB213" s="16">
        <v>8.3333333333333329E-2</v>
      </c>
    </row>
    <row r="214" spans="1:28" x14ac:dyDescent="0.3">
      <c r="A214" s="6" t="s">
        <v>684</v>
      </c>
      <c r="B214" s="7" t="s">
        <v>25</v>
      </c>
      <c r="C214" s="34" t="s">
        <v>672</v>
      </c>
      <c r="D214" s="33" t="s">
        <v>1775</v>
      </c>
      <c r="E214" s="6" t="s">
        <v>685</v>
      </c>
      <c r="F214" s="6" t="s">
        <v>686</v>
      </c>
      <c r="G214" s="6" t="s">
        <v>29</v>
      </c>
      <c r="H214" s="7">
        <v>1</v>
      </c>
      <c r="I214" s="6" t="s">
        <v>30</v>
      </c>
      <c r="J214" s="6" t="s">
        <v>31</v>
      </c>
      <c r="K214" s="6" t="s">
        <v>32</v>
      </c>
      <c r="L214" s="6" t="s">
        <v>1755</v>
      </c>
      <c r="M214" s="6" t="s">
        <v>33</v>
      </c>
      <c r="N214" s="10">
        <v>13</v>
      </c>
      <c r="O214" s="11">
        <v>2</v>
      </c>
      <c r="P214" s="12">
        <v>23</v>
      </c>
      <c r="Q214" s="13">
        <v>26.712886600000001</v>
      </c>
      <c r="R214" s="13">
        <v>-108.3234903</v>
      </c>
      <c r="S214" s="14" t="s">
        <v>190</v>
      </c>
      <c r="T214" s="14"/>
      <c r="U214" s="14"/>
      <c r="V214" s="14"/>
      <c r="W214" s="14"/>
      <c r="X214" s="14"/>
      <c r="Y214" s="14"/>
      <c r="Z214" s="14"/>
      <c r="AA214" s="15"/>
      <c r="AB214" s="16">
        <v>8.3333333333333329E-2</v>
      </c>
    </row>
    <row r="215" spans="1:28" x14ac:dyDescent="0.3">
      <c r="A215" s="6" t="s">
        <v>687</v>
      </c>
      <c r="B215" s="7" t="s">
        <v>25</v>
      </c>
      <c r="C215" s="34" t="s">
        <v>672</v>
      </c>
      <c r="D215" s="33" t="s">
        <v>1775</v>
      </c>
      <c r="E215" s="6" t="s">
        <v>688</v>
      </c>
      <c r="F215" s="6" t="s">
        <v>689</v>
      </c>
      <c r="G215" s="6" t="s">
        <v>29</v>
      </c>
      <c r="H215" s="7">
        <v>1</v>
      </c>
      <c r="I215" s="6" t="s">
        <v>30</v>
      </c>
      <c r="J215" s="6" t="s">
        <v>31</v>
      </c>
      <c r="K215" s="6" t="s">
        <v>32</v>
      </c>
      <c r="L215" s="6" t="s">
        <v>1755</v>
      </c>
      <c r="M215" s="6" t="s">
        <v>33</v>
      </c>
      <c r="N215" s="10">
        <v>8</v>
      </c>
      <c r="O215" s="11">
        <v>2</v>
      </c>
      <c r="P215" s="12">
        <v>24</v>
      </c>
      <c r="Q215" s="13">
        <v>25.481985099999999</v>
      </c>
      <c r="R215" s="13">
        <v>-107.92313729999999</v>
      </c>
      <c r="S215" s="14" t="s">
        <v>190</v>
      </c>
      <c r="T215" s="14"/>
      <c r="U215" s="14"/>
      <c r="V215" s="14"/>
      <c r="W215" s="14"/>
      <c r="X215" s="14"/>
      <c r="Y215" s="14"/>
      <c r="Z215" s="14"/>
      <c r="AA215" s="15"/>
      <c r="AB215" s="16">
        <v>8.3333333333333329E-2</v>
      </c>
    </row>
    <row r="216" spans="1:28" x14ac:dyDescent="0.3">
      <c r="A216" s="6" t="s">
        <v>690</v>
      </c>
      <c r="B216" s="7" t="s">
        <v>25</v>
      </c>
      <c r="C216" s="34" t="s">
        <v>672</v>
      </c>
      <c r="D216" s="33" t="s">
        <v>1775</v>
      </c>
      <c r="E216" s="6" t="s">
        <v>691</v>
      </c>
      <c r="F216" s="6" t="s">
        <v>692</v>
      </c>
      <c r="G216" s="6" t="s">
        <v>29</v>
      </c>
      <c r="H216" s="7">
        <v>1</v>
      </c>
      <c r="I216" s="6" t="s">
        <v>30</v>
      </c>
      <c r="J216" s="6" t="s">
        <v>31</v>
      </c>
      <c r="K216" s="6" t="s">
        <v>32</v>
      </c>
      <c r="L216" s="6" t="s">
        <v>1755</v>
      </c>
      <c r="M216" s="6" t="s">
        <v>33</v>
      </c>
      <c r="N216" s="10">
        <v>9</v>
      </c>
      <c r="O216" s="11">
        <v>2</v>
      </c>
      <c r="P216" s="12">
        <v>21</v>
      </c>
      <c r="Q216" s="13">
        <v>22.994930799999999</v>
      </c>
      <c r="R216" s="13">
        <v>-105.8566385</v>
      </c>
      <c r="S216" s="14" t="s">
        <v>190</v>
      </c>
      <c r="T216" s="14"/>
      <c r="U216" s="14"/>
      <c r="V216" s="14"/>
      <c r="W216" s="14"/>
      <c r="X216" s="14"/>
      <c r="Y216" s="14"/>
      <c r="Z216" s="14"/>
      <c r="AA216" s="15"/>
      <c r="AB216" s="16">
        <v>8.3333333333333329E-2</v>
      </c>
    </row>
    <row r="217" spans="1:28" x14ac:dyDescent="0.3">
      <c r="A217" s="6" t="s">
        <v>693</v>
      </c>
      <c r="B217" s="7" t="s">
        <v>25</v>
      </c>
      <c r="C217" s="34" t="s">
        <v>672</v>
      </c>
      <c r="D217" s="33" t="s">
        <v>1775</v>
      </c>
      <c r="E217" s="6" t="s">
        <v>672</v>
      </c>
      <c r="F217" s="6" t="s">
        <v>694</v>
      </c>
      <c r="G217" s="6" t="s">
        <v>29</v>
      </c>
      <c r="H217" s="7">
        <v>1</v>
      </c>
      <c r="I217" s="6" t="s">
        <v>30</v>
      </c>
      <c r="J217" s="6" t="s">
        <v>31</v>
      </c>
      <c r="K217" s="6" t="s">
        <v>32</v>
      </c>
      <c r="L217" s="6" t="s">
        <v>1755</v>
      </c>
      <c r="M217" s="6" t="s">
        <v>33</v>
      </c>
      <c r="N217" s="10">
        <v>9</v>
      </c>
      <c r="O217" s="11">
        <v>3</v>
      </c>
      <c r="P217" s="12">
        <v>19</v>
      </c>
      <c r="Q217" s="13">
        <v>25.8167987</v>
      </c>
      <c r="R217" s="13">
        <v>-108.2297748</v>
      </c>
      <c r="S217" s="14" t="s">
        <v>190</v>
      </c>
      <c r="T217" s="14"/>
      <c r="U217" s="14"/>
      <c r="V217" s="14"/>
      <c r="W217" s="14"/>
      <c r="X217" s="14"/>
      <c r="Y217" s="14"/>
      <c r="Z217" s="14"/>
      <c r="AA217" s="15"/>
      <c r="AB217" s="16">
        <v>8.3333333333333329E-2</v>
      </c>
    </row>
    <row r="218" spans="1:28" x14ac:dyDescent="0.3">
      <c r="A218" s="6" t="s">
        <v>695</v>
      </c>
      <c r="B218" s="7" t="s">
        <v>25</v>
      </c>
      <c r="C218" s="34" t="s">
        <v>672</v>
      </c>
      <c r="D218" s="33" t="s">
        <v>1775</v>
      </c>
      <c r="E218" s="6" t="s">
        <v>696</v>
      </c>
      <c r="F218" s="6" t="s">
        <v>697</v>
      </c>
      <c r="G218" s="6" t="s">
        <v>29</v>
      </c>
      <c r="H218" s="7">
        <v>1</v>
      </c>
      <c r="I218" s="6" t="s">
        <v>30</v>
      </c>
      <c r="J218" s="6" t="s">
        <v>31</v>
      </c>
      <c r="K218" s="6" t="s">
        <v>32</v>
      </c>
      <c r="L218" s="6" t="s">
        <v>1755</v>
      </c>
      <c r="M218" s="6" t="s">
        <v>33</v>
      </c>
      <c r="N218" s="10">
        <v>7</v>
      </c>
      <c r="O218" s="11">
        <v>2</v>
      </c>
      <c r="P218" s="12">
        <v>18</v>
      </c>
      <c r="Q218" s="13">
        <v>24.760544599999999</v>
      </c>
      <c r="R218" s="13">
        <v>-107.68260789999999</v>
      </c>
      <c r="S218" s="14" t="s">
        <v>190</v>
      </c>
      <c r="T218" s="14"/>
      <c r="U218" s="14"/>
      <c r="V218" s="14"/>
      <c r="W218" s="14"/>
      <c r="X218" s="14"/>
      <c r="Y218" s="14"/>
      <c r="Z218" s="14"/>
      <c r="AA218" s="15"/>
      <c r="AB218" s="16">
        <v>8.3333333333333329E-2</v>
      </c>
    </row>
    <row r="219" spans="1:28" x14ac:dyDescent="0.3">
      <c r="A219" s="6" t="s">
        <v>698</v>
      </c>
      <c r="B219" s="7" t="s">
        <v>25</v>
      </c>
      <c r="C219" s="34" t="s">
        <v>672</v>
      </c>
      <c r="D219" s="33" t="s">
        <v>1775</v>
      </c>
      <c r="E219" s="6" t="s">
        <v>699</v>
      </c>
      <c r="F219" s="6" t="s">
        <v>700</v>
      </c>
      <c r="G219" s="6" t="s">
        <v>29</v>
      </c>
      <c r="H219" s="7">
        <v>1</v>
      </c>
      <c r="I219" s="6" t="s">
        <v>30</v>
      </c>
      <c r="J219" s="6" t="s">
        <v>31</v>
      </c>
      <c r="K219" s="6" t="s">
        <v>32</v>
      </c>
      <c r="L219" s="6" t="s">
        <v>1755</v>
      </c>
      <c r="M219" s="6" t="s">
        <v>33</v>
      </c>
      <c r="N219" s="10">
        <v>7</v>
      </c>
      <c r="O219" s="11">
        <v>0</v>
      </c>
      <c r="P219" s="12">
        <v>29</v>
      </c>
      <c r="Q219" s="13">
        <v>26.2662908</v>
      </c>
      <c r="R219" s="13">
        <v>-109.03464200000001</v>
      </c>
      <c r="S219" s="14" t="s">
        <v>190</v>
      </c>
      <c r="T219" s="14"/>
      <c r="U219" s="14"/>
      <c r="V219" s="14"/>
      <c r="W219" s="14"/>
      <c r="X219" s="14"/>
      <c r="Y219" s="14"/>
      <c r="Z219" s="14"/>
      <c r="AA219" s="15"/>
      <c r="AB219" s="16">
        <v>8.3333333333333329E-2</v>
      </c>
    </row>
    <row r="220" spans="1:28" x14ac:dyDescent="0.3">
      <c r="A220" s="6" t="s">
        <v>701</v>
      </c>
      <c r="B220" s="7" t="s">
        <v>25</v>
      </c>
      <c r="C220" s="34" t="s">
        <v>672</v>
      </c>
      <c r="D220" s="33" t="s">
        <v>1775</v>
      </c>
      <c r="E220" s="6" t="s">
        <v>702</v>
      </c>
      <c r="F220" s="6" t="s">
        <v>703</v>
      </c>
      <c r="G220" s="6" t="s">
        <v>29</v>
      </c>
      <c r="H220" s="7">
        <v>1</v>
      </c>
      <c r="I220" s="6" t="s">
        <v>30</v>
      </c>
      <c r="J220" s="6" t="s">
        <v>31</v>
      </c>
      <c r="K220" s="6" t="s">
        <v>32</v>
      </c>
      <c r="L220" s="6" t="s">
        <v>1755</v>
      </c>
      <c r="M220" s="6" t="s">
        <v>33</v>
      </c>
      <c r="N220" s="10">
        <v>13</v>
      </c>
      <c r="O220" s="11">
        <v>2</v>
      </c>
      <c r="P220" s="12">
        <v>19</v>
      </c>
      <c r="Q220" s="13">
        <v>23.944625200000001</v>
      </c>
      <c r="R220" s="13">
        <v>-106.4231693</v>
      </c>
      <c r="S220" s="14" t="s">
        <v>190</v>
      </c>
      <c r="T220" s="14"/>
      <c r="U220" s="14"/>
      <c r="V220" s="14"/>
      <c r="W220" s="14"/>
      <c r="X220" s="14"/>
      <c r="Y220" s="14"/>
      <c r="Z220" s="14"/>
      <c r="AA220" s="15"/>
      <c r="AB220" s="16">
        <v>8.3333333333333329E-2</v>
      </c>
    </row>
    <row r="221" spans="1:28" x14ac:dyDescent="0.3">
      <c r="A221" s="6" t="s">
        <v>704</v>
      </c>
      <c r="B221" s="7" t="s">
        <v>25</v>
      </c>
      <c r="C221" s="34" t="s">
        <v>672</v>
      </c>
      <c r="D221" s="33" t="s">
        <v>1775</v>
      </c>
      <c r="E221" s="6" t="s">
        <v>705</v>
      </c>
      <c r="F221" s="6" t="s">
        <v>706</v>
      </c>
      <c r="G221" s="6" t="s">
        <v>29</v>
      </c>
      <c r="H221" s="7">
        <v>1</v>
      </c>
      <c r="I221" s="6" t="s">
        <v>30</v>
      </c>
      <c r="J221" s="6" t="s">
        <v>31</v>
      </c>
      <c r="K221" s="6" t="s">
        <v>32</v>
      </c>
      <c r="L221" s="6" t="s">
        <v>1755</v>
      </c>
      <c r="M221" s="6" t="s">
        <v>33</v>
      </c>
      <c r="N221" s="10">
        <v>7</v>
      </c>
      <c r="O221" s="11">
        <v>2</v>
      </c>
      <c r="P221" s="12">
        <v>18</v>
      </c>
      <c r="Q221" s="13">
        <v>24.2915204</v>
      </c>
      <c r="R221" s="13">
        <v>-107.1508884</v>
      </c>
      <c r="S221" s="14" t="s">
        <v>190</v>
      </c>
      <c r="T221" s="14"/>
      <c r="U221" s="14"/>
      <c r="V221" s="14"/>
      <c r="W221" s="14"/>
      <c r="X221" s="14"/>
      <c r="Y221" s="14"/>
      <c r="Z221" s="14"/>
      <c r="AA221" s="15"/>
      <c r="AB221" s="16">
        <v>8.3333333333333329E-2</v>
      </c>
    </row>
    <row r="222" spans="1:28" x14ac:dyDescent="0.3">
      <c r="A222" s="6" t="s">
        <v>707</v>
      </c>
      <c r="B222" s="7" t="s">
        <v>25</v>
      </c>
      <c r="C222" s="34" t="s">
        <v>708</v>
      </c>
      <c r="D222" s="33" t="s">
        <v>1775</v>
      </c>
      <c r="E222" s="18" t="s">
        <v>708</v>
      </c>
      <c r="F222" s="6" t="s">
        <v>709</v>
      </c>
      <c r="G222" s="6" t="s">
        <v>111</v>
      </c>
      <c r="H222" s="7">
        <v>1</v>
      </c>
      <c r="I222" s="6" t="s">
        <v>112</v>
      </c>
      <c r="J222" s="6" t="s">
        <v>31</v>
      </c>
      <c r="K222" s="6" t="s">
        <v>32</v>
      </c>
      <c r="L222" s="6" t="s">
        <v>1756</v>
      </c>
      <c r="M222" s="6" t="s">
        <v>33</v>
      </c>
      <c r="N222" s="10">
        <v>23</v>
      </c>
      <c r="O222" s="11">
        <v>2</v>
      </c>
      <c r="P222" s="12">
        <v>108</v>
      </c>
      <c r="Q222" s="13">
        <v>19.2581366</v>
      </c>
      <c r="R222" s="13">
        <v>-103.68983780000001</v>
      </c>
      <c r="S222" s="14" t="s">
        <v>34</v>
      </c>
      <c r="T222" s="14" t="s">
        <v>175</v>
      </c>
      <c r="U222" s="14" t="s">
        <v>213</v>
      </c>
      <c r="V222" s="14" t="s">
        <v>213</v>
      </c>
      <c r="W222" s="14"/>
      <c r="X222" s="14"/>
      <c r="Y222" s="14"/>
      <c r="Z222" s="14"/>
      <c r="AA222" s="15"/>
      <c r="AB222" s="16">
        <v>0.29166666666666663</v>
      </c>
    </row>
    <row r="223" spans="1:28" x14ac:dyDescent="0.3">
      <c r="A223" s="6" t="s">
        <v>710</v>
      </c>
      <c r="B223" s="7" t="s">
        <v>25</v>
      </c>
      <c r="C223" s="34" t="s">
        <v>708</v>
      </c>
      <c r="D223" s="33" t="s">
        <v>1775</v>
      </c>
      <c r="E223" s="18" t="s">
        <v>711</v>
      </c>
      <c r="F223" s="6" t="s">
        <v>712</v>
      </c>
      <c r="G223" s="6" t="s">
        <v>111</v>
      </c>
      <c r="H223" s="7">
        <v>1</v>
      </c>
      <c r="I223" s="6" t="s">
        <v>112</v>
      </c>
      <c r="J223" s="6" t="s">
        <v>31</v>
      </c>
      <c r="K223" s="6" t="s">
        <v>32</v>
      </c>
      <c r="L223" s="6" t="s">
        <v>1755</v>
      </c>
      <c r="M223" s="6" t="s">
        <v>33</v>
      </c>
      <c r="N223" s="10">
        <v>9</v>
      </c>
      <c r="O223" s="11">
        <v>0</v>
      </c>
      <c r="P223" s="12">
        <v>45</v>
      </c>
      <c r="Q223" s="13">
        <v>18.997540999999998</v>
      </c>
      <c r="R223" s="13">
        <v>-103.736051</v>
      </c>
      <c r="S223" s="14" t="s">
        <v>34</v>
      </c>
      <c r="T223" s="14" t="s">
        <v>175</v>
      </c>
      <c r="U223" s="14" t="s">
        <v>213</v>
      </c>
      <c r="V223" s="14" t="s">
        <v>213</v>
      </c>
      <c r="W223" s="14"/>
      <c r="X223" s="14"/>
      <c r="Y223" s="14"/>
      <c r="Z223" s="14"/>
      <c r="AA223" s="15"/>
      <c r="AB223" s="16">
        <v>0.29166666666666663</v>
      </c>
    </row>
    <row r="224" spans="1:28" x14ac:dyDescent="0.3">
      <c r="A224" s="6" t="s">
        <v>713</v>
      </c>
      <c r="B224" s="7" t="s">
        <v>25</v>
      </c>
      <c r="C224" s="34" t="s">
        <v>708</v>
      </c>
      <c r="D224" s="33" t="s">
        <v>1775</v>
      </c>
      <c r="E224" s="18" t="s">
        <v>714</v>
      </c>
      <c r="F224" s="6" t="s">
        <v>715</v>
      </c>
      <c r="G224" s="6" t="s">
        <v>111</v>
      </c>
      <c r="H224" s="7">
        <v>1</v>
      </c>
      <c r="I224" s="6" t="s">
        <v>112</v>
      </c>
      <c r="J224" s="6" t="s">
        <v>31</v>
      </c>
      <c r="K224" s="6" t="s">
        <v>32</v>
      </c>
      <c r="L224" s="6" t="s">
        <v>1755</v>
      </c>
      <c r="M224" s="6" t="s">
        <v>33</v>
      </c>
      <c r="N224" s="10">
        <v>12</v>
      </c>
      <c r="O224" s="11">
        <v>4</v>
      </c>
      <c r="P224" s="12">
        <v>77</v>
      </c>
      <c r="Q224" s="13">
        <v>18.906326</v>
      </c>
      <c r="R224" s="13">
        <v>-103.884075</v>
      </c>
      <c r="S224" s="14" t="s">
        <v>34</v>
      </c>
      <c r="T224" s="14" t="s">
        <v>175</v>
      </c>
      <c r="U224" s="14" t="s">
        <v>213</v>
      </c>
      <c r="V224" s="14" t="s">
        <v>213</v>
      </c>
      <c r="W224" s="14"/>
      <c r="X224" s="14"/>
      <c r="Y224" s="14"/>
      <c r="Z224" s="14"/>
      <c r="AA224" s="15"/>
      <c r="AB224" s="16">
        <v>0.29166666666666663</v>
      </c>
    </row>
    <row r="225" spans="1:28" x14ac:dyDescent="0.3">
      <c r="A225" s="6" t="s">
        <v>716</v>
      </c>
      <c r="B225" s="7" t="s">
        <v>25</v>
      </c>
      <c r="C225" s="34" t="s">
        <v>708</v>
      </c>
      <c r="D225" s="33" t="s">
        <v>1775</v>
      </c>
      <c r="E225" s="18" t="s">
        <v>717</v>
      </c>
      <c r="F225" s="6" t="s">
        <v>718</v>
      </c>
      <c r="G225" s="6" t="s">
        <v>111</v>
      </c>
      <c r="H225" s="7">
        <v>1</v>
      </c>
      <c r="I225" s="6" t="s">
        <v>112</v>
      </c>
      <c r="J225" s="6" t="s">
        <v>31</v>
      </c>
      <c r="K225" s="6" t="s">
        <v>32</v>
      </c>
      <c r="L225" s="6" t="s">
        <v>1755</v>
      </c>
      <c r="M225" s="6" t="s">
        <v>33</v>
      </c>
      <c r="N225" s="10">
        <v>13</v>
      </c>
      <c r="O225" s="11">
        <v>3</v>
      </c>
      <c r="P225" s="12">
        <v>75</v>
      </c>
      <c r="Q225" s="13">
        <v>19.116565000000001</v>
      </c>
      <c r="R225" s="13">
        <v>-104.327259</v>
      </c>
      <c r="S225" s="14" t="s">
        <v>34</v>
      </c>
      <c r="T225" s="14" t="s">
        <v>175</v>
      </c>
      <c r="U225" s="14" t="s">
        <v>213</v>
      </c>
      <c r="V225" s="14" t="s">
        <v>213</v>
      </c>
      <c r="W225" s="14"/>
      <c r="X225" s="14"/>
      <c r="Y225" s="14"/>
      <c r="Z225" s="14"/>
      <c r="AA225" s="15"/>
      <c r="AB225" s="16">
        <v>0.29166666666666663</v>
      </c>
    </row>
    <row r="226" spans="1:28" x14ac:dyDescent="0.3">
      <c r="A226" s="6" t="s">
        <v>719</v>
      </c>
      <c r="B226" s="7" t="s">
        <v>25</v>
      </c>
      <c r="C226" s="34" t="s">
        <v>708</v>
      </c>
      <c r="D226" s="33" t="s">
        <v>1775</v>
      </c>
      <c r="E226" s="18" t="s">
        <v>708</v>
      </c>
      <c r="F226" s="6" t="s">
        <v>720</v>
      </c>
      <c r="G226" s="6" t="s">
        <v>111</v>
      </c>
      <c r="H226" s="7">
        <v>1</v>
      </c>
      <c r="I226" s="6" t="s">
        <v>155</v>
      </c>
      <c r="J226" s="6" t="s">
        <v>31</v>
      </c>
      <c r="K226" s="6" t="s">
        <v>32</v>
      </c>
      <c r="L226" s="6" t="s">
        <v>1756</v>
      </c>
      <c r="M226" s="6" t="s">
        <v>33</v>
      </c>
      <c r="N226" s="10">
        <v>14</v>
      </c>
      <c r="O226" s="11">
        <v>2</v>
      </c>
      <c r="P226" s="12">
        <v>57</v>
      </c>
      <c r="Q226" s="13">
        <v>19.220662399999998</v>
      </c>
      <c r="R226" s="13">
        <v>-103.72676439999999</v>
      </c>
      <c r="S226" s="14" t="s">
        <v>34</v>
      </c>
      <c r="T226" s="14" t="s">
        <v>175</v>
      </c>
      <c r="U226" s="14" t="s">
        <v>213</v>
      </c>
      <c r="V226" s="14" t="s">
        <v>213</v>
      </c>
      <c r="W226" s="14"/>
      <c r="X226" s="14"/>
      <c r="Y226" s="14"/>
      <c r="Z226" s="14"/>
      <c r="AA226" s="15"/>
      <c r="AB226" s="16">
        <v>0.29166666666666663</v>
      </c>
    </row>
    <row r="227" spans="1:28" x14ac:dyDescent="0.3">
      <c r="A227" s="6" t="s">
        <v>721</v>
      </c>
      <c r="B227" s="7" t="s">
        <v>25</v>
      </c>
      <c r="C227" s="34" t="s">
        <v>708</v>
      </c>
      <c r="D227" s="33" t="s">
        <v>1775</v>
      </c>
      <c r="E227" s="18" t="s">
        <v>722</v>
      </c>
      <c r="F227" s="6" t="s">
        <v>316</v>
      </c>
      <c r="G227" s="6" t="s">
        <v>164</v>
      </c>
      <c r="H227" s="7">
        <v>2</v>
      </c>
      <c r="I227" s="6" t="s">
        <v>155</v>
      </c>
      <c r="J227" s="6" t="s">
        <v>31</v>
      </c>
      <c r="K227" s="6" t="s">
        <v>32</v>
      </c>
      <c r="L227" s="6" t="s">
        <v>1756</v>
      </c>
      <c r="M227" s="6" t="s">
        <v>33</v>
      </c>
      <c r="N227" s="10">
        <v>12</v>
      </c>
      <c r="O227" s="11">
        <v>6</v>
      </c>
      <c r="P227" s="12">
        <v>80</v>
      </c>
      <c r="Q227" s="13">
        <v>19.2783157</v>
      </c>
      <c r="R227" s="13">
        <v>-103.7510125</v>
      </c>
      <c r="S227" s="14" t="s">
        <v>34</v>
      </c>
      <c r="T227" s="14" t="s">
        <v>175</v>
      </c>
      <c r="U227" s="14" t="s">
        <v>213</v>
      </c>
      <c r="V227" s="14" t="s">
        <v>213</v>
      </c>
      <c r="W227" s="14"/>
      <c r="X227" s="14"/>
      <c r="Y227" s="14"/>
      <c r="Z227" s="14"/>
      <c r="AA227" s="15"/>
      <c r="AB227" s="16">
        <v>0.29166666666666663</v>
      </c>
    </row>
    <row r="228" spans="1:28" x14ac:dyDescent="0.3">
      <c r="A228" s="6" t="s">
        <v>723</v>
      </c>
      <c r="B228" s="7" t="s">
        <v>25</v>
      </c>
      <c r="C228" s="34" t="s">
        <v>724</v>
      </c>
      <c r="D228" s="33" t="s">
        <v>1775</v>
      </c>
      <c r="E228" s="6" t="s">
        <v>725</v>
      </c>
      <c r="F228" s="6" t="s">
        <v>726</v>
      </c>
      <c r="G228" s="6" t="s">
        <v>29</v>
      </c>
      <c r="H228" s="7">
        <v>1</v>
      </c>
      <c r="I228" s="6" t="s">
        <v>30</v>
      </c>
      <c r="J228" s="6" t="s">
        <v>31</v>
      </c>
      <c r="K228" s="6" t="s">
        <v>32</v>
      </c>
      <c r="L228" s="6" t="s">
        <v>1755</v>
      </c>
      <c r="M228" s="6" t="s">
        <v>33</v>
      </c>
      <c r="N228" s="10">
        <v>10</v>
      </c>
      <c r="O228" s="11">
        <v>2</v>
      </c>
      <c r="P228" s="12">
        <v>20</v>
      </c>
      <c r="Q228" s="13">
        <v>17.723228800000001</v>
      </c>
      <c r="R228" s="13">
        <v>-92.813005099999998</v>
      </c>
      <c r="S228" s="14" t="s">
        <v>176</v>
      </c>
      <c r="T228" s="14"/>
      <c r="U228" s="14"/>
      <c r="V228" s="14"/>
      <c r="W228" s="14"/>
      <c r="X228" s="14"/>
      <c r="Y228" s="14"/>
      <c r="Z228" s="14"/>
      <c r="AA228" s="15"/>
      <c r="AB228" s="16">
        <v>4.1666666666666664E-2</v>
      </c>
    </row>
    <row r="229" spans="1:28" x14ac:dyDescent="0.3">
      <c r="A229" s="6" t="s">
        <v>727</v>
      </c>
      <c r="B229" s="7" t="s">
        <v>25</v>
      </c>
      <c r="C229" s="34" t="s">
        <v>724</v>
      </c>
      <c r="D229" s="33" t="s">
        <v>1775</v>
      </c>
      <c r="E229" s="6" t="s">
        <v>728</v>
      </c>
      <c r="F229" s="6" t="s">
        <v>729</v>
      </c>
      <c r="G229" s="6" t="s">
        <v>29</v>
      </c>
      <c r="H229" s="7">
        <v>1</v>
      </c>
      <c r="I229" s="6" t="s">
        <v>30</v>
      </c>
      <c r="J229" s="6" t="s">
        <v>31</v>
      </c>
      <c r="K229" s="6" t="s">
        <v>32</v>
      </c>
      <c r="L229" s="6" t="s">
        <v>1755</v>
      </c>
      <c r="M229" s="6" t="s">
        <v>33</v>
      </c>
      <c r="N229" s="10">
        <v>13</v>
      </c>
      <c r="O229" s="11">
        <v>2</v>
      </c>
      <c r="P229" s="12">
        <v>17</v>
      </c>
      <c r="Q229" s="13">
        <v>18.179819899999998</v>
      </c>
      <c r="R229" s="13">
        <v>-93.058869799999997</v>
      </c>
      <c r="S229" s="14" t="s">
        <v>176</v>
      </c>
      <c r="T229" s="14"/>
      <c r="U229" s="14"/>
      <c r="V229" s="14"/>
      <c r="W229" s="14"/>
      <c r="X229" s="14"/>
      <c r="Y229" s="14"/>
      <c r="Z229" s="14"/>
      <c r="AA229" s="15"/>
      <c r="AB229" s="16">
        <v>4.1666666666666664E-2</v>
      </c>
    </row>
    <row r="230" spans="1:28" x14ac:dyDescent="0.3">
      <c r="A230" s="6" t="s">
        <v>730</v>
      </c>
      <c r="B230" s="7" t="s">
        <v>25</v>
      </c>
      <c r="C230" s="34" t="s">
        <v>724</v>
      </c>
      <c r="D230" s="33" t="s">
        <v>1775</v>
      </c>
      <c r="E230" s="6" t="s">
        <v>731</v>
      </c>
      <c r="F230" s="6" t="s">
        <v>732</v>
      </c>
      <c r="G230" s="6" t="s">
        <v>29</v>
      </c>
      <c r="H230" s="7">
        <v>1</v>
      </c>
      <c r="I230" s="6" t="s">
        <v>30</v>
      </c>
      <c r="J230" s="6" t="s">
        <v>31</v>
      </c>
      <c r="K230" s="6" t="s">
        <v>32</v>
      </c>
      <c r="L230" s="6" t="s">
        <v>1755</v>
      </c>
      <c r="M230" s="6" t="s">
        <v>33</v>
      </c>
      <c r="N230" s="10">
        <v>10</v>
      </c>
      <c r="O230" s="11">
        <v>2</v>
      </c>
      <c r="P230" s="12">
        <v>22</v>
      </c>
      <c r="Q230" s="13">
        <v>18.166251299999999</v>
      </c>
      <c r="R230" s="13">
        <v>-93.016657199999997</v>
      </c>
      <c r="S230" s="14" t="s">
        <v>176</v>
      </c>
      <c r="T230" s="14"/>
      <c r="U230" s="14"/>
      <c r="V230" s="14"/>
      <c r="W230" s="14"/>
      <c r="X230" s="14"/>
      <c r="Y230" s="14"/>
      <c r="Z230" s="14"/>
      <c r="AA230" s="15"/>
      <c r="AB230" s="16">
        <v>4.1666666666666664E-2</v>
      </c>
    </row>
    <row r="231" spans="1:28" x14ac:dyDescent="0.3">
      <c r="A231" s="6" t="s">
        <v>733</v>
      </c>
      <c r="B231" s="7" t="s">
        <v>25</v>
      </c>
      <c r="C231" s="34" t="s">
        <v>724</v>
      </c>
      <c r="D231" s="33" t="s">
        <v>1775</v>
      </c>
      <c r="E231" s="6" t="s">
        <v>734</v>
      </c>
      <c r="F231" s="6" t="s">
        <v>735</v>
      </c>
      <c r="G231" s="6" t="s">
        <v>29</v>
      </c>
      <c r="H231" s="7">
        <v>1</v>
      </c>
      <c r="I231" s="6" t="s">
        <v>30</v>
      </c>
      <c r="J231" s="6" t="s">
        <v>31</v>
      </c>
      <c r="K231" s="6" t="s">
        <v>32</v>
      </c>
      <c r="L231" s="6" t="s">
        <v>1755</v>
      </c>
      <c r="M231" s="6" t="s">
        <v>33</v>
      </c>
      <c r="N231" s="10">
        <v>14</v>
      </c>
      <c r="O231" s="11">
        <v>2</v>
      </c>
      <c r="P231" s="12">
        <v>26</v>
      </c>
      <c r="Q231" s="13">
        <v>17.593216300000002</v>
      </c>
      <c r="R231" s="13">
        <v>-92.830547600000003</v>
      </c>
      <c r="S231" s="14" t="s">
        <v>176</v>
      </c>
      <c r="T231" s="14"/>
      <c r="U231" s="14"/>
      <c r="V231" s="14"/>
      <c r="W231" s="14"/>
      <c r="X231" s="14"/>
      <c r="Y231" s="14"/>
      <c r="Z231" s="14"/>
      <c r="AA231" s="15"/>
      <c r="AB231" s="16">
        <v>4.1666666666666664E-2</v>
      </c>
    </row>
    <row r="232" spans="1:28" x14ac:dyDescent="0.3">
      <c r="A232" s="6" t="s">
        <v>736</v>
      </c>
      <c r="B232" s="7" t="s">
        <v>25</v>
      </c>
      <c r="C232" s="34" t="s">
        <v>724</v>
      </c>
      <c r="D232" s="33" t="s">
        <v>1775</v>
      </c>
      <c r="E232" s="6" t="s">
        <v>737</v>
      </c>
      <c r="F232" s="6" t="s">
        <v>738</v>
      </c>
      <c r="G232" s="6" t="s">
        <v>29</v>
      </c>
      <c r="H232" s="7">
        <v>1</v>
      </c>
      <c r="I232" s="6" t="s">
        <v>30</v>
      </c>
      <c r="J232" s="6" t="s">
        <v>31</v>
      </c>
      <c r="K232" s="6" t="s">
        <v>32</v>
      </c>
      <c r="L232" s="6" t="s">
        <v>1755</v>
      </c>
      <c r="M232" s="6" t="s">
        <v>33</v>
      </c>
      <c r="N232" s="10">
        <v>11</v>
      </c>
      <c r="O232" s="11">
        <v>2</v>
      </c>
      <c r="P232" s="12">
        <v>28</v>
      </c>
      <c r="Q232" s="13">
        <v>18.088884</v>
      </c>
      <c r="R232" s="13">
        <v>-94.040238000000002</v>
      </c>
      <c r="S232" s="14" t="s">
        <v>176</v>
      </c>
      <c r="T232" s="14"/>
      <c r="U232" s="14"/>
      <c r="V232" s="14"/>
      <c r="W232" s="14"/>
      <c r="X232" s="14"/>
      <c r="Y232" s="14"/>
      <c r="Z232" s="14"/>
      <c r="AA232" s="15"/>
      <c r="AB232" s="16">
        <v>4.1666666666666664E-2</v>
      </c>
    </row>
    <row r="233" spans="1:28" x14ac:dyDescent="0.3">
      <c r="A233" s="6" t="s">
        <v>739</v>
      </c>
      <c r="B233" s="7" t="s">
        <v>25</v>
      </c>
      <c r="C233" s="34" t="s">
        <v>724</v>
      </c>
      <c r="D233" s="33" t="s">
        <v>1775</v>
      </c>
      <c r="E233" s="6" t="s">
        <v>740</v>
      </c>
      <c r="F233" s="6" t="s">
        <v>741</v>
      </c>
      <c r="G233" s="6" t="s">
        <v>29</v>
      </c>
      <c r="H233" s="7">
        <v>1</v>
      </c>
      <c r="I233" s="6" t="s">
        <v>30</v>
      </c>
      <c r="J233" s="6" t="s">
        <v>31</v>
      </c>
      <c r="K233" s="6" t="s">
        <v>32</v>
      </c>
      <c r="L233" s="6" t="s">
        <v>1755</v>
      </c>
      <c r="M233" s="6" t="s">
        <v>33</v>
      </c>
      <c r="N233" s="10">
        <v>10</v>
      </c>
      <c r="O233" s="11">
        <v>2</v>
      </c>
      <c r="P233" s="12">
        <v>20</v>
      </c>
      <c r="Q233" s="13">
        <v>18.101199999999999</v>
      </c>
      <c r="R233" s="13">
        <v>-92.128299999999996</v>
      </c>
      <c r="S233" s="14" t="s">
        <v>176</v>
      </c>
      <c r="T233" s="14"/>
      <c r="U233" s="14"/>
      <c r="V233" s="14"/>
      <c r="W233" s="14"/>
      <c r="X233" s="14"/>
      <c r="Y233" s="14"/>
      <c r="Z233" s="14"/>
      <c r="AA233" s="15"/>
      <c r="AB233" s="16">
        <v>4.1666666666666664E-2</v>
      </c>
    </row>
    <row r="234" spans="1:28" x14ac:dyDescent="0.3">
      <c r="A234" s="6" t="s">
        <v>742</v>
      </c>
      <c r="B234" s="7" t="s">
        <v>25</v>
      </c>
      <c r="C234" s="34" t="s">
        <v>724</v>
      </c>
      <c r="D234" s="33" t="s">
        <v>1775</v>
      </c>
      <c r="E234" s="6" t="s">
        <v>743</v>
      </c>
      <c r="F234" s="6" t="s">
        <v>744</v>
      </c>
      <c r="G234" s="6" t="s">
        <v>29</v>
      </c>
      <c r="H234" s="7">
        <v>1</v>
      </c>
      <c r="I234" s="6" t="s">
        <v>30</v>
      </c>
      <c r="J234" s="6" t="s">
        <v>31</v>
      </c>
      <c r="K234" s="6" t="s">
        <v>32</v>
      </c>
      <c r="L234" s="6" t="s">
        <v>1755</v>
      </c>
      <c r="M234" s="6" t="s">
        <v>33</v>
      </c>
      <c r="N234" s="10">
        <v>17</v>
      </c>
      <c r="O234" s="11">
        <v>2</v>
      </c>
      <c r="P234" s="12">
        <v>29</v>
      </c>
      <c r="Q234" s="13">
        <v>18.542059999999999</v>
      </c>
      <c r="R234" s="13">
        <v>-92.644352999999995</v>
      </c>
      <c r="S234" s="14" t="s">
        <v>176</v>
      </c>
      <c r="T234" s="14"/>
      <c r="U234" s="14"/>
      <c r="V234" s="14"/>
      <c r="W234" s="14"/>
      <c r="X234" s="14"/>
      <c r="Y234" s="14"/>
      <c r="Z234" s="14"/>
      <c r="AA234" s="15"/>
      <c r="AB234" s="16">
        <v>4.1666666666666664E-2</v>
      </c>
    </row>
    <row r="235" spans="1:28" x14ac:dyDescent="0.3">
      <c r="A235" s="6" t="s">
        <v>745</v>
      </c>
      <c r="B235" s="7" t="s">
        <v>25</v>
      </c>
      <c r="C235" s="34" t="s">
        <v>159</v>
      </c>
      <c r="D235" s="33" t="s">
        <v>1775</v>
      </c>
      <c r="E235" s="6" t="s">
        <v>746</v>
      </c>
      <c r="F235" s="6" t="s">
        <v>747</v>
      </c>
      <c r="G235" s="6" t="s">
        <v>29</v>
      </c>
      <c r="H235" s="7">
        <v>1</v>
      </c>
      <c r="I235" s="6" t="s">
        <v>30</v>
      </c>
      <c r="J235" s="6" t="s">
        <v>31</v>
      </c>
      <c r="K235" s="6" t="s">
        <v>32</v>
      </c>
      <c r="L235" s="6" t="s">
        <v>1755</v>
      </c>
      <c r="M235" s="6" t="s">
        <v>33</v>
      </c>
      <c r="N235" s="10">
        <v>3</v>
      </c>
      <c r="O235" s="11">
        <v>2</v>
      </c>
      <c r="P235" s="12">
        <v>19</v>
      </c>
      <c r="Q235" s="13">
        <v>24.056052000000001</v>
      </c>
      <c r="R235" s="13">
        <v>-98.376564000000002</v>
      </c>
      <c r="S235" s="14" t="s">
        <v>176</v>
      </c>
      <c r="T235" s="14"/>
      <c r="U235" s="14"/>
      <c r="V235" s="14"/>
      <c r="W235" s="14"/>
      <c r="X235" s="14"/>
      <c r="Y235" s="14"/>
      <c r="Z235" s="14"/>
      <c r="AA235" s="15"/>
      <c r="AB235" s="16">
        <v>4.1666666666666664E-2</v>
      </c>
    </row>
    <row r="236" spans="1:28" x14ac:dyDescent="0.3">
      <c r="A236" s="6" t="s">
        <v>748</v>
      </c>
      <c r="B236" s="7" t="s">
        <v>25</v>
      </c>
      <c r="C236" s="34" t="s">
        <v>159</v>
      </c>
      <c r="D236" s="33" t="s">
        <v>1775</v>
      </c>
      <c r="E236" s="6" t="s">
        <v>749</v>
      </c>
      <c r="F236" s="6" t="s">
        <v>750</v>
      </c>
      <c r="G236" s="6" t="s">
        <v>29</v>
      </c>
      <c r="H236" s="7">
        <v>1</v>
      </c>
      <c r="I236" s="6" t="s">
        <v>30</v>
      </c>
      <c r="J236" s="6" t="s">
        <v>31</v>
      </c>
      <c r="K236" s="6" t="s">
        <v>32</v>
      </c>
      <c r="L236" s="6" t="s">
        <v>1755</v>
      </c>
      <c r="M236" s="6" t="s">
        <v>33</v>
      </c>
      <c r="N236" s="10">
        <v>5</v>
      </c>
      <c r="O236" s="11">
        <v>2</v>
      </c>
      <c r="P236" s="12">
        <v>21</v>
      </c>
      <c r="Q236" s="13">
        <v>22.919281999999999</v>
      </c>
      <c r="R236" s="13">
        <v>-98.074685000000002</v>
      </c>
      <c r="S236" s="14" t="s">
        <v>190</v>
      </c>
      <c r="T236" s="14"/>
      <c r="U236" s="14"/>
      <c r="V236" s="14"/>
      <c r="W236" s="14"/>
      <c r="X236" s="14"/>
      <c r="Y236" s="14"/>
      <c r="Z236" s="14"/>
      <c r="AA236" s="15"/>
      <c r="AB236" s="16">
        <v>8.3333333333333329E-2</v>
      </c>
    </row>
    <row r="237" spans="1:28" x14ac:dyDescent="0.3">
      <c r="A237" s="6" t="s">
        <v>751</v>
      </c>
      <c r="B237" s="7" t="s">
        <v>25</v>
      </c>
      <c r="C237" s="34" t="s">
        <v>159</v>
      </c>
      <c r="D237" s="33" t="s">
        <v>1775</v>
      </c>
      <c r="E237" s="6" t="s">
        <v>752</v>
      </c>
      <c r="F237" s="6" t="s">
        <v>753</v>
      </c>
      <c r="G237" s="6" t="s">
        <v>29</v>
      </c>
      <c r="H237" s="7">
        <v>1</v>
      </c>
      <c r="I237" s="6" t="s">
        <v>30</v>
      </c>
      <c r="J237" s="6" t="s">
        <v>31</v>
      </c>
      <c r="K237" s="6" t="s">
        <v>32</v>
      </c>
      <c r="L237" s="6" t="s">
        <v>1755</v>
      </c>
      <c r="M237" s="6" t="s">
        <v>33</v>
      </c>
      <c r="N237" s="10">
        <v>5</v>
      </c>
      <c r="O237" s="11">
        <v>2</v>
      </c>
      <c r="P237" s="12">
        <v>14</v>
      </c>
      <c r="Q237" s="13">
        <v>26.389621999999999</v>
      </c>
      <c r="R237" s="13">
        <v>-99.070762000000002</v>
      </c>
      <c r="S237" s="14" t="s">
        <v>190</v>
      </c>
      <c r="T237" s="14"/>
      <c r="U237" s="14"/>
      <c r="V237" s="14"/>
      <c r="W237" s="14"/>
      <c r="X237" s="14"/>
      <c r="Y237" s="14"/>
      <c r="Z237" s="14"/>
      <c r="AA237" s="15"/>
      <c r="AB237" s="16">
        <v>8.3333333333333329E-2</v>
      </c>
    </row>
    <row r="238" spans="1:28" x14ac:dyDescent="0.3">
      <c r="A238" s="6" t="s">
        <v>754</v>
      </c>
      <c r="B238" s="7" t="s">
        <v>25</v>
      </c>
      <c r="C238" s="34" t="s">
        <v>755</v>
      </c>
      <c r="D238" s="33" t="s">
        <v>1775</v>
      </c>
      <c r="E238" s="6" t="s">
        <v>756</v>
      </c>
      <c r="F238" s="6" t="s">
        <v>757</v>
      </c>
      <c r="G238" s="6" t="s">
        <v>29</v>
      </c>
      <c r="H238" s="7">
        <v>1</v>
      </c>
      <c r="I238" s="6" t="s">
        <v>30</v>
      </c>
      <c r="J238" s="6" t="s">
        <v>31</v>
      </c>
      <c r="K238" s="6" t="s">
        <v>32</v>
      </c>
      <c r="L238" s="6" t="s">
        <v>1755</v>
      </c>
      <c r="M238" s="6" t="s">
        <v>33</v>
      </c>
      <c r="N238" s="10">
        <v>13</v>
      </c>
      <c r="O238" s="11">
        <v>2</v>
      </c>
      <c r="P238" s="12">
        <v>18</v>
      </c>
      <c r="Q238" s="13">
        <v>19.3265101</v>
      </c>
      <c r="R238" s="13">
        <v>-97.647458900000004</v>
      </c>
      <c r="S238" s="14" t="s">
        <v>34</v>
      </c>
      <c r="T238" s="14" t="s">
        <v>175</v>
      </c>
      <c r="U238" s="14"/>
      <c r="V238" s="14"/>
      <c r="W238" s="14"/>
      <c r="X238" s="14"/>
      <c r="Y238" s="14"/>
      <c r="Z238" s="14"/>
      <c r="AA238" s="15"/>
      <c r="AB238" s="16">
        <v>0.125</v>
      </c>
    </row>
    <row r="239" spans="1:28" x14ac:dyDescent="0.3">
      <c r="A239" s="6" t="s">
        <v>758</v>
      </c>
      <c r="B239" s="7" t="s">
        <v>25</v>
      </c>
      <c r="C239" s="34" t="s">
        <v>755</v>
      </c>
      <c r="D239" s="33" t="s">
        <v>1775</v>
      </c>
      <c r="E239" s="6" t="s">
        <v>759</v>
      </c>
      <c r="F239" s="6" t="s">
        <v>760</v>
      </c>
      <c r="G239" s="6" t="s">
        <v>29</v>
      </c>
      <c r="H239" s="7">
        <v>1</v>
      </c>
      <c r="I239" s="6" t="s">
        <v>30</v>
      </c>
      <c r="J239" s="6" t="s">
        <v>31</v>
      </c>
      <c r="K239" s="6" t="s">
        <v>32</v>
      </c>
      <c r="L239" s="6" t="s">
        <v>1755</v>
      </c>
      <c r="M239" s="6" t="s">
        <v>33</v>
      </c>
      <c r="N239" s="10">
        <v>12</v>
      </c>
      <c r="O239" s="11">
        <v>2</v>
      </c>
      <c r="P239" s="12">
        <v>21</v>
      </c>
      <c r="Q239" s="13">
        <v>19.333702800000001</v>
      </c>
      <c r="R239" s="13">
        <v>-98.1694806</v>
      </c>
      <c r="S239" s="14" t="s">
        <v>34</v>
      </c>
      <c r="T239" s="14" t="s">
        <v>175</v>
      </c>
      <c r="U239" s="14"/>
      <c r="V239" s="14"/>
      <c r="W239" s="14"/>
      <c r="X239" s="14"/>
      <c r="Y239" s="14"/>
      <c r="Z239" s="14"/>
      <c r="AA239" s="15"/>
      <c r="AB239" s="16">
        <v>0.125</v>
      </c>
    </row>
    <row r="240" spans="1:28" x14ac:dyDescent="0.3">
      <c r="A240" s="6" t="s">
        <v>761</v>
      </c>
      <c r="B240" s="7" t="s">
        <v>25</v>
      </c>
      <c r="C240" s="34" t="s">
        <v>755</v>
      </c>
      <c r="D240" s="33" t="s">
        <v>1775</v>
      </c>
      <c r="E240" s="6" t="s">
        <v>762</v>
      </c>
      <c r="F240" s="6" t="s">
        <v>763</v>
      </c>
      <c r="G240" s="6" t="s">
        <v>29</v>
      </c>
      <c r="H240" s="7">
        <v>1</v>
      </c>
      <c r="I240" s="6" t="s">
        <v>30</v>
      </c>
      <c r="J240" s="6" t="s">
        <v>31</v>
      </c>
      <c r="K240" s="6" t="s">
        <v>32</v>
      </c>
      <c r="L240" s="6" t="s">
        <v>1755</v>
      </c>
      <c r="M240" s="6" t="s">
        <v>33</v>
      </c>
      <c r="N240" s="10">
        <v>14</v>
      </c>
      <c r="O240" s="11">
        <v>2</v>
      </c>
      <c r="P240" s="12">
        <v>28</v>
      </c>
      <c r="Q240" s="13">
        <v>19.202955599999999</v>
      </c>
      <c r="R240" s="13">
        <v>-98.249111099999993</v>
      </c>
      <c r="S240" s="14" t="s">
        <v>34</v>
      </c>
      <c r="T240" s="14" t="s">
        <v>175</v>
      </c>
      <c r="U240" s="14"/>
      <c r="V240" s="14"/>
      <c r="W240" s="14"/>
      <c r="X240" s="14"/>
      <c r="Y240" s="14"/>
      <c r="Z240" s="14"/>
      <c r="AA240" s="15"/>
      <c r="AB240" s="16">
        <v>0.125</v>
      </c>
    </row>
    <row r="241" spans="1:28" x14ac:dyDescent="0.3">
      <c r="A241" s="6" t="s">
        <v>764</v>
      </c>
      <c r="B241" s="7" t="s">
        <v>25</v>
      </c>
      <c r="C241" s="34" t="s">
        <v>755</v>
      </c>
      <c r="D241" s="33" t="s">
        <v>1775</v>
      </c>
      <c r="E241" s="6" t="s">
        <v>765</v>
      </c>
      <c r="F241" s="6" t="s">
        <v>766</v>
      </c>
      <c r="G241" s="6" t="s">
        <v>29</v>
      </c>
      <c r="H241" s="7">
        <v>1</v>
      </c>
      <c r="I241" s="6" t="s">
        <v>30</v>
      </c>
      <c r="J241" s="6" t="s">
        <v>31</v>
      </c>
      <c r="K241" s="6" t="s">
        <v>32</v>
      </c>
      <c r="L241" s="6" t="s">
        <v>1755</v>
      </c>
      <c r="M241" s="6" t="s">
        <v>33</v>
      </c>
      <c r="N241" s="10">
        <v>14</v>
      </c>
      <c r="O241" s="11">
        <v>2</v>
      </c>
      <c r="P241" s="12">
        <v>27</v>
      </c>
      <c r="Q241" s="13">
        <v>19.6195083</v>
      </c>
      <c r="R241" s="13">
        <v>-98.127930599999999</v>
      </c>
      <c r="S241" s="14" t="s">
        <v>34</v>
      </c>
      <c r="T241" s="14" t="s">
        <v>175</v>
      </c>
      <c r="U241" s="14"/>
      <c r="V241" s="14"/>
      <c r="W241" s="14"/>
      <c r="X241" s="14"/>
      <c r="Y241" s="14"/>
      <c r="Z241" s="14"/>
      <c r="AA241" s="15"/>
      <c r="AB241" s="16">
        <v>0.125</v>
      </c>
    </row>
    <row r="242" spans="1:28" x14ac:dyDescent="0.3">
      <c r="A242" s="6" t="s">
        <v>767</v>
      </c>
      <c r="B242" s="7" t="s">
        <v>25</v>
      </c>
      <c r="C242" s="34" t="s">
        <v>218</v>
      </c>
      <c r="D242" s="33" t="s">
        <v>1775</v>
      </c>
      <c r="E242" s="6" t="s">
        <v>768</v>
      </c>
      <c r="F242" s="6" t="s">
        <v>769</v>
      </c>
      <c r="G242" s="6" t="s">
        <v>29</v>
      </c>
      <c r="H242" s="7">
        <v>1</v>
      </c>
      <c r="I242" s="6" t="s">
        <v>30</v>
      </c>
      <c r="J242" s="6" t="s">
        <v>31</v>
      </c>
      <c r="K242" s="6" t="s">
        <v>32</v>
      </c>
      <c r="L242" s="6" t="s">
        <v>1755</v>
      </c>
      <c r="M242" s="6" t="s">
        <v>33</v>
      </c>
      <c r="N242" s="10">
        <v>7</v>
      </c>
      <c r="O242" s="11">
        <v>2</v>
      </c>
      <c r="P242" s="12">
        <v>19</v>
      </c>
      <c r="Q242" s="13">
        <v>18.77045</v>
      </c>
      <c r="R242" s="13">
        <v>-95.761799999999994</v>
      </c>
      <c r="S242" s="14" t="s">
        <v>176</v>
      </c>
      <c r="T242" s="14"/>
      <c r="U242" s="14"/>
      <c r="V242" s="14"/>
      <c r="W242" s="14"/>
      <c r="X242" s="14"/>
      <c r="Y242" s="14"/>
      <c r="Z242" s="14"/>
      <c r="AA242" s="15"/>
      <c r="AB242" s="16">
        <v>4.1666666666666664E-2</v>
      </c>
    </row>
    <row r="243" spans="1:28" x14ac:dyDescent="0.3">
      <c r="A243" s="6" t="s">
        <v>770</v>
      </c>
      <c r="B243" s="7" t="s">
        <v>25</v>
      </c>
      <c r="C243" s="34" t="s">
        <v>218</v>
      </c>
      <c r="D243" s="33" t="s">
        <v>1775</v>
      </c>
      <c r="E243" s="6" t="s">
        <v>771</v>
      </c>
      <c r="F243" s="6" t="s">
        <v>772</v>
      </c>
      <c r="G243" s="6" t="s">
        <v>29</v>
      </c>
      <c r="H243" s="7">
        <v>1</v>
      </c>
      <c r="I243" s="6" t="s">
        <v>30</v>
      </c>
      <c r="J243" s="6" t="s">
        <v>31</v>
      </c>
      <c r="K243" s="6" t="s">
        <v>32</v>
      </c>
      <c r="L243" s="6" t="s">
        <v>1755</v>
      </c>
      <c r="M243" s="6" t="s">
        <v>33</v>
      </c>
      <c r="N243" s="10">
        <v>4</v>
      </c>
      <c r="O243" s="11">
        <v>2</v>
      </c>
      <c r="P243" s="12">
        <v>25</v>
      </c>
      <c r="Q243" s="13">
        <v>18.421240000000001</v>
      </c>
      <c r="R243" s="13">
        <v>-95.101399999999998</v>
      </c>
      <c r="S243" s="14" t="s">
        <v>176</v>
      </c>
      <c r="T243" s="14"/>
      <c r="U243" s="14"/>
      <c r="V243" s="14"/>
      <c r="W243" s="14"/>
      <c r="X243" s="14"/>
      <c r="Y243" s="14"/>
      <c r="Z243" s="14"/>
      <c r="AA243" s="15"/>
      <c r="AB243" s="16">
        <v>4.1666666666666664E-2</v>
      </c>
    </row>
    <row r="244" spans="1:28" x14ac:dyDescent="0.3">
      <c r="A244" s="6" t="s">
        <v>773</v>
      </c>
      <c r="B244" s="7" t="s">
        <v>25</v>
      </c>
      <c r="C244" s="34" t="s">
        <v>218</v>
      </c>
      <c r="D244" s="33" t="s">
        <v>1775</v>
      </c>
      <c r="E244" s="6" t="s">
        <v>774</v>
      </c>
      <c r="F244" s="6" t="s">
        <v>775</v>
      </c>
      <c r="G244" s="6" t="s">
        <v>29</v>
      </c>
      <c r="H244" s="7">
        <v>1</v>
      </c>
      <c r="I244" s="6" t="s">
        <v>30</v>
      </c>
      <c r="J244" s="6" t="s">
        <v>31</v>
      </c>
      <c r="K244" s="6" t="s">
        <v>32</v>
      </c>
      <c r="L244" s="6" t="s">
        <v>1755</v>
      </c>
      <c r="M244" s="6" t="s">
        <v>33</v>
      </c>
      <c r="N244" s="10">
        <v>14</v>
      </c>
      <c r="O244" s="11">
        <v>2</v>
      </c>
      <c r="P244" s="12">
        <v>36</v>
      </c>
      <c r="Q244" s="13">
        <v>19.449100999999999</v>
      </c>
      <c r="R244" s="13">
        <v>-96.959187</v>
      </c>
      <c r="S244" s="14" t="s">
        <v>176</v>
      </c>
      <c r="T244" s="14"/>
      <c r="U244" s="14"/>
      <c r="V244" s="14"/>
      <c r="W244" s="14"/>
      <c r="X244" s="14"/>
      <c r="Y244" s="14"/>
      <c r="Z244" s="14"/>
      <c r="AA244" s="15"/>
      <c r="AB244" s="16">
        <v>4.1666666666666664E-2</v>
      </c>
    </row>
    <row r="245" spans="1:28" x14ac:dyDescent="0.3">
      <c r="A245" s="6" t="s">
        <v>776</v>
      </c>
      <c r="B245" s="7" t="s">
        <v>25</v>
      </c>
      <c r="C245" s="34" t="s">
        <v>218</v>
      </c>
      <c r="D245" s="33" t="s">
        <v>1775</v>
      </c>
      <c r="E245" s="6" t="s">
        <v>777</v>
      </c>
      <c r="F245" s="6" t="s">
        <v>778</v>
      </c>
      <c r="G245" s="6" t="s">
        <v>29</v>
      </c>
      <c r="H245" s="7">
        <v>1</v>
      </c>
      <c r="I245" s="6" t="s">
        <v>30</v>
      </c>
      <c r="J245" s="6" t="s">
        <v>31</v>
      </c>
      <c r="K245" s="6" t="s">
        <v>32</v>
      </c>
      <c r="L245" s="6" t="s">
        <v>1755</v>
      </c>
      <c r="M245" s="6" t="s">
        <v>33</v>
      </c>
      <c r="N245" s="10">
        <v>7</v>
      </c>
      <c r="O245" s="11">
        <v>2</v>
      </c>
      <c r="P245" s="12">
        <v>24</v>
      </c>
      <c r="Q245" s="13">
        <v>20.457380000000001</v>
      </c>
      <c r="R245" s="13">
        <v>-97.087199999999996</v>
      </c>
      <c r="S245" s="14" t="s">
        <v>176</v>
      </c>
      <c r="T245" s="14"/>
      <c r="U245" s="14"/>
      <c r="V245" s="14"/>
      <c r="W245" s="14"/>
      <c r="X245" s="14"/>
      <c r="Y245" s="14"/>
      <c r="Z245" s="14"/>
      <c r="AA245" s="15"/>
      <c r="AB245" s="16">
        <v>4.1666666666666664E-2</v>
      </c>
    </row>
    <row r="246" spans="1:28" x14ac:dyDescent="0.3">
      <c r="A246" s="6" t="s">
        <v>779</v>
      </c>
      <c r="B246" s="7" t="s">
        <v>25</v>
      </c>
      <c r="C246" s="34" t="s">
        <v>218</v>
      </c>
      <c r="D246" s="33" t="s">
        <v>1775</v>
      </c>
      <c r="E246" s="6" t="s">
        <v>780</v>
      </c>
      <c r="F246" s="6" t="s">
        <v>781</v>
      </c>
      <c r="G246" s="6" t="s">
        <v>29</v>
      </c>
      <c r="H246" s="7">
        <v>1</v>
      </c>
      <c r="I246" s="6" t="s">
        <v>30</v>
      </c>
      <c r="J246" s="6" t="s">
        <v>31</v>
      </c>
      <c r="K246" s="6" t="s">
        <v>32</v>
      </c>
      <c r="L246" s="6" t="s">
        <v>1755</v>
      </c>
      <c r="M246" s="6" t="s">
        <v>33</v>
      </c>
      <c r="N246" s="10">
        <v>7</v>
      </c>
      <c r="O246" s="11">
        <v>2</v>
      </c>
      <c r="P246" s="12">
        <v>18</v>
      </c>
      <c r="Q246" s="13">
        <v>20.53659</v>
      </c>
      <c r="R246" s="13">
        <v>-98.483400000000003</v>
      </c>
      <c r="S246" s="14" t="s">
        <v>176</v>
      </c>
      <c r="T246" s="14"/>
      <c r="U246" s="14"/>
      <c r="V246" s="14"/>
      <c r="W246" s="14"/>
      <c r="X246" s="14"/>
      <c r="Y246" s="14"/>
      <c r="Z246" s="14"/>
      <c r="AA246" s="15"/>
      <c r="AB246" s="16">
        <v>4.1666666666666664E-2</v>
      </c>
    </row>
    <row r="247" spans="1:28" x14ac:dyDescent="0.3">
      <c r="A247" s="6" t="s">
        <v>782</v>
      </c>
      <c r="B247" s="7" t="s">
        <v>25</v>
      </c>
      <c r="C247" s="34" t="s">
        <v>218</v>
      </c>
      <c r="D247" s="33" t="s">
        <v>1775</v>
      </c>
      <c r="E247" s="6" t="s">
        <v>783</v>
      </c>
      <c r="F247" s="6" t="s">
        <v>784</v>
      </c>
      <c r="G247" s="6" t="s">
        <v>29</v>
      </c>
      <c r="H247" s="7">
        <v>1</v>
      </c>
      <c r="I247" s="6" t="s">
        <v>30</v>
      </c>
      <c r="J247" s="6" t="s">
        <v>31</v>
      </c>
      <c r="K247" s="6" t="s">
        <v>32</v>
      </c>
      <c r="L247" s="6" t="s">
        <v>1755</v>
      </c>
      <c r="M247" s="6" t="s">
        <v>33</v>
      </c>
      <c r="N247" s="10">
        <v>8</v>
      </c>
      <c r="O247" s="11">
        <v>2</v>
      </c>
      <c r="P247" s="12">
        <v>36</v>
      </c>
      <c r="Q247" s="13">
        <v>18.028110000000002</v>
      </c>
      <c r="R247" s="13">
        <v>-94.394580000000005</v>
      </c>
      <c r="S247" s="14" t="s">
        <v>176</v>
      </c>
      <c r="T247" s="14"/>
      <c r="U247" s="14"/>
      <c r="V247" s="14"/>
      <c r="W247" s="14"/>
      <c r="X247" s="14"/>
      <c r="Y247" s="14"/>
      <c r="Z247" s="14"/>
      <c r="AA247" s="15"/>
      <c r="AB247" s="16">
        <v>4.1666666666666664E-2</v>
      </c>
    </row>
    <row r="248" spans="1:28" x14ac:dyDescent="0.3">
      <c r="A248" s="6" t="s">
        <v>785</v>
      </c>
      <c r="B248" s="7" t="s">
        <v>25</v>
      </c>
      <c r="C248" s="34" t="s">
        <v>218</v>
      </c>
      <c r="D248" s="33" t="s">
        <v>1775</v>
      </c>
      <c r="E248" s="6" t="s">
        <v>786</v>
      </c>
      <c r="F248" s="6" t="s">
        <v>787</v>
      </c>
      <c r="G248" s="6" t="s">
        <v>29</v>
      </c>
      <c r="H248" s="7">
        <v>1</v>
      </c>
      <c r="I248" s="6" t="s">
        <v>30</v>
      </c>
      <c r="J248" s="6" t="s">
        <v>31</v>
      </c>
      <c r="K248" s="6" t="s">
        <v>32</v>
      </c>
      <c r="L248" s="6" t="s">
        <v>1755</v>
      </c>
      <c r="M248" s="6" t="s">
        <v>33</v>
      </c>
      <c r="N248" s="10">
        <v>10</v>
      </c>
      <c r="O248" s="11">
        <v>2</v>
      </c>
      <c r="P248" s="12">
        <v>30</v>
      </c>
      <c r="Q248" s="13">
        <v>17.390630000000002</v>
      </c>
      <c r="R248" s="13">
        <v>-94.988100000000003</v>
      </c>
      <c r="S248" s="14" t="s">
        <v>176</v>
      </c>
      <c r="T248" s="14"/>
      <c r="U248" s="14"/>
      <c r="V248" s="14"/>
      <c r="W248" s="14"/>
      <c r="X248" s="14"/>
      <c r="Y248" s="14"/>
      <c r="Z248" s="14"/>
      <c r="AA248" s="15"/>
      <c r="AB248" s="16">
        <v>4.1666666666666664E-2</v>
      </c>
    </row>
    <row r="249" spans="1:28" x14ac:dyDescent="0.3">
      <c r="A249" s="6" t="s">
        <v>788</v>
      </c>
      <c r="B249" s="7" t="s">
        <v>25</v>
      </c>
      <c r="C249" s="34" t="s">
        <v>218</v>
      </c>
      <c r="D249" s="33" t="s">
        <v>1775</v>
      </c>
      <c r="E249" s="6" t="s">
        <v>789</v>
      </c>
      <c r="F249" s="6" t="s">
        <v>790</v>
      </c>
      <c r="G249" s="6" t="s">
        <v>29</v>
      </c>
      <c r="H249" s="7">
        <v>1</v>
      </c>
      <c r="I249" s="6" t="s">
        <v>30</v>
      </c>
      <c r="J249" s="6" t="s">
        <v>31</v>
      </c>
      <c r="K249" s="6" t="s">
        <v>32</v>
      </c>
      <c r="L249" s="6" t="s">
        <v>1755</v>
      </c>
      <c r="M249" s="6" t="s">
        <v>33</v>
      </c>
      <c r="N249" s="10">
        <v>8</v>
      </c>
      <c r="O249" s="11">
        <v>2</v>
      </c>
      <c r="P249" s="12">
        <v>36</v>
      </c>
      <c r="Q249" s="13">
        <v>21.65119</v>
      </c>
      <c r="R249" s="13">
        <v>-97.854799999999997</v>
      </c>
      <c r="S249" s="14" t="s">
        <v>176</v>
      </c>
      <c r="T249" s="14"/>
      <c r="U249" s="14"/>
      <c r="V249" s="14"/>
      <c r="W249" s="14"/>
      <c r="X249" s="14"/>
      <c r="Y249" s="14"/>
      <c r="Z249" s="14"/>
      <c r="AA249" s="15"/>
      <c r="AB249" s="16">
        <v>4.1666666666666664E-2</v>
      </c>
    </row>
    <row r="250" spans="1:28" x14ac:dyDescent="0.3">
      <c r="A250" s="6" t="s">
        <v>791</v>
      </c>
      <c r="B250" s="7" t="s">
        <v>25</v>
      </c>
      <c r="C250" s="34" t="s">
        <v>218</v>
      </c>
      <c r="D250" s="33" t="s">
        <v>1775</v>
      </c>
      <c r="E250" s="6" t="s">
        <v>792</v>
      </c>
      <c r="F250" s="6" t="s">
        <v>793</v>
      </c>
      <c r="G250" s="6" t="s">
        <v>29</v>
      </c>
      <c r="H250" s="7">
        <v>1</v>
      </c>
      <c r="I250" s="6" t="s">
        <v>30</v>
      </c>
      <c r="J250" s="6" t="s">
        <v>31</v>
      </c>
      <c r="K250" s="6" t="s">
        <v>32</v>
      </c>
      <c r="L250" s="6" t="s">
        <v>1755</v>
      </c>
      <c r="M250" s="6" t="s">
        <v>33</v>
      </c>
      <c r="N250" s="10">
        <v>8</v>
      </c>
      <c r="O250" s="11">
        <v>2</v>
      </c>
      <c r="P250" s="12">
        <v>22</v>
      </c>
      <c r="Q250" s="13">
        <v>17.830719800000001</v>
      </c>
      <c r="R250" s="13">
        <v>-95.807299999999998</v>
      </c>
      <c r="S250" s="14" t="s">
        <v>176</v>
      </c>
      <c r="T250" s="14"/>
      <c r="U250" s="14"/>
      <c r="V250" s="14"/>
      <c r="W250" s="14"/>
      <c r="X250" s="14"/>
      <c r="Y250" s="14"/>
      <c r="Z250" s="14"/>
      <c r="AA250" s="15"/>
      <c r="AB250" s="16">
        <v>4.1666666666666664E-2</v>
      </c>
    </row>
    <row r="251" spans="1:28" x14ac:dyDescent="0.3">
      <c r="A251" s="6" t="s">
        <v>794</v>
      </c>
      <c r="B251" s="7" t="s">
        <v>25</v>
      </c>
      <c r="C251" s="34" t="s">
        <v>218</v>
      </c>
      <c r="D251" s="33" t="s">
        <v>1775</v>
      </c>
      <c r="E251" s="6" t="s">
        <v>795</v>
      </c>
      <c r="F251" s="6" t="s">
        <v>796</v>
      </c>
      <c r="G251" s="6" t="s">
        <v>29</v>
      </c>
      <c r="H251" s="7">
        <v>1</v>
      </c>
      <c r="I251" s="6" t="s">
        <v>30</v>
      </c>
      <c r="J251" s="6" t="s">
        <v>31</v>
      </c>
      <c r="K251" s="6" t="s">
        <v>32</v>
      </c>
      <c r="L251" s="6" t="s">
        <v>1755</v>
      </c>
      <c r="M251" s="6" t="s">
        <v>33</v>
      </c>
      <c r="N251" s="10">
        <v>9</v>
      </c>
      <c r="O251" s="11">
        <v>3</v>
      </c>
      <c r="P251" s="12">
        <v>30</v>
      </c>
      <c r="Q251" s="13">
        <v>21.518989999999999</v>
      </c>
      <c r="R251" s="13">
        <v>-98.395499999999998</v>
      </c>
      <c r="S251" s="14" t="s">
        <v>176</v>
      </c>
      <c r="T251" s="14"/>
      <c r="U251" s="14"/>
      <c r="V251" s="14"/>
      <c r="W251" s="14"/>
      <c r="X251" s="14"/>
      <c r="Y251" s="14"/>
      <c r="Z251" s="14"/>
      <c r="AA251" s="15"/>
      <c r="AB251" s="16">
        <v>4.1666666666666664E-2</v>
      </c>
    </row>
    <row r="252" spans="1:28" x14ac:dyDescent="0.3">
      <c r="A252" s="6" t="s">
        <v>797</v>
      </c>
      <c r="B252" s="7" t="s">
        <v>25</v>
      </c>
      <c r="C252" s="34" t="s">
        <v>218</v>
      </c>
      <c r="D252" s="33" t="s">
        <v>1775</v>
      </c>
      <c r="E252" s="6" t="s">
        <v>798</v>
      </c>
      <c r="F252" s="6" t="s">
        <v>799</v>
      </c>
      <c r="G252" s="6" t="s">
        <v>29</v>
      </c>
      <c r="H252" s="7">
        <v>1</v>
      </c>
      <c r="I252" s="6" t="s">
        <v>30</v>
      </c>
      <c r="J252" s="6" t="s">
        <v>31</v>
      </c>
      <c r="K252" s="6" t="s">
        <v>32</v>
      </c>
      <c r="L252" s="6" t="s">
        <v>1755</v>
      </c>
      <c r="M252" s="6" t="s">
        <v>33</v>
      </c>
      <c r="N252" s="10">
        <v>10</v>
      </c>
      <c r="O252" s="11">
        <v>1</v>
      </c>
      <c r="P252" s="12">
        <v>16</v>
      </c>
      <c r="Q252" s="13">
        <v>19.38645</v>
      </c>
      <c r="R252" s="13">
        <v>-96.973200000000006</v>
      </c>
      <c r="S252" s="14" t="s">
        <v>176</v>
      </c>
      <c r="T252" s="14"/>
      <c r="U252" s="14"/>
      <c r="V252" s="14"/>
      <c r="W252" s="14"/>
      <c r="X252" s="14"/>
      <c r="Y252" s="14"/>
      <c r="Z252" s="14"/>
      <c r="AA252" s="15"/>
      <c r="AB252" s="16">
        <v>4.1666666666666664E-2</v>
      </c>
    </row>
    <row r="253" spans="1:28" x14ac:dyDescent="0.3">
      <c r="A253" s="6" t="s">
        <v>800</v>
      </c>
      <c r="B253" s="7" t="s">
        <v>25</v>
      </c>
      <c r="C253" s="34" t="s">
        <v>218</v>
      </c>
      <c r="D253" s="33" t="s">
        <v>1775</v>
      </c>
      <c r="E253" s="6" t="s">
        <v>801</v>
      </c>
      <c r="F253" s="6" t="s">
        <v>802</v>
      </c>
      <c r="G253" s="6" t="s">
        <v>29</v>
      </c>
      <c r="H253" s="7">
        <v>1</v>
      </c>
      <c r="I253" s="6" t="s">
        <v>30</v>
      </c>
      <c r="J253" s="6" t="s">
        <v>31</v>
      </c>
      <c r="K253" s="6" t="s">
        <v>32</v>
      </c>
      <c r="L253" s="6" t="s">
        <v>1755</v>
      </c>
      <c r="M253" s="6" t="s">
        <v>33</v>
      </c>
      <c r="N253" s="10">
        <v>6</v>
      </c>
      <c r="O253" s="11">
        <v>2</v>
      </c>
      <c r="P253" s="12">
        <v>22</v>
      </c>
      <c r="Q253" s="13">
        <v>18.611550000000001</v>
      </c>
      <c r="R253" s="13">
        <v>-95.656679999999994</v>
      </c>
      <c r="S253" s="14" t="s">
        <v>176</v>
      </c>
      <c r="T253" s="14"/>
      <c r="U253" s="14"/>
      <c r="V253" s="14"/>
      <c r="W253" s="14"/>
      <c r="X253" s="14"/>
      <c r="Y253" s="14"/>
      <c r="Z253" s="14"/>
      <c r="AA253" s="15"/>
      <c r="AB253" s="16">
        <v>4.1666666666666664E-2</v>
      </c>
    </row>
    <row r="254" spans="1:28" x14ac:dyDescent="0.3">
      <c r="A254" s="6" t="s">
        <v>803</v>
      </c>
      <c r="B254" s="7" t="s">
        <v>25</v>
      </c>
      <c r="C254" s="34" t="s">
        <v>218</v>
      </c>
      <c r="D254" s="33" t="s">
        <v>1775</v>
      </c>
      <c r="E254" s="6" t="s">
        <v>804</v>
      </c>
      <c r="F254" s="6" t="s">
        <v>805</v>
      </c>
      <c r="G254" s="6" t="s">
        <v>29</v>
      </c>
      <c r="H254" s="7">
        <v>1</v>
      </c>
      <c r="I254" s="6" t="s">
        <v>30</v>
      </c>
      <c r="J254" s="6" t="s">
        <v>31</v>
      </c>
      <c r="K254" s="6" t="s">
        <v>32</v>
      </c>
      <c r="L254" s="6" t="s">
        <v>1755</v>
      </c>
      <c r="M254" s="6" t="s">
        <v>33</v>
      </c>
      <c r="N254" s="10">
        <v>6</v>
      </c>
      <c r="O254" s="11">
        <v>2</v>
      </c>
      <c r="P254" s="12">
        <v>25</v>
      </c>
      <c r="Q254" s="13">
        <v>19.963850000000001</v>
      </c>
      <c r="R254" s="13">
        <v>-97.218900000000005</v>
      </c>
      <c r="S254" s="14" t="s">
        <v>176</v>
      </c>
      <c r="T254" s="14"/>
      <c r="U254" s="14"/>
      <c r="V254" s="14"/>
      <c r="W254" s="14"/>
      <c r="X254" s="14"/>
      <c r="Y254" s="14"/>
      <c r="Z254" s="14"/>
      <c r="AA254" s="15"/>
      <c r="AB254" s="16">
        <v>4.1666666666666664E-2</v>
      </c>
    </row>
    <row r="255" spans="1:28" x14ac:dyDescent="0.3">
      <c r="A255" s="6" t="s">
        <v>806</v>
      </c>
      <c r="B255" s="7" t="s">
        <v>25</v>
      </c>
      <c r="C255" s="34" t="s">
        <v>218</v>
      </c>
      <c r="D255" s="33" t="s">
        <v>1775</v>
      </c>
      <c r="E255" s="6" t="s">
        <v>807</v>
      </c>
      <c r="F255" s="6" t="s">
        <v>808</v>
      </c>
      <c r="G255" s="6" t="s">
        <v>29</v>
      </c>
      <c r="H255" s="7">
        <v>1</v>
      </c>
      <c r="I255" s="6" t="s">
        <v>30</v>
      </c>
      <c r="J255" s="6" t="s">
        <v>31</v>
      </c>
      <c r="K255" s="6" t="s">
        <v>32</v>
      </c>
      <c r="L255" s="6" t="s">
        <v>1755</v>
      </c>
      <c r="M255" s="6" t="s">
        <v>84</v>
      </c>
      <c r="N255" s="10">
        <v>6</v>
      </c>
      <c r="O255" s="11">
        <v>2</v>
      </c>
      <c r="P255" s="12">
        <v>28</v>
      </c>
      <c r="Q255" s="13">
        <v>17.27778</v>
      </c>
      <c r="R255" s="13">
        <v>-94.503399999999999</v>
      </c>
      <c r="S255" s="14" t="s">
        <v>176</v>
      </c>
      <c r="T255" s="14"/>
      <c r="U255" s="14"/>
      <c r="V255" s="14"/>
      <c r="W255" s="14"/>
      <c r="X255" s="14"/>
      <c r="Y255" s="14"/>
      <c r="Z255" s="14"/>
      <c r="AA255" s="15"/>
      <c r="AB255" s="16">
        <v>4.1666666666666664E-2</v>
      </c>
    </row>
    <row r="256" spans="1:28" x14ac:dyDescent="0.3">
      <c r="A256" s="6" t="s">
        <v>809</v>
      </c>
      <c r="B256" s="7" t="s">
        <v>25</v>
      </c>
      <c r="C256" s="34" t="s">
        <v>218</v>
      </c>
      <c r="D256" s="33" t="s">
        <v>1775</v>
      </c>
      <c r="E256" s="6" t="s">
        <v>810</v>
      </c>
      <c r="F256" s="6" t="s">
        <v>811</v>
      </c>
      <c r="G256" s="6" t="s">
        <v>29</v>
      </c>
      <c r="H256" s="7">
        <v>1</v>
      </c>
      <c r="I256" s="6" t="s">
        <v>30</v>
      </c>
      <c r="J256" s="6" t="s">
        <v>31</v>
      </c>
      <c r="K256" s="6" t="s">
        <v>32</v>
      </c>
      <c r="L256" s="6" t="s">
        <v>1755</v>
      </c>
      <c r="M256" s="6" t="s">
        <v>84</v>
      </c>
      <c r="N256" s="10">
        <v>5</v>
      </c>
      <c r="O256" s="11">
        <v>2</v>
      </c>
      <c r="P256" s="12">
        <v>23</v>
      </c>
      <c r="Q256" s="13">
        <v>18.148350000000001</v>
      </c>
      <c r="R256" s="13">
        <v>-94.791629999999998</v>
      </c>
      <c r="S256" s="14" t="s">
        <v>176</v>
      </c>
      <c r="T256" s="14"/>
      <c r="U256" s="14"/>
      <c r="V256" s="14"/>
      <c r="W256" s="14"/>
      <c r="X256" s="14"/>
      <c r="Y256" s="14"/>
      <c r="Z256" s="14"/>
      <c r="AA256" s="15"/>
      <c r="AB256" s="16">
        <v>4.1666666666666664E-2</v>
      </c>
    </row>
    <row r="257" spans="1:28" x14ac:dyDescent="0.3">
      <c r="A257" s="6" t="s">
        <v>812</v>
      </c>
      <c r="B257" s="7" t="s">
        <v>25</v>
      </c>
      <c r="C257" s="34" t="s">
        <v>218</v>
      </c>
      <c r="D257" s="33" t="s">
        <v>1775</v>
      </c>
      <c r="E257" s="6" t="s">
        <v>813</v>
      </c>
      <c r="F257" s="6" t="s">
        <v>814</v>
      </c>
      <c r="G257" s="6" t="s">
        <v>29</v>
      </c>
      <c r="H257" s="7">
        <v>1</v>
      </c>
      <c r="I257" s="6" t="s">
        <v>30</v>
      </c>
      <c r="J257" s="6" t="s">
        <v>31</v>
      </c>
      <c r="K257" s="6" t="s">
        <v>32</v>
      </c>
      <c r="L257" s="6" t="s">
        <v>1755</v>
      </c>
      <c r="M257" s="6" t="s">
        <v>84</v>
      </c>
      <c r="N257" s="10">
        <v>8</v>
      </c>
      <c r="O257" s="11">
        <v>2</v>
      </c>
      <c r="P257" s="12">
        <v>29</v>
      </c>
      <c r="Q257" s="13">
        <v>18.59207</v>
      </c>
      <c r="R257" s="13">
        <v>-97.128699999999995</v>
      </c>
      <c r="S257" s="14" t="s">
        <v>176</v>
      </c>
      <c r="T257" s="14"/>
      <c r="U257" s="14"/>
      <c r="V257" s="14"/>
      <c r="W257" s="14"/>
      <c r="X257" s="14"/>
      <c r="Y257" s="14"/>
      <c r="Z257" s="14"/>
      <c r="AA257" s="15"/>
      <c r="AB257" s="16">
        <v>4.1666666666666664E-2</v>
      </c>
    </row>
    <row r="258" spans="1:28" x14ac:dyDescent="0.3">
      <c r="A258" s="6" t="s">
        <v>815</v>
      </c>
      <c r="B258" s="7" t="s">
        <v>25</v>
      </c>
      <c r="C258" s="34" t="s">
        <v>218</v>
      </c>
      <c r="D258" s="33" t="s">
        <v>1775</v>
      </c>
      <c r="E258" s="6" t="s">
        <v>816</v>
      </c>
      <c r="F258" s="6" t="s">
        <v>817</v>
      </c>
      <c r="G258" s="6" t="s">
        <v>29</v>
      </c>
      <c r="H258" s="7">
        <v>1</v>
      </c>
      <c r="I258" s="6" t="s">
        <v>30</v>
      </c>
      <c r="J258" s="6" t="s">
        <v>31</v>
      </c>
      <c r="K258" s="6" t="s">
        <v>32</v>
      </c>
      <c r="L258" s="6" t="s">
        <v>1755</v>
      </c>
      <c r="M258" s="6" t="s">
        <v>33</v>
      </c>
      <c r="N258" s="10">
        <v>6</v>
      </c>
      <c r="O258" s="11">
        <v>2</v>
      </c>
      <c r="P258" s="12">
        <v>25</v>
      </c>
      <c r="Q258" s="13">
        <v>18.61581</v>
      </c>
      <c r="R258" s="13">
        <v>-96.696010000000001</v>
      </c>
      <c r="S258" s="14" t="s">
        <v>176</v>
      </c>
      <c r="T258" s="14"/>
      <c r="U258" s="14"/>
      <c r="V258" s="14"/>
      <c r="W258" s="14"/>
      <c r="X258" s="14"/>
      <c r="Y258" s="14"/>
      <c r="Z258" s="14"/>
      <c r="AA258" s="15"/>
      <c r="AB258" s="16">
        <v>4.1666666666666664E-2</v>
      </c>
    </row>
    <row r="259" spans="1:28" x14ac:dyDescent="0.3">
      <c r="A259" s="6" t="s">
        <v>818</v>
      </c>
      <c r="B259" s="7" t="s">
        <v>25</v>
      </c>
      <c r="C259" s="34" t="s">
        <v>218</v>
      </c>
      <c r="D259" s="33" t="s">
        <v>1775</v>
      </c>
      <c r="E259" s="6" t="s">
        <v>819</v>
      </c>
      <c r="F259" s="6" t="s">
        <v>820</v>
      </c>
      <c r="G259" s="6" t="s">
        <v>29</v>
      </c>
      <c r="H259" s="7">
        <v>1</v>
      </c>
      <c r="I259" s="6" t="s">
        <v>30</v>
      </c>
      <c r="J259" s="6" t="s">
        <v>31</v>
      </c>
      <c r="K259" s="6" t="s">
        <v>32</v>
      </c>
      <c r="L259" s="6" t="s">
        <v>1755</v>
      </c>
      <c r="M259" s="6" t="s">
        <v>84</v>
      </c>
      <c r="N259" s="10">
        <v>6</v>
      </c>
      <c r="O259" s="11">
        <v>2</v>
      </c>
      <c r="P259" s="12">
        <v>20</v>
      </c>
      <c r="Q259" s="13">
        <v>20.784880000000001</v>
      </c>
      <c r="R259" s="13">
        <v>-98.007800000000003</v>
      </c>
      <c r="S259" s="14" t="s">
        <v>176</v>
      </c>
      <c r="T259" s="14"/>
      <c r="U259" s="14"/>
      <c r="V259" s="14"/>
      <c r="W259" s="14"/>
      <c r="X259" s="14"/>
      <c r="Y259" s="14"/>
      <c r="Z259" s="14"/>
      <c r="AA259" s="15"/>
      <c r="AB259" s="16">
        <v>4.1666666666666664E-2</v>
      </c>
    </row>
    <row r="260" spans="1:28" x14ac:dyDescent="0.3">
      <c r="A260" s="6" t="s">
        <v>821</v>
      </c>
      <c r="B260" s="7" t="s">
        <v>25</v>
      </c>
      <c r="C260" s="34" t="s">
        <v>218</v>
      </c>
      <c r="D260" s="33" t="s">
        <v>1775</v>
      </c>
      <c r="E260" s="6" t="s">
        <v>822</v>
      </c>
      <c r="F260" s="6" t="s">
        <v>823</v>
      </c>
      <c r="G260" s="6" t="s">
        <v>29</v>
      </c>
      <c r="H260" s="7">
        <v>1</v>
      </c>
      <c r="I260" s="6" t="s">
        <v>30</v>
      </c>
      <c r="J260" s="6" t="s">
        <v>31</v>
      </c>
      <c r="K260" s="6" t="s">
        <v>32</v>
      </c>
      <c r="L260" s="6" t="s">
        <v>1755</v>
      </c>
      <c r="M260" s="6" t="s">
        <v>33</v>
      </c>
      <c r="N260" s="10">
        <v>11</v>
      </c>
      <c r="O260" s="11">
        <v>2</v>
      </c>
      <c r="P260" s="12">
        <v>30</v>
      </c>
      <c r="Q260" s="13">
        <v>20.277149999999999</v>
      </c>
      <c r="R260" s="13">
        <v>-97.548199999999994</v>
      </c>
      <c r="S260" s="14" t="s">
        <v>176</v>
      </c>
      <c r="T260" s="14"/>
      <c r="U260" s="14"/>
      <c r="V260" s="14"/>
      <c r="W260" s="14"/>
      <c r="X260" s="14"/>
      <c r="Y260" s="14"/>
      <c r="Z260" s="14"/>
      <c r="AA260" s="15"/>
      <c r="AB260" s="16">
        <v>4.1666666666666664E-2</v>
      </c>
    </row>
    <row r="261" spans="1:28" x14ac:dyDescent="0.3">
      <c r="A261" s="6" t="s">
        <v>824</v>
      </c>
      <c r="B261" s="7" t="s">
        <v>25</v>
      </c>
      <c r="C261" s="34" t="s">
        <v>218</v>
      </c>
      <c r="D261" s="33" t="s">
        <v>1775</v>
      </c>
      <c r="E261" s="6" t="s">
        <v>825</v>
      </c>
      <c r="F261" s="6" t="s">
        <v>826</v>
      </c>
      <c r="G261" s="6" t="s">
        <v>29</v>
      </c>
      <c r="H261" s="7">
        <v>1</v>
      </c>
      <c r="I261" s="6" t="s">
        <v>30</v>
      </c>
      <c r="J261" s="6" t="s">
        <v>31</v>
      </c>
      <c r="K261" s="6" t="s">
        <v>32</v>
      </c>
      <c r="L261" s="6" t="s">
        <v>1755</v>
      </c>
      <c r="M261" s="6" t="s">
        <v>33</v>
      </c>
      <c r="N261" s="10">
        <v>7</v>
      </c>
      <c r="O261" s="11">
        <v>2</v>
      </c>
      <c r="P261" s="12">
        <v>21</v>
      </c>
      <c r="Q261" s="13">
        <v>21.189050000000002</v>
      </c>
      <c r="R261" s="13">
        <v>-97.736720000000005</v>
      </c>
      <c r="S261" s="14" t="s">
        <v>176</v>
      </c>
      <c r="T261" s="14"/>
      <c r="U261" s="14"/>
      <c r="V261" s="14"/>
      <c r="W261" s="14"/>
      <c r="X261" s="14"/>
      <c r="Y261" s="14"/>
      <c r="Z261" s="14"/>
      <c r="AA261" s="15"/>
      <c r="AB261" s="16">
        <v>4.1666666666666664E-2</v>
      </c>
    </row>
    <row r="262" spans="1:28" x14ac:dyDescent="0.3">
      <c r="A262" s="6" t="s">
        <v>827</v>
      </c>
      <c r="B262" s="7" t="s">
        <v>25</v>
      </c>
      <c r="C262" s="34" t="s">
        <v>218</v>
      </c>
      <c r="D262" s="33" t="s">
        <v>1775</v>
      </c>
      <c r="E262" s="6" t="s">
        <v>828</v>
      </c>
      <c r="F262" s="6" t="s">
        <v>829</v>
      </c>
      <c r="G262" s="6" t="s">
        <v>29</v>
      </c>
      <c r="H262" s="7">
        <v>1</v>
      </c>
      <c r="I262" s="6" t="s">
        <v>30</v>
      </c>
      <c r="J262" s="6" t="s">
        <v>31</v>
      </c>
      <c r="K262" s="6" t="s">
        <v>32</v>
      </c>
      <c r="L262" s="6" t="s">
        <v>1755</v>
      </c>
      <c r="M262" s="6" t="s">
        <v>33</v>
      </c>
      <c r="N262" s="10">
        <v>10</v>
      </c>
      <c r="O262" s="11">
        <v>2</v>
      </c>
      <c r="P262" s="12">
        <v>33</v>
      </c>
      <c r="Q262" s="13">
        <v>17.90343</v>
      </c>
      <c r="R262" s="13">
        <v>-94.112009999999998</v>
      </c>
      <c r="S262" s="14" t="s">
        <v>176</v>
      </c>
      <c r="T262" s="14"/>
      <c r="U262" s="14"/>
      <c r="V262" s="14"/>
      <c r="W262" s="14"/>
      <c r="X262" s="14"/>
      <c r="Y262" s="14"/>
      <c r="Z262" s="14"/>
      <c r="AA262" s="15"/>
      <c r="AB262" s="16">
        <v>4.1666666666666664E-2</v>
      </c>
    </row>
    <row r="263" spans="1:28" x14ac:dyDescent="0.3">
      <c r="A263" s="6" t="s">
        <v>830</v>
      </c>
      <c r="B263" s="7" t="s">
        <v>25</v>
      </c>
      <c r="C263" s="34" t="s">
        <v>218</v>
      </c>
      <c r="D263" s="33" t="s">
        <v>1775</v>
      </c>
      <c r="E263" s="6" t="s">
        <v>831</v>
      </c>
      <c r="F263" s="6" t="s">
        <v>832</v>
      </c>
      <c r="G263" s="6" t="s">
        <v>29</v>
      </c>
      <c r="H263" s="7">
        <v>1</v>
      </c>
      <c r="I263" s="6" t="s">
        <v>30</v>
      </c>
      <c r="J263" s="6" t="s">
        <v>31</v>
      </c>
      <c r="K263" s="6" t="s">
        <v>32</v>
      </c>
      <c r="L263" s="6" t="s">
        <v>1755</v>
      </c>
      <c r="M263" s="6" t="s">
        <v>33</v>
      </c>
      <c r="N263" s="10">
        <v>9</v>
      </c>
      <c r="O263" s="11">
        <v>2</v>
      </c>
      <c r="P263" s="12">
        <v>27</v>
      </c>
      <c r="Q263" s="13">
        <v>19.662520000000001</v>
      </c>
      <c r="R263" s="13">
        <v>-96.868399999999994</v>
      </c>
      <c r="S263" s="14" t="s">
        <v>176</v>
      </c>
      <c r="T263" s="14"/>
      <c r="U263" s="14"/>
      <c r="V263" s="14"/>
      <c r="W263" s="14"/>
      <c r="X263" s="14"/>
      <c r="Y263" s="14"/>
      <c r="Z263" s="14"/>
      <c r="AA263" s="15"/>
      <c r="AB263" s="16">
        <v>4.1666666666666664E-2</v>
      </c>
    </row>
    <row r="264" spans="1:28" x14ac:dyDescent="0.3">
      <c r="A264" s="6" t="s">
        <v>833</v>
      </c>
      <c r="B264" s="7" t="s">
        <v>25</v>
      </c>
      <c r="C264" s="34" t="s">
        <v>218</v>
      </c>
      <c r="D264" s="33" t="s">
        <v>1775</v>
      </c>
      <c r="E264" s="6" t="s">
        <v>834</v>
      </c>
      <c r="F264" s="6" t="s">
        <v>835</v>
      </c>
      <c r="G264" s="6" t="s">
        <v>29</v>
      </c>
      <c r="H264" s="7">
        <v>1</v>
      </c>
      <c r="I264" s="6" t="s">
        <v>30</v>
      </c>
      <c r="J264" s="6" t="s">
        <v>31</v>
      </c>
      <c r="K264" s="6" t="s">
        <v>32</v>
      </c>
      <c r="L264" s="6" t="s">
        <v>1755</v>
      </c>
      <c r="M264" s="6" t="s">
        <v>33</v>
      </c>
      <c r="N264" s="10">
        <v>6</v>
      </c>
      <c r="O264" s="11">
        <v>2</v>
      </c>
      <c r="P264" s="12">
        <v>25</v>
      </c>
      <c r="Q264" s="13">
        <v>18.080580000000001</v>
      </c>
      <c r="R264" s="13">
        <v>-95.714206000000004</v>
      </c>
      <c r="S264" s="14" t="s">
        <v>176</v>
      </c>
      <c r="T264" s="14"/>
      <c r="U264" s="14"/>
      <c r="V264" s="14"/>
      <c r="W264" s="14"/>
      <c r="X264" s="14"/>
      <c r="Y264" s="14"/>
      <c r="Z264" s="14"/>
      <c r="AA264" s="15"/>
      <c r="AB264" s="16">
        <v>4.1666666666666664E-2</v>
      </c>
    </row>
    <row r="265" spans="1:28" x14ac:dyDescent="0.3">
      <c r="A265" s="6" t="s">
        <v>836</v>
      </c>
      <c r="B265" s="7" t="s">
        <v>25</v>
      </c>
      <c r="C265" s="34" t="s">
        <v>837</v>
      </c>
      <c r="D265" s="33" t="s">
        <v>1775</v>
      </c>
      <c r="E265" s="6" t="s">
        <v>838</v>
      </c>
      <c r="F265" s="6" t="s">
        <v>839</v>
      </c>
      <c r="G265" s="6" t="s">
        <v>29</v>
      </c>
      <c r="H265" s="7">
        <v>1</v>
      </c>
      <c r="I265" s="6" t="s">
        <v>30</v>
      </c>
      <c r="J265" s="6" t="s">
        <v>31</v>
      </c>
      <c r="K265" s="6" t="s">
        <v>32</v>
      </c>
      <c r="L265" s="6" t="s">
        <v>1755</v>
      </c>
      <c r="M265" s="6" t="s">
        <v>33</v>
      </c>
      <c r="N265" s="10">
        <v>10</v>
      </c>
      <c r="O265" s="11">
        <v>2</v>
      </c>
      <c r="P265" s="12">
        <v>19</v>
      </c>
      <c r="Q265" s="13">
        <v>21.651710000000001</v>
      </c>
      <c r="R265" s="13">
        <v>-102.971898</v>
      </c>
      <c r="S265" s="14" t="s">
        <v>190</v>
      </c>
      <c r="T265" s="14"/>
      <c r="U265" s="14"/>
      <c r="V265" s="14"/>
      <c r="W265" s="14"/>
      <c r="X265" s="14"/>
      <c r="Y265" s="14"/>
      <c r="Z265" s="14"/>
      <c r="AA265" s="15"/>
      <c r="AB265" s="16">
        <v>8.3333333333333329E-2</v>
      </c>
    </row>
    <row r="266" spans="1:28" x14ac:dyDescent="0.3">
      <c r="A266" s="6" t="s">
        <v>840</v>
      </c>
      <c r="B266" s="7" t="s">
        <v>25</v>
      </c>
      <c r="C266" s="34" t="s">
        <v>837</v>
      </c>
      <c r="D266" s="33" t="s">
        <v>1775</v>
      </c>
      <c r="E266" s="6" t="s">
        <v>841</v>
      </c>
      <c r="F266" s="6" t="s">
        <v>842</v>
      </c>
      <c r="G266" s="6" t="s">
        <v>29</v>
      </c>
      <c r="H266" s="7">
        <v>1</v>
      </c>
      <c r="I266" s="6" t="s">
        <v>30</v>
      </c>
      <c r="J266" s="6" t="s">
        <v>31</v>
      </c>
      <c r="K266" s="6" t="s">
        <v>32</v>
      </c>
      <c r="L266" s="6" t="s">
        <v>1755</v>
      </c>
      <c r="M266" s="6" t="s">
        <v>33</v>
      </c>
      <c r="N266" s="10">
        <v>10</v>
      </c>
      <c r="O266" s="11">
        <v>2</v>
      </c>
      <c r="P266" s="12">
        <v>19</v>
      </c>
      <c r="Q266" s="13">
        <v>24.291384000000001</v>
      </c>
      <c r="R266" s="13">
        <v>-103.402573</v>
      </c>
      <c r="S266" s="14" t="s">
        <v>190</v>
      </c>
      <c r="T266" s="14"/>
      <c r="U266" s="14"/>
      <c r="V266" s="14"/>
      <c r="W266" s="14"/>
      <c r="X266" s="14"/>
      <c r="Y266" s="14"/>
      <c r="Z266" s="14"/>
      <c r="AA266" s="15"/>
      <c r="AB266" s="16">
        <v>8.3333333333333329E-2</v>
      </c>
    </row>
    <row r="267" spans="1:28" x14ac:dyDescent="0.3">
      <c r="A267" s="6" t="s">
        <v>843</v>
      </c>
      <c r="B267" s="7" t="s">
        <v>25</v>
      </c>
      <c r="C267" s="34" t="s">
        <v>837</v>
      </c>
      <c r="D267" s="33" t="s">
        <v>1775</v>
      </c>
      <c r="E267" s="6" t="s">
        <v>844</v>
      </c>
      <c r="F267" s="6" t="s">
        <v>845</v>
      </c>
      <c r="G267" s="6" t="s">
        <v>29</v>
      </c>
      <c r="H267" s="7">
        <v>1</v>
      </c>
      <c r="I267" s="6" t="s">
        <v>30</v>
      </c>
      <c r="J267" s="6" t="s">
        <v>31</v>
      </c>
      <c r="K267" s="6" t="s">
        <v>32</v>
      </c>
      <c r="L267" s="6" t="s">
        <v>1755</v>
      </c>
      <c r="M267" s="6" t="s">
        <v>84</v>
      </c>
      <c r="N267" s="10">
        <v>10</v>
      </c>
      <c r="O267" s="11">
        <v>2</v>
      </c>
      <c r="P267" s="12">
        <v>22</v>
      </c>
      <c r="Q267" s="13">
        <v>21.389230999999999</v>
      </c>
      <c r="R267" s="13">
        <v>-103.12244099999999</v>
      </c>
      <c r="S267" s="14" t="s">
        <v>190</v>
      </c>
      <c r="T267" s="14"/>
      <c r="U267" s="14"/>
      <c r="V267" s="14"/>
      <c r="W267" s="14"/>
      <c r="X267" s="14"/>
      <c r="Y267" s="14"/>
      <c r="Z267" s="14"/>
      <c r="AA267" s="15"/>
      <c r="AB267" s="16">
        <v>8.3333333333333329E-2</v>
      </c>
    </row>
    <row r="268" spans="1:28" x14ac:dyDescent="0.3">
      <c r="A268" s="6" t="s">
        <v>846</v>
      </c>
      <c r="B268" s="7" t="s">
        <v>25</v>
      </c>
      <c r="C268" s="34" t="s">
        <v>837</v>
      </c>
      <c r="D268" s="33" t="s">
        <v>1775</v>
      </c>
      <c r="E268" s="6" t="s">
        <v>847</v>
      </c>
      <c r="F268" s="6" t="s">
        <v>848</v>
      </c>
      <c r="G268" s="6" t="s">
        <v>29</v>
      </c>
      <c r="H268" s="7">
        <v>1</v>
      </c>
      <c r="I268" s="6" t="s">
        <v>30</v>
      </c>
      <c r="J268" s="6" t="s">
        <v>31</v>
      </c>
      <c r="K268" s="6" t="s">
        <v>32</v>
      </c>
      <c r="L268" s="6" t="s">
        <v>1755</v>
      </c>
      <c r="M268" s="6" t="s">
        <v>33</v>
      </c>
      <c r="N268" s="10">
        <v>10</v>
      </c>
      <c r="O268" s="11">
        <v>2</v>
      </c>
      <c r="P268" s="12">
        <v>19</v>
      </c>
      <c r="Q268" s="13">
        <v>21.364122999999999</v>
      </c>
      <c r="R268" s="13">
        <v>-102.823375</v>
      </c>
      <c r="S268" s="14" t="s">
        <v>190</v>
      </c>
      <c r="T268" s="14"/>
      <c r="U268" s="14"/>
      <c r="V268" s="14"/>
      <c r="W268" s="14"/>
      <c r="X268" s="14"/>
      <c r="Y268" s="14"/>
      <c r="Z268" s="14"/>
      <c r="AA268" s="15"/>
      <c r="AB268" s="16">
        <v>8.3333333333333329E-2</v>
      </c>
    </row>
    <row r="269" spans="1:28" x14ac:dyDescent="0.3">
      <c r="A269" s="6" t="s">
        <v>849</v>
      </c>
      <c r="B269" s="7" t="s">
        <v>25</v>
      </c>
      <c r="C269" s="34" t="s">
        <v>837</v>
      </c>
      <c r="D269" s="33" t="s">
        <v>1775</v>
      </c>
      <c r="E269" s="6" t="s">
        <v>850</v>
      </c>
      <c r="F269" s="6" t="s">
        <v>851</v>
      </c>
      <c r="G269" s="6" t="s">
        <v>29</v>
      </c>
      <c r="H269" s="7">
        <v>1</v>
      </c>
      <c r="I269" s="6" t="s">
        <v>30</v>
      </c>
      <c r="J269" s="6" t="s">
        <v>31</v>
      </c>
      <c r="K269" s="6" t="s">
        <v>32</v>
      </c>
      <c r="L269" s="6" t="s">
        <v>1755</v>
      </c>
      <c r="M269" s="6" t="s">
        <v>33</v>
      </c>
      <c r="N269" s="10">
        <v>14</v>
      </c>
      <c r="O269" s="11">
        <v>2</v>
      </c>
      <c r="P269" s="12">
        <v>19</v>
      </c>
      <c r="Q269" s="13">
        <v>22.584627000000001</v>
      </c>
      <c r="R269" s="13">
        <v>-102.239395</v>
      </c>
      <c r="S269" s="14" t="s">
        <v>190</v>
      </c>
      <c r="T269" s="14"/>
      <c r="U269" s="14"/>
      <c r="V269" s="14"/>
      <c r="W269" s="14"/>
      <c r="X269" s="14"/>
      <c r="Y269" s="14"/>
      <c r="Z269" s="14"/>
      <c r="AA269" s="15"/>
      <c r="AB269" s="16">
        <v>8.3333333333333329E-2</v>
      </c>
    </row>
    <row r="270" spans="1:28" x14ac:dyDescent="0.3">
      <c r="A270" s="6" t="s">
        <v>852</v>
      </c>
      <c r="B270" s="7" t="s">
        <v>25</v>
      </c>
      <c r="C270" s="34" t="s">
        <v>837</v>
      </c>
      <c r="D270" s="33" t="s">
        <v>1775</v>
      </c>
      <c r="E270" s="6" t="s">
        <v>724</v>
      </c>
      <c r="F270" s="6" t="s">
        <v>853</v>
      </c>
      <c r="G270" s="6" t="s">
        <v>29</v>
      </c>
      <c r="H270" s="7">
        <v>1</v>
      </c>
      <c r="I270" s="6" t="s">
        <v>30</v>
      </c>
      <c r="J270" s="6" t="s">
        <v>31</v>
      </c>
      <c r="K270" s="6" t="s">
        <v>32</v>
      </c>
      <c r="L270" s="6" t="s">
        <v>1755</v>
      </c>
      <c r="M270" s="6" t="s">
        <v>33</v>
      </c>
      <c r="N270" s="10">
        <v>11</v>
      </c>
      <c r="O270" s="11">
        <v>2</v>
      </c>
      <c r="P270" s="12">
        <v>15</v>
      </c>
      <c r="Q270" s="13">
        <v>21.863109999999999</v>
      </c>
      <c r="R270" s="13">
        <v>-102.91135300000001</v>
      </c>
      <c r="S270" s="14" t="s">
        <v>190</v>
      </c>
      <c r="T270" s="14"/>
      <c r="U270" s="14"/>
      <c r="V270" s="14"/>
      <c r="W270" s="14"/>
      <c r="X270" s="14"/>
      <c r="Y270" s="14"/>
      <c r="Z270" s="14"/>
      <c r="AA270" s="15"/>
      <c r="AB270" s="16">
        <v>8.3333333333333329E-2</v>
      </c>
    </row>
    <row r="271" spans="1:28" x14ac:dyDescent="0.3">
      <c r="A271" s="6" t="s">
        <v>854</v>
      </c>
      <c r="B271" s="7" t="s">
        <v>25</v>
      </c>
      <c r="C271" s="34" t="s">
        <v>837</v>
      </c>
      <c r="D271" s="33" t="s">
        <v>1775</v>
      </c>
      <c r="E271" s="6" t="s">
        <v>855</v>
      </c>
      <c r="F271" s="6" t="s">
        <v>856</v>
      </c>
      <c r="G271" s="6" t="s">
        <v>29</v>
      </c>
      <c r="H271" s="7">
        <v>1</v>
      </c>
      <c r="I271" s="6" t="s">
        <v>30</v>
      </c>
      <c r="J271" s="6" t="s">
        <v>31</v>
      </c>
      <c r="K271" s="6" t="s">
        <v>32</v>
      </c>
      <c r="L271" s="6" t="s">
        <v>1755</v>
      </c>
      <c r="M271" s="6" t="s">
        <v>33</v>
      </c>
      <c r="N271" s="10">
        <v>11</v>
      </c>
      <c r="O271" s="11">
        <v>2</v>
      </c>
      <c r="P271" s="12">
        <v>17</v>
      </c>
      <c r="Q271" s="13">
        <v>22.775388</v>
      </c>
      <c r="R271" s="13">
        <v>-103.58240499999999</v>
      </c>
      <c r="S271" s="14" t="s">
        <v>190</v>
      </c>
      <c r="T271" s="14"/>
      <c r="U271" s="14"/>
      <c r="V271" s="14"/>
      <c r="W271" s="14"/>
      <c r="X271" s="14"/>
      <c r="Y271" s="14"/>
      <c r="Z271" s="14"/>
      <c r="AA271" s="15"/>
      <c r="AB271" s="16">
        <v>8.3333333333333329E-2</v>
      </c>
    </row>
    <row r="272" spans="1:28" x14ac:dyDescent="0.3">
      <c r="A272" s="6" t="s">
        <v>857</v>
      </c>
      <c r="B272" s="7" t="s">
        <v>25</v>
      </c>
      <c r="C272" s="34" t="s">
        <v>837</v>
      </c>
      <c r="D272" s="33" t="s">
        <v>1775</v>
      </c>
      <c r="E272" s="6" t="s">
        <v>858</v>
      </c>
      <c r="F272" s="6" t="s">
        <v>859</v>
      </c>
      <c r="G272" s="6" t="s">
        <v>29</v>
      </c>
      <c r="H272" s="7">
        <v>1</v>
      </c>
      <c r="I272" s="6" t="s">
        <v>30</v>
      </c>
      <c r="J272" s="6" t="s">
        <v>31</v>
      </c>
      <c r="K272" s="6" t="s">
        <v>32</v>
      </c>
      <c r="L272" s="6" t="s">
        <v>1755</v>
      </c>
      <c r="M272" s="6" t="s">
        <v>33</v>
      </c>
      <c r="N272" s="10">
        <v>13</v>
      </c>
      <c r="O272" s="11">
        <v>2</v>
      </c>
      <c r="P272" s="12">
        <v>17</v>
      </c>
      <c r="Q272" s="13">
        <v>22.733816000000001</v>
      </c>
      <c r="R272" s="13">
        <v>-102.36467500000001</v>
      </c>
      <c r="S272" s="14" t="s">
        <v>190</v>
      </c>
      <c r="T272" s="14"/>
      <c r="U272" s="14"/>
      <c r="V272" s="14"/>
      <c r="W272" s="14"/>
      <c r="X272" s="14"/>
      <c r="Y272" s="14"/>
      <c r="Z272" s="14"/>
      <c r="AA272" s="15"/>
      <c r="AB272" s="16">
        <v>8.3333333333333329E-2</v>
      </c>
    </row>
    <row r="273" spans="1:28" x14ac:dyDescent="0.3">
      <c r="A273" s="6" t="s">
        <v>860</v>
      </c>
      <c r="B273" s="7" t="s">
        <v>25</v>
      </c>
      <c r="C273" s="34" t="s">
        <v>837</v>
      </c>
      <c r="D273" s="33" t="s">
        <v>1775</v>
      </c>
      <c r="E273" s="6" t="s">
        <v>861</v>
      </c>
      <c r="F273" s="6" t="s">
        <v>862</v>
      </c>
      <c r="G273" s="6" t="s">
        <v>29</v>
      </c>
      <c r="H273" s="7">
        <v>1</v>
      </c>
      <c r="I273" s="6" t="s">
        <v>30</v>
      </c>
      <c r="J273" s="6" t="s">
        <v>31</v>
      </c>
      <c r="K273" s="6" t="s">
        <v>32</v>
      </c>
      <c r="L273" s="6" t="s">
        <v>1755</v>
      </c>
      <c r="M273" s="6" t="s">
        <v>33</v>
      </c>
      <c r="N273" s="10">
        <v>9</v>
      </c>
      <c r="O273" s="11">
        <v>2</v>
      </c>
      <c r="P273" s="12">
        <v>21</v>
      </c>
      <c r="Q273" s="13">
        <v>22.936183</v>
      </c>
      <c r="R273" s="13">
        <v>-102.695306</v>
      </c>
      <c r="S273" s="14" t="s">
        <v>190</v>
      </c>
      <c r="T273" s="14"/>
      <c r="U273" s="14"/>
      <c r="V273" s="14"/>
      <c r="W273" s="14"/>
      <c r="X273" s="14"/>
      <c r="Y273" s="14"/>
      <c r="Z273" s="14"/>
      <c r="AA273" s="15"/>
      <c r="AB273" s="16">
        <v>8.3333333333333329E-2</v>
      </c>
    </row>
    <row r="274" spans="1:28" x14ac:dyDescent="0.3">
      <c r="A274" s="6" t="s">
        <v>863</v>
      </c>
      <c r="B274" s="7" t="s">
        <v>25</v>
      </c>
      <c r="C274" s="34" t="s">
        <v>837</v>
      </c>
      <c r="D274" s="33" t="s">
        <v>1775</v>
      </c>
      <c r="E274" s="6" t="s">
        <v>864</v>
      </c>
      <c r="F274" s="6" t="s">
        <v>865</v>
      </c>
      <c r="G274" s="6" t="s">
        <v>29</v>
      </c>
      <c r="H274" s="7">
        <v>1</v>
      </c>
      <c r="I274" s="6" t="s">
        <v>30</v>
      </c>
      <c r="J274" s="6" t="s">
        <v>31</v>
      </c>
      <c r="K274" s="6" t="s">
        <v>32</v>
      </c>
      <c r="L274" s="6" t="s">
        <v>1755</v>
      </c>
      <c r="M274" s="6" t="s">
        <v>33</v>
      </c>
      <c r="N274" s="10">
        <v>9</v>
      </c>
      <c r="O274" s="11">
        <v>2</v>
      </c>
      <c r="P274" s="12">
        <v>17</v>
      </c>
      <c r="Q274" s="13">
        <v>23.282257000000001</v>
      </c>
      <c r="R274" s="13">
        <v>-102.341605</v>
      </c>
      <c r="S274" s="14" t="s">
        <v>190</v>
      </c>
      <c r="T274" s="14"/>
      <c r="U274" s="14"/>
      <c r="V274" s="14"/>
      <c r="W274" s="14"/>
      <c r="X274" s="14"/>
      <c r="Y274" s="14"/>
      <c r="Z274" s="14"/>
      <c r="AA274" s="15"/>
      <c r="AB274" s="16">
        <v>8.3333333333333329E-2</v>
      </c>
    </row>
    <row r="275" spans="1:28" x14ac:dyDescent="0.3">
      <c r="A275" s="6" t="s">
        <v>866</v>
      </c>
      <c r="B275" s="7" t="s">
        <v>25</v>
      </c>
      <c r="C275" s="34" t="s">
        <v>837</v>
      </c>
      <c r="D275" s="33" t="s">
        <v>1775</v>
      </c>
      <c r="E275" s="6" t="s">
        <v>867</v>
      </c>
      <c r="F275" s="6" t="s">
        <v>868</v>
      </c>
      <c r="G275" s="6" t="s">
        <v>29</v>
      </c>
      <c r="H275" s="7">
        <v>1</v>
      </c>
      <c r="I275" s="6" t="s">
        <v>30</v>
      </c>
      <c r="J275" s="6" t="s">
        <v>31</v>
      </c>
      <c r="K275" s="6" t="s">
        <v>32</v>
      </c>
      <c r="L275" s="6" t="s">
        <v>1755</v>
      </c>
      <c r="M275" s="6" t="s">
        <v>33</v>
      </c>
      <c r="N275" s="10">
        <v>14</v>
      </c>
      <c r="O275" s="11">
        <v>1</v>
      </c>
      <c r="P275" s="12">
        <v>20</v>
      </c>
      <c r="Q275" s="13">
        <v>23.648572000000001</v>
      </c>
      <c r="R275" s="13">
        <v>-103.65657</v>
      </c>
      <c r="S275" s="14" t="s">
        <v>190</v>
      </c>
      <c r="T275" s="14"/>
      <c r="U275" s="14"/>
      <c r="V275" s="14"/>
      <c r="W275" s="14"/>
      <c r="X275" s="14"/>
      <c r="Y275" s="14"/>
      <c r="Z275" s="14"/>
      <c r="AA275" s="15"/>
      <c r="AB275" s="16">
        <v>8.3333333333333329E-2</v>
      </c>
    </row>
    <row r="276" spans="1:28" x14ac:dyDescent="0.3">
      <c r="A276" s="6" t="s">
        <v>869</v>
      </c>
      <c r="B276" s="7" t="s">
        <v>25</v>
      </c>
      <c r="C276" s="34" t="s">
        <v>172</v>
      </c>
      <c r="D276" s="33" t="s">
        <v>1775</v>
      </c>
      <c r="E276" s="6" t="s">
        <v>178</v>
      </c>
      <c r="F276" s="18" t="s">
        <v>870</v>
      </c>
      <c r="G276" s="6" t="s">
        <v>111</v>
      </c>
      <c r="H276" s="7">
        <v>1</v>
      </c>
      <c r="I276" s="6" t="s">
        <v>112</v>
      </c>
      <c r="J276" s="6" t="s">
        <v>31</v>
      </c>
      <c r="K276" s="6" t="s">
        <v>32</v>
      </c>
      <c r="L276" s="6" t="s">
        <v>1755</v>
      </c>
      <c r="M276" s="6" t="s">
        <v>33</v>
      </c>
      <c r="N276" s="10">
        <v>38</v>
      </c>
      <c r="O276" s="11">
        <v>4</v>
      </c>
      <c r="P276" s="12">
        <v>214</v>
      </c>
      <c r="Q276" s="13">
        <v>32.644334000000001</v>
      </c>
      <c r="R276" s="13">
        <v>-115.476271</v>
      </c>
      <c r="S276" s="14" t="s">
        <v>34</v>
      </c>
      <c r="T276" s="14" t="s">
        <v>175</v>
      </c>
      <c r="U276" s="14" t="s">
        <v>176</v>
      </c>
      <c r="V276" s="14" t="s">
        <v>176</v>
      </c>
      <c r="W276" s="14"/>
      <c r="X276" s="14"/>
      <c r="Y276" s="14"/>
      <c r="Z276" s="14"/>
      <c r="AA276" s="15"/>
      <c r="AB276" s="16">
        <v>0.20833333333333331</v>
      </c>
    </row>
    <row r="277" spans="1:28" x14ac:dyDescent="0.3">
      <c r="A277" s="6" t="s">
        <v>871</v>
      </c>
      <c r="B277" s="7" t="s">
        <v>25</v>
      </c>
      <c r="C277" s="34" t="s">
        <v>172</v>
      </c>
      <c r="D277" s="33" t="s">
        <v>1775</v>
      </c>
      <c r="E277" s="6" t="s">
        <v>872</v>
      </c>
      <c r="F277" s="18" t="s">
        <v>873</v>
      </c>
      <c r="G277" s="6" t="s">
        <v>111</v>
      </c>
      <c r="H277" s="7">
        <v>1</v>
      </c>
      <c r="I277" s="6" t="s">
        <v>112</v>
      </c>
      <c r="J277" s="6" t="s">
        <v>31</v>
      </c>
      <c r="K277" s="6" t="s">
        <v>32</v>
      </c>
      <c r="L277" s="6" t="s">
        <v>1755</v>
      </c>
      <c r="M277" s="6" t="s">
        <v>33</v>
      </c>
      <c r="N277" s="10">
        <v>8</v>
      </c>
      <c r="O277" s="11">
        <v>3</v>
      </c>
      <c r="P277" s="12">
        <v>73</v>
      </c>
      <c r="Q277" s="13">
        <v>32.557529199999998</v>
      </c>
      <c r="R277" s="13">
        <v>-116.6319713</v>
      </c>
      <c r="S277" s="14" t="s">
        <v>34</v>
      </c>
      <c r="T277" s="14" t="s">
        <v>175</v>
      </c>
      <c r="U277" s="14" t="s">
        <v>176</v>
      </c>
      <c r="V277" s="14" t="s">
        <v>176</v>
      </c>
      <c r="W277" s="14"/>
      <c r="X277" s="14"/>
      <c r="Y277" s="14"/>
      <c r="Z277" s="14"/>
      <c r="AA277" s="15"/>
      <c r="AB277" s="16">
        <v>0.20833333333333331</v>
      </c>
    </row>
    <row r="278" spans="1:28" x14ac:dyDescent="0.3">
      <c r="A278" s="6" t="s">
        <v>874</v>
      </c>
      <c r="B278" s="7" t="s">
        <v>25</v>
      </c>
      <c r="C278" s="34" t="s">
        <v>172</v>
      </c>
      <c r="D278" s="33" t="s">
        <v>1775</v>
      </c>
      <c r="E278" s="6" t="s">
        <v>875</v>
      </c>
      <c r="F278" s="18" t="s">
        <v>876</v>
      </c>
      <c r="G278" s="6" t="s">
        <v>111</v>
      </c>
      <c r="H278" s="7">
        <v>1</v>
      </c>
      <c r="I278" s="6" t="s">
        <v>112</v>
      </c>
      <c r="J278" s="6" t="s">
        <v>31</v>
      </c>
      <c r="K278" s="6" t="s">
        <v>32</v>
      </c>
      <c r="L278" s="6" t="s">
        <v>1755</v>
      </c>
      <c r="M278" s="6" t="s">
        <v>33</v>
      </c>
      <c r="N278" s="10">
        <v>30</v>
      </c>
      <c r="O278" s="11">
        <v>8</v>
      </c>
      <c r="P278" s="12">
        <v>303</v>
      </c>
      <c r="Q278" s="13">
        <v>32.5257079</v>
      </c>
      <c r="R278" s="13">
        <v>-117.0094107</v>
      </c>
      <c r="S278" s="14" t="s">
        <v>34</v>
      </c>
      <c r="T278" s="14" t="s">
        <v>175</v>
      </c>
      <c r="U278" s="14" t="s">
        <v>176</v>
      </c>
      <c r="V278" s="14" t="s">
        <v>176</v>
      </c>
      <c r="W278" s="14"/>
      <c r="X278" s="14"/>
      <c r="Y278" s="14"/>
      <c r="Z278" s="14"/>
      <c r="AA278" s="15"/>
      <c r="AB278" s="16">
        <v>0.20833333333333331</v>
      </c>
    </row>
    <row r="279" spans="1:28" x14ac:dyDescent="0.3">
      <c r="A279" s="6" t="s">
        <v>877</v>
      </c>
      <c r="B279" s="7" t="s">
        <v>25</v>
      </c>
      <c r="C279" s="34" t="s">
        <v>172</v>
      </c>
      <c r="D279" s="33" t="s">
        <v>1775</v>
      </c>
      <c r="E279" s="6" t="s">
        <v>878</v>
      </c>
      <c r="F279" s="18" t="s">
        <v>879</v>
      </c>
      <c r="G279" s="6" t="s">
        <v>111</v>
      </c>
      <c r="H279" s="7">
        <v>1</v>
      </c>
      <c r="I279" s="6" t="s">
        <v>112</v>
      </c>
      <c r="J279" s="6" t="s">
        <v>31</v>
      </c>
      <c r="K279" s="6" t="s">
        <v>32</v>
      </c>
      <c r="L279" s="6" t="s">
        <v>1755</v>
      </c>
      <c r="M279" s="6" t="s">
        <v>33</v>
      </c>
      <c r="N279" s="10">
        <v>6</v>
      </c>
      <c r="O279" s="11">
        <v>3</v>
      </c>
      <c r="P279" s="12">
        <v>56</v>
      </c>
      <c r="Q279" s="13">
        <v>32.363599999999998</v>
      </c>
      <c r="R279" s="13">
        <v>-117.05540000000001</v>
      </c>
      <c r="S279" s="14" t="s">
        <v>34</v>
      </c>
      <c r="T279" s="14" t="s">
        <v>175</v>
      </c>
      <c r="U279" s="14" t="s">
        <v>176</v>
      </c>
      <c r="V279" s="14" t="s">
        <v>176</v>
      </c>
      <c r="W279" s="14"/>
      <c r="X279" s="14"/>
      <c r="Y279" s="14"/>
      <c r="Z279" s="14"/>
      <c r="AA279" s="15"/>
      <c r="AB279" s="16">
        <v>0.20833333333333331</v>
      </c>
    </row>
    <row r="280" spans="1:28" x14ac:dyDescent="0.3">
      <c r="A280" s="6" t="s">
        <v>880</v>
      </c>
      <c r="B280" s="7" t="s">
        <v>25</v>
      </c>
      <c r="C280" s="34" t="s">
        <v>172</v>
      </c>
      <c r="D280" s="33" t="s">
        <v>1775</v>
      </c>
      <c r="E280" s="6" t="s">
        <v>875</v>
      </c>
      <c r="F280" s="18" t="s">
        <v>881</v>
      </c>
      <c r="G280" s="6" t="s">
        <v>111</v>
      </c>
      <c r="H280" s="7">
        <v>1</v>
      </c>
      <c r="I280" s="6" t="s">
        <v>112</v>
      </c>
      <c r="J280" s="6" t="s">
        <v>31</v>
      </c>
      <c r="K280" s="6" t="s">
        <v>32</v>
      </c>
      <c r="L280" s="6" t="s">
        <v>1755</v>
      </c>
      <c r="M280" s="6" t="s">
        <v>33</v>
      </c>
      <c r="N280" s="10">
        <v>11</v>
      </c>
      <c r="O280" s="11">
        <v>6</v>
      </c>
      <c r="P280" s="12">
        <v>112</v>
      </c>
      <c r="Q280" s="13">
        <v>32.47195</v>
      </c>
      <c r="R280" s="13">
        <v>-116.84889</v>
      </c>
      <c r="S280" s="14" t="s">
        <v>34</v>
      </c>
      <c r="T280" s="14" t="s">
        <v>175</v>
      </c>
      <c r="U280" s="14" t="s">
        <v>176</v>
      </c>
      <c r="V280" s="14" t="s">
        <v>176</v>
      </c>
      <c r="W280" s="14"/>
      <c r="X280" s="14"/>
      <c r="Y280" s="14"/>
      <c r="Z280" s="14"/>
      <c r="AA280" s="15"/>
      <c r="AB280" s="16">
        <v>0.20833333333333331</v>
      </c>
    </row>
    <row r="281" spans="1:28" x14ac:dyDescent="0.3">
      <c r="A281" s="6" t="s">
        <v>882</v>
      </c>
      <c r="B281" s="7" t="s">
        <v>25</v>
      </c>
      <c r="C281" s="34" t="s">
        <v>172</v>
      </c>
      <c r="D281" s="33" t="s">
        <v>1775</v>
      </c>
      <c r="E281" s="6" t="s">
        <v>178</v>
      </c>
      <c r="F281" s="18" t="s">
        <v>316</v>
      </c>
      <c r="G281" s="6" t="s">
        <v>164</v>
      </c>
      <c r="H281" s="7">
        <v>2</v>
      </c>
      <c r="I281" s="6" t="s">
        <v>112</v>
      </c>
      <c r="J281" s="6" t="s">
        <v>31</v>
      </c>
      <c r="K281" s="6" t="s">
        <v>32</v>
      </c>
      <c r="L281" s="6" t="s">
        <v>1755</v>
      </c>
      <c r="M281" s="6" t="s">
        <v>33</v>
      </c>
      <c r="N281" s="10">
        <v>11</v>
      </c>
      <c r="O281" s="11">
        <v>6</v>
      </c>
      <c r="P281" s="12">
        <v>173</v>
      </c>
      <c r="Q281" s="13">
        <v>32.623899999999999</v>
      </c>
      <c r="R281" s="13">
        <v>-115.37560000000001</v>
      </c>
      <c r="S281" s="14" t="s">
        <v>34</v>
      </c>
      <c r="T281" s="14" t="s">
        <v>175</v>
      </c>
      <c r="U281" s="14" t="s">
        <v>176</v>
      </c>
      <c r="V281" s="14" t="s">
        <v>176</v>
      </c>
      <c r="W281" s="14"/>
      <c r="X281" s="14"/>
      <c r="Y281" s="14"/>
      <c r="Z281" s="14"/>
      <c r="AA281" s="15"/>
      <c r="AB281" s="16">
        <v>0.20833333333333331</v>
      </c>
    </row>
    <row r="282" spans="1:28" x14ac:dyDescent="0.3">
      <c r="A282" s="6" t="s">
        <v>883</v>
      </c>
      <c r="B282" s="7" t="s">
        <v>25</v>
      </c>
      <c r="C282" s="34" t="s">
        <v>172</v>
      </c>
      <c r="D282" s="33" t="s">
        <v>1775</v>
      </c>
      <c r="E282" s="6" t="s">
        <v>875</v>
      </c>
      <c r="F282" s="18" t="s">
        <v>884</v>
      </c>
      <c r="G282" s="6" t="s">
        <v>164</v>
      </c>
      <c r="H282" s="7">
        <v>2</v>
      </c>
      <c r="I282" s="6" t="s">
        <v>112</v>
      </c>
      <c r="J282" s="6" t="s">
        <v>31</v>
      </c>
      <c r="K282" s="6" t="s">
        <v>32</v>
      </c>
      <c r="L282" s="6" t="s">
        <v>1755</v>
      </c>
      <c r="M282" s="6" t="s">
        <v>33</v>
      </c>
      <c r="N282" s="10">
        <v>5</v>
      </c>
      <c r="O282" s="11">
        <v>6</v>
      </c>
      <c r="P282" s="12">
        <v>71</v>
      </c>
      <c r="Q282" s="13">
        <v>32.489581000000001</v>
      </c>
      <c r="R282" s="13">
        <v>-116.92895</v>
      </c>
      <c r="S282" s="14" t="s">
        <v>34</v>
      </c>
      <c r="T282" s="14" t="s">
        <v>175</v>
      </c>
      <c r="U282" s="14" t="s">
        <v>176</v>
      </c>
      <c r="V282" s="14" t="s">
        <v>176</v>
      </c>
      <c r="W282" s="14"/>
      <c r="X282" s="14"/>
      <c r="Y282" s="14"/>
      <c r="Z282" s="14"/>
      <c r="AA282" s="15"/>
      <c r="AB282" s="16">
        <v>0.20833333333333331</v>
      </c>
    </row>
    <row r="283" spans="1:28" x14ac:dyDescent="0.3">
      <c r="A283" s="6" t="s">
        <v>885</v>
      </c>
      <c r="B283" s="7" t="s">
        <v>25</v>
      </c>
      <c r="C283" s="34" t="s">
        <v>886</v>
      </c>
      <c r="D283" s="33" t="s">
        <v>1775</v>
      </c>
      <c r="E283" s="6" t="s">
        <v>887</v>
      </c>
      <c r="F283" s="6" t="s">
        <v>888</v>
      </c>
      <c r="G283" s="6" t="s">
        <v>29</v>
      </c>
      <c r="H283" s="7">
        <v>1</v>
      </c>
      <c r="I283" s="6" t="s">
        <v>30</v>
      </c>
      <c r="J283" s="6" t="s">
        <v>31</v>
      </c>
      <c r="K283" s="6" t="s">
        <v>32</v>
      </c>
      <c r="L283" s="6" t="s">
        <v>1755</v>
      </c>
      <c r="M283" s="6" t="s">
        <v>33</v>
      </c>
      <c r="N283" s="10">
        <v>11</v>
      </c>
      <c r="O283" s="11">
        <v>2</v>
      </c>
      <c r="P283" s="12">
        <v>33</v>
      </c>
      <c r="Q283" s="13">
        <v>26.007201999999999</v>
      </c>
      <c r="R283" s="13">
        <v>-111.364929</v>
      </c>
      <c r="S283" s="14" t="s">
        <v>34</v>
      </c>
      <c r="T283" s="14" t="s">
        <v>175</v>
      </c>
      <c r="U283" s="14" t="s">
        <v>213</v>
      </c>
      <c r="V283" s="14" t="s">
        <v>213</v>
      </c>
      <c r="W283" s="14"/>
      <c r="X283" s="14"/>
      <c r="Y283" s="14"/>
      <c r="Z283" s="14"/>
      <c r="AA283" s="15"/>
      <c r="AB283" s="16">
        <v>0.29166666666666663</v>
      </c>
    </row>
    <row r="284" spans="1:28" x14ac:dyDescent="0.3">
      <c r="A284" s="6" t="s">
        <v>889</v>
      </c>
      <c r="B284" s="7" t="s">
        <v>25</v>
      </c>
      <c r="C284" s="34" t="s">
        <v>886</v>
      </c>
      <c r="D284" s="33" t="s">
        <v>1775</v>
      </c>
      <c r="E284" s="6" t="s">
        <v>890</v>
      </c>
      <c r="F284" s="6" t="s">
        <v>891</v>
      </c>
      <c r="G284" s="6" t="s">
        <v>111</v>
      </c>
      <c r="H284" s="7">
        <v>1</v>
      </c>
      <c r="I284" s="6" t="s">
        <v>112</v>
      </c>
      <c r="J284" s="6" t="s">
        <v>31</v>
      </c>
      <c r="K284" s="6" t="s">
        <v>32</v>
      </c>
      <c r="L284" s="6" t="s">
        <v>1755</v>
      </c>
      <c r="M284" s="6" t="s">
        <v>33</v>
      </c>
      <c r="N284" s="10">
        <v>12</v>
      </c>
      <c r="O284" s="11">
        <v>2</v>
      </c>
      <c r="P284" s="12">
        <v>49</v>
      </c>
      <c r="Q284" s="13">
        <v>23.061752200000001</v>
      </c>
      <c r="R284" s="13">
        <v>-109.7082831</v>
      </c>
      <c r="S284" s="14" t="s">
        <v>34</v>
      </c>
      <c r="T284" s="14" t="s">
        <v>175</v>
      </c>
      <c r="U284" s="14" t="s">
        <v>213</v>
      </c>
      <c r="V284" s="14" t="s">
        <v>213</v>
      </c>
      <c r="W284" s="14"/>
      <c r="X284" s="14"/>
      <c r="Y284" s="14"/>
      <c r="Z284" s="14"/>
      <c r="AA284" s="15"/>
      <c r="AB284" s="16">
        <v>0.29166666666666663</v>
      </c>
    </row>
    <row r="285" spans="1:28" x14ac:dyDescent="0.3">
      <c r="A285" s="6" t="s">
        <v>892</v>
      </c>
      <c r="B285" s="7" t="s">
        <v>25</v>
      </c>
      <c r="C285" s="34" t="s">
        <v>886</v>
      </c>
      <c r="D285" s="33" t="s">
        <v>1775</v>
      </c>
      <c r="E285" s="6" t="s">
        <v>890</v>
      </c>
      <c r="F285" s="6" t="s">
        <v>893</v>
      </c>
      <c r="G285" s="6" t="s">
        <v>111</v>
      </c>
      <c r="H285" s="7">
        <v>1</v>
      </c>
      <c r="I285" s="6" t="s">
        <v>112</v>
      </c>
      <c r="J285" s="6" t="s">
        <v>31</v>
      </c>
      <c r="K285" s="6" t="s">
        <v>32</v>
      </c>
      <c r="L285" s="6" t="s">
        <v>1755</v>
      </c>
      <c r="M285" s="6" t="s">
        <v>33</v>
      </c>
      <c r="N285" s="10">
        <v>8</v>
      </c>
      <c r="O285" s="11">
        <v>2</v>
      </c>
      <c r="P285" s="12">
        <v>50</v>
      </c>
      <c r="Q285" s="13">
        <v>22.902767600000001</v>
      </c>
      <c r="R285" s="13">
        <v>-109.9248226</v>
      </c>
      <c r="S285" s="14" t="s">
        <v>34</v>
      </c>
      <c r="T285" s="14" t="s">
        <v>175</v>
      </c>
      <c r="U285" s="14" t="s">
        <v>176</v>
      </c>
      <c r="V285" s="14" t="s">
        <v>176</v>
      </c>
      <c r="W285" s="14"/>
      <c r="X285" s="14"/>
      <c r="Y285" s="14"/>
      <c r="Z285" s="14"/>
      <c r="AA285" s="15"/>
      <c r="AB285" s="16">
        <v>0.20833333333333331</v>
      </c>
    </row>
    <row r="286" spans="1:28" x14ac:dyDescent="0.3">
      <c r="A286" s="6" t="s">
        <v>894</v>
      </c>
      <c r="B286" s="7" t="s">
        <v>25</v>
      </c>
      <c r="C286" s="34" t="s">
        <v>886</v>
      </c>
      <c r="D286" s="33" t="s">
        <v>1775</v>
      </c>
      <c r="E286" s="6" t="s">
        <v>895</v>
      </c>
      <c r="F286" s="6" t="s">
        <v>896</v>
      </c>
      <c r="G286" s="6" t="s">
        <v>111</v>
      </c>
      <c r="H286" s="7">
        <v>1</v>
      </c>
      <c r="I286" s="6" t="s">
        <v>112</v>
      </c>
      <c r="J286" s="6" t="s">
        <v>31</v>
      </c>
      <c r="K286" s="6" t="s">
        <v>32</v>
      </c>
      <c r="L286" s="6" t="s">
        <v>1756</v>
      </c>
      <c r="M286" s="6" t="s">
        <v>33</v>
      </c>
      <c r="N286" s="10">
        <v>38</v>
      </c>
      <c r="O286" s="11">
        <v>6</v>
      </c>
      <c r="P286" s="12">
        <v>160</v>
      </c>
      <c r="Q286" s="13">
        <v>24.113296999999999</v>
      </c>
      <c r="R286" s="13">
        <v>-110.318457</v>
      </c>
      <c r="S286" s="14" t="s">
        <v>34</v>
      </c>
      <c r="T286" s="14" t="s">
        <v>175</v>
      </c>
      <c r="U286" s="14" t="s">
        <v>176</v>
      </c>
      <c r="V286" s="14" t="s">
        <v>176</v>
      </c>
      <c r="W286" s="14"/>
      <c r="X286" s="14"/>
      <c r="Y286" s="14"/>
      <c r="Z286" s="14"/>
      <c r="AA286" s="15"/>
      <c r="AB286" s="16">
        <v>0.20833333333333331</v>
      </c>
    </row>
    <row r="287" spans="1:28" x14ac:dyDescent="0.3">
      <c r="A287" s="6" t="s">
        <v>897</v>
      </c>
      <c r="B287" s="7" t="s">
        <v>25</v>
      </c>
      <c r="C287" s="34" t="s">
        <v>187</v>
      </c>
      <c r="D287" s="33" t="s">
        <v>1775</v>
      </c>
      <c r="E287" s="6" t="s">
        <v>187</v>
      </c>
      <c r="F287" s="6" t="s">
        <v>898</v>
      </c>
      <c r="G287" s="6" t="s">
        <v>111</v>
      </c>
      <c r="H287" s="7">
        <v>1</v>
      </c>
      <c r="I287" s="6" t="s">
        <v>155</v>
      </c>
      <c r="J287" s="6" t="s">
        <v>31</v>
      </c>
      <c r="K287" s="6" t="s">
        <v>32</v>
      </c>
      <c r="L287" s="6" t="s">
        <v>1755</v>
      </c>
      <c r="M287" s="6" t="s">
        <v>33</v>
      </c>
      <c r="N287" s="10">
        <v>12</v>
      </c>
      <c r="O287" s="11">
        <v>3</v>
      </c>
      <c r="P287" s="12">
        <v>64</v>
      </c>
      <c r="Q287" s="13">
        <v>19.844723999999999</v>
      </c>
      <c r="R287" s="13">
        <v>-90.532584</v>
      </c>
      <c r="S287" s="14" t="s">
        <v>190</v>
      </c>
      <c r="T287" s="14"/>
      <c r="U287" s="14"/>
      <c r="V287" s="14"/>
      <c r="W287" s="14"/>
      <c r="X287" s="14"/>
      <c r="Y287" s="14"/>
      <c r="Z287" s="14"/>
      <c r="AA287" s="15"/>
      <c r="AB287" s="16">
        <v>8.3333333333333329E-2</v>
      </c>
    </row>
    <row r="288" spans="1:28" x14ac:dyDescent="0.3">
      <c r="A288" s="6" t="s">
        <v>899</v>
      </c>
      <c r="B288" s="7" t="s">
        <v>25</v>
      </c>
      <c r="C288" s="34" t="s">
        <v>187</v>
      </c>
      <c r="D288" s="33" t="s">
        <v>1775</v>
      </c>
      <c r="E288" s="6" t="s">
        <v>201</v>
      </c>
      <c r="F288" s="6" t="s">
        <v>900</v>
      </c>
      <c r="G288" s="6" t="s">
        <v>111</v>
      </c>
      <c r="H288" s="7">
        <v>1</v>
      </c>
      <c r="I288" s="6" t="s">
        <v>112</v>
      </c>
      <c r="J288" s="6" t="s">
        <v>31</v>
      </c>
      <c r="K288" s="6" t="s">
        <v>32</v>
      </c>
      <c r="L288" s="6" t="s">
        <v>1755</v>
      </c>
      <c r="M288" s="6" t="s">
        <v>33</v>
      </c>
      <c r="N288" s="10">
        <v>7</v>
      </c>
      <c r="O288" s="11">
        <v>1</v>
      </c>
      <c r="P288" s="12">
        <v>78</v>
      </c>
      <c r="Q288" s="13">
        <v>18.646633999999999</v>
      </c>
      <c r="R288" s="13">
        <v>-91.820543000000001</v>
      </c>
      <c r="S288" s="14" t="s">
        <v>190</v>
      </c>
      <c r="T288" s="14"/>
      <c r="U288" s="14"/>
      <c r="V288" s="14"/>
      <c r="W288" s="14"/>
      <c r="X288" s="14"/>
      <c r="Y288" s="14"/>
      <c r="Z288" s="14"/>
      <c r="AA288" s="15"/>
      <c r="AB288" s="16">
        <v>8.3333333333333329E-2</v>
      </c>
    </row>
    <row r="289" spans="1:28" x14ac:dyDescent="0.3">
      <c r="A289" s="6" t="s">
        <v>901</v>
      </c>
      <c r="B289" s="7" t="s">
        <v>25</v>
      </c>
      <c r="C289" s="34" t="s">
        <v>187</v>
      </c>
      <c r="D289" s="33" t="s">
        <v>1775</v>
      </c>
      <c r="E289" s="6" t="s">
        <v>187</v>
      </c>
      <c r="F289" s="6" t="s">
        <v>902</v>
      </c>
      <c r="G289" s="6" t="s">
        <v>111</v>
      </c>
      <c r="H289" s="7">
        <v>1</v>
      </c>
      <c r="I289" s="6" t="s">
        <v>155</v>
      </c>
      <c r="J289" s="6" t="s">
        <v>31</v>
      </c>
      <c r="K289" s="6" t="s">
        <v>32</v>
      </c>
      <c r="L289" s="6" t="s">
        <v>1756</v>
      </c>
      <c r="M289" s="6" t="s">
        <v>33</v>
      </c>
      <c r="N289" s="10">
        <v>36</v>
      </c>
      <c r="O289" s="11">
        <v>8</v>
      </c>
      <c r="P289" s="12">
        <v>284</v>
      </c>
      <c r="Q289" s="13">
        <v>19.815162000000001</v>
      </c>
      <c r="R289" s="13">
        <v>-90.523916999999997</v>
      </c>
      <c r="S289" s="14" t="s">
        <v>190</v>
      </c>
      <c r="T289" s="14"/>
      <c r="U289" s="14"/>
      <c r="V289" s="14"/>
      <c r="W289" s="14"/>
      <c r="X289" s="14"/>
      <c r="Y289" s="14"/>
      <c r="Z289" s="14"/>
      <c r="AA289" s="15"/>
      <c r="AB289" s="16">
        <v>8.3333333333333329E-2</v>
      </c>
    </row>
    <row r="290" spans="1:28" x14ac:dyDescent="0.3">
      <c r="A290" s="6" t="s">
        <v>903</v>
      </c>
      <c r="B290" s="7" t="s">
        <v>25</v>
      </c>
      <c r="C290" s="34" t="s">
        <v>187</v>
      </c>
      <c r="D290" s="33" t="s">
        <v>1775</v>
      </c>
      <c r="E290" s="6" t="s">
        <v>904</v>
      </c>
      <c r="F290" s="6" t="s">
        <v>905</v>
      </c>
      <c r="G290" s="6" t="s">
        <v>111</v>
      </c>
      <c r="H290" s="7">
        <v>1</v>
      </c>
      <c r="I290" s="6" t="s">
        <v>112</v>
      </c>
      <c r="J290" s="6" t="s">
        <v>31</v>
      </c>
      <c r="K290" s="6" t="s">
        <v>32</v>
      </c>
      <c r="L290" s="6" t="s">
        <v>1755</v>
      </c>
      <c r="M290" s="6" t="s">
        <v>33</v>
      </c>
      <c r="N290" s="10">
        <v>10</v>
      </c>
      <c r="O290" s="11">
        <v>2</v>
      </c>
      <c r="P290" s="12">
        <v>55</v>
      </c>
      <c r="Q290" s="13">
        <v>18.618552000000001</v>
      </c>
      <c r="R290" s="13">
        <v>-90.744511000000003</v>
      </c>
      <c r="S290" s="14" t="s">
        <v>190</v>
      </c>
      <c r="T290" s="14"/>
      <c r="U290" s="14"/>
      <c r="V290" s="14"/>
      <c r="W290" s="14"/>
      <c r="X290" s="14"/>
      <c r="Y290" s="14"/>
      <c r="Z290" s="14"/>
      <c r="AA290" s="15"/>
      <c r="AB290" s="16">
        <v>8.3333333333333329E-2</v>
      </c>
    </row>
    <row r="291" spans="1:28" x14ac:dyDescent="0.3">
      <c r="A291" s="6" t="s">
        <v>906</v>
      </c>
      <c r="B291" s="7" t="s">
        <v>25</v>
      </c>
      <c r="C291" s="34" t="s">
        <v>225</v>
      </c>
      <c r="D291" s="33" t="s">
        <v>1775</v>
      </c>
      <c r="E291" s="6" t="s">
        <v>625</v>
      </c>
      <c r="F291" s="19" t="s">
        <v>907</v>
      </c>
      <c r="G291" s="6" t="s">
        <v>111</v>
      </c>
      <c r="H291" s="7">
        <v>1</v>
      </c>
      <c r="I291" s="6" t="s">
        <v>112</v>
      </c>
      <c r="J291" s="6" t="s">
        <v>31</v>
      </c>
      <c r="K291" s="6" t="s">
        <v>32</v>
      </c>
      <c r="L291" s="6" t="s">
        <v>1755</v>
      </c>
      <c r="M291" s="6" t="s">
        <v>33</v>
      </c>
      <c r="N291" s="10">
        <v>23</v>
      </c>
      <c r="O291" s="11">
        <v>7</v>
      </c>
      <c r="P291" s="12">
        <v>218</v>
      </c>
      <c r="Q291" s="13">
        <v>19.424221800000002</v>
      </c>
      <c r="R291" s="13">
        <v>-99.117046400000007</v>
      </c>
      <c r="S291" s="14" t="s">
        <v>176</v>
      </c>
      <c r="T291" s="14"/>
      <c r="U291" s="14"/>
      <c r="V291" s="14"/>
      <c r="W291" s="14"/>
      <c r="X291" s="14" t="s">
        <v>36</v>
      </c>
      <c r="Y291" s="14" t="s">
        <v>74</v>
      </c>
      <c r="Z291" s="14" t="s">
        <v>74</v>
      </c>
      <c r="AA291" s="15"/>
      <c r="AB291" s="16">
        <v>0.16666666666666666</v>
      </c>
    </row>
    <row r="292" spans="1:28" x14ac:dyDescent="0.3">
      <c r="A292" s="6" t="s">
        <v>908</v>
      </c>
      <c r="B292" s="7" t="s">
        <v>25</v>
      </c>
      <c r="C292" s="34" t="s">
        <v>225</v>
      </c>
      <c r="D292" s="33" t="s">
        <v>1775</v>
      </c>
      <c r="E292" s="6" t="s">
        <v>909</v>
      </c>
      <c r="F292" s="19" t="s">
        <v>910</v>
      </c>
      <c r="G292" s="6" t="s">
        <v>111</v>
      </c>
      <c r="H292" s="7">
        <v>1</v>
      </c>
      <c r="I292" s="6" t="s">
        <v>112</v>
      </c>
      <c r="J292" s="6" t="s">
        <v>31</v>
      </c>
      <c r="K292" s="6" t="s">
        <v>32</v>
      </c>
      <c r="L292" s="6" t="s">
        <v>1755</v>
      </c>
      <c r="M292" s="6" t="s">
        <v>33</v>
      </c>
      <c r="N292" s="10">
        <v>21</v>
      </c>
      <c r="O292" s="11">
        <v>8</v>
      </c>
      <c r="P292" s="12">
        <v>203</v>
      </c>
      <c r="Q292" s="13">
        <v>19.271812400000002</v>
      </c>
      <c r="R292" s="13">
        <v>-99.207489600000002</v>
      </c>
      <c r="S292" s="14" t="s">
        <v>176</v>
      </c>
      <c r="T292" s="14"/>
      <c r="U292" s="14"/>
      <c r="V292" s="14"/>
      <c r="W292" s="14"/>
      <c r="X292" s="14" t="s">
        <v>36</v>
      </c>
      <c r="Y292" s="14" t="s">
        <v>74</v>
      </c>
      <c r="Z292" s="14" t="s">
        <v>74</v>
      </c>
      <c r="AA292" s="15"/>
      <c r="AB292" s="16">
        <v>0.16666666666666666</v>
      </c>
    </row>
    <row r="293" spans="1:28" x14ac:dyDescent="0.3">
      <c r="A293" s="6" t="s">
        <v>911</v>
      </c>
      <c r="B293" s="7" t="s">
        <v>25</v>
      </c>
      <c r="C293" s="34" t="s">
        <v>225</v>
      </c>
      <c r="D293" s="33" t="s">
        <v>1775</v>
      </c>
      <c r="E293" s="6" t="s">
        <v>912</v>
      </c>
      <c r="F293" s="19" t="s">
        <v>913</v>
      </c>
      <c r="G293" s="6" t="s">
        <v>111</v>
      </c>
      <c r="H293" s="7">
        <v>1</v>
      </c>
      <c r="I293" s="6" t="s">
        <v>112</v>
      </c>
      <c r="J293" s="6" t="s">
        <v>31</v>
      </c>
      <c r="K293" s="6" t="s">
        <v>32</v>
      </c>
      <c r="L293" s="6" t="s">
        <v>1755</v>
      </c>
      <c r="M293" s="6" t="s">
        <v>33</v>
      </c>
      <c r="N293" s="10">
        <v>26</v>
      </c>
      <c r="O293" s="11">
        <v>9</v>
      </c>
      <c r="P293" s="12">
        <v>200</v>
      </c>
      <c r="Q293" s="13">
        <v>19.344315300000002</v>
      </c>
      <c r="R293" s="13">
        <v>-99.027428599999993</v>
      </c>
      <c r="S293" s="14" t="s">
        <v>176</v>
      </c>
      <c r="T293" s="14"/>
      <c r="U293" s="14"/>
      <c r="V293" s="14"/>
      <c r="W293" s="14"/>
      <c r="X293" s="14" t="s">
        <v>36</v>
      </c>
      <c r="Y293" s="14" t="s">
        <v>74</v>
      </c>
      <c r="Z293" s="14" t="s">
        <v>74</v>
      </c>
      <c r="AA293" s="15"/>
      <c r="AB293" s="16">
        <v>0.16666666666666666</v>
      </c>
    </row>
    <row r="294" spans="1:28" x14ac:dyDescent="0.3">
      <c r="A294" s="6" t="s">
        <v>914</v>
      </c>
      <c r="B294" s="7" t="s">
        <v>25</v>
      </c>
      <c r="C294" s="34" t="s">
        <v>225</v>
      </c>
      <c r="D294" s="33" t="s">
        <v>1775</v>
      </c>
      <c r="E294" s="6" t="s">
        <v>915</v>
      </c>
      <c r="F294" s="19" t="s">
        <v>916</v>
      </c>
      <c r="G294" s="6" t="s">
        <v>111</v>
      </c>
      <c r="H294" s="7">
        <v>1</v>
      </c>
      <c r="I294" s="6" t="s">
        <v>112</v>
      </c>
      <c r="J294" s="6" t="s">
        <v>31</v>
      </c>
      <c r="K294" s="6" t="s">
        <v>32</v>
      </c>
      <c r="L294" s="6" t="s">
        <v>1755</v>
      </c>
      <c r="M294" s="6" t="s">
        <v>33</v>
      </c>
      <c r="N294" s="10">
        <v>26</v>
      </c>
      <c r="O294" s="11">
        <v>7</v>
      </c>
      <c r="P294" s="12">
        <v>200</v>
      </c>
      <c r="Q294" s="13">
        <v>19.287391</v>
      </c>
      <c r="R294" s="13">
        <v>-99.052743000000007</v>
      </c>
      <c r="S294" s="14" t="s">
        <v>176</v>
      </c>
      <c r="T294" s="14"/>
      <c r="U294" s="14"/>
      <c r="V294" s="14"/>
      <c r="W294" s="14"/>
      <c r="X294" s="14" t="s">
        <v>36</v>
      </c>
      <c r="Y294" s="14" t="s">
        <v>74</v>
      </c>
      <c r="Z294" s="14" t="s">
        <v>74</v>
      </c>
      <c r="AA294" s="15"/>
      <c r="AB294" s="16">
        <v>0.16666666666666666</v>
      </c>
    </row>
    <row r="295" spans="1:28" x14ac:dyDescent="0.3">
      <c r="A295" s="6" t="s">
        <v>917</v>
      </c>
      <c r="B295" s="7" t="s">
        <v>25</v>
      </c>
      <c r="C295" s="34" t="s">
        <v>225</v>
      </c>
      <c r="D295" s="33" t="s">
        <v>1775</v>
      </c>
      <c r="E295" s="6" t="s">
        <v>918</v>
      </c>
      <c r="F295" s="19" t="s">
        <v>919</v>
      </c>
      <c r="G295" s="6" t="s">
        <v>111</v>
      </c>
      <c r="H295" s="7">
        <v>1</v>
      </c>
      <c r="I295" s="6" t="s">
        <v>112</v>
      </c>
      <c r="J295" s="6" t="s">
        <v>31</v>
      </c>
      <c r="K295" s="6" t="s">
        <v>32</v>
      </c>
      <c r="L295" s="6" t="s">
        <v>1755</v>
      </c>
      <c r="M295" s="6" t="s">
        <v>33</v>
      </c>
      <c r="N295" s="10">
        <v>25</v>
      </c>
      <c r="O295" s="11">
        <v>5</v>
      </c>
      <c r="P295" s="12">
        <v>189</v>
      </c>
      <c r="Q295" s="13">
        <v>19.361883599999999</v>
      </c>
      <c r="R295" s="13">
        <v>-99.224065899999999</v>
      </c>
      <c r="S295" s="14" t="s">
        <v>176</v>
      </c>
      <c r="T295" s="14"/>
      <c r="U295" s="14"/>
      <c r="V295" s="14"/>
      <c r="W295" s="14"/>
      <c r="X295" s="14" t="s">
        <v>36</v>
      </c>
      <c r="Y295" s="14" t="s">
        <v>74</v>
      </c>
      <c r="Z295" s="14" t="s">
        <v>74</v>
      </c>
      <c r="AA295" s="15"/>
      <c r="AB295" s="16">
        <v>0.16666666666666666</v>
      </c>
    </row>
    <row r="296" spans="1:28" x14ac:dyDescent="0.3">
      <c r="A296" s="6" t="s">
        <v>920</v>
      </c>
      <c r="B296" s="7" t="s">
        <v>25</v>
      </c>
      <c r="C296" s="34" t="s">
        <v>225</v>
      </c>
      <c r="D296" s="33" t="s">
        <v>1775</v>
      </c>
      <c r="E296" s="6" t="s">
        <v>921</v>
      </c>
      <c r="F296" s="19" t="s">
        <v>922</v>
      </c>
      <c r="G296" s="6" t="s">
        <v>111</v>
      </c>
      <c r="H296" s="7">
        <v>1</v>
      </c>
      <c r="I296" s="6" t="s">
        <v>112</v>
      </c>
      <c r="J296" s="6" t="s">
        <v>31</v>
      </c>
      <c r="K296" s="6" t="s">
        <v>32</v>
      </c>
      <c r="L296" s="6" t="s">
        <v>1755</v>
      </c>
      <c r="M296" s="6" t="s">
        <v>33</v>
      </c>
      <c r="N296" s="10">
        <v>25</v>
      </c>
      <c r="O296" s="11">
        <v>8</v>
      </c>
      <c r="P296" s="12">
        <v>184</v>
      </c>
      <c r="Q296" s="13">
        <v>19.480621599999999</v>
      </c>
      <c r="R296" s="13">
        <v>-99.103144700000001</v>
      </c>
      <c r="S296" s="14" t="s">
        <v>176</v>
      </c>
      <c r="T296" s="14"/>
      <c r="U296" s="14"/>
      <c r="V296" s="14"/>
      <c r="W296" s="14"/>
      <c r="X296" s="14" t="s">
        <v>36</v>
      </c>
      <c r="Y296" s="14" t="s">
        <v>74</v>
      </c>
      <c r="Z296" s="14" t="s">
        <v>74</v>
      </c>
      <c r="AA296" s="15"/>
      <c r="AB296" s="16">
        <v>0.16666666666666666</v>
      </c>
    </row>
    <row r="297" spans="1:28" x14ac:dyDescent="0.3">
      <c r="A297" s="6" t="s">
        <v>923</v>
      </c>
      <c r="B297" s="7" t="s">
        <v>25</v>
      </c>
      <c r="C297" s="34" t="s">
        <v>225</v>
      </c>
      <c r="D297" s="33" t="s">
        <v>1775</v>
      </c>
      <c r="E297" s="6" t="s">
        <v>912</v>
      </c>
      <c r="F297" s="19" t="s">
        <v>924</v>
      </c>
      <c r="G297" s="6" t="s">
        <v>111</v>
      </c>
      <c r="H297" s="7">
        <v>1</v>
      </c>
      <c r="I297" s="6" t="s">
        <v>155</v>
      </c>
      <c r="J297" s="6" t="s">
        <v>31</v>
      </c>
      <c r="K297" s="6" t="s">
        <v>32</v>
      </c>
      <c r="L297" s="6" t="s">
        <v>1756</v>
      </c>
      <c r="M297" s="6" t="s">
        <v>33</v>
      </c>
      <c r="N297" s="10">
        <v>30</v>
      </c>
      <c r="O297" s="11">
        <v>7</v>
      </c>
      <c r="P297" s="12">
        <v>182</v>
      </c>
      <c r="Q297" s="13">
        <v>19.3066411</v>
      </c>
      <c r="R297" s="13">
        <v>-99.066098400000001</v>
      </c>
      <c r="S297" s="14" t="s">
        <v>176</v>
      </c>
      <c r="T297" s="14"/>
      <c r="U297" s="14"/>
      <c r="V297" s="14"/>
      <c r="W297" s="14"/>
      <c r="X297" s="14" t="s">
        <v>36</v>
      </c>
      <c r="Y297" s="14" t="s">
        <v>74</v>
      </c>
      <c r="Z297" s="14" t="s">
        <v>74</v>
      </c>
      <c r="AA297" s="15"/>
      <c r="AB297" s="16">
        <v>0.16666666666666666</v>
      </c>
    </row>
    <row r="298" spans="1:28" x14ac:dyDescent="0.3">
      <c r="A298" s="6" t="s">
        <v>925</v>
      </c>
      <c r="B298" s="7" t="s">
        <v>25</v>
      </c>
      <c r="C298" s="34" t="s">
        <v>225</v>
      </c>
      <c r="D298" s="33" t="s">
        <v>1775</v>
      </c>
      <c r="E298" s="6" t="s">
        <v>926</v>
      </c>
      <c r="F298" s="19" t="s">
        <v>927</v>
      </c>
      <c r="G298" s="6" t="s">
        <v>111</v>
      </c>
      <c r="H298" s="7">
        <v>1</v>
      </c>
      <c r="I298" s="6" t="s">
        <v>112</v>
      </c>
      <c r="J298" s="6" t="s">
        <v>31</v>
      </c>
      <c r="K298" s="6" t="s">
        <v>32</v>
      </c>
      <c r="L298" s="6" t="s">
        <v>1755</v>
      </c>
      <c r="M298" s="6" t="s">
        <v>33</v>
      </c>
      <c r="N298" s="10">
        <v>27</v>
      </c>
      <c r="O298" s="11">
        <v>9</v>
      </c>
      <c r="P298" s="12">
        <v>173</v>
      </c>
      <c r="Q298" s="13">
        <v>19.45112</v>
      </c>
      <c r="R298" s="13">
        <v>-99.169314999999997</v>
      </c>
      <c r="S298" s="14" t="s">
        <v>176</v>
      </c>
      <c r="T298" s="14"/>
      <c r="U298" s="14"/>
      <c r="V298" s="14"/>
      <c r="W298" s="14"/>
      <c r="X298" s="14" t="s">
        <v>36</v>
      </c>
      <c r="Y298" s="14" t="s">
        <v>74</v>
      </c>
      <c r="Z298" s="14" t="s">
        <v>74</v>
      </c>
      <c r="AA298" s="15"/>
      <c r="AB298" s="16">
        <v>0.16666666666666666</v>
      </c>
    </row>
    <row r="299" spans="1:28" x14ac:dyDescent="0.3">
      <c r="A299" s="6" t="s">
        <v>928</v>
      </c>
      <c r="B299" s="7" t="s">
        <v>25</v>
      </c>
      <c r="C299" s="34" t="s">
        <v>225</v>
      </c>
      <c r="D299" s="33" t="s">
        <v>1775</v>
      </c>
      <c r="E299" s="6" t="s">
        <v>929</v>
      </c>
      <c r="F299" s="6" t="s">
        <v>930</v>
      </c>
      <c r="G299" s="6" t="s">
        <v>164</v>
      </c>
      <c r="H299" s="7">
        <v>2</v>
      </c>
      <c r="I299" s="6" t="s">
        <v>155</v>
      </c>
      <c r="J299" s="6" t="s">
        <v>31</v>
      </c>
      <c r="K299" s="6" t="s">
        <v>32</v>
      </c>
      <c r="L299" s="6" t="s">
        <v>1755</v>
      </c>
      <c r="M299" s="6" t="s">
        <v>33</v>
      </c>
      <c r="N299" s="10">
        <v>21</v>
      </c>
      <c r="O299" s="11">
        <v>3</v>
      </c>
      <c r="P299" s="12">
        <v>110</v>
      </c>
      <c r="Q299" s="13">
        <v>19.254965899999998</v>
      </c>
      <c r="R299" s="13">
        <v>-99.104500000000002</v>
      </c>
      <c r="S299" s="14" t="s">
        <v>176</v>
      </c>
      <c r="T299" s="14"/>
      <c r="U299" s="14"/>
      <c r="V299" s="14"/>
      <c r="W299" s="14"/>
      <c r="X299" s="14"/>
      <c r="Y299" s="14"/>
      <c r="Z299" s="14" t="s">
        <v>74</v>
      </c>
      <c r="AA299" s="15"/>
      <c r="AB299" s="16">
        <v>4.1666666666666664E-2</v>
      </c>
    </row>
    <row r="300" spans="1:28" x14ac:dyDescent="0.3">
      <c r="A300" s="19" t="s">
        <v>931</v>
      </c>
      <c r="B300" s="7" t="s">
        <v>210</v>
      </c>
      <c r="C300" s="34" t="s">
        <v>149</v>
      </c>
      <c r="D300" s="33" t="s">
        <v>1775</v>
      </c>
      <c r="E300" s="6" t="s">
        <v>932</v>
      </c>
      <c r="F300" s="6" t="s">
        <v>933</v>
      </c>
      <c r="G300" s="6" t="s">
        <v>111</v>
      </c>
      <c r="H300" s="7">
        <v>1</v>
      </c>
      <c r="I300" s="6" t="s">
        <v>112</v>
      </c>
      <c r="J300" s="6" t="s">
        <v>31</v>
      </c>
      <c r="K300" s="6" t="s">
        <v>32</v>
      </c>
      <c r="L300" s="6" t="s">
        <v>1755</v>
      </c>
      <c r="M300" s="6" t="s">
        <v>33</v>
      </c>
      <c r="N300" s="10">
        <v>15</v>
      </c>
      <c r="O300" s="11">
        <v>5</v>
      </c>
      <c r="P300" s="12">
        <v>123</v>
      </c>
      <c r="Q300" s="20">
        <v>20.708888699999999</v>
      </c>
      <c r="R300" s="20">
        <v>-88.189583900000002</v>
      </c>
      <c r="S300" s="14" t="s">
        <v>34</v>
      </c>
      <c r="T300" s="14" t="s">
        <v>175</v>
      </c>
      <c r="U300" s="14" t="s">
        <v>213</v>
      </c>
      <c r="V300" s="14" t="s">
        <v>213</v>
      </c>
      <c r="W300" s="14"/>
      <c r="X300" s="14"/>
      <c r="Y300" s="14"/>
      <c r="Z300" s="14"/>
      <c r="AA300" s="15"/>
      <c r="AB300" s="16">
        <v>0.29166666666666663</v>
      </c>
    </row>
    <row r="301" spans="1:28" x14ac:dyDescent="0.3">
      <c r="A301" s="6" t="s">
        <v>934</v>
      </c>
      <c r="B301" s="7" t="s">
        <v>25</v>
      </c>
      <c r="C301" s="34" t="s">
        <v>225</v>
      </c>
      <c r="D301" s="33" t="s">
        <v>1775</v>
      </c>
      <c r="E301" s="6" t="s">
        <v>909</v>
      </c>
      <c r="F301" s="19" t="s">
        <v>935</v>
      </c>
      <c r="G301" s="6" t="s">
        <v>111</v>
      </c>
      <c r="H301" s="7">
        <v>1</v>
      </c>
      <c r="I301" s="6" t="s">
        <v>112</v>
      </c>
      <c r="J301" s="6" t="s">
        <v>31</v>
      </c>
      <c r="K301" s="6" t="s">
        <v>32</v>
      </c>
      <c r="L301" s="6" t="s">
        <v>1755</v>
      </c>
      <c r="M301" s="6" t="s">
        <v>33</v>
      </c>
      <c r="N301" s="10">
        <v>18</v>
      </c>
      <c r="O301" s="11">
        <v>5</v>
      </c>
      <c r="P301" s="12">
        <v>109</v>
      </c>
      <c r="Q301" s="13">
        <v>19.199019400000001</v>
      </c>
      <c r="R301" s="13">
        <v>-99.141540300000003</v>
      </c>
      <c r="S301" s="14" t="s">
        <v>176</v>
      </c>
      <c r="T301" s="14"/>
      <c r="U301" s="14" t="s">
        <v>35</v>
      </c>
      <c r="V301" s="14" t="s">
        <v>35</v>
      </c>
      <c r="W301" s="14" t="s">
        <v>35</v>
      </c>
      <c r="X301" s="14" t="s">
        <v>36</v>
      </c>
      <c r="Y301" s="14" t="s">
        <v>37</v>
      </c>
      <c r="Z301" s="14" t="s">
        <v>37</v>
      </c>
      <c r="AA301" s="15" t="s">
        <v>1754</v>
      </c>
      <c r="AB301" s="16">
        <v>0.79166666666666663</v>
      </c>
    </row>
    <row r="302" spans="1:28" x14ac:dyDescent="0.3">
      <c r="A302" s="6" t="s">
        <v>936</v>
      </c>
      <c r="B302" s="7" t="s">
        <v>25</v>
      </c>
      <c r="C302" s="34" t="s">
        <v>225</v>
      </c>
      <c r="D302" s="33" t="s">
        <v>1775</v>
      </c>
      <c r="E302" s="6" t="s">
        <v>921</v>
      </c>
      <c r="F302" s="19" t="s">
        <v>937</v>
      </c>
      <c r="G302" s="6" t="s">
        <v>111</v>
      </c>
      <c r="H302" s="7">
        <v>1</v>
      </c>
      <c r="I302" s="6" t="s">
        <v>112</v>
      </c>
      <c r="J302" s="6" t="s">
        <v>31</v>
      </c>
      <c r="K302" s="6" t="s">
        <v>32</v>
      </c>
      <c r="L302" s="6" t="s">
        <v>1755</v>
      </c>
      <c r="M302" s="6" t="s">
        <v>33</v>
      </c>
      <c r="N302" s="10">
        <v>18</v>
      </c>
      <c r="O302" s="11">
        <v>5</v>
      </c>
      <c r="P302" s="12">
        <v>107</v>
      </c>
      <c r="Q302" s="13">
        <v>19.514513300000001</v>
      </c>
      <c r="R302" s="13">
        <v>-99.1378196</v>
      </c>
      <c r="S302" s="14" t="s">
        <v>176</v>
      </c>
      <c r="T302" s="14"/>
      <c r="U302" s="14"/>
      <c r="V302" s="14"/>
      <c r="W302" s="14"/>
      <c r="X302" s="14" t="s">
        <v>36</v>
      </c>
      <c r="Y302" s="14"/>
      <c r="Z302" s="14"/>
      <c r="AA302" s="15"/>
      <c r="AB302" s="16">
        <v>0.16666666666666666</v>
      </c>
    </row>
    <row r="303" spans="1:28" x14ac:dyDescent="0.3">
      <c r="A303" s="6" t="s">
        <v>938</v>
      </c>
      <c r="B303" s="7" t="s">
        <v>25</v>
      </c>
      <c r="C303" s="34" t="s">
        <v>225</v>
      </c>
      <c r="D303" s="33" t="s">
        <v>1775</v>
      </c>
      <c r="E303" s="6" t="s">
        <v>939</v>
      </c>
      <c r="F303" s="6" t="s">
        <v>940</v>
      </c>
      <c r="G303" s="6" t="s">
        <v>941</v>
      </c>
      <c r="H303" s="7">
        <v>2</v>
      </c>
      <c r="I303" s="6" t="s">
        <v>155</v>
      </c>
      <c r="J303" s="6" t="s">
        <v>31</v>
      </c>
      <c r="K303" s="6" t="s">
        <v>32</v>
      </c>
      <c r="L303" s="6" t="s">
        <v>1756</v>
      </c>
      <c r="M303" s="6" t="s">
        <v>33</v>
      </c>
      <c r="N303" s="10">
        <v>22</v>
      </c>
      <c r="O303" s="11">
        <v>2</v>
      </c>
      <c r="P303" s="12">
        <v>105</v>
      </c>
      <c r="Q303" s="13">
        <v>19.459708500000001</v>
      </c>
      <c r="R303" s="13">
        <v>-99.141313400000001</v>
      </c>
      <c r="S303" s="14" t="s">
        <v>176</v>
      </c>
      <c r="T303" s="14"/>
      <c r="U303" s="14"/>
      <c r="V303" s="14"/>
      <c r="W303" s="14"/>
      <c r="X303" s="14"/>
      <c r="Y303" s="14"/>
      <c r="Z303" s="14"/>
      <c r="AA303" s="15"/>
      <c r="AB303" s="16">
        <v>4.1666666666666664E-2</v>
      </c>
    </row>
    <row r="304" spans="1:28" x14ac:dyDescent="0.3">
      <c r="A304" s="6" t="s">
        <v>942</v>
      </c>
      <c r="B304" s="7" t="s">
        <v>25</v>
      </c>
      <c r="C304" s="34" t="s">
        <v>225</v>
      </c>
      <c r="D304" s="33" t="s">
        <v>1775</v>
      </c>
      <c r="E304" s="6" t="s">
        <v>625</v>
      </c>
      <c r="F304" s="6" t="s">
        <v>943</v>
      </c>
      <c r="G304" s="6" t="s">
        <v>164</v>
      </c>
      <c r="H304" s="7">
        <v>2</v>
      </c>
      <c r="I304" s="6" t="s">
        <v>155</v>
      </c>
      <c r="J304" s="6" t="s">
        <v>31</v>
      </c>
      <c r="K304" s="6" t="s">
        <v>32</v>
      </c>
      <c r="L304" s="6" t="s">
        <v>1756</v>
      </c>
      <c r="M304" s="6" t="s">
        <v>33</v>
      </c>
      <c r="N304" s="10">
        <v>21</v>
      </c>
      <c r="O304" s="11">
        <v>5</v>
      </c>
      <c r="P304" s="12">
        <v>99</v>
      </c>
      <c r="Q304" s="13">
        <v>19.480653799999999</v>
      </c>
      <c r="R304" s="13">
        <v>-99.124137099999999</v>
      </c>
      <c r="S304" s="14" t="s">
        <v>176</v>
      </c>
      <c r="T304" s="14"/>
      <c r="U304" s="14"/>
      <c r="V304" s="14"/>
      <c r="W304" s="14"/>
      <c r="X304" s="14"/>
      <c r="Y304" s="14"/>
      <c r="Z304" s="14"/>
      <c r="AA304" s="15"/>
      <c r="AB304" s="16">
        <v>4.1666666666666664E-2</v>
      </c>
    </row>
    <row r="305" spans="1:28" x14ac:dyDescent="0.3">
      <c r="A305" s="6" t="s">
        <v>944</v>
      </c>
      <c r="B305" s="7" t="s">
        <v>25</v>
      </c>
      <c r="C305" s="34" t="s">
        <v>225</v>
      </c>
      <c r="D305" s="33" t="s">
        <v>1775</v>
      </c>
      <c r="E305" s="6" t="s">
        <v>926</v>
      </c>
      <c r="F305" s="6" t="s">
        <v>945</v>
      </c>
      <c r="G305" s="6" t="s">
        <v>941</v>
      </c>
      <c r="H305" s="7">
        <v>2</v>
      </c>
      <c r="I305" s="6" t="s">
        <v>155</v>
      </c>
      <c r="J305" s="6" t="s">
        <v>31</v>
      </c>
      <c r="K305" s="6" t="s">
        <v>32</v>
      </c>
      <c r="L305" s="6" t="s">
        <v>1756</v>
      </c>
      <c r="M305" s="6" t="s">
        <v>33</v>
      </c>
      <c r="N305" s="10">
        <v>21</v>
      </c>
      <c r="O305" s="11">
        <v>3</v>
      </c>
      <c r="P305" s="12">
        <v>99</v>
      </c>
      <c r="Q305" s="13">
        <v>19.402548299999999</v>
      </c>
      <c r="R305" s="13">
        <v>-99.190810900000002</v>
      </c>
      <c r="S305" s="14" t="s">
        <v>176</v>
      </c>
      <c r="T305" s="14"/>
      <c r="U305" s="14"/>
      <c r="V305" s="14"/>
      <c r="W305" s="14"/>
      <c r="X305" s="14"/>
      <c r="Y305" s="14"/>
      <c r="Z305" s="14"/>
      <c r="AA305" s="15"/>
      <c r="AB305" s="16">
        <v>4.1666666666666664E-2</v>
      </c>
    </row>
    <row r="306" spans="1:28" x14ac:dyDescent="0.3">
      <c r="A306" s="6" t="s">
        <v>946</v>
      </c>
      <c r="B306" s="7" t="s">
        <v>25</v>
      </c>
      <c r="C306" s="34" t="s">
        <v>225</v>
      </c>
      <c r="D306" s="33" t="s">
        <v>1775</v>
      </c>
      <c r="E306" s="6" t="s">
        <v>912</v>
      </c>
      <c r="F306" s="6" t="s">
        <v>947</v>
      </c>
      <c r="G306" s="6" t="s">
        <v>941</v>
      </c>
      <c r="H306" s="7">
        <v>2</v>
      </c>
      <c r="I306" s="6" t="s">
        <v>155</v>
      </c>
      <c r="J306" s="6" t="s">
        <v>31</v>
      </c>
      <c r="K306" s="6" t="s">
        <v>32</v>
      </c>
      <c r="L306" s="6" t="s">
        <v>1755</v>
      </c>
      <c r="M306" s="6" t="s">
        <v>33</v>
      </c>
      <c r="N306" s="10">
        <v>23</v>
      </c>
      <c r="O306" s="11">
        <v>2</v>
      </c>
      <c r="P306" s="12">
        <v>89</v>
      </c>
      <c r="Q306" s="13">
        <v>19.356541799999999</v>
      </c>
      <c r="R306" s="13">
        <v>-99.107591799999994</v>
      </c>
      <c r="S306" s="14" t="s">
        <v>176</v>
      </c>
      <c r="T306" s="14"/>
      <c r="U306" s="14"/>
      <c r="V306" s="14"/>
      <c r="W306" s="14"/>
      <c r="X306" s="14"/>
      <c r="Y306" s="14"/>
      <c r="Z306" s="14"/>
      <c r="AA306" s="15"/>
      <c r="AB306" s="16">
        <v>4.1666666666666664E-2</v>
      </c>
    </row>
    <row r="307" spans="1:28" x14ac:dyDescent="0.3">
      <c r="A307" s="6" t="s">
        <v>948</v>
      </c>
      <c r="B307" s="7" t="s">
        <v>25</v>
      </c>
      <c r="C307" s="34" t="s">
        <v>225</v>
      </c>
      <c r="D307" s="33" t="s">
        <v>1775</v>
      </c>
      <c r="E307" s="6" t="s">
        <v>949</v>
      </c>
      <c r="F307" s="6" t="s">
        <v>950</v>
      </c>
      <c r="G307" s="6" t="s">
        <v>111</v>
      </c>
      <c r="H307" s="7">
        <v>1</v>
      </c>
      <c r="I307" s="6" t="s">
        <v>112</v>
      </c>
      <c r="J307" s="6" t="s">
        <v>31</v>
      </c>
      <c r="K307" s="6" t="s">
        <v>32</v>
      </c>
      <c r="L307" s="6" t="s">
        <v>1755</v>
      </c>
      <c r="M307" s="6" t="s">
        <v>33</v>
      </c>
      <c r="N307" s="10">
        <v>17</v>
      </c>
      <c r="O307" s="11">
        <v>6</v>
      </c>
      <c r="P307" s="12">
        <v>87</v>
      </c>
      <c r="Q307" s="13">
        <v>19.347417400000001</v>
      </c>
      <c r="R307" s="13">
        <v>-99.300905799999995</v>
      </c>
      <c r="S307" s="14" t="s">
        <v>176</v>
      </c>
      <c r="T307" s="14"/>
      <c r="U307" s="14"/>
      <c r="V307" s="14"/>
      <c r="W307" s="14"/>
      <c r="X307" s="14"/>
      <c r="Y307" s="14"/>
      <c r="Z307" s="14"/>
      <c r="AA307" s="15"/>
      <c r="AB307" s="16">
        <v>4.1666666666666664E-2</v>
      </c>
    </row>
    <row r="308" spans="1:28" x14ac:dyDescent="0.3">
      <c r="A308" s="6" t="s">
        <v>951</v>
      </c>
      <c r="B308" s="7" t="s">
        <v>25</v>
      </c>
      <c r="C308" s="34" t="s">
        <v>225</v>
      </c>
      <c r="D308" s="33" t="s">
        <v>1775</v>
      </c>
      <c r="E308" s="6" t="s">
        <v>625</v>
      </c>
      <c r="F308" s="6" t="s">
        <v>952</v>
      </c>
      <c r="G308" s="6" t="s">
        <v>941</v>
      </c>
      <c r="H308" s="7">
        <v>2</v>
      </c>
      <c r="I308" s="6" t="s">
        <v>155</v>
      </c>
      <c r="J308" s="6" t="s">
        <v>31</v>
      </c>
      <c r="K308" s="6" t="s">
        <v>32</v>
      </c>
      <c r="L308" s="6" t="s">
        <v>1756</v>
      </c>
      <c r="M308" s="6" t="s">
        <v>33</v>
      </c>
      <c r="N308" s="10">
        <v>11</v>
      </c>
      <c r="O308" s="11">
        <v>2</v>
      </c>
      <c r="P308" s="12">
        <v>87</v>
      </c>
      <c r="Q308" s="13">
        <v>19.432896800000002</v>
      </c>
      <c r="R308" s="13">
        <v>-99.098230999999998</v>
      </c>
      <c r="S308" s="14" t="s">
        <v>176</v>
      </c>
      <c r="T308" s="14"/>
      <c r="U308" s="14"/>
      <c r="V308" s="14"/>
      <c r="W308" s="14"/>
      <c r="X308" s="14"/>
      <c r="Y308" s="14"/>
      <c r="Z308" s="14"/>
      <c r="AA308" s="15"/>
      <c r="AB308" s="16">
        <v>4.1666666666666664E-2</v>
      </c>
    </row>
    <row r="309" spans="1:28" x14ac:dyDescent="0.3">
      <c r="A309" s="6" t="s">
        <v>953</v>
      </c>
      <c r="B309" s="7" t="s">
        <v>25</v>
      </c>
      <c r="C309" s="34" t="s">
        <v>954</v>
      </c>
      <c r="D309" s="33" t="s">
        <v>1775</v>
      </c>
      <c r="E309" s="6" t="s">
        <v>955</v>
      </c>
      <c r="F309" s="6" t="s">
        <v>956</v>
      </c>
      <c r="G309" s="6" t="s">
        <v>29</v>
      </c>
      <c r="H309" s="7">
        <v>1</v>
      </c>
      <c r="I309" s="6" t="s">
        <v>30</v>
      </c>
      <c r="J309" s="6" t="s">
        <v>31</v>
      </c>
      <c r="K309" s="6" t="s">
        <v>32</v>
      </c>
      <c r="L309" s="6" t="s">
        <v>1755</v>
      </c>
      <c r="M309" s="6" t="s">
        <v>33</v>
      </c>
      <c r="N309" s="10">
        <v>17</v>
      </c>
      <c r="O309" s="11">
        <v>0</v>
      </c>
      <c r="P309" s="12">
        <v>0</v>
      </c>
      <c r="Q309" s="13">
        <v>27.647220000000001</v>
      </c>
      <c r="R309" s="13">
        <v>-110.29603</v>
      </c>
      <c r="S309" s="14" t="s">
        <v>34</v>
      </c>
      <c r="T309" s="14" t="s">
        <v>175</v>
      </c>
      <c r="U309" s="14" t="s">
        <v>213</v>
      </c>
      <c r="V309" s="14" t="s">
        <v>213</v>
      </c>
      <c r="W309" s="14"/>
      <c r="X309" s="14"/>
      <c r="Y309" s="14"/>
      <c r="Z309" s="14"/>
      <c r="AA309" s="15"/>
      <c r="AB309" s="16">
        <v>0.29166666666666663</v>
      </c>
    </row>
    <row r="310" spans="1:28" x14ac:dyDescent="0.3">
      <c r="A310" s="6" t="s">
        <v>957</v>
      </c>
      <c r="B310" s="7" t="s">
        <v>25</v>
      </c>
      <c r="C310" s="34" t="s">
        <v>954</v>
      </c>
      <c r="D310" s="33" t="s">
        <v>1775</v>
      </c>
      <c r="E310" s="6" t="s">
        <v>958</v>
      </c>
      <c r="F310" s="6" t="s">
        <v>959</v>
      </c>
      <c r="G310" s="6" t="s">
        <v>29</v>
      </c>
      <c r="H310" s="7">
        <v>1</v>
      </c>
      <c r="I310" s="6" t="s">
        <v>30</v>
      </c>
      <c r="J310" s="6" t="s">
        <v>31</v>
      </c>
      <c r="K310" s="6" t="s">
        <v>32</v>
      </c>
      <c r="L310" s="6" t="s">
        <v>1755</v>
      </c>
      <c r="M310" s="6" t="s">
        <v>33</v>
      </c>
      <c r="N310" s="10">
        <v>7</v>
      </c>
      <c r="O310" s="11">
        <v>1</v>
      </c>
      <c r="P310" s="12">
        <v>45</v>
      </c>
      <c r="Q310" s="13">
        <v>27.0263353</v>
      </c>
      <c r="R310" s="13">
        <v>-108.943254</v>
      </c>
      <c r="S310" s="14" t="s">
        <v>34</v>
      </c>
      <c r="T310" s="14" t="s">
        <v>175</v>
      </c>
      <c r="U310" s="14" t="s">
        <v>213</v>
      </c>
      <c r="V310" s="14" t="s">
        <v>213</v>
      </c>
      <c r="W310" s="14"/>
      <c r="X310" s="14"/>
      <c r="Y310" s="14"/>
      <c r="Z310" s="14"/>
      <c r="AA310" s="15"/>
      <c r="AB310" s="16">
        <v>0.29166666666666663</v>
      </c>
    </row>
    <row r="311" spans="1:28" x14ac:dyDescent="0.3">
      <c r="A311" s="6" t="s">
        <v>960</v>
      </c>
      <c r="B311" s="7" t="s">
        <v>25</v>
      </c>
      <c r="C311" s="34" t="s">
        <v>954</v>
      </c>
      <c r="D311" s="33" t="s">
        <v>1775</v>
      </c>
      <c r="E311" s="18" t="s">
        <v>961</v>
      </c>
      <c r="F311" s="6" t="s">
        <v>962</v>
      </c>
      <c r="G311" s="6" t="s">
        <v>29</v>
      </c>
      <c r="H311" s="7">
        <v>1</v>
      </c>
      <c r="I311" s="6" t="s">
        <v>30</v>
      </c>
      <c r="J311" s="6" t="s">
        <v>31</v>
      </c>
      <c r="K311" s="6" t="s">
        <v>32</v>
      </c>
      <c r="L311" s="6" t="s">
        <v>1755</v>
      </c>
      <c r="M311" s="6" t="s">
        <v>33</v>
      </c>
      <c r="N311" s="10">
        <v>9</v>
      </c>
      <c r="O311" s="11">
        <v>2</v>
      </c>
      <c r="P311" s="12">
        <v>26</v>
      </c>
      <c r="Q311" s="13">
        <v>29.802230000000002</v>
      </c>
      <c r="R311" s="13">
        <v>-109.6813356</v>
      </c>
      <c r="S311" s="14" t="s">
        <v>34</v>
      </c>
      <c r="T311" s="14" t="s">
        <v>175</v>
      </c>
      <c r="U311" s="14" t="s">
        <v>213</v>
      </c>
      <c r="V311" s="14" t="s">
        <v>213</v>
      </c>
      <c r="W311" s="14"/>
      <c r="X311" s="14"/>
      <c r="Y311" s="14"/>
      <c r="Z311" s="14"/>
      <c r="AA311" s="15"/>
      <c r="AB311" s="16">
        <v>0.29166666666666663</v>
      </c>
    </row>
    <row r="312" spans="1:28" x14ac:dyDescent="0.3">
      <c r="A312" s="6" t="s">
        <v>963</v>
      </c>
      <c r="B312" s="7" t="s">
        <v>25</v>
      </c>
      <c r="C312" s="34" t="s">
        <v>954</v>
      </c>
      <c r="D312" s="33" t="s">
        <v>1775</v>
      </c>
      <c r="E312" s="18" t="s">
        <v>964</v>
      </c>
      <c r="F312" s="6" t="s">
        <v>965</v>
      </c>
      <c r="G312" s="6" t="s">
        <v>29</v>
      </c>
      <c r="H312" s="7">
        <v>1</v>
      </c>
      <c r="I312" s="6" t="s">
        <v>30</v>
      </c>
      <c r="J312" s="6" t="s">
        <v>31</v>
      </c>
      <c r="K312" s="6" t="s">
        <v>32</v>
      </c>
      <c r="L312" s="6" t="s">
        <v>1755</v>
      </c>
      <c r="M312" s="6" t="s">
        <v>33</v>
      </c>
      <c r="N312" s="10">
        <v>10</v>
      </c>
      <c r="O312" s="11">
        <v>2</v>
      </c>
      <c r="P312" s="12">
        <v>19</v>
      </c>
      <c r="Q312" s="13">
        <v>29.424952000000001</v>
      </c>
      <c r="R312" s="13">
        <v>-110.391015</v>
      </c>
      <c r="S312" s="14" t="s">
        <v>34</v>
      </c>
      <c r="T312" s="14" t="s">
        <v>175</v>
      </c>
      <c r="U312" s="14" t="s">
        <v>213</v>
      </c>
      <c r="V312" s="14" t="s">
        <v>213</v>
      </c>
      <c r="W312" s="14"/>
      <c r="X312" s="14"/>
      <c r="Y312" s="14"/>
      <c r="Z312" s="14"/>
      <c r="AA312" s="15"/>
      <c r="AB312" s="16">
        <v>0.29166666666666663</v>
      </c>
    </row>
    <row r="313" spans="1:28" x14ac:dyDescent="0.3">
      <c r="A313" s="6" t="s">
        <v>966</v>
      </c>
      <c r="B313" s="7" t="s">
        <v>25</v>
      </c>
      <c r="C313" s="34" t="s">
        <v>954</v>
      </c>
      <c r="D313" s="33" t="s">
        <v>1775</v>
      </c>
      <c r="E313" s="6" t="s">
        <v>967</v>
      </c>
      <c r="F313" s="6" t="s">
        <v>968</v>
      </c>
      <c r="G313" s="6" t="s">
        <v>111</v>
      </c>
      <c r="H313" s="7">
        <v>1</v>
      </c>
      <c r="I313" s="6" t="s">
        <v>112</v>
      </c>
      <c r="J313" s="6" t="s">
        <v>31</v>
      </c>
      <c r="K313" s="6" t="s">
        <v>32</v>
      </c>
      <c r="L313" s="6" t="s">
        <v>1755</v>
      </c>
      <c r="M313" s="6" t="s">
        <v>33</v>
      </c>
      <c r="N313" s="10">
        <v>33</v>
      </c>
      <c r="O313" s="11">
        <v>5</v>
      </c>
      <c r="P313" s="12">
        <v>278</v>
      </c>
      <c r="Q313" s="13">
        <v>27.483370300000001</v>
      </c>
      <c r="R313" s="13">
        <v>-109.9548751</v>
      </c>
      <c r="S313" s="14" t="s">
        <v>34</v>
      </c>
      <c r="T313" s="14" t="s">
        <v>175</v>
      </c>
      <c r="U313" s="14" t="s">
        <v>213</v>
      </c>
      <c r="V313" s="14" t="s">
        <v>213</v>
      </c>
      <c r="W313" s="14"/>
      <c r="X313" s="14"/>
      <c r="Y313" s="14"/>
      <c r="Z313" s="14"/>
      <c r="AA313" s="15"/>
      <c r="AB313" s="16">
        <v>0.29166666666666663</v>
      </c>
    </row>
    <row r="314" spans="1:28" x14ac:dyDescent="0.3">
      <c r="A314" s="6" t="s">
        <v>969</v>
      </c>
      <c r="B314" s="7" t="s">
        <v>25</v>
      </c>
      <c r="C314" s="34" t="s">
        <v>229</v>
      </c>
      <c r="D314" s="33" t="s">
        <v>1775</v>
      </c>
      <c r="E314" s="6" t="s">
        <v>970</v>
      </c>
      <c r="F314" s="6" t="s">
        <v>971</v>
      </c>
      <c r="G314" s="6" t="s">
        <v>111</v>
      </c>
      <c r="H314" s="7">
        <v>1</v>
      </c>
      <c r="I314" s="6" t="s">
        <v>112</v>
      </c>
      <c r="J314" s="6" t="s">
        <v>31</v>
      </c>
      <c r="K314" s="6" t="s">
        <v>32</v>
      </c>
      <c r="L314" s="6" t="s">
        <v>1755</v>
      </c>
      <c r="M314" s="6" t="s">
        <v>33</v>
      </c>
      <c r="N314" s="10">
        <v>18</v>
      </c>
      <c r="O314" s="11">
        <v>3</v>
      </c>
      <c r="P314" s="12">
        <v>114</v>
      </c>
      <c r="Q314" s="13">
        <v>16.899609999999999</v>
      </c>
      <c r="R314" s="13">
        <v>-99.827545999999998</v>
      </c>
      <c r="S314" s="14" t="s">
        <v>176</v>
      </c>
      <c r="T314" s="14"/>
      <c r="U314" s="14"/>
      <c r="V314" s="14"/>
      <c r="W314" s="14"/>
      <c r="X314" s="14"/>
      <c r="Y314" s="14"/>
      <c r="Z314" s="14"/>
      <c r="AA314" s="15"/>
      <c r="AB314" s="16">
        <v>4.1666666666666664E-2</v>
      </c>
    </row>
    <row r="315" spans="1:28" x14ac:dyDescent="0.3">
      <c r="A315" s="6" t="s">
        <v>972</v>
      </c>
      <c r="B315" s="7" t="s">
        <v>25</v>
      </c>
      <c r="C315" s="34" t="s">
        <v>229</v>
      </c>
      <c r="D315" s="33" t="s">
        <v>1775</v>
      </c>
      <c r="E315" s="6" t="s">
        <v>973</v>
      </c>
      <c r="F315" s="6" t="s">
        <v>974</v>
      </c>
      <c r="G315" s="6" t="s">
        <v>111</v>
      </c>
      <c r="H315" s="7">
        <v>1</v>
      </c>
      <c r="I315" s="6" t="s">
        <v>112</v>
      </c>
      <c r="J315" s="6" t="s">
        <v>31</v>
      </c>
      <c r="K315" s="6" t="s">
        <v>32</v>
      </c>
      <c r="L315" s="6" t="s">
        <v>1755</v>
      </c>
      <c r="M315" s="6" t="s">
        <v>33</v>
      </c>
      <c r="N315" s="10">
        <v>8</v>
      </c>
      <c r="O315" s="11">
        <v>2</v>
      </c>
      <c r="P315" s="12">
        <v>55</v>
      </c>
      <c r="Q315" s="13">
        <v>17.203735999999999</v>
      </c>
      <c r="R315" s="13">
        <v>-100.44002399999999</v>
      </c>
      <c r="S315" s="14" t="s">
        <v>176</v>
      </c>
      <c r="T315" s="14"/>
      <c r="U315" s="14"/>
      <c r="V315" s="14"/>
      <c r="W315" s="14"/>
      <c r="X315" s="14"/>
      <c r="Y315" s="14"/>
      <c r="Z315" s="14"/>
      <c r="AA315" s="15"/>
      <c r="AB315" s="16">
        <v>4.1666666666666664E-2</v>
      </c>
    </row>
    <row r="316" spans="1:28" x14ac:dyDescent="0.3">
      <c r="A316" s="6" t="s">
        <v>975</v>
      </c>
      <c r="B316" s="7" t="s">
        <v>25</v>
      </c>
      <c r="C316" s="34" t="s">
        <v>229</v>
      </c>
      <c r="D316" s="33" t="s">
        <v>1775</v>
      </c>
      <c r="E316" s="6" t="s">
        <v>976</v>
      </c>
      <c r="F316" s="6" t="s">
        <v>977</v>
      </c>
      <c r="G316" s="6" t="s">
        <v>111</v>
      </c>
      <c r="H316" s="7">
        <v>1</v>
      </c>
      <c r="I316" s="6" t="s">
        <v>112</v>
      </c>
      <c r="J316" s="6" t="s">
        <v>31</v>
      </c>
      <c r="K316" s="6" t="s">
        <v>32</v>
      </c>
      <c r="L316" s="6" t="s">
        <v>1755</v>
      </c>
      <c r="M316" s="6" t="s">
        <v>33</v>
      </c>
      <c r="N316" s="10">
        <v>14</v>
      </c>
      <c r="O316" s="11">
        <v>2</v>
      </c>
      <c r="P316" s="12">
        <v>60</v>
      </c>
      <c r="Q316" s="13">
        <v>18.296510000000001</v>
      </c>
      <c r="R316" s="13">
        <v>-99.330506</v>
      </c>
      <c r="S316" s="14" t="s">
        <v>176</v>
      </c>
      <c r="T316" s="14"/>
      <c r="U316" s="14"/>
      <c r="V316" s="14"/>
      <c r="W316" s="14"/>
      <c r="X316" s="14"/>
      <c r="Y316" s="14"/>
      <c r="Z316" s="14"/>
      <c r="AA316" s="15"/>
      <c r="AB316" s="16">
        <v>4.1666666666666664E-2</v>
      </c>
    </row>
    <row r="317" spans="1:28" x14ac:dyDescent="0.3">
      <c r="A317" s="6" t="s">
        <v>978</v>
      </c>
      <c r="B317" s="7" t="s">
        <v>25</v>
      </c>
      <c r="C317" s="34" t="s">
        <v>229</v>
      </c>
      <c r="D317" s="33" t="s">
        <v>1775</v>
      </c>
      <c r="E317" s="6" t="s">
        <v>979</v>
      </c>
      <c r="F317" s="6" t="s">
        <v>980</v>
      </c>
      <c r="G317" s="6" t="s">
        <v>111</v>
      </c>
      <c r="H317" s="7">
        <v>1</v>
      </c>
      <c r="I317" s="6" t="s">
        <v>112</v>
      </c>
      <c r="J317" s="6" t="s">
        <v>31</v>
      </c>
      <c r="K317" s="6" t="s">
        <v>32</v>
      </c>
      <c r="L317" s="6" t="s">
        <v>1755</v>
      </c>
      <c r="M317" s="6" t="s">
        <v>33</v>
      </c>
      <c r="N317" s="10">
        <v>26</v>
      </c>
      <c r="O317" s="11">
        <v>4</v>
      </c>
      <c r="P317" s="12">
        <v>135</v>
      </c>
      <c r="Q317" s="13">
        <v>18.344546000000001</v>
      </c>
      <c r="R317" s="13">
        <v>-99.523602999999994</v>
      </c>
      <c r="S317" s="14" t="s">
        <v>176</v>
      </c>
      <c r="T317" s="14"/>
      <c r="U317" s="14"/>
      <c r="V317" s="14"/>
      <c r="W317" s="14"/>
      <c r="X317" s="14"/>
      <c r="Y317" s="14"/>
      <c r="Z317" s="14"/>
      <c r="AA317" s="15"/>
      <c r="AB317" s="16">
        <v>4.1666666666666664E-2</v>
      </c>
    </row>
    <row r="318" spans="1:28" x14ac:dyDescent="0.3">
      <c r="A318" s="6" t="s">
        <v>981</v>
      </c>
      <c r="B318" s="7" t="s">
        <v>25</v>
      </c>
      <c r="C318" s="34" t="s">
        <v>229</v>
      </c>
      <c r="D318" s="33" t="s">
        <v>1775</v>
      </c>
      <c r="E318" s="6" t="s">
        <v>982</v>
      </c>
      <c r="F318" s="6" t="s">
        <v>983</v>
      </c>
      <c r="G318" s="6" t="s">
        <v>111</v>
      </c>
      <c r="H318" s="7">
        <v>1</v>
      </c>
      <c r="I318" s="6" t="s">
        <v>112</v>
      </c>
      <c r="J318" s="6" t="s">
        <v>31</v>
      </c>
      <c r="K318" s="6" t="s">
        <v>32</v>
      </c>
      <c r="L318" s="6" t="s">
        <v>1755</v>
      </c>
      <c r="M318" s="6" t="s">
        <v>33</v>
      </c>
      <c r="N318" s="10">
        <v>22</v>
      </c>
      <c r="O318" s="11">
        <v>4</v>
      </c>
      <c r="P318" s="12">
        <v>104</v>
      </c>
      <c r="Q318" s="13">
        <v>17.648613000000001</v>
      </c>
      <c r="R318" s="13">
        <v>-101.549035</v>
      </c>
      <c r="S318" s="14" t="s">
        <v>176</v>
      </c>
      <c r="T318" s="14"/>
      <c r="U318" s="14"/>
      <c r="V318" s="14"/>
      <c r="W318" s="14"/>
      <c r="X318" s="14"/>
      <c r="Y318" s="14"/>
      <c r="Z318" s="14"/>
      <c r="AA318" s="15"/>
      <c r="AB318" s="16">
        <v>4.1666666666666664E-2</v>
      </c>
    </row>
    <row r="319" spans="1:28" x14ac:dyDescent="0.3">
      <c r="A319" s="6" t="s">
        <v>984</v>
      </c>
      <c r="B319" s="7" t="s">
        <v>25</v>
      </c>
      <c r="C319" s="34" t="s">
        <v>229</v>
      </c>
      <c r="D319" s="33" t="s">
        <v>1775</v>
      </c>
      <c r="E319" s="6" t="s">
        <v>985</v>
      </c>
      <c r="F319" s="6" t="s">
        <v>986</v>
      </c>
      <c r="G319" s="6" t="s">
        <v>111</v>
      </c>
      <c r="H319" s="7">
        <v>1</v>
      </c>
      <c r="I319" s="6" t="s">
        <v>112</v>
      </c>
      <c r="J319" s="6" t="s">
        <v>31</v>
      </c>
      <c r="K319" s="6" t="s">
        <v>32</v>
      </c>
      <c r="L319" s="6" t="s">
        <v>1755</v>
      </c>
      <c r="M319" s="6" t="s">
        <v>33</v>
      </c>
      <c r="N319" s="10">
        <v>19</v>
      </c>
      <c r="O319" s="11">
        <v>2</v>
      </c>
      <c r="P319" s="12">
        <v>83</v>
      </c>
      <c r="Q319" s="13">
        <v>16.689240999999999</v>
      </c>
      <c r="R319" s="13">
        <v>-98.433141000000006</v>
      </c>
      <c r="S319" s="14" t="s">
        <v>176</v>
      </c>
      <c r="T319" s="14"/>
      <c r="U319" s="14"/>
      <c r="V319" s="14"/>
      <c r="W319" s="14"/>
      <c r="X319" s="14"/>
      <c r="Y319" s="14"/>
      <c r="Z319" s="14"/>
      <c r="AA319" s="15"/>
      <c r="AB319" s="16">
        <v>4.1666666666666664E-2</v>
      </c>
    </row>
    <row r="320" spans="1:28" x14ac:dyDescent="0.3">
      <c r="A320" s="6" t="s">
        <v>987</v>
      </c>
      <c r="B320" s="7" t="s">
        <v>25</v>
      </c>
      <c r="C320" s="34" t="s">
        <v>229</v>
      </c>
      <c r="D320" s="33" t="s">
        <v>1775</v>
      </c>
      <c r="E320" s="6" t="s">
        <v>970</v>
      </c>
      <c r="F320" s="6" t="s">
        <v>988</v>
      </c>
      <c r="G320" s="6" t="s">
        <v>111</v>
      </c>
      <c r="H320" s="7">
        <v>1</v>
      </c>
      <c r="I320" s="6" t="s">
        <v>112</v>
      </c>
      <c r="J320" s="6" t="s">
        <v>31</v>
      </c>
      <c r="K320" s="6" t="s">
        <v>32</v>
      </c>
      <c r="L320" s="6" t="s">
        <v>1755</v>
      </c>
      <c r="M320" s="6" t="s">
        <v>84</v>
      </c>
      <c r="N320" s="10">
        <v>22</v>
      </c>
      <c r="O320" s="11">
        <v>3</v>
      </c>
      <c r="P320" s="12">
        <v>101</v>
      </c>
      <c r="Q320" s="13">
        <v>16.930872000000001</v>
      </c>
      <c r="R320" s="13">
        <v>-99.820639999999997</v>
      </c>
      <c r="S320" s="14" t="s">
        <v>176</v>
      </c>
      <c r="T320" s="14"/>
      <c r="U320" s="14"/>
      <c r="V320" s="14"/>
      <c r="W320" s="14"/>
      <c r="X320" s="14"/>
      <c r="Y320" s="14"/>
      <c r="Z320" s="14"/>
      <c r="AA320" s="15"/>
      <c r="AB320" s="16">
        <v>4.1666666666666664E-2</v>
      </c>
    </row>
    <row r="321" spans="1:28" x14ac:dyDescent="0.3">
      <c r="A321" s="6" t="s">
        <v>989</v>
      </c>
      <c r="B321" s="7" t="s">
        <v>25</v>
      </c>
      <c r="C321" s="34" t="s">
        <v>229</v>
      </c>
      <c r="D321" s="33" t="s">
        <v>1775</v>
      </c>
      <c r="E321" s="6" t="s">
        <v>275</v>
      </c>
      <c r="F321" s="6" t="s">
        <v>990</v>
      </c>
      <c r="G321" s="6" t="s">
        <v>111</v>
      </c>
      <c r="H321" s="7">
        <v>1</v>
      </c>
      <c r="I321" s="6" t="s">
        <v>112</v>
      </c>
      <c r="J321" s="6" t="s">
        <v>31</v>
      </c>
      <c r="K321" s="6" t="s">
        <v>32</v>
      </c>
      <c r="L321" s="6" t="s">
        <v>1756</v>
      </c>
      <c r="M321" s="6" t="s">
        <v>33</v>
      </c>
      <c r="N321" s="10">
        <v>41</v>
      </c>
      <c r="O321" s="11">
        <v>6</v>
      </c>
      <c r="P321" s="12">
        <v>192</v>
      </c>
      <c r="Q321" s="13">
        <v>17.605384000000001</v>
      </c>
      <c r="R321" s="13">
        <v>-99.520921000000001</v>
      </c>
      <c r="S321" s="14" t="s">
        <v>176</v>
      </c>
      <c r="T321" s="14"/>
      <c r="U321" s="14"/>
      <c r="V321" s="14"/>
      <c r="W321" s="14"/>
      <c r="X321" s="14"/>
      <c r="Y321" s="14"/>
      <c r="Z321" s="14"/>
      <c r="AA321" s="15"/>
      <c r="AB321" s="16">
        <v>4.1666666666666664E-2</v>
      </c>
    </row>
    <row r="322" spans="1:28" x14ac:dyDescent="0.3">
      <c r="A322" s="6" t="s">
        <v>991</v>
      </c>
      <c r="B322" s="7" t="s">
        <v>25</v>
      </c>
      <c r="C322" s="34" t="s">
        <v>229</v>
      </c>
      <c r="D322" s="33" t="s">
        <v>1775</v>
      </c>
      <c r="E322" s="6" t="s">
        <v>992</v>
      </c>
      <c r="F322" s="6" t="s">
        <v>993</v>
      </c>
      <c r="G322" s="6" t="s">
        <v>111</v>
      </c>
      <c r="H322" s="7">
        <v>1</v>
      </c>
      <c r="I322" s="6" t="s">
        <v>112</v>
      </c>
      <c r="J322" s="6" t="s">
        <v>31</v>
      </c>
      <c r="K322" s="6" t="s">
        <v>32</v>
      </c>
      <c r="L322" s="6" t="s">
        <v>1755</v>
      </c>
      <c r="M322" s="6" t="s">
        <v>33</v>
      </c>
      <c r="N322" s="10">
        <v>26</v>
      </c>
      <c r="O322" s="11">
        <v>5</v>
      </c>
      <c r="P322" s="12">
        <v>111</v>
      </c>
      <c r="Q322" s="13">
        <v>18.334645999999999</v>
      </c>
      <c r="R322" s="13">
        <v>-100.712317</v>
      </c>
      <c r="S322" s="14" t="s">
        <v>176</v>
      </c>
      <c r="T322" s="14"/>
      <c r="U322" s="14"/>
      <c r="V322" s="14"/>
      <c r="W322" s="14"/>
      <c r="X322" s="14"/>
      <c r="Y322" s="14"/>
      <c r="Z322" s="14"/>
      <c r="AA322" s="15"/>
      <c r="AB322" s="16">
        <v>4.1666666666666664E-2</v>
      </c>
    </row>
    <row r="323" spans="1:28" x14ac:dyDescent="0.3">
      <c r="A323" s="6" t="s">
        <v>994</v>
      </c>
      <c r="B323" s="7" t="s">
        <v>25</v>
      </c>
      <c r="C323" s="34" t="s">
        <v>229</v>
      </c>
      <c r="D323" s="33" t="s">
        <v>1775</v>
      </c>
      <c r="E323" s="6" t="s">
        <v>995</v>
      </c>
      <c r="F323" s="6" t="s">
        <v>996</v>
      </c>
      <c r="G323" s="6" t="s">
        <v>111</v>
      </c>
      <c r="H323" s="7">
        <v>1</v>
      </c>
      <c r="I323" s="6" t="s">
        <v>112</v>
      </c>
      <c r="J323" s="6" t="s">
        <v>31</v>
      </c>
      <c r="K323" s="6" t="s">
        <v>32</v>
      </c>
      <c r="L323" s="6" t="s">
        <v>1755</v>
      </c>
      <c r="M323" s="6" t="s">
        <v>33</v>
      </c>
      <c r="N323" s="10">
        <v>14</v>
      </c>
      <c r="O323" s="11">
        <v>3</v>
      </c>
      <c r="P323" s="12">
        <v>116</v>
      </c>
      <c r="Q323" s="13">
        <v>17.616917999999998</v>
      </c>
      <c r="R323" s="13">
        <v>-99.170370000000005</v>
      </c>
      <c r="S323" s="14" t="s">
        <v>176</v>
      </c>
      <c r="T323" s="14"/>
      <c r="U323" s="14"/>
      <c r="V323" s="14"/>
      <c r="W323" s="14"/>
      <c r="X323" s="14"/>
      <c r="Y323" s="14"/>
      <c r="Z323" s="14"/>
      <c r="AA323" s="15"/>
      <c r="AB323" s="16">
        <v>4.1666666666666664E-2</v>
      </c>
    </row>
    <row r="324" spans="1:28" x14ac:dyDescent="0.3">
      <c r="A324" s="6" t="s">
        <v>997</v>
      </c>
      <c r="B324" s="7" t="s">
        <v>25</v>
      </c>
      <c r="C324" s="34" t="s">
        <v>229</v>
      </c>
      <c r="D324" s="33" t="s">
        <v>1775</v>
      </c>
      <c r="E324" s="6" t="s">
        <v>970</v>
      </c>
      <c r="F324" s="6" t="s">
        <v>998</v>
      </c>
      <c r="G324" s="6" t="s">
        <v>111</v>
      </c>
      <c r="H324" s="7">
        <v>1</v>
      </c>
      <c r="I324" s="6" t="s">
        <v>155</v>
      </c>
      <c r="J324" s="6" t="s">
        <v>31</v>
      </c>
      <c r="K324" s="6" t="s">
        <v>32</v>
      </c>
      <c r="L324" s="6" t="s">
        <v>1756</v>
      </c>
      <c r="M324" s="6" t="s">
        <v>33</v>
      </c>
      <c r="N324" s="10">
        <v>34</v>
      </c>
      <c r="O324" s="11">
        <v>1</v>
      </c>
      <c r="P324" s="12">
        <v>31</v>
      </c>
      <c r="Q324" s="13">
        <v>16.873562</v>
      </c>
      <c r="R324" s="13">
        <v>-99.886387999999997</v>
      </c>
      <c r="S324" s="14" t="s">
        <v>176</v>
      </c>
      <c r="T324" s="14"/>
      <c r="U324" s="14"/>
      <c r="V324" s="14"/>
      <c r="W324" s="14"/>
      <c r="X324" s="14"/>
      <c r="Y324" s="14"/>
      <c r="Z324" s="14"/>
      <c r="AA324" s="15"/>
      <c r="AB324" s="16">
        <v>4.1666666666666664E-2</v>
      </c>
    </row>
    <row r="325" spans="1:28" x14ac:dyDescent="0.3">
      <c r="A325" s="6" t="s">
        <v>999</v>
      </c>
      <c r="B325" s="7" t="s">
        <v>25</v>
      </c>
      <c r="C325" s="34" t="s">
        <v>229</v>
      </c>
      <c r="D325" s="33" t="s">
        <v>1775</v>
      </c>
      <c r="E325" s="6" t="s">
        <v>1000</v>
      </c>
      <c r="F325" s="6" t="s">
        <v>1001</v>
      </c>
      <c r="G325" s="6" t="s">
        <v>111</v>
      </c>
      <c r="H325" s="7">
        <v>1</v>
      </c>
      <c r="I325" s="6" t="s">
        <v>112</v>
      </c>
      <c r="J325" s="6" t="s">
        <v>31</v>
      </c>
      <c r="K325" s="6" t="s">
        <v>32</v>
      </c>
      <c r="L325" s="6" t="s">
        <v>1755</v>
      </c>
      <c r="M325" s="6" t="s">
        <v>33</v>
      </c>
      <c r="N325" s="10">
        <v>20</v>
      </c>
      <c r="O325" s="11">
        <v>4</v>
      </c>
      <c r="P325" s="12">
        <v>93</v>
      </c>
      <c r="Q325" s="13">
        <v>18.566140999999998</v>
      </c>
      <c r="R325" s="13">
        <v>-99.605098600000005</v>
      </c>
      <c r="S325" s="14" t="s">
        <v>176</v>
      </c>
      <c r="T325" s="14"/>
      <c r="U325" s="14"/>
      <c r="V325" s="14"/>
      <c r="W325" s="14"/>
      <c r="X325" s="14"/>
      <c r="Y325" s="14"/>
      <c r="Z325" s="14"/>
      <c r="AA325" s="15"/>
      <c r="AB325" s="16">
        <v>4.1666666666666664E-2</v>
      </c>
    </row>
    <row r="326" spans="1:28" x14ac:dyDescent="0.3">
      <c r="A326" s="6" t="s">
        <v>1002</v>
      </c>
      <c r="B326" s="7" t="s">
        <v>25</v>
      </c>
      <c r="C326" s="34" t="s">
        <v>229</v>
      </c>
      <c r="D326" s="33" t="s">
        <v>1775</v>
      </c>
      <c r="E326" s="6" t="s">
        <v>1003</v>
      </c>
      <c r="F326" s="6" t="s">
        <v>1004</v>
      </c>
      <c r="G326" s="6" t="s">
        <v>111</v>
      </c>
      <c r="H326" s="7">
        <v>1</v>
      </c>
      <c r="I326" s="6" t="s">
        <v>112</v>
      </c>
      <c r="J326" s="6" t="s">
        <v>31</v>
      </c>
      <c r="K326" s="6" t="s">
        <v>32</v>
      </c>
      <c r="L326" s="6" t="s">
        <v>1755</v>
      </c>
      <c r="M326" s="6" t="s">
        <v>84</v>
      </c>
      <c r="N326" s="10">
        <v>14</v>
      </c>
      <c r="O326" s="11">
        <v>3</v>
      </c>
      <c r="P326" s="12">
        <v>82</v>
      </c>
      <c r="Q326" s="13">
        <v>16.983177000000001</v>
      </c>
      <c r="R326" s="13">
        <v>-99.1272716</v>
      </c>
      <c r="S326" s="14" t="s">
        <v>176</v>
      </c>
      <c r="T326" s="14"/>
      <c r="U326" s="14"/>
      <c r="V326" s="14"/>
      <c r="W326" s="14"/>
      <c r="X326" s="14"/>
      <c r="Y326" s="14"/>
      <c r="Z326" s="14"/>
      <c r="AA326" s="15"/>
      <c r="AB326" s="16">
        <v>4.1666666666666664E-2</v>
      </c>
    </row>
    <row r="327" spans="1:28" x14ac:dyDescent="0.3">
      <c r="A327" s="6" t="s">
        <v>1005</v>
      </c>
      <c r="B327" s="7" t="s">
        <v>25</v>
      </c>
      <c r="C327" s="34" t="s">
        <v>229</v>
      </c>
      <c r="D327" s="33" t="s">
        <v>1775</v>
      </c>
      <c r="E327" s="6" t="s">
        <v>1006</v>
      </c>
      <c r="F327" s="6" t="s">
        <v>1007</v>
      </c>
      <c r="G327" s="6" t="s">
        <v>111</v>
      </c>
      <c r="H327" s="7">
        <v>1</v>
      </c>
      <c r="I327" s="6" t="s">
        <v>112</v>
      </c>
      <c r="J327" s="6" t="s">
        <v>31</v>
      </c>
      <c r="K327" s="6" t="s">
        <v>32</v>
      </c>
      <c r="L327" s="6" t="s">
        <v>1755</v>
      </c>
      <c r="M327" s="6" t="s">
        <v>33</v>
      </c>
      <c r="N327" s="10">
        <v>45</v>
      </c>
      <c r="O327" s="11">
        <v>3</v>
      </c>
      <c r="P327" s="12">
        <v>121</v>
      </c>
      <c r="Q327" s="13">
        <v>17.564036000000002</v>
      </c>
      <c r="R327" s="13">
        <v>-98.554659999999998</v>
      </c>
      <c r="S327" s="14" t="s">
        <v>176</v>
      </c>
      <c r="T327" s="14"/>
      <c r="U327" s="14"/>
      <c r="V327" s="14"/>
      <c r="W327" s="14"/>
      <c r="X327" s="14"/>
      <c r="Y327" s="14"/>
      <c r="Z327" s="14"/>
      <c r="AA327" s="15"/>
      <c r="AB327" s="16">
        <v>4.1666666666666664E-2</v>
      </c>
    </row>
    <row r="328" spans="1:28" x14ac:dyDescent="0.3">
      <c r="A328" s="6" t="s">
        <v>1008</v>
      </c>
      <c r="B328" s="7" t="s">
        <v>25</v>
      </c>
      <c r="C328" s="34" t="s">
        <v>305</v>
      </c>
      <c r="D328" s="33" t="s">
        <v>1775</v>
      </c>
      <c r="E328" s="6" t="s">
        <v>1009</v>
      </c>
      <c r="F328" s="6" t="s">
        <v>1010</v>
      </c>
      <c r="G328" s="6" t="s">
        <v>29</v>
      </c>
      <c r="H328" s="7">
        <v>1</v>
      </c>
      <c r="I328" s="6" t="s">
        <v>30</v>
      </c>
      <c r="J328" s="6" t="s">
        <v>31</v>
      </c>
      <c r="K328" s="6" t="s">
        <v>32</v>
      </c>
      <c r="L328" s="6" t="s">
        <v>1755</v>
      </c>
      <c r="M328" s="6" t="s">
        <v>33</v>
      </c>
      <c r="N328" s="10">
        <v>11</v>
      </c>
      <c r="O328" s="11">
        <v>2</v>
      </c>
      <c r="P328" s="12">
        <v>28</v>
      </c>
      <c r="Q328" s="13">
        <v>20.998835</v>
      </c>
      <c r="R328" s="13">
        <v>-98.653301999999996</v>
      </c>
      <c r="S328" s="14" t="s">
        <v>34</v>
      </c>
      <c r="T328" s="14" t="s">
        <v>35</v>
      </c>
      <c r="U328" s="14" t="s">
        <v>35</v>
      </c>
      <c r="V328" s="14" t="s">
        <v>35</v>
      </c>
      <c r="W328" s="14" t="s">
        <v>175</v>
      </c>
      <c r="X328" s="14" t="s">
        <v>36</v>
      </c>
      <c r="Y328" s="14"/>
      <c r="Z328" s="14"/>
      <c r="AA328" s="15"/>
      <c r="AB328" s="16">
        <v>0.70833333333333337</v>
      </c>
    </row>
    <row r="329" spans="1:28" x14ac:dyDescent="0.3">
      <c r="A329" s="6" t="s">
        <v>1011</v>
      </c>
      <c r="B329" s="7" t="s">
        <v>25</v>
      </c>
      <c r="C329" s="34" t="s">
        <v>305</v>
      </c>
      <c r="D329" s="33" t="s">
        <v>1775</v>
      </c>
      <c r="E329" s="6" t="s">
        <v>548</v>
      </c>
      <c r="F329" s="6" t="s">
        <v>1012</v>
      </c>
      <c r="G329" s="6" t="s">
        <v>29</v>
      </c>
      <c r="H329" s="7">
        <v>1</v>
      </c>
      <c r="I329" s="6" t="s">
        <v>30</v>
      </c>
      <c r="J329" s="6" t="s">
        <v>31</v>
      </c>
      <c r="K329" s="6" t="s">
        <v>32</v>
      </c>
      <c r="L329" s="6" t="s">
        <v>1755</v>
      </c>
      <c r="M329" s="6" t="s">
        <v>84</v>
      </c>
      <c r="N329" s="10">
        <v>6</v>
      </c>
      <c r="O329" s="11">
        <v>0</v>
      </c>
      <c r="P329" s="12">
        <v>16</v>
      </c>
      <c r="Q329" s="13">
        <v>20.461625999999999</v>
      </c>
      <c r="R329" s="13">
        <v>-98.068826000000001</v>
      </c>
      <c r="S329" s="14" t="s">
        <v>34</v>
      </c>
      <c r="T329" s="14" t="s">
        <v>35</v>
      </c>
      <c r="U329" s="14" t="s">
        <v>35</v>
      </c>
      <c r="V329" s="14" t="s">
        <v>35</v>
      </c>
      <c r="W329" s="14" t="s">
        <v>175</v>
      </c>
      <c r="X329" s="14" t="s">
        <v>36</v>
      </c>
      <c r="Y329" s="14"/>
      <c r="Z329" s="14"/>
      <c r="AA329" s="15"/>
      <c r="AB329" s="16">
        <v>0.70833333333333337</v>
      </c>
    </row>
    <row r="330" spans="1:28" x14ac:dyDescent="0.3">
      <c r="A330" s="6" t="s">
        <v>1013</v>
      </c>
      <c r="B330" s="7" t="s">
        <v>25</v>
      </c>
      <c r="C330" s="34" t="s">
        <v>305</v>
      </c>
      <c r="D330" s="33" t="s">
        <v>1775</v>
      </c>
      <c r="E330" s="6" t="s">
        <v>1014</v>
      </c>
      <c r="F330" s="6" t="s">
        <v>1015</v>
      </c>
      <c r="G330" s="6" t="s">
        <v>111</v>
      </c>
      <c r="H330" s="7">
        <v>1</v>
      </c>
      <c r="I330" s="6" t="s">
        <v>112</v>
      </c>
      <c r="J330" s="6" t="s">
        <v>31</v>
      </c>
      <c r="K330" s="6" t="s">
        <v>32</v>
      </c>
      <c r="L330" s="6" t="s">
        <v>1755</v>
      </c>
      <c r="M330" s="6" t="s">
        <v>33</v>
      </c>
      <c r="N330" s="10">
        <v>8</v>
      </c>
      <c r="O330" s="11">
        <v>2</v>
      </c>
      <c r="P330" s="12">
        <v>48</v>
      </c>
      <c r="Q330" s="8">
        <v>20.262789000000001</v>
      </c>
      <c r="R330" s="8">
        <v>-98.939826999999994</v>
      </c>
      <c r="S330" s="14" t="s">
        <v>34</v>
      </c>
      <c r="T330" s="14" t="s">
        <v>35</v>
      </c>
      <c r="U330" s="14" t="s">
        <v>35</v>
      </c>
      <c r="V330" s="14" t="s">
        <v>35</v>
      </c>
      <c r="W330" s="14" t="s">
        <v>175</v>
      </c>
      <c r="X330" s="14" t="s">
        <v>36</v>
      </c>
      <c r="Y330" s="14"/>
      <c r="Z330" s="14"/>
      <c r="AA330" s="15"/>
      <c r="AB330" s="16">
        <v>0.70833333333333337</v>
      </c>
    </row>
    <row r="331" spans="1:28" x14ac:dyDescent="0.3">
      <c r="A331" s="6" t="s">
        <v>1016</v>
      </c>
      <c r="B331" s="7" t="s">
        <v>25</v>
      </c>
      <c r="C331" s="34" t="s">
        <v>305</v>
      </c>
      <c r="D331" s="33" t="s">
        <v>1775</v>
      </c>
      <c r="E331" s="6" t="s">
        <v>1017</v>
      </c>
      <c r="F331" s="6" t="s">
        <v>1018</v>
      </c>
      <c r="G331" s="6" t="s">
        <v>111</v>
      </c>
      <c r="H331" s="7">
        <v>1</v>
      </c>
      <c r="I331" s="6" t="s">
        <v>112</v>
      </c>
      <c r="J331" s="6" t="s">
        <v>31</v>
      </c>
      <c r="K331" s="6" t="s">
        <v>32</v>
      </c>
      <c r="L331" s="6" t="s">
        <v>1755</v>
      </c>
      <c r="M331" s="6" t="s">
        <v>33</v>
      </c>
      <c r="N331" s="10">
        <v>12</v>
      </c>
      <c r="O331" s="11">
        <v>3</v>
      </c>
      <c r="P331" s="12">
        <v>58</v>
      </c>
      <c r="Q331" s="13">
        <v>21.104600000000001</v>
      </c>
      <c r="R331" s="13">
        <v>-98.423699999999997</v>
      </c>
      <c r="S331" s="14" t="s">
        <v>34</v>
      </c>
      <c r="T331" s="14" t="s">
        <v>35</v>
      </c>
      <c r="U331" s="14" t="s">
        <v>35</v>
      </c>
      <c r="V331" s="14" t="s">
        <v>35</v>
      </c>
      <c r="W331" s="14" t="s">
        <v>175</v>
      </c>
      <c r="X331" s="14" t="s">
        <v>36</v>
      </c>
      <c r="Y331" s="14"/>
      <c r="Z331" s="14"/>
      <c r="AA331" s="15"/>
      <c r="AB331" s="16">
        <v>0.70833333333333337</v>
      </c>
    </row>
    <row r="332" spans="1:28" x14ac:dyDescent="0.3">
      <c r="A332" s="6" t="s">
        <v>1019</v>
      </c>
      <c r="B332" s="7" t="s">
        <v>25</v>
      </c>
      <c r="C332" s="34" t="s">
        <v>305</v>
      </c>
      <c r="D332" s="33" t="s">
        <v>1775</v>
      </c>
      <c r="E332" s="6" t="s">
        <v>1020</v>
      </c>
      <c r="F332" s="6" t="s">
        <v>1021</v>
      </c>
      <c r="G332" s="6" t="s">
        <v>29</v>
      </c>
      <c r="H332" s="7">
        <v>1</v>
      </c>
      <c r="I332" s="6" t="s">
        <v>30</v>
      </c>
      <c r="J332" s="6" t="s">
        <v>31</v>
      </c>
      <c r="K332" s="6" t="s">
        <v>32</v>
      </c>
      <c r="L332" s="6" t="s">
        <v>1755</v>
      </c>
      <c r="M332" s="6" t="s">
        <v>33</v>
      </c>
      <c r="N332" s="10">
        <v>8</v>
      </c>
      <c r="O332" s="11">
        <v>2</v>
      </c>
      <c r="P332" s="12">
        <v>33</v>
      </c>
      <c r="Q332" s="13">
        <v>20.395194</v>
      </c>
      <c r="R332" s="13">
        <v>-98.203421000000006</v>
      </c>
      <c r="S332" s="14" t="s">
        <v>34</v>
      </c>
      <c r="T332" s="14" t="s">
        <v>35</v>
      </c>
      <c r="U332" s="14" t="s">
        <v>35</v>
      </c>
      <c r="V332" s="14" t="s">
        <v>35</v>
      </c>
      <c r="W332" s="14" t="s">
        <v>35</v>
      </c>
      <c r="X332" s="14" t="s">
        <v>36</v>
      </c>
      <c r="Y332" s="14" t="s">
        <v>74</v>
      </c>
      <c r="Z332" s="14" t="s">
        <v>74</v>
      </c>
      <c r="AA332" s="15"/>
      <c r="AB332" s="16">
        <v>0.75</v>
      </c>
    </row>
    <row r="333" spans="1:28" x14ac:dyDescent="0.3">
      <c r="A333" s="6" t="s">
        <v>1022</v>
      </c>
      <c r="B333" s="7" t="s">
        <v>25</v>
      </c>
      <c r="C333" s="34" t="s">
        <v>305</v>
      </c>
      <c r="D333" s="33" t="s">
        <v>1775</v>
      </c>
      <c r="E333" s="6" t="s">
        <v>315</v>
      </c>
      <c r="F333" s="6" t="s">
        <v>1023</v>
      </c>
      <c r="G333" s="6" t="s">
        <v>111</v>
      </c>
      <c r="H333" s="7">
        <v>1</v>
      </c>
      <c r="I333" s="6" t="s">
        <v>112</v>
      </c>
      <c r="J333" s="6" t="s">
        <v>31</v>
      </c>
      <c r="K333" s="6" t="s">
        <v>32</v>
      </c>
      <c r="L333" s="6" t="s">
        <v>1756</v>
      </c>
      <c r="M333" s="6" t="s">
        <v>33</v>
      </c>
      <c r="N333" s="10">
        <v>39</v>
      </c>
      <c r="O333" s="11">
        <v>10</v>
      </c>
      <c r="P333" s="12">
        <v>289</v>
      </c>
      <c r="Q333" s="8">
        <v>20.113759999999999</v>
      </c>
      <c r="R333" s="8">
        <v>-98.722854999999996</v>
      </c>
      <c r="S333" s="14" t="s">
        <v>34</v>
      </c>
      <c r="T333" s="14" t="s">
        <v>35</v>
      </c>
      <c r="U333" s="14" t="s">
        <v>35</v>
      </c>
      <c r="V333" s="14" t="s">
        <v>35</v>
      </c>
      <c r="W333" s="14" t="s">
        <v>35</v>
      </c>
      <c r="X333" s="14" t="s">
        <v>36</v>
      </c>
      <c r="Y333" s="14" t="s">
        <v>37</v>
      </c>
      <c r="Z333" s="14" t="s">
        <v>37</v>
      </c>
      <c r="AA333" s="15"/>
      <c r="AB333" s="16">
        <v>1</v>
      </c>
    </row>
    <row r="334" spans="1:28" x14ac:dyDescent="0.3">
      <c r="A334" s="6" t="s">
        <v>1024</v>
      </c>
      <c r="B334" s="7" t="s">
        <v>25</v>
      </c>
      <c r="C334" s="34" t="s">
        <v>305</v>
      </c>
      <c r="D334" s="33" t="s">
        <v>1775</v>
      </c>
      <c r="E334" s="6" t="s">
        <v>1025</v>
      </c>
      <c r="F334" s="6" t="s">
        <v>1026</v>
      </c>
      <c r="G334" s="6" t="s">
        <v>169</v>
      </c>
      <c r="H334" s="7">
        <v>2</v>
      </c>
      <c r="I334" s="6" t="s">
        <v>170</v>
      </c>
      <c r="J334" s="6" t="s">
        <v>31</v>
      </c>
      <c r="K334" s="6" t="s">
        <v>32</v>
      </c>
      <c r="L334" s="6" t="s">
        <v>1755</v>
      </c>
      <c r="M334" s="6" t="s">
        <v>84</v>
      </c>
      <c r="N334" s="10">
        <v>15</v>
      </c>
      <c r="O334" s="11">
        <v>0</v>
      </c>
      <c r="P334" s="12">
        <v>20</v>
      </c>
      <c r="Q334" s="13">
        <v>19.901111</v>
      </c>
      <c r="R334" s="13">
        <v>-98.909166999999997</v>
      </c>
      <c r="S334" s="14" t="s">
        <v>34</v>
      </c>
      <c r="T334" s="14" t="s">
        <v>35</v>
      </c>
      <c r="U334" s="14" t="s">
        <v>35</v>
      </c>
      <c r="V334" s="14" t="s">
        <v>35</v>
      </c>
      <c r="W334" s="14" t="s">
        <v>175</v>
      </c>
      <c r="X334" s="14" t="s">
        <v>36</v>
      </c>
      <c r="Y334" s="14"/>
      <c r="Z334" s="14"/>
      <c r="AA334" s="15"/>
      <c r="AB334" s="16">
        <v>0.70833333333333337</v>
      </c>
    </row>
    <row r="335" spans="1:28" x14ac:dyDescent="0.3">
      <c r="A335" s="6" t="s">
        <v>1027</v>
      </c>
      <c r="B335" s="7" t="s">
        <v>25</v>
      </c>
      <c r="C335" s="34" t="s">
        <v>305</v>
      </c>
      <c r="D335" s="33" t="s">
        <v>1775</v>
      </c>
      <c r="E335" s="6" t="s">
        <v>1028</v>
      </c>
      <c r="F335" s="6" t="s">
        <v>1029</v>
      </c>
      <c r="G335" s="6" t="s">
        <v>29</v>
      </c>
      <c r="H335" s="7">
        <v>1</v>
      </c>
      <c r="I335" s="6" t="s">
        <v>30</v>
      </c>
      <c r="J335" s="6" t="s">
        <v>31</v>
      </c>
      <c r="K335" s="6" t="s">
        <v>32</v>
      </c>
      <c r="L335" s="6" t="s">
        <v>1755</v>
      </c>
      <c r="M335" s="6" t="s">
        <v>84</v>
      </c>
      <c r="N335" s="10">
        <v>11</v>
      </c>
      <c r="O335" s="11">
        <v>2</v>
      </c>
      <c r="P335" s="12">
        <v>46</v>
      </c>
      <c r="Q335" s="13">
        <v>20.189067999999999</v>
      </c>
      <c r="R335" s="13">
        <v>-99.224940000000004</v>
      </c>
      <c r="S335" s="14" t="s">
        <v>34</v>
      </c>
      <c r="T335" s="14" t="s">
        <v>35</v>
      </c>
      <c r="U335" s="14" t="s">
        <v>35</v>
      </c>
      <c r="V335" s="14" t="s">
        <v>35</v>
      </c>
      <c r="W335" s="14" t="s">
        <v>175</v>
      </c>
      <c r="X335" s="14" t="s">
        <v>36</v>
      </c>
      <c r="Y335" s="14"/>
      <c r="Z335" s="14"/>
      <c r="AA335" s="15"/>
      <c r="AB335" s="16">
        <v>0.70833333333333337</v>
      </c>
    </row>
    <row r="336" spans="1:28" x14ac:dyDescent="0.3">
      <c r="A336" s="6" t="s">
        <v>1030</v>
      </c>
      <c r="B336" s="7" t="s">
        <v>25</v>
      </c>
      <c r="C336" s="34" t="s">
        <v>305</v>
      </c>
      <c r="D336" s="33" t="s">
        <v>1775</v>
      </c>
      <c r="E336" s="6" t="s">
        <v>1031</v>
      </c>
      <c r="F336" s="6" t="s">
        <v>1032</v>
      </c>
      <c r="G336" s="6" t="s">
        <v>111</v>
      </c>
      <c r="H336" s="7">
        <v>1</v>
      </c>
      <c r="I336" s="6" t="s">
        <v>112</v>
      </c>
      <c r="J336" s="6" t="s">
        <v>31</v>
      </c>
      <c r="K336" s="6" t="s">
        <v>32</v>
      </c>
      <c r="L336" s="6" t="s">
        <v>1755</v>
      </c>
      <c r="M336" s="6" t="s">
        <v>33</v>
      </c>
      <c r="N336" s="10">
        <v>6</v>
      </c>
      <c r="O336" s="11">
        <v>3</v>
      </c>
      <c r="P336" s="12">
        <v>42</v>
      </c>
      <c r="Q336" s="13">
        <v>20.375712799999999</v>
      </c>
      <c r="R336" s="13">
        <v>-99.654173999999998</v>
      </c>
      <c r="S336" s="14" t="s">
        <v>34</v>
      </c>
      <c r="T336" s="14" t="s">
        <v>35</v>
      </c>
      <c r="U336" s="14" t="s">
        <v>35</v>
      </c>
      <c r="V336" s="14" t="s">
        <v>35</v>
      </c>
      <c r="W336" s="14" t="s">
        <v>175</v>
      </c>
      <c r="X336" s="14" t="s">
        <v>36</v>
      </c>
      <c r="Y336" s="14"/>
      <c r="Z336" s="14"/>
      <c r="AA336" s="15"/>
      <c r="AB336" s="16">
        <v>0.70833333333333337</v>
      </c>
    </row>
    <row r="337" spans="1:28" x14ac:dyDescent="0.3">
      <c r="A337" s="6" t="s">
        <v>1033</v>
      </c>
      <c r="B337" s="7" t="s">
        <v>25</v>
      </c>
      <c r="C337" s="34" t="s">
        <v>327</v>
      </c>
      <c r="D337" s="33" t="s">
        <v>1775</v>
      </c>
      <c r="E337" s="6" t="s">
        <v>1034</v>
      </c>
      <c r="F337" s="6" t="s">
        <v>1035</v>
      </c>
      <c r="G337" s="6" t="s">
        <v>111</v>
      </c>
      <c r="H337" s="7">
        <v>1</v>
      </c>
      <c r="I337" s="6" t="s">
        <v>155</v>
      </c>
      <c r="J337" s="6" t="s">
        <v>31</v>
      </c>
      <c r="K337" s="6" t="s">
        <v>32</v>
      </c>
      <c r="L337" s="6" t="s">
        <v>1755</v>
      </c>
      <c r="M337" s="6" t="s">
        <v>33</v>
      </c>
      <c r="N337" s="10">
        <v>23</v>
      </c>
      <c r="O337" s="11">
        <v>2</v>
      </c>
      <c r="P337" s="12">
        <v>188</v>
      </c>
      <c r="Q337" s="13">
        <v>19.611498000000001</v>
      </c>
      <c r="R337" s="13">
        <v>-98.941027500000004</v>
      </c>
      <c r="S337" s="14" t="s">
        <v>190</v>
      </c>
      <c r="T337" s="14"/>
      <c r="U337" s="14"/>
      <c r="V337" s="14"/>
      <c r="W337" s="14"/>
      <c r="X337" s="14"/>
      <c r="Y337" s="14"/>
      <c r="Z337" s="14"/>
      <c r="AA337" s="15"/>
      <c r="AB337" s="16">
        <v>8.3333333333333329E-2</v>
      </c>
    </row>
    <row r="338" spans="1:28" x14ac:dyDescent="0.3">
      <c r="A338" s="6" t="s">
        <v>1036</v>
      </c>
      <c r="B338" s="7" t="s">
        <v>25</v>
      </c>
      <c r="C338" s="34" t="s">
        <v>327</v>
      </c>
      <c r="D338" s="33" t="s">
        <v>1775</v>
      </c>
      <c r="E338" s="6" t="s">
        <v>1037</v>
      </c>
      <c r="F338" s="6" t="s">
        <v>1038</v>
      </c>
      <c r="G338" s="6" t="s">
        <v>111</v>
      </c>
      <c r="H338" s="7">
        <v>1</v>
      </c>
      <c r="I338" s="6" t="s">
        <v>112</v>
      </c>
      <c r="J338" s="6" t="s">
        <v>31</v>
      </c>
      <c r="K338" s="6" t="s">
        <v>32</v>
      </c>
      <c r="L338" s="6" t="s">
        <v>1755</v>
      </c>
      <c r="M338" s="6" t="s">
        <v>33</v>
      </c>
      <c r="N338" s="10">
        <v>31</v>
      </c>
      <c r="O338" s="11">
        <v>6</v>
      </c>
      <c r="P338" s="12">
        <v>185</v>
      </c>
      <c r="Q338" s="13">
        <v>19.546222</v>
      </c>
      <c r="R338" s="13">
        <v>-99.237508000000005</v>
      </c>
      <c r="S338" s="14" t="s">
        <v>190</v>
      </c>
      <c r="T338" s="14"/>
      <c r="U338" s="14"/>
      <c r="V338" s="14"/>
      <c r="W338" s="14"/>
      <c r="X338" s="14"/>
      <c r="Y338" s="14"/>
      <c r="Z338" s="14"/>
      <c r="AA338" s="15"/>
      <c r="AB338" s="16">
        <v>8.3333333333333329E-2</v>
      </c>
    </row>
    <row r="339" spans="1:28" x14ac:dyDescent="0.3">
      <c r="A339" s="6" t="s">
        <v>1039</v>
      </c>
      <c r="B339" s="7" t="s">
        <v>25</v>
      </c>
      <c r="C339" s="34" t="s">
        <v>327</v>
      </c>
      <c r="D339" s="33" t="s">
        <v>1775</v>
      </c>
      <c r="E339" s="6" t="s">
        <v>1040</v>
      </c>
      <c r="F339" s="6" t="s">
        <v>1041</v>
      </c>
      <c r="G339" s="6" t="s">
        <v>111</v>
      </c>
      <c r="H339" s="7">
        <v>1</v>
      </c>
      <c r="I339" s="6" t="s">
        <v>112</v>
      </c>
      <c r="J339" s="6" t="s">
        <v>31</v>
      </c>
      <c r="K339" s="6" t="s">
        <v>32</v>
      </c>
      <c r="L339" s="6" t="s">
        <v>1755</v>
      </c>
      <c r="M339" s="6" t="s">
        <v>33</v>
      </c>
      <c r="N339" s="10">
        <v>20</v>
      </c>
      <c r="O339" s="11">
        <v>7</v>
      </c>
      <c r="P339" s="12">
        <v>229</v>
      </c>
      <c r="Q339" s="13">
        <v>19.664501000000001</v>
      </c>
      <c r="R339" s="13">
        <v>-99.178701000000004</v>
      </c>
      <c r="S339" s="14" t="s">
        <v>190</v>
      </c>
      <c r="T339" s="14"/>
      <c r="U339" s="14"/>
      <c r="V339" s="14"/>
      <c r="W339" s="14"/>
      <c r="X339" s="14"/>
      <c r="Y339" s="14"/>
      <c r="Z339" s="14"/>
      <c r="AA339" s="15"/>
      <c r="AB339" s="16">
        <v>8.3333333333333329E-2</v>
      </c>
    </row>
    <row r="340" spans="1:28" x14ac:dyDescent="0.3">
      <c r="A340" s="6" t="s">
        <v>1042</v>
      </c>
      <c r="B340" s="7" t="s">
        <v>25</v>
      </c>
      <c r="C340" s="34" t="s">
        <v>327</v>
      </c>
      <c r="D340" s="33" t="s">
        <v>1775</v>
      </c>
      <c r="E340" s="6" t="s">
        <v>1043</v>
      </c>
      <c r="F340" s="6" t="s">
        <v>1044</v>
      </c>
      <c r="G340" s="6" t="s">
        <v>111</v>
      </c>
      <c r="H340" s="7">
        <v>1</v>
      </c>
      <c r="I340" s="6" t="s">
        <v>112</v>
      </c>
      <c r="J340" s="6" t="s">
        <v>31</v>
      </c>
      <c r="K340" s="6" t="s">
        <v>32</v>
      </c>
      <c r="L340" s="6" t="s">
        <v>1755</v>
      </c>
      <c r="M340" s="6" t="s">
        <v>33</v>
      </c>
      <c r="N340" s="10">
        <v>13</v>
      </c>
      <c r="O340" s="11">
        <v>4</v>
      </c>
      <c r="P340" s="12">
        <v>80</v>
      </c>
      <c r="Q340" s="13">
        <v>19.268018699999999</v>
      </c>
      <c r="R340" s="13">
        <v>-98.893699100000006</v>
      </c>
      <c r="S340" s="14" t="s">
        <v>190</v>
      </c>
      <c r="T340" s="14"/>
      <c r="U340" s="14"/>
      <c r="V340" s="14"/>
      <c r="W340" s="14"/>
      <c r="X340" s="14"/>
      <c r="Y340" s="14"/>
      <c r="Z340" s="14"/>
      <c r="AA340" s="15"/>
      <c r="AB340" s="16">
        <v>8.3333333333333329E-2</v>
      </c>
    </row>
    <row r="341" spans="1:28" x14ac:dyDescent="0.3">
      <c r="A341" s="6" t="s">
        <v>1045</v>
      </c>
      <c r="B341" s="7" t="s">
        <v>25</v>
      </c>
      <c r="C341" s="34" t="s">
        <v>327</v>
      </c>
      <c r="D341" s="33" t="s">
        <v>1775</v>
      </c>
      <c r="E341" s="6" t="s">
        <v>1046</v>
      </c>
      <c r="F341" s="6" t="s">
        <v>1047</v>
      </c>
      <c r="G341" s="6" t="s">
        <v>111</v>
      </c>
      <c r="H341" s="7">
        <v>1</v>
      </c>
      <c r="I341" s="6" t="s">
        <v>112</v>
      </c>
      <c r="J341" s="6" t="s">
        <v>31</v>
      </c>
      <c r="K341" s="6" t="s">
        <v>32</v>
      </c>
      <c r="L341" s="6" t="s">
        <v>1755</v>
      </c>
      <c r="M341" s="6" t="s">
        <v>33</v>
      </c>
      <c r="N341" s="10">
        <v>20</v>
      </c>
      <c r="O341" s="11">
        <v>7</v>
      </c>
      <c r="P341" s="12">
        <v>125</v>
      </c>
      <c r="Q341" s="13">
        <v>19.419660100000002</v>
      </c>
      <c r="R341" s="13">
        <v>-98.975180100000003</v>
      </c>
      <c r="S341" s="14" t="s">
        <v>190</v>
      </c>
      <c r="T341" s="14"/>
      <c r="U341" s="14"/>
      <c r="V341" s="14"/>
      <c r="W341" s="14"/>
      <c r="X341" s="14"/>
      <c r="Y341" s="14"/>
      <c r="Z341" s="14"/>
      <c r="AA341" s="15"/>
      <c r="AB341" s="16">
        <v>8.3333333333333329E-2</v>
      </c>
    </row>
    <row r="342" spans="1:28" x14ac:dyDescent="0.3">
      <c r="A342" s="6" t="s">
        <v>1048</v>
      </c>
      <c r="B342" s="7" t="s">
        <v>25</v>
      </c>
      <c r="C342" s="34" t="s">
        <v>327</v>
      </c>
      <c r="D342" s="33" t="s">
        <v>1775</v>
      </c>
      <c r="E342" s="6" t="s">
        <v>1049</v>
      </c>
      <c r="F342" s="6" t="s">
        <v>1050</v>
      </c>
      <c r="G342" s="6" t="s">
        <v>111</v>
      </c>
      <c r="H342" s="7">
        <v>1</v>
      </c>
      <c r="I342" s="6" t="s">
        <v>112</v>
      </c>
      <c r="J342" s="6" t="s">
        <v>31</v>
      </c>
      <c r="K342" s="6" t="s">
        <v>32</v>
      </c>
      <c r="L342" s="6" t="s">
        <v>1756</v>
      </c>
      <c r="M342" s="6" t="s">
        <v>33</v>
      </c>
      <c r="N342" s="10">
        <v>14</v>
      </c>
      <c r="O342" s="11">
        <v>6</v>
      </c>
      <c r="P342" s="12">
        <v>194</v>
      </c>
      <c r="Q342" s="13">
        <v>19.514533100000001</v>
      </c>
      <c r="R342" s="13">
        <v>-99.038108300000005</v>
      </c>
      <c r="S342" s="14" t="s">
        <v>190</v>
      </c>
      <c r="T342" s="14"/>
      <c r="U342" s="14"/>
      <c r="V342" s="14"/>
      <c r="W342" s="14"/>
      <c r="X342" s="14"/>
      <c r="Y342" s="14"/>
      <c r="Z342" s="14"/>
      <c r="AA342" s="15"/>
      <c r="AB342" s="16">
        <v>8.3333333333333329E-2</v>
      </c>
    </row>
    <row r="343" spans="1:28" x14ac:dyDescent="0.3">
      <c r="A343" s="6" t="s">
        <v>1051</v>
      </c>
      <c r="B343" s="7" t="s">
        <v>25</v>
      </c>
      <c r="C343" s="34" t="s">
        <v>327</v>
      </c>
      <c r="D343" s="33" t="s">
        <v>1775</v>
      </c>
      <c r="E343" s="6" t="s">
        <v>400</v>
      </c>
      <c r="F343" s="6" t="s">
        <v>1052</v>
      </c>
      <c r="G343" s="6" t="s">
        <v>111</v>
      </c>
      <c r="H343" s="7">
        <v>1</v>
      </c>
      <c r="I343" s="6" t="s">
        <v>112</v>
      </c>
      <c r="J343" s="6" t="s">
        <v>31</v>
      </c>
      <c r="K343" s="6" t="s">
        <v>32</v>
      </c>
      <c r="L343" s="6" t="s">
        <v>1755</v>
      </c>
      <c r="M343" s="6" t="s">
        <v>84</v>
      </c>
      <c r="N343" s="10">
        <v>19</v>
      </c>
      <c r="O343" s="11">
        <v>3</v>
      </c>
      <c r="P343" s="12">
        <v>79</v>
      </c>
      <c r="Q343" s="13">
        <v>19.319448000000001</v>
      </c>
      <c r="R343" s="13">
        <v>-98.852671000000001</v>
      </c>
      <c r="S343" s="14" t="s">
        <v>190</v>
      </c>
      <c r="T343" s="14"/>
      <c r="U343" s="14"/>
      <c r="V343" s="14"/>
      <c r="W343" s="14"/>
      <c r="X343" s="14"/>
      <c r="Y343" s="14"/>
      <c r="Z343" s="14"/>
      <c r="AA343" s="15"/>
      <c r="AB343" s="16">
        <v>8.3333333333333329E-2</v>
      </c>
    </row>
    <row r="344" spans="1:28" x14ac:dyDescent="0.3">
      <c r="A344" s="6" t="s">
        <v>1053</v>
      </c>
      <c r="B344" s="7" t="s">
        <v>25</v>
      </c>
      <c r="C344" s="34" t="s">
        <v>327</v>
      </c>
      <c r="D344" s="33" t="s">
        <v>1775</v>
      </c>
      <c r="E344" s="6" t="s">
        <v>1054</v>
      </c>
      <c r="F344" s="6" t="s">
        <v>1055</v>
      </c>
      <c r="G344" s="6" t="s">
        <v>111</v>
      </c>
      <c r="H344" s="7">
        <v>1</v>
      </c>
      <c r="I344" s="6" t="s">
        <v>112</v>
      </c>
      <c r="J344" s="6" t="s">
        <v>31</v>
      </c>
      <c r="K344" s="6" t="s">
        <v>32</v>
      </c>
      <c r="L344" s="6" t="s">
        <v>1755</v>
      </c>
      <c r="M344" s="6" t="s">
        <v>33</v>
      </c>
      <c r="N344" s="10">
        <v>11</v>
      </c>
      <c r="O344" s="11">
        <v>3</v>
      </c>
      <c r="P344" s="12">
        <v>50</v>
      </c>
      <c r="Q344" s="13">
        <v>19.569960999999999</v>
      </c>
      <c r="R344" s="13">
        <v>-99.755819000000002</v>
      </c>
      <c r="S344" s="14" t="s">
        <v>190</v>
      </c>
      <c r="T344" s="14"/>
      <c r="U344" s="14"/>
      <c r="V344" s="14"/>
      <c r="W344" s="14"/>
      <c r="X344" s="14"/>
      <c r="Y344" s="14"/>
      <c r="Z344" s="14"/>
      <c r="AA344" s="15"/>
      <c r="AB344" s="16">
        <v>8.3333333333333329E-2</v>
      </c>
    </row>
    <row r="345" spans="1:28" x14ac:dyDescent="0.3">
      <c r="A345" s="6" t="s">
        <v>1056</v>
      </c>
      <c r="B345" s="7" t="s">
        <v>25</v>
      </c>
      <c r="C345" s="34" t="s">
        <v>327</v>
      </c>
      <c r="D345" s="33" t="s">
        <v>1775</v>
      </c>
      <c r="E345" s="6" t="s">
        <v>1057</v>
      </c>
      <c r="F345" s="6" t="s">
        <v>1058</v>
      </c>
      <c r="G345" s="6" t="s">
        <v>111</v>
      </c>
      <c r="H345" s="7">
        <v>1</v>
      </c>
      <c r="I345" s="6" t="s">
        <v>112</v>
      </c>
      <c r="J345" s="6" t="s">
        <v>31</v>
      </c>
      <c r="K345" s="6" t="s">
        <v>32</v>
      </c>
      <c r="L345" s="6" t="s">
        <v>1755</v>
      </c>
      <c r="M345" s="6" t="s">
        <v>33</v>
      </c>
      <c r="N345" s="10">
        <v>18</v>
      </c>
      <c r="O345" s="11">
        <v>6</v>
      </c>
      <c r="P345" s="12">
        <v>196</v>
      </c>
      <c r="Q345" s="13">
        <v>19.468121</v>
      </c>
      <c r="R345" s="13">
        <v>-99.234601999999995</v>
      </c>
      <c r="S345" s="14" t="s">
        <v>190</v>
      </c>
      <c r="T345" s="14"/>
      <c r="U345" s="14"/>
      <c r="V345" s="14"/>
      <c r="W345" s="14"/>
      <c r="X345" s="14"/>
      <c r="Y345" s="14"/>
      <c r="Z345" s="14"/>
      <c r="AA345" s="15"/>
      <c r="AB345" s="16">
        <v>8.3333333333333329E-2</v>
      </c>
    </row>
    <row r="346" spans="1:28" x14ac:dyDescent="0.3">
      <c r="A346" s="6" t="s">
        <v>1059</v>
      </c>
      <c r="B346" s="7" t="s">
        <v>25</v>
      </c>
      <c r="C346" s="34" t="s">
        <v>327</v>
      </c>
      <c r="D346" s="33" t="s">
        <v>1775</v>
      </c>
      <c r="E346" s="6" t="s">
        <v>1060</v>
      </c>
      <c r="F346" s="6" t="s">
        <v>1061</v>
      </c>
      <c r="G346" s="6" t="s">
        <v>111</v>
      </c>
      <c r="H346" s="7">
        <v>1</v>
      </c>
      <c r="I346" s="6" t="s">
        <v>112</v>
      </c>
      <c r="J346" s="6" t="s">
        <v>31</v>
      </c>
      <c r="K346" s="6" t="s">
        <v>32</v>
      </c>
      <c r="L346" s="6" t="s">
        <v>1755</v>
      </c>
      <c r="M346" s="6" t="s">
        <v>33</v>
      </c>
      <c r="N346" s="10">
        <v>20</v>
      </c>
      <c r="O346" s="11">
        <v>4</v>
      </c>
      <c r="P346" s="12">
        <v>184</v>
      </c>
      <c r="Q346" s="13">
        <v>19.422298000000001</v>
      </c>
      <c r="R346" s="13">
        <v>-99.014920099999998</v>
      </c>
      <c r="S346" s="14" t="s">
        <v>190</v>
      </c>
      <c r="T346" s="14"/>
      <c r="U346" s="14"/>
      <c r="V346" s="14"/>
      <c r="W346" s="14"/>
      <c r="X346" s="14"/>
      <c r="Y346" s="14"/>
      <c r="Z346" s="14"/>
      <c r="AA346" s="15"/>
      <c r="AB346" s="16">
        <v>8.3333333333333329E-2</v>
      </c>
    </row>
    <row r="347" spans="1:28" x14ac:dyDescent="0.3">
      <c r="A347" s="6" t="s">
        <v>1062</v>
      </c>
      <c r="B347" s="7" t="s">
        <v>25</v>
      </c>
      <c r="C347" s="34" t="s">
        <v>327</v>
      </c>
      <c r="D347" s="33" t="s">
        <v>1775</v>
      </c>
      <c r="E347" s="6" t="s">
        <v>1063</v>
      </c>
      <c r="F347" s="6" t="s">
        <v>1064</v>
      </c>
      <c r="G347" s="6" t="s">
        <v>111</v>
      </c>
      <c r="H347" s="7">
        <v>1</v>
      </c>
      <c r="I347" s="6" t="s">
        <v>112</v>
      </c>
      <c r="J347" s="6" t="s">
        <v>31</v>
      </c>
      <c r="K347" s="6" t="s">
        <v>32</v>
      </c>
      <c r="L347" s="6" t="s">
        <v>1755</v>
      </c>
      <c r="M347" s="6" t="s">
        <v>33</v>
      </c>
      <c r="N347" s="10">
        <v>12</v>
      </c>
      <c r="O347" s="11">
        <v>2</v>
      </c>
      <c r="P347" s="12">
        <v>81</v>
      </c>
      <c r="Q347" s="13">
        <v>19.717727</v>
      </c>
      <c r="R347" s="13">
        <v>-99.953699999999998</v>
      </c>
      <c r="S347" s="14" t="s">
        <v>190</v>
      </c>
      <c r="T347" s="14"/>
      <c r="U347" s="14"/>
      <c r="V347" s="14"/>
      <c r="W347" s="14"/>
      <c r="X347" s="14"/>
      <c r="Y347" s="14"/>
      <c r="Z347" s="14"/>
      <c r="AA347" s="15"/>
      <c r="AB347" s="16">
        <v>8.3333333333333329E-2</v>
      </c>
    </row>
    <row r="348" spans="1:28" x14ac:dyDescent="0.3">
      <c r="A348" s="6" t="s">
        <v>1065</v>
      </c>
      <c r="B348" s="7" t="s">
        <v>25</v>
      </c>
      <c r="C348" s="34" t="s">
        <v>327</v>
      </c>
      <c r="D348" s="33" t="s">
        <v>1775</v>
      </c>
      <c r="E348" s="6" t="s">
        <v>1066</v>
      </c>
      <c r="F348" s="6" t="s">
        <v>1067</v>
      </c>
      <c r="G348" s="6" t="s">
        <v>111</v>
      </c>
      <c r="H348" s="7">
        <v>1</v>
      </c>
      <c r="I348" s="6" t="s">
        <v>112</v>
      </c>
      <c r="J348" s="6" t="s">
        <v>31</v>
      </c>
      <c r="K348" s="6" t="s">
        <v>32</v>
      </c>
      <c r="L348" s="6" t="s">
        <v>1755</v>
      </c>
      <c r="M348" s="6" t="s">
        <v>33</v>
      </c>
      <c r="N348" s="10">
        <v>8</v>
      </c>
      <c r="O348" s="11">
        <v>0</v>
      </c>
      <c r="P348" s="12">
        <v>82</v>
      </c>
      <c r="Q348" s="13">
        <v>18.903510000000001</v>
      </c>
      <c r="R348" s="13">
        <v>-100.15848</v>
      </c>
      <c r="S348" s="14" t="s">
        <v>190</v>
      </c>
      <c r="T348" s="14"/>
      <c r="U348" s="14"/>
      <c r="V348" s="14"/>
      <c r="W348" s="14"/>
      <c r="X348" s="14"/>
      <c r="Y348" s="14"/>
      <c r="Z348" s="14"/>
      <c r="AA348" s="15"/>
      <c r="AB348" s="16">
        <v>8.3333333333333329E-2</v>
      </c>
    </row>
    <row r="349" spans="1:28" x14ac:dyDescent="0.3">
      <c r="A349" s="6" t="s">
        <v>1068</v>
      </c>
      <c r="B349" s="7" t="s">
        <v>25</v>
      </c>
      <c r="C349" s="34" t="s">
        <v>327</v>
      </c>
      <c r="D349" s="33" t="s">
        <v>1775</v>
      </c>
      <c r="E349" s="6" t="s">
        <v>1069</v>
      </c>
      <c r="F349" s="6" t="s">
        <v>1070</v>
      </c>
      <c r="G349" s="6" t="s">
        <v>111</v>
      </c>
      <c r="H349" s="7">
        <v>1</v>
      </c>
      <c r="I349" s="6" t="s">
        <v>112</v>
      </c>
      <c r="J349" s="6" t="s">
        <v>31</v>
      </c>
      <c r="K349" s="6" t="s">
        <v>32</v>
      </c>
      <c r="L349" s="6" t="s">
        <v>1755</v>
      </c>
      <c r="M349" s="6" t="s">
        <v>33</v>
      </c>
      <c r="N349" s="10">
        <v>11</v>
      </c>
      <c r="O349" s="11">
        <v>3</v>
      </c>
      <c r="P349" s="12">
        <v>91</v>
      </c>
      <c r="Q349" s="13">
        <v>18.961404999999999</v>
      </c>
      <c r="R349" s="13">
        <v>-99.585693000000006</v>
      </c>
      <c r="S349" s="14" t="s">
        <v>190</v>
      </c>
      <c r="T349" s="14"/>
      <c r="U349" s="14"/>
      <c r="V349" s="14"/>
      <c r="W349" s="14"/>
      <c r="X349" s="14"/>
      <c r="Y349" s="14"/>
      <c r="Z349" s="14"/>
      <c r="AA349" s="15"/>
      <c r="AB349" s="16">
        <v>8.3333333333333329E-2</v>
      </c>
    </row>
    <row r="350" spans="1:28" x14ac:dyDescent="0.3">
      <c r="A350" s="6" t="s">
        <v>1071</v>
      </c>
      <c r="B350" s="7" t="s">
        <v>25</v>
      </c>
      <c r="C350" s="34" t="s">
        <v>327</v>
      </c>
      <c r="D350" s="33" t="s">
        <v>1775</v>
      </c>
      <c r="E350" s="6" t="s">
        <v>1072</v>
      </c>
      <c r="F350" s="6" t="s">
        <v>1073</v>
      </c>
      <c r="G350" s="6" t="s">
        <v>111</v>
      </c>
      <c r="H350" s="7">
        <v>1</v>
      </c>
      <c r="I350" s="6" t="s">
        <v>112</v>
      </c>
      <c r="J350" s="6" t="s">
        <v>31</v>
      </c>
      <c r="K350" s="6" t="s">
        <v>32</v>
      </c>
      <c r="L350" s="6" t="s">
        <v>1756</v>
      </c>
      <c r="M350" s="6" t="s">
        <v>33</v>
      </c>
      <c r="N350" s="10">
        <v>21</v>
      </c>
      <c r="O350" s="11">
        <v>6</v>
      </c>
      <c r="P350" s="12">
        <v>210</v>
      </c>
      <c r="Q350" s="13">
        <v>19.316095000000001</v>
      </c>
      <c r="R350" s="13">
        <v>-99.636674999999997</v>
      </c>
      <c r="S350" s="14" t="s">
        <v>190</v>
      </c>
      <c r="T350" s="14"/>
      <c r="U350" s="14"/>
      <c r="V350" s="14"/>
      <c r="W350" s="14"/>
      <c r="X350" s="14"/>
      <c r="Y350" s="14"/>
      <c r="Z350" s="14"/>
      <c r="AA350" s="15"/>
      <c r="AB350" s="16">
        <v>8.3333333333333329E-2</v>
      </c>
    </row>
    <row r="351" spans="1:28" x14ac:dyDescent="0.3">
      <c r="A351" s="6" t="s">
        <v>1074</v>
      </c>
      <c r="B351" s="7" t="s">
        <v>25</v>
      </c>
      <c r="C351" s="34" t="s">
        <v>327</v>
      </c>
      <c r="D351" s="33" t="s">
        <v>1775</v>
      </c>
      <c r="E351" s="6" t="s">
        <v>1075</v>
      </c>
      <c r="F351" s="6" t="s">
        <v>1076</v>
      </c>
      <c r="G351" s="6" t="s">
        <v>111</v>
      </c>
      <c r="H351" s="7">
        <v>1</v>
      </c>
      <c r="I351" s="6" t="s">
        <v>112</v>
      </c>
      <c r="J351" s="6" t="s">
        <v>31</v>
      </c>
      <c r="K351" s="6" t="s">
        <v>32</v>
      </c>
      <c r="L351" s="6" t="s">
        <v>1755</v>
      </c>
      <c r="M351" s="6" t="s">
        <v>33</v>
      </c>
      <c r="N351" s="10">
        <v>11</v>
      </c>
      <c r="O351" s="11">
        <v>2</v>
      </c>
      <c r="P351" s="12">
        <v>66</v>
      </c>
      <c r="Q351" s="13">
        <v>19.203205000000001</v>
      </c>
      <c r="R351" s="13">
        <v>-100.13526</v>
      </c>
      <c r="S351" s="14" t="s">
        <v>190</v>
      </c>
      <c r="T351" s="14"/>
      <c r="U351" s="14"/>
      <c r="V351" s="14"/>
      <c r="W351" s="14"/>
      <c r="X351" s="14"/>
      <c r="Y351" s="14"/>
      <c r="Z351" s="14"/>
      <c r="AA351" s="15"/>
      <c r="AB351" s="16">
        <v>8.3333333333333329E-2</v>
      </c>
    </row>
    <row r="352" spans="1:28" x14ac:dyDescent="0.3">
      <c r="A352" s="6" t="s">
        <v>1077</v>
      </c>
      <c r="B352" s="7" t="s">
        <v>25</v>
      </c>
      <c r="C352" s="34" t="s">
        <v>327</v>
      </c>
      <c r="D352" s="33" t="s">
        <v>1775</v>
      </c>
      <c r="E352" s="6" t="s">
        <v>1078</v>
      </c>
      <c r="F352" s="6" t="s">
        <v>1079</v>
      </c>
      <c r="G352" s="6" t="s">
        <v>111</v>
      </c>
      <c r="H352" s="7">
        <v>1</v>
      </c>
      <c r="I352" s="6" t="s">
        <v>112</v>
      </c>
      <c r="J352" s="6" t="s">
        <v>31</v>
      </c>
      <c r="K352" s="6" t="s">
        <v>32</v>
      </c>
      <c r="L352" s="6" t="s">
        <v>1755</v>
      </c>
      <c r="M352" s="6" t="s">
        <v>33</v>
      </c>
      <c r="N352" s="10">
        <v>13</v>
      </c>
      <c r="O352" s="11">
        <v>4</v>
      </c>
      <c r="P352" s="12">
        <v>106</v>
      </c>
      <c r="Q352" s="13">
        <v>19.273453</v>
      </c>
      <c r="R352" s="13">
        <v>-98.941742000000005</v>
      </c>
      <c r="S352" s="14" t="s">
        <v>190</v>
      </c>
      <c r="T352" s="14"/>
      <c r="U352" s="14"/>
      <c r="V352" s="14"/>
      <c r="W352" s="14"/>
      <c r="X352" s="14"/>
      <c r="Y352" s="14"/>
      <c r="Z352" s="14"/>
      <c r="AA352" s="15"/>
      <c r="AB352" s="16">
        <v>8.3333333333333329E-2</v>
      </c>
    </row>
    <row r="353" spans="1:28" x14ac:dyDescent="0.3">
      <c r="A353" s="6" t="s">
        <v>1080</v>
      </c>
      <c r="B353" s="7" t="s">
        <v>25</v>
      </c>
      <c r="C353" s="34" t="s">
        <v>327</v>
      </c>
      <c r="D353" s="33" t="s">
        <v>1775</v>
      </c>
      <c r="E353" s="6" t="s">
        <v>1081</v>
      </c>
      <c r="F353" s="6" t="s">
        <v>1082</v>
      </c>
      <c r="G353" s="6" t="s">
        <v>111</v>
      </c>
      <c r="H353" s="7">
        <v>1</v>
      </c>
      <c r="I353" s="6" t="s">
        <v>112</v>
      </c>
      <c r="J353" s="6" t="s">
        <v>31</v>
      </c>
      <c r="K353" s="6" t="s">
        <v>32</v>
      </c>
      <c r="L353" s="6" t="s">
        <v>1755</v>
      </c>
      <c r="M353" s="6" t="s">
        <v>33</v>
      </c>
      <c r="N353" s="10">
        <v>9</v>
      </c>
      <c r="O353" s="11">
        <v>3</v>
      </c>
      <c r="P353" s="12">
        <v>47</v>
      </c>
      <c r="Q353" s="13">
        <v>19.954758999999999</v>
      </c>
      <c r="R353" s="13">
        <v>-99.547045999999995</v>
      </c>
      <c r="S353" s="14" t="s">
        <v>190</v>
      </c>
      <c r="T353" s="14"/>
      <c r="U353" s="14"/>
      <c r="V353" s="14"/>
      <c r="W353" s="14"/>
      <c r="X353" s="14"/>
      <c r="Y353" s="14"/>
      <c r="Z353" s="14"/>
      <c r="AA353" s="15"/>
      <c r="AB353" s="16">
        <v>8.3333333333333329E-2</v>
      </c>
    </row>
    <row r="354" spans="1:28" x14ac:dyDescent="0.3">
      <c r="A354" s="6" t="s">
        <v>1083</v>
      </c>
      <c r="B354" s="7" t="s">
        <v>25</v>
      </c>
      <c r="C354" s="34" t="s">
        <v>327</v>
      </c>
      <c r="D354" s="33" t="s">
        <v>1775</v>
      </c>
      <c r="E354" s="6" t="s">
        <v>1084</v>
      </c>
      <c r="F354" s="6" t="s">
        <v>1085</v>
      </c>
      <c r="G354" s="6" t="s">
        <v>111</v>
      </c>
      <c r="H354" s="7">
        <v>1</v>
      </c>
      <c r="I354" s="6" t="s">
        <v>112</v>
      </c>
      <c r="J354" s="6" t="s">
        <v>31</v>
      </c>
      <c r="K354" s="6" t="s">
        <v>32</v>
      </c>
      <c r="L354" s="6" t="s">
        <v>1755</v>
      </c>
      <c r="M354" s="6" t="s">
        <v>33</v>
      </c>
      <c r="N354" s="10">
        <v>10</v>
      </c>
      <c r="O354" s="11">
        <v>3</v>
      </c>
      <c r="P354" s="12">
        <v>99</v>
      </c>
      <c r="Q354" s="13">
        <v>19.789366000000001</v>
      </c>
      <c r="R354" s="13">
        <v>-99.882701999999995</v>
      </c>
      <c r="S354" s="14" t="s">
        <v>190</v>
      </c>
      <c r="T354" s="14"/>
      <c r="U354" s="14"/>
      <c r="V354" s="14"/>
      <c r="W354" s="14"/>
      <c r="X354" s="14"/>
      <c r="Y354" s="14"/>
      <c r="Z354" s="14"/>
      <c r="AA354" s="15"/>
      <c r="AB354" s="16">
        <v>8.3333333333333329E-2</v>
      </c>
    </row>
    <row r="355" spans="1:28" x14ac:dyDescent="0.3">
      <c r="A355" s="6" t="s">
        <v>1086</v>
      </c>
      <c r="B355" s="7" t="s">
        <v>25</v>
      </c>
      <c r="C355" s="34" t="s">
        <v>327</v>
      </c>
      <c r="D355" s="33" t="s">
        <v>1775</v>
      </c>
      <c r="E355" s="6" t="s">
        <v>1072</v>
      </c>
      <c r="F355" s="6" t="s">
        <v>1087</v>
      </c>
      <c r="G355" s="6" t="s">
        <v>111</v>
      </c>
      <c r="H355" s="7">
        <v>1</v>
      </c>
      <c r="I355" s="6" t="s">
        <v>155</v>
      </c>
      <c r="J355" s="6" t="s">
        <v>31</v>
      </c>
      <c r="K355" s="6" t="s">
        <v>32</v>
      </c>
      <c r="L355" s="6" t="s">
        <v>1756</v>
      </c>
      <c r="M355" s="6" t="s">
        <v>33</v>
      </c>
      <c r="N355" s="10">
        <v>46</v>
      </c>
      <c r="O355" s="11">
        <v>7</v>
      </c>
      <c r="P355" s="12">
        <v>256</v>
      </c>
      <c r="Q355" s="13">
        <v>19.319683999999999</v>
      </c>
      <c r="R355" s="13">
        <v>-99.633145999999996</v>
      </c>
      <c r="S355" s="14" t="s">
        <v>190</v>
      </c>
      <c r="T355" s="14"/>
      <c r="U355" s="14"/>
      <c r="V355" s="14"/>
      <c r="W355" s="14"/>
      <c r="X355" s="14"/>
      <c r="Y355" s="14"/>
      <c r="Z355" s="14"/>
      <c r="AA355" s="15"/>
      <c r="AB355" s="16">
        <v>8.3333333333333329E-2</v>
      </c>
    </row>
    <row r="356" spans="1:28" x14ac:dyDescent="0.3">
      <c r="A356" s="6" t="s">
        <v>1088</v>
      </c>
      <c r="B356" s="7" t="s">
        <v>25</v>
      </c>
      <c r="C356" s="34" t="s">
        <v>327</v>
      </c>
      <c r="D356" s="33" t="s">
        <v>1775</v>
      </c>
      <c r="E356" s="6" t="s">
        <v>1089</v>
      </c>
      <c r="F356" s="6" t="s">
        <v>1090</v>
      </c>
      <c r="G356" s="6" t="s">
        <v>111</v>
      </c>
      <c r="H356" s="7">
        <v>1</v>
      </c>
      <c r="I356" s="6" t="s">
        <v>112</v>
      </c>
      <c r="J356" s="6" t="s">
        <v>31</v>
      </c>
      <c r="K356" s="6" t="s">
        <v>32</v>
      </c>
      <c r="L356" s="6" t="s">
        <v>1755</v>
      </c>
      <c r="M356" s="6" t="s">
        <v>84</v>
      </c>
      <c r="N356" s="10">
        <v>7</v>
      </c>
      <c r="O356" s="11">
        <v>3</v>
      </c>
      <c r="P356" s="12">
        <v>48</v>
      </c>
      <c r="Q356" s="13">
        <v>18.81888</v>
      </c>
      <c r="R356" s="13">
        <v>-99.668328000000002</v>
      </c>
      <c r="S356" s="14" t="s">
        <v>190</v>
      </c>
      <c r="T356" s="14"/>
      <c r="U356" s="14"/>
      <c r="V356" s="14"/>
      <c r="W356" s="14"/>
      <c r="X356" s="14"/>
      <c r="Y356" s="14"/>
      <c r="Z356" s="14"/>
      <c r="AA356" s="15"/>
      <c r="AB356" s="16">
        <v>8.3333333333333329E-2</v>
      </c>
    </row>
    <row r="357" spans="1:28" x14ac:dyDescent="0.3">
      <c r="A357" s="6" t="s">
        <v>1091</v>
      </c>
      <c r="B357" s="7" t="s">
        <v>25</v>
      </c>
      <c r="C357" s="34" t="s">
        <v>327</v>
      </c>
      <c r="D357" s="33" t="s">
        <v>1775</v>
      </c>
      <c r="E357" s="6" t="s">
        <v>1049</v>
      </c>
      <c r="F357" s="6" t="s">
        <v>1092</v>
      </c>
      <c r="G357" s="6" t="s">
        <v>111</v>
      </c>
      <c r="H357" s="7">
        <v>1</v>
      </c>
      <c r="I357" s="6" t="s">
        <v>112</v>
      </c>
      <c r="J357" s="6" t="s">
        <v>31</v>
      </c>
      <c r="K357" s="6" t="s">
        <v>32</v>
      </c>
      <c r="L357" s="6" t="s">
        <v>1756</v>
      </c>
      <c r="M357" s="6" t="s">
        <v>33</v>
      </c>
      <c r="N357" s="10">
        <v>18</v>
      </c>
      <c r="O357" s="11">
        <v>7</v>
      </c>
      <c r="P357" s="12">
        <v>201</v>
      </c>
      <c r="Q357" s="13">
        <v>19.5936922</v>
      </c>
      <c r="R357" s="13">
        <v>-99.018878299999997</v>
      </c>
      <c r="S357" s="14" t="s">
        <v>190</v>
      </c>
      <c r="T357" s="14"/>
      <c r="U357" s="14"/>
      <c r="V357" s="14"/>
      <c r="W357" s="14"/>
      <c r="X357" s="14"/>
      <c r="Y357" s="14"/>
      <c r="Z357" s="14"/>
      <c r="AA357" s="15"/>
      <c r="AB357" s="16">
        <v>8.3333333333333329E-2</v>
      </c>
    </row>
    <row r="358" spans="1:28" x14ac:dyDescent="0.3">
      <c r="A358" s="6" t="s">
        <v>1093</v>
      </c>
      <c r="B358" s="7" t="s">
        <v>25</v>
      </c>
      <c r="C358" s="34" t="s">
        <v>327</v>
      </c>
      <c r="D358" s="33" t="s">
        <v>1775</v>
      </c>
      <c r="E358" s="6" t="s">
        <v>1060</v>
      </c>
      <c r="F358" s="6" t="s">
        <v>1094</v>
      </c>
      <c r="G358" s="6" t="s">
        <v>111</v>
      </c>
      <c r="H358" s="7">
        <v>1</v>
      </c>
      <c r="I358" s="6" t="s">
        <v>112</v>
      </c>
      <c r="J358" s="6" t="s">
        <v>31</v>
      </c>
      <c r="K358" s="6" t="s">
        <v>32</v>
      </c>
      <c r="L358" s="6" t="s">
        <v>1756</v>
      </c>
      <c r="M358" s="6" t="s">
        <v>33</v>
      </c>
      <c r="N358" s="10">
        <v>36</v>
      </c>
      <c r="O358" s="11">
        <v>9</v>
      </c>
      <c r="P358" s="12">
        <v>214</v>
      </c>
      <c r="Q358" s="13">
        <v>19.387644000000002</v>
      </c>
      <c r="R358" s="13">
        <v>-98.989264000000006</v>
      </c>
      <c r="S358" s="14" t="s">
        <v>190</v>
      </c>
      <c r="T358" s="14"/>
      <c r="U358" s="14"/>
      <c r="V358" s="14"/>
      <c r="W358" s="14"/>
      <c r="X358" s="14"/>
      <c r="Y358" s="14"/>
      <c r="Z358" s="14"/>
      <c r="AA358" s="15"/>
      <c r="AB358" s="16">
        <v>8.3333333333333329E-2</v>
      </c>
    </row>
    <row r="359" spans="1:28" x14ac:dyDescent="0.3">
      <c r="A359" s="6" t="s">
        <v>1095</v>
      </c>
      <c r="B359" s="7" t="s">
        <v>25</v>
      </c>
      <c r="C359" s="34" t="s">
        <v>327</v>
      </c>
      <c r="D359" s="33" t="s">
        <v>1775</v>
      </c>
      <c r="E359" s="6" t="s">
        <v>1096</v>
      </c>
      <c r="F359" s="6" t="s">
        <v>1097</v>
      </c>
      <c r="G359" s="6" t="s">
        <v>111</v>
      </c>
      <c r="H359" s="7">
        <v>1</v>
      </c>
      <c r="I359" s="6" t="s">
        <v>112</v>
      </c>
      <c r="J359" s="6" t="s">
        <v>31</v>
      </c>
      <c r="K359" s="6" t="s">
        <v>32</v>
      </c>
      <c r="L359" s="6" t="s">
        <v>1755</v>
      </c>
      <c r="M359" s="6" t="s">
        <v>33</v>
      </c>
      <c r="N359" s="10">
        <v>11</v>
      </c>
      <c r="O359" s="11">
        <v>3</v>
      </c>
      <c r="P359" s="12">
        <v>53</v>
      </c>
      <c r="Q359" s="13">
        <v>19.676850099999999</v>
      </c>
      <c r="R359" s="13">
        <v>-99.092760100000007</v>
      </c>
      <c r="S359" s="14" t="s">
        <v>190</v>
      </c>
      <c r="T359" s="14"/>
      <c r="U359" s="14"/>
      <c r="V359" s="14"/>
      <c r="W359" s="14"/>
      <c r="X359" s="14"/>
      <c r="Y359" s="14"/>
      <c r="Z359" s="14"/>
      <c r="AA359" s="15"/>
      <c r="AB359" s="16">
        <v>8.3333333333333329E-2</v>
      </c>
    </row>
    <row r="360" spans="1:28" x14ac:dyDescent="0.3">
      <c r="A360" s="6" t="s">
        <v>1098</v>
      </c>
      <c r="B360" s="7" t="s">
        <v>25</v>
      </c>
      <c r="C360" s="34" t="s">
        <v>327</v>
      </c>
      <c r="D360" s="33" t="s">
        <v>1775</v>
      </c>
      <c r="E360" s="6" t="s">
        <v>1046</v>
      </c>
      <c r="F360" s="6" t="s">
        <v>1099</v>
      </c>
      <c r="G360" s="6" t="s">
        <v>111</v>
      </c>
      <c r="H360" s="7">
        <v>1</v>
      </c>
      <c r="I360" s="6" t="s">
        <v>112</v>
      </c>
      <c r="J360" s="6" t="s">
        <v>31</v>
      </c>
      <c r="K360" s="6" t="s">
        <v>32</v>
      </c>
      <c r="L360" s="6" t="s">
        <v>1755</v>
      </c>
      <c r="M360" s="6" t="s">
        <v>33</v>
      </c>
      <c r="N360" s="10">
        <v>7</v>
      </c>
      <c r="O360" s="11">
        <v>3</v>
      </c>
      <c r="P360" s="12">
        <v>66</v>
      </c>
      <c r="Q360" s="13">
        <v>19.3870401</v>
      </c>
      <c r="R360" s="13">
        <v>-98.960401000000005</v>
      </c>
      <c r="S360" s="14" t="s">
        <v>190</v>
      </c>
      <c r="T360" s="14"/>
      <c r="U360" s="14"/>
      <c r="V360" s="14"/>
      <c r="W360" s="14"/>
      <c r="X360" s="14"/>
      <c r="Y360" s="14"/>
      <c r="Z360" s="14"/>
      <c r="AA360" s="15"/>
      <c r="AB360" s="16">
        <v>8.3333333333333329E-2</v>
      </c>
    </row>
    <row r="361" spans="1:28" x14ac:dyDescent="0.3">
      <c r="A361" s="6" t="s">
        <v>1100</v>
      </c>
      <c r="B361" s="7" t="s">
        <v>25</v>
      </c>
      <c r="C361" s="34" t="s">
        <v>327</v>
      </c>
      <c r="D361" s="33" t="s">
        <v>1775</v>
      </c>
      <c r="E361" s="6" t="s">
        <v>1101</v>
      </c>
      <c r="F361" s="6" t="s">
        <v>1102</v>
      </c>
      <c r="G361" s="6" t="s">
        <v>111</v>
      </c>
      <c r="H361" s="7">
        <v>1</v>
      </c>
      <c r="I361" s="6" t="s">
        <v>112</v>
      </c>
      <c r="J361" s="6" t="s">
        <v>31</v>
      </c>
      <c r="K361" s="6" t="s">
        <v>32</v>
      </c>
      <c r="L361" s="6" t="s">
        <v>1755</v>
      </c>
      <c r="M361" s="6" t="s">
        <v>33</v>
      </c>
      <c r="N361" s="10">
        <v>10</v>
      </c>
      <c r="O361" s="11">
        <v>2</v>
      </c>
      <c r="P361" s="12">
        <v>94</v>
      </c>
      <c r="Q361" s="13">
        <v>19.733024</v>
      </c>
      <c r="R361" s="13">
        <v>-98.769851000000003</v>
      </c>
      <c r="S361" s="14" t="s">
        <v>190</v>
      </c>
      <c r="T361" s="14"/>
      <c r="U361" s="14"/>
      <c r="V361" s="14"/>
      <c r="W361" s="14"/>
      <c r="X361" s="14"/>
      <c r="Y361" s="14"/>
      <c r="Z361" s="14"/>
      <c r="AA361" s="15"/>
      <c r="AB361" s="16">
        <v>8.3333333333333329E-2</v>
      </c>
    </row>
    <row r="362" spans="1:28" x14ac:dyDescent="0.3">
      <c r="A362" s="6" t="s">
        <v>1103</v>
      </c>
      <c r="B362" s="7" t="s">
        <v>25</v>
      </c>
      <c r="C362" s="34" t="s">
        <v>327</v>
      </c>
      <c r="D362" s="33" t="s">
        <v>1775</v>
      </c>
      <c r="E362" s="6" t="s">
        <v>1057</v>
      </c>
      <c r="F362" s="6" t="s">
        <v>1104</v>
      </c>
      <c r="G362" s="6" t="s">
        <v>111</v>
      </c>
      <c r="H362" s="7">
        <v>1</v>
      </c>
      <c r="I362" s="6" t="s">
        <v>155</v>
      </c>
      <c r="J362" s="6" t="s">
        <v>31</v>
      </c>
      <c r="K362" s="6" t="s">
        <v>32</v>
      </c>
      <c r="L362" s="6" t="s">
        <v>1755</v>
      </c>
      <c r="M362" s="6" t="s">
        <v>33</v>
      </c>
      <c r="N362" s="10">
        <v>17</v>
      </c>
      <c r="O362" s="11">
        <v>4</v>
      </c>
      <c r="P362" s="12">
        <v>21</v>
      </c>
      <c r="Q362" s="13">
        <v>19.470444000000001</v>
      </c>
      <c r="R362" s="13">
        <v>-99.239058999999997</v>
      </c>
      <c r="S362" s="14" t="s">
        <v>190</v>
      </c>
      <c r="T362" s="14"/>
      <c r="U362" s="14"/>
      <c r="V362" s="14"/>
      <c r="W362" s="14"/>
      <c r="X362" s="14"/>
      <c r="Y362" s="14"/>
      <c r="Z362" s="14"/>
      <c r="AA362" s="15"/>
      <c r="AB362" s="16">
        <v>8.3333333333333329E-2</v>
      </c>
    </row>
    <row r="363" spans="1:28" x14ac:dyDescent="0.3">
      <c r="A363" s="6" t="s">
        <v>1105</v>
      </c>
      <c r="B363" s="7" t="s">
        <v>25</v>
      </c>
      <c r="C363" s="34" t="s">
        <v>327</v>
      </c>
      <c r="D363" s="33" t="s">
        <v>1775</v>
      </c>
      <c r="E363" s="6" t="s">
        <v>1106</v>
      </c>
      <c r="F363" s="6" t="s">
        <v>1107</v>
      </c>
      <c r="G363" s="6" t="s">
        <v>111</v>
      </c>
      <c r="H363" s="7">
        <v>1</v>
      </c>
      <c r="I363" s="6" t="s">
        <v>112</v>
      </c>
      <c r="J363" s="6" t="s">
        <v>31</v>
      </c>
      <c r="K363" s="6" t="s">
        <v>32</v>
      </c>
      <c r="L363" s="6" t="s">
        <v>1755</v>
      </c>
      <c r="M363" s="6" t="s">
        <v>33</v>
      </c>
      <c r="N363" s="10">
        <v>12</v>
      </c>
      <c r="O363" s="11">
        <v>5</v>
      </c>
      <c r="P363" s="12">
        <v>126</v>
      </c>
      <c r="Q363" s="13">
        <v>19.514057000000001</v>
      </c>
      <c r="R363" s="13">
        <v>-98.871977000000001</v>
      </c>
      <c r="S363" s="14" t="s">
        <v>190</v>
      </c>
      <c r="T363" s="14"/>
      <c r="U363" s="14"/>
      <c r="V363" s="14"/>
      <c r="W363" s="14"/>
      <c r="X363" s="14"/>
      <c r="Y363" s="14"/>
      <c r="Z363" s="14"/>
      <c r="AA363" s="15"/>
      <c r="AB363" s="16">
        <v>8.3333333333333329E-2</v>
      </c>
    </row>
    <row r="364" spans="1:28" x14ac:dyDescent="0.3">
      <c r="A364" s="6" t="s">
        <v>1108</v>
      </c>
      <c r="B364" s="7" t="s">
        <v>25</v>
      </c>
      <c r="C364" s="34" t="s">
        <v>327</v>
      </c>
      <c r="D364" s="33" t="s">
        <v>1775</v>
      </c>
      <c r="E364" s="6" t="s">
        <v>1109</v>
      </c>
      <c r="F364" s="6" t="s">
        <v>1110</v>
      </c>
      <c r="G364" s="6" t="s">
        <v>111</v>
      </c>
      <c r="H364" s="7">
        <v>1</v>
      </c>
      <c r="I364" s="6" t="s">
        <v>112</v>
      </c>
      <c r="J364" s="6" t="s">
        <v>31</v>
      </c>
      <c r="K364" s="6" t="s">
        <v>32</v>
      </c>
      <c r="L364" s="6" t="s">
        <v>1755</v>
      </c>
      <c r="M364" s="6" t="s">
        <v>33</v>
      </c>
      <c r="N364" s="10">
        <v>11</v>
      </c>
      <c r="O364" s="11">
        <v>3</v>
      </c>
      <c r="P364" s="12">
        <v>51</v>
      </c>
      <c r="Q364" s="13">
        <v>19.919259</v>
      </c>
      <c r="R364" s="13">
        <v>-99.069467000000003</v>
      </c>
      <c r="S364" s="14" t="s">
        <v>190</v>
      </c>
      <c r="T364" s="14"/>
      <c r="U364" s="14"/>
      <c r="V364" s="14"/>
      <c r="W364" s="14"/>
      <c r="X364" s="14"/>
      <c r="Y364" s="14"/>
      <c r="Z364" s="14"/>
      <c r="AA364" s="15"/>
      <c r="AB364" s="16">
        <v>8.3333333333333329E-2</v>
      </c>
    </row>
    <row r="365" spans="1:28" x14ac:dyDescent="0.3">
      <c r="A365" s="6" t="s">
        <v>1111</v>
      </c>
      <c r="B365" s="7" t="s">
        <v>25</v>
      </c>
      <c r="C365" s="34" t="s">
        <v>327</v>
      </c>
      <c r="D365" s="33" t="s">
        <v>1775</v>
      </c>
      <c r="E365" s="6" t="s">
        <v>1112</v>
      </c>
      <c r="F365" s="6" t="s">
        <v>1113</v>
      </c>
      <c r="G365" s="6" t="s">
        <v>111</v>
      </c>
      <c r="H365" s="7">
        <v>1</v>
      </c>
      <c r="I365" s="6" t="s">
        <v>112</v>
      </c>
      <c r="J365" s="6" t="s">
        <v>31</v>
      </c>
      <c r="K365" s="6" t="s">
        <v>32</v>
      </c>
      <c r="L365" s="6" t="s">
        <v>1755</v>
      </c>
      <c r="M365" s="6" t="s">
        <v>33</v>
      </c>
      <c r="N365" s="10">
        <v>8</v>
      </c>
      <c r="O365" s="11">
        <v>4</v>
      </c>
      <c r="P365" s="12">
        <v>105</v>
      </c>
      <c r="Q365" s="13">
        <v>19.144895000000002</v>
      </c>
      <c r="R365" s="13">
        <v>-98.785050999999996</v>
      </c>
      <c r="S365" s="14" t="s">
        <v>190</v>
      </c>
      <c r="T365" s="14"/>
      <c r="U365" s="14"/>
      <c r="V365" s="14"/>
      <c r="W365" s="14"/>
      <c r="X365" s="14"/>
      <c r="Y365" s="14"/>
      <c r="Z365" s="14"/>
      <c r="AA365" s="15"/>
      <c r="AB365" s="16">
        <v>8.3333333333333329E-2</v>
      </c>
    </row>
    <row r="366" spans="1:28" x14ac:dyDescent="0.3">
      <c r="A366" s="19" t="s">
        <v>1114</v>
      </c>
      <c r="B366" s="7" t="s">
        <v>210</v>
      </c>
      <c r="C366" s="34" t="s">
        <v>149</v>
      </c>
      <c r="D366" s="33" t="s">
        <v>1775</v>
      </c>
      <c r="E366" s="6" t="s">
        <v>1115</v>
      </c>
      <c r="F366" s="6" t="s">
        <v>1116</v>
      </c>
      <c r="G366" s="6" t="s">
        <v>111</v>
      </c>
      <c r="H366" s="7">
        <v>1</v>
      </c>
      <c r="I366" s="6" t="s">
        <v>112</v>
      </c>
      <c r="J366" s="6" t="s">
        <v>31</v>
      </c>
      <c r="K366" s="6" t="s">
        <v>32</v>
      </c>
      <c r="L366" s="6" t="s">
        <v>1755</v>
      </c>
      <c r="M366" s="6" t="s">
        <v>33</v>
      </c>
      <c r="N366" s="10">
        <v>12</v>
      </c>
      <c r="O366" s="11">
        <v>6</v>
      </c>
      <c r="P366" s="12">
        <v>51</v>
      </c>
      <c r="Q366" s="20">
        <v>21.1340346</v>
      </c>
      <c r="R366" s="20">
        <v>-88.150637500000002</v>
      </c>
      <c r="S366" s="14" t="s">
        <v>34</v>
      </c>
      <c r="T366" s="14" t="s">
        <v>175</v>
      </c>
      <c r="U366" s="14" t="s">
        <v>213</v>
      </c>
      <c r="V366" s="14" t="s">
        <v>213</v>
      </c>
      <c r="W366" s="14"/>
      <c r="X366" s="14"/>
      <c r="Y366" s="14"/>
      <c r="Z366" s="14"/>
      <c r="AA366" s="15"/>
      <c r="AB366" s="16">
        <v>0.29166666666666663</v>
      </c>
    </row>
    <row r="367" spans="1:28" x14ac:dyDescent="0.3">
      <c r="A367" s="6" t="s">
        <v>1117</v>
      </c>
      <c r="B367" s="7" t="s">
        <v>25</v>
      </c>
      <c r="C367" s="34" t="s">
        <v>327</v>
      </c>
      <c r="D367" s="33" t="s">
        <v>1775</v>
      </c>
      <c r="E367" s="6" t="s">
        <v>1118</v>
      </c>
      <c r="F367" s="6" t="s">
        <v>1119</v>
      </c>
      <c r="G367" s="6" t="s">
        <v>111</v>
      </c>
      <c r="H367" s="7">
        <v>1</v>
      </c>
      <c r="I367" s="6" t="s">
        <v>112</v>
      </c>
      <c r="J367" s="6" t="s">
        <v>31</v>
      </c>
      <c r="K367" s="6" t="s">
        <v>32</v>
      </c>
      <c r="L367" s="6" t="s">
        <v>1755</v>
      </c>
      <c r="M367" s="6" t="s">
        <v>33</v>
      </c>
      <c r="N367" s="10">
        <v>20</v>
      </c>
      <c r="O367" s="11">
        <v>4</v>
      </c>
      <c r="P367" s="12">
        <v>95</v>
      </c>
      <c r="Q367" s="13">
        <v>19.543790000000001</v>
      </c>
      <c r="R367" s="13">
        <v>-98.913809999999998</v>
      </c>
      <c r="S367" s="14" t="s">
        <v>190</v>
      </c>
      <c r="T367" s="14"/>
      <c r="U367" s="14"/>
      <c r="V367" s="14"/>
      <c r="W367" s="14"/>
      <c r="X367" s="14"/>
      <c r="Y367" s="14"/>
      <c r="Z367" s="14"/>
      <c r="AA367" s="15"/>
      <c r="AB367" s="16">
        <v>8.3333333333333329E-2</v>
      </c>
    </row>
    <row r="368" spans="1:28" x14ac:dyDescent="0.3">
      <c r="A368" s="6" t="s">
        <v>1120</v>
      </c>
      <c r="B368" s="7" t="s">
        <v>25</v>
      </c>
      <c r="C368" s="34" t="s">
        <v>418</v>
      </c>
      <c r="D368" s="33" t="s">
        <v>1775</v>
      </c>
      <c r="E368" s="6" t="s">
        <v>1121</v>
      </c>
      <c r="F368" s="6" t="s">
        <v>1122</v>
      </c>
      <c r="G368" s="6" t="s">
        <v>111</v>
      </c>
      <c r="H368" s="7">
        <v>1</v>
      </c>
      <c r="I368" s="6" t="s">
        <v>112</v>
      </c>
      <c r="J368" s="6" t="s">
        <v>31</v>
      </c>
      <c r="K368" s="6" t="s">
        <v>32</v>
      </c>
      <c r="L368" s="6" t="s">
        <v>1755</v>
      </c>
      <c r="M368" s="6" t="s">
        <v>33</v>
      </c>
      <c r="N368" s="10">
        <v>12</v>
      </c>
      <c r="O368" s="11">
        <v>3</v>
      </c>
      <c r="P368" s="12">
        <v>43</v>
      </c>
      <c r="Q368" s="13">
        <v>19.677040000000002</v>
      </c>
      <c r="R368" s="13">
        <v>-101.95326</v>
      </c>
      <c r="S368" s="14" t="s">
        <v>190</v>
      </c>
      <c r="T368" s="14"/>
      <c r="U368" s="14"/>
      <c r="V368" s="14"/>
      <c r="W368" s="14"/>
      <c r="X368" s="14"/>
      <c r="Y368" s="14"/>
      <c r="Z368" s="14"/>
      <c r="AA368" s="15"/>
      <c r="AB368" s="16">
        <v>8.3333333333333329E-2</v>
      </c>
    </row>
    <row r="369" spans="1:28" x14ac:dyDescent="0.3">
      <c r="A369" s="6" t="s">
        <v>1123</v>
      </c>
      <c r="B369" s="7" t="s">
        <v>25</v>
      </c>
      <c r="C369" s="34" t="s">
        <v>418</v>
      </c>
      <c r="D369" s="33" t="s">
        <v>1775</v>
      </c>
      <c r="E369" s="6" t="s">
        <v>635</v>
      </c>
      <c r="F369" s="6" t="s">
        <v>1124</v>
      </c>
      <c r="G369" s="6" t="s">
        <v>111</v>
      </c>
      <c r="H369" s="7">
        <v>1</v>
      </c>
      <c r="I369" s="6" t="s">
        <v>112</v>
      </c>
      <c r="J369" s="6" t="s">
        <v>31</v>
      </c>
      <c r="K369" s="6" t="s">
        <v>32</v>
      </c>
      <c r="L369" s="6" t="s">
        <v>1755</v>
      </c>
      <c r="M369" s="6" t="s">
        <v>33</v>
      </c>
      <c r="N369" s="10">
        <v>15</v>
      </c>
      <c r="O369" s="11">
        <v>3</v>
      </c>
      <c r="P369" s="12">
        <v>82</v>
      </c>
      <c r="Q369" s="13">
        <v>17.96696</v>
      </c>
      <c r="R369" s="13">
        <v>-102.20205</v>
      </c>
      <c r="S369" s="14" t="s">
        <v>190</v>
      </c>
      <c r="T369" s="14"/>
      <c r="U369" s="14"/>
      <c r="V369" s="14"/>
      <c r="W369" s="14"/>
      <c r="X369" s="14"/>
      <c r="Y369" s="14"/>
      <c r="Z369" s="14"/>
      <c r="AA369" s="15"/>
      <c r="AB369" s="16">
        <v>8.3333333333333329E-2</v>
      </c>
    </row>
    <row r="370" spans="1:28" x14ac:dyDescent="0.3">
      <c r="A370" s="6" t="s">
        <v>1125</v>
      </c>
      <c r="B370" s="7" t="s">
        <v>25</v>
      </c>
      <c r="C370" s="34" t="s">
        <v>418</v>
      </c>
      <c r="D370" s="33" t="s">
        <v>1775</v>
      </c>
      <c r="E370" s="6" t="s">
        <v>1126</v>
      </c>
      <c r="F370" s="6" t="s">
        <v>1127</v>
      </c>
      <c r="G370" s="6" t="s">
        <v>111</v>
      </c>
      <c r="H370" s="7">
        <v>1</v>
      </c>
      <c r="I370" s="6" t="s">
        <v>155</v>
      </c>
      <c r="J370" s="6" t="s">
        <v>31</v>
      </c>
      <c r="K370" s="6" t="s">
        <v>32</v>
      </c>
      <c r="L370" s="6" t="s">
        <v>1755</v>
      </c>
      <c r="M370" s="6" t="s">
        <v>33</v>
      </c>
      <c r="N370" s="10">
        <v>18</v>
      </c>
      <c r="O370" s="11">
        <v>3</v>
      </c>
      <c r="P370" s="12">
        <v>26</v>
      </c>
      <c r="Q370" s="13">
        <v>19.6999058</v>
      </c>
      <c r="R370" s="13">
        <v>-101.1825135</v>
      </c>
      <c r="S370" s="14" t="s">
        <v>190</v>
      </c>
      <c r="T370" s="14"/>
      <c r="U370" s="14"/>
      <c r="V370" s="14"/>
      <c r="W370" s="14"/>
      <c r="X370" s="14"/>
      <c r="Y370" s="14"/>
      <c r="Z370" s="14"/>
      <c r="AA370" s="15"/>
      <c r="AB370" s="16">
        <v>8.3333333333333329E-2</v>
      </c>
    </row>
    <row r="371" spans="1:28" x14ac:dyDescent="0.3">
      <c r="A371" s="6" t="s">
        <v>1128</v>
      </c>
      <c r="B371" s="7" t="s">
        <v>25</v>
      </c>
      <c r="C371" s="34" t="s">
        <v>418</v>
      </c>
      <c r="D371" s="33" t="s">
        <v>1775</v>
      </c>
      <c r="E371" s="6" t="s">
        <v>1129</v>
      </c>
      <c r="F371" s="6" t="s">
        <v>1130</v>
      </c>
      <c r="G371" s="6" t="s">
        <v>111</v>
      </c>
      <c r="H371" s="7">
        <v>1</v>
      </c>
      <c r="I371" s="6" t="s">
        <v>112</v>
      </c>
      <c r="J371" s="6" t="s">
        <v>31</v>
      </c>
      <c r="K371" s="6" t="s">
        <v>32</v>
      </c>
      <c r="L371" s="6" t="s">
        <v>1755</v>
      </c>
      <c r="M371" s="6" t="s">
        <v>33</v>
      </c>
      <c r="N371" s="10">
        <v>16</v>
      </c>
      <c r="O371" s="11">
        <v>2</v>
      </c>
      <c r="P371" s="12">
        <v>47</v>
      </c>
      <c r="Q371" s="13">
        <v>20.039826999999999</v>
      </c>
      <c r="R371" s="13">
        <v>-102.718266</v>
      </c>
      <c r="S371" s="14" t="s">
        <v>190</v>
      </c>
      <c r="T371" s="14"/>
      <c r="U371" s="14"/>
      <c r="V371" s="14"/>
      <c r="W371" s="14"/>
      <c r="X371" s="14"/>
      <c r="Y371" s="14"/>
      <c r="Z371" s="14"/>
      <c r="AA371" s="15"/>
      <c r="AB371" s="16">
        <v>8.3333333333333329E-2</v>
      </c>
    </row>
    <row r="372" spans="1:28" x14ac:dyDescent="0.3">
      <c r="A372" s="6" t="s">
        <v>1131</v>
      </c>
      <c r="B372" s="7" t="s">
        <v>25</v>
      </c>
      <c r="C372" s="34" t="s">
        <v>418</v>
      </c>
      <c r="D372" s="33" t="s">
        <v>1775</v>
      </c>
      <c r="E372" s="6" t="s">
        <v>1132</v>
      </c>
      <c r="F372" s="6" t="s">
        <v>1133</v>
      </c>
      <c r="G372" s="6" t="s">
        <v>111</v>
      </c>
      <c r="H372" s="7">
        <v>1</v>
      </c>
      <c r="I372" s="6" t="s">
        <v>112</v>
      </c>
      <c r="J372" s="6" t="s">
        <v>31</v>
      </c>
      <c r="K372" s="6" t="s">
        <v>32</v>
      </c>
      <c r="L372" s="6" t="s">
        <v>1755</v>
      </c>
      <c r="M372" s="6" t="s">
        <v>33</v>
      </c>
      <c r="N372" s="10">
        <v>7</v>
      </c>
      <c r="O372" s="11">
        <v>2</v>
      </c>
      <c r="P372" s="12">
        <v>44</v>
      </c>
      <c r="Q372" s="13">
        <v>19.237169000000002</v>
      </c>
      <c r="R372" s="13">
        <v>-101.455314</v>
      </c>
      <c r="S372" s="14" t="s">
        <v>190</v>
      </c>
      <c r="T372" s="14"/>
      <c r="U372" s="14"/>
      <c r="V372" s="14"/>
      <c r="W372" s="14"/>
      <c r="X372" s="14"/>
      <c r="Y372" s="14"/>
      <c r="Z372" s="14"/>
      <c r="AA372" s="15"/>
      <c r="AB372" s="16">
        <v>8.3333333333333329E-2</v>
      </c>
    </row>
    <row r="373" spans="1:28" x14ac:dyDescent="0.3">
      <c r="A373" s="6" t="s">
        <v>1134</v>
      </c>
      <c r="B373" s="7" t="s">
        <v>25</v>
      </c>
      <c r="C373" s="34" t="s">
        <v>418</v>
      </c>
      <c r="D373" s="33" t="s">
        <v>1775</v>
      </c>
      <c r="E373" s="6" t="s">
        <v>1135</v>
      </c>
      <c r="F373" s="6" t="s">
        <v>1136</v>
      </c>
      <c r="G373" s="6" t="s">
        <v>111</v>
      </c>
      <c r="H373" s="7">
        <v>1</v>
      </c>
      <c r="I373" s="6" t="s">
        <v>112</v>
      </c>
      <c r="J373" s="6" t="s">
        <v>31</v>
      </c>
      <c r="K373" s="6" t="s">
        <v>32</v>
      </c>
      <c r="L373" s="6" t="s">
        <v>1755</v>
      </c>
      <c r="M373" s="6" t="s">
        <v>33</v>
      </c>
      <c r="N373" s="10">
        <v>20</v>
      </c>
      <c r="O373" s="11">
        <v>7</v>
      </c>
      <c r="P373" s="12">
        <v>138</v>
      </c>
      <c r="Q373" s="13">
        <v>19.390540999999999</v>
      </c>
      <c r="R373" s="13">
        <v>-102.024055</v>
      </c>
      <c r="S373" s="14" t="s">
        <v>190</v>
      </c>
      <c r="T373" s="14"/>
      <c r="U373" s="14"/>
      <c r="V373" s="14"/>
      <c r="W373" s="14"/>
      <c r="X373" s="14"/>
      <c r="Y373" s="14"/>
      <c r="Z373" s="14"/>
      <c r="AA373" s="15"/>
      <c r="AB373" s="16">
        <v>8.3333333333333329E-2</v>
      </c>
    </row>
    <row r="374" spans="1:28" x14ac:dyDescent="0.3">
      <c r="A374" s="6" t="s">
        <v>1137</v>
      </c>
      <c r="B374" s="7" t="s">
        <v>25</v>
      </c>
      <c r="C374" s="34" t="s">
        <v>418</v>
      </c>
      <c r="D374" s="33" t="s">
        <v>1775</v>
      </c>
      <c r="E374" s="6" t="s">
        <v>1138</v>
      </c>
      <c r="F374" s="6" t="s">
        <v>1139</v>
      </c>
      <c r="G374" s="6" t="s">
        <v>111</v>
      </c>
      <c r="H374" s="7">
        <v>1</v>
      </c>
      <c r="I374" s="6" t="s">
        <v>112</v>
      </c>
      <c r="J374" s="6" t="s">
        <v>31</v>
      </c>
      <c r="K374" s="6" t="s">
        <v>32</v>
      </c>
      <c r="L374" s="6" t="s">
        <v>1755</v>
      </c>
      <c r="M374" s="6" t="s">
        <v>33</v>
      </c>
      <c r="N374" s="10">
        <v>18</v>
      </c>
      <c r="O374" s="11">
        <v>5</v>
      </c>
      <c r="P374" s="12">
        <v>92</v>
      </c>
      <c r="Q374" s="13">
        <v>19.989744000000002</v>
      </c>
      <c r="R374" s="13">
        <v>-102.279183</v>
      </c>
      <c r="S374" s="14" t="s">
        <v>190</v>
      </c>
      <c r="T374" s="14"/>
      <c r="U374" s="14"/>
      <c r="V374" s="14"/>
      <c r="W374" s="14"/>
      <c r="X374" s="14"/>
      <c r="Y374" s="14"/>
      <c r="Z374" s="14"/>
      <c r="AA374" s="15"/>
      <c r="AB374" s="16">
        <v>8.3333333333333329E-2</v>
      </c>
    </row>
    <row r="375" spans="1:28" x14ac:dyDescent="0.3">
      <c r="A375" s="6" t="s">
        <v>1140</v>
      </c>
      <c r="B375" s="7" t="s">
        <v>25</v>
      </c>
      <c r="C375" s="34" t="s">
        <v>418</v>
      </c>
      <c r="D375" s="33" t="s">
        <v>1775</v>
      </c>
      <c r="E375" s="6" t="s">
        <v>1141</v>
      </c>
      <c r="F375" s="6" t="s">
        <v>1142</v>
      </c>
      <c r="G375" s="6" t="s">
        <v>111</v>
      </c>
      <c r="H375" s="7">
        <v>1</v>
      </c>
      <c r="I375" s="6" t="s">
        <v>112</v>
      </c>
      <c r="J375" s="6" t="s">
        <v>31</v>
      </c>
      <c r="K375" s="6" t="s">
        <v>32</v>
      </c>
      <c r="L375" s="6" t="s">
        <v>1755</v>
      </c>
      <c r="M375" s="6" t="s">
        <v>33</v>
      </c>
      <c r="N375" s="10">
        <v>24</v>
      </c>
      <c r="O375" s="11">
        <v>3</v>
      </c>
      <c r="P375" s="12">
        <v>101</v>
      </c>
      <c r="Q375" s="13">
        <v>19.432554</v>
      </c>
      <c r="R375" s="13">
        <v>-100.36944269999999</v>
      </c>
      <c r="S375" s="14" t="s">
        <v>190</v>
      </c>
      <c r="T375" s="14"/>
      <c r="U375" s="14"/>
      <c r="V375" s="14"/>
      <c r="W375" s="14"/>
      <c r="X375" s="14"/>
      <c r="Y375" s="14"/>
      <c r="Z375" s="14"/>
      <c r="AA375" s="15"/>
      <c r="AB375" s="16">
        <v>8.3333333333333329E-2</v>
      </c>
    </row>
    <row r="376" spans="1:28" x14ac:dyDescent="0.3">
      <c r="A376" s="6" t="s">
        <v>1143</v>
      </c>
      <c r="B376" s="7" t="s">
        <v>25</v>
      </c>
      <c r="C376" s="34" t="s">
        <v>418</v>
      </c>
      <c r="D376" s="33" t="s">
        <v>1775</v>
      </c>
      <c r="E376" s="6" t="s">
        <v>1144</v>
      </c>
      <c r="F376" s="6" t="s">
        <v>1145</v>
      </c>
      <c r="G376" s="6" t="s">
        <v>111</v>
      </c>
      <c r="H376" s="7">
        <v>1</v>
      </c>
      <c r="I376" s="6" t="s">
        <v>112</v>
      </c>
      <c r="J376" s="6" t="s">
        <v>31</v>
      </c>
      <c r="K376" s="6" t="s">
        <v>32</v>
      </c>
      <c r="L376" s="6" t="s">
        <v>1755</v>
      </c>
      <c r="M376" s="6" t="s">
        <v>33</v>
      </c>
      <c r="N376" s="10">
        <v>12</v>
      </c>
      <c r="O376" s="11">
        <v>3</v>
      </c>
      <c r="P376" s="12">
        <v>55</v>
      </c>
      <c r="Q376" s="13">
        <v>19.771175700000001</v>
      </c>
      <c r="R376" s="13">
        <v>-101.752934</v>
      </c>
      <c r="S376" s="14" t="s">
        <v>190</v>
      </c>
      <c r="T376" s="14"/>
      <c r="U376" s="14"/>
      <c r="V376" s="14"/>
      <c r="W376" s="14"/>
      <c r="X376" s="14"/>
      <c r="Y376" s="14"/>
      <c r="Z376" s="14"/>
      <c r="AA376" s="15"/>
      <c r="AB376" s="16">
        <v>8.3333333333333329E-2</v>
      </c>
    </row>
    <row r="377" spans="1:28" x14ac:dyDescent="0.3">
      <c r="A377" s="6" t="s">
        <v>1146</v>
      </c>
      <c r="B377" s="7" t="s">
        <v>25</v>
      </c>
      <c r="C377" s="34" t="s">
        <v>418</v>
      </c>
      <c r="D377" s="33" t="s">
        <v>1775</v>
      </c>
      <c r="E377" s="6" t="s">
        <v>1147</v>
      </c>
      <c r="F377" s="6" t="s">
        <v>1148</v>
      </c>
      <c r="G377" s="6" t="s">
        <v>111</v>
      </c>
      <c r="H377" s="7">
        <v>1</v>
      </c>
      <c r="I377" s="6" t="s">
        <v>112</v>
      </c>
      <c r="J377" s="6" t="s">
        <v>31</v>
      </c>
      <c r="K377" s="6" t="s">
        <v>32</v>
      </c>
      <c r="L377" s="6" t="s">
        <v>1755</v>
      </c>
      <c r="M377" s="6" t="s">
        <v>84</v>
      </c>
      <c r="N377" s="10">
        <v>15</v>
      </c>
      <c r="O377" s="11">
        <v>3</v>
      </c>
      <c r="P377" s="12">
        <v>52</v>
      </c>
      <c r="Q377" s="13">
        <v>19.530024999999998</v>
      </c>
      <c r="R377" s="13">
        <v>-101.577988</v>
      </c>
      <c r="S377" s="14" t="s">
        <v>190</v>
      </c>
      <c r="T377" s="14"/>
      <c r="U377" s="14"/>
      <c r="V377" s="14"/>
      <c r="W377" s="14"/>
      <c r="X377" s="14"/>
      <c r="Y377" s="14"/>
      <c r="Z377" s="14"/>
      <c r="AA377" s="15"/>
      <c r="AB377" s="16">
        <v>8.3333333333333329E-2</v>
      </c>
    </row>
    <row r="378" spans="1:28" x14ac:dyDescent="0.3">
      <c r="A378" s="6" t="s">
        <v>1149</v>
      </c>
      <c r="B378" s="7" t="s">
        <v>25</v>
      </c>
      <c r="C378" s="34" t="s">
        <v>418</v>
      </c>
      <c r="D378" s="33" t="s">
        <v>1775</v>
      </c>
      <c r="E378" s="6" t="s">
        <v>1126</v>
      </c>
      <c r="F378" s="6" t="s">
        <v>1150</v>
      </c>
      <c r="G378" s="6" t="s">
        <v>111</v>
      </c>
      <c r="H378" s="7">
        <v>1</v>
      </c>
      <c r="I378" s="6" t="s">
        <v>155</v>
      </c>
      <c r="J378" s="6" t="s">
        <v>31</v>
      </c>
      <c r="K378" s="6" t="s">
        <v>32</v>
      </c>
      <c r="L378" s="6" t="s">
        <v>1756</v>
      </c>
      <c r="M378" s="6" t="s">
        <v>84</v>
      </c>
      <c r="N378" s="10">
        <v>52</v>
      </c>
      <c r="O378" s="11">
        <v>16</v>
      </c>
      <c r="P378" s="12">
        <v>386</v>
      </c>
      <c r="Q378" s="13">
        <v>19.731490999999998</v>
      </c>
      <c r="R378" s="13">
        <v>-101.105271</v>
      </c>
      <c r="S378" s="14" t="s">
        <v>190</v>
      </c>
      <c r="T378" s="14"/>
      <c r="U378" s="14"/>
      <c r="V378" s="14"/>
      <c r="W378" s="14"/>
      <c r="X378" s="14"/>
      <c r="Y378" s="14"/>
      <c r="Z378" s="14"/>
      <c r="AA378" s="15"/>
      <c r="AB378" s="16">
        <v>8.3333333333333329E-2</v>
      </c>
    </row>
    <row r="379" spans="1:28" x14ac:dyDescent="0.3">
      <c r="A379" s="6" t="s">
        <v>1151</v>
      </c>
      <c r="B379" s="7" t="s">
        <v>25</v>
      </c>
      <c r="C379" s="34" t="s">
        <v>418</v>
      </c>
      <c r="D379" s="33" t="s">
        <v>1775</v>
      </c>
      <c r="E379" s="6" t="s">
        <v>1152</v>
      </c>
      <c r="F379" s="6" t="s">
        <v>1153</v>
      </c>
      <c r="G379" s="6" t="s">
        <v>111</v>
      </c>
      <c r="H379" s="7">
        <v>1</v>
      </c>
      <c r="I379" s="6" t="s">
        <v>112</v>
      </c>
      <c r="J379" s="6" t="s">
        <v>31</v>
      </c>
      <c r="K379" s="6" t="s">
        <v>32</v>
      </c>
      <c r="L379" s="6" t="s">
        <v>1755</v>
      </c>
      <c r="M379" s="6" t="s">
        <v>33</v>
      </c>
      <c r="N379" s="10">
        <v>15</v>
      </c>
      <c r="O379" s="11">
        <v>3</v>
      </c>
      <c r="P379" s="12">
        <v>52</v>
      </c>
      <c r="Q379" s="13">
        <v>19.908397999999998</v>
      </c>
      <c r="R379" s="13">
        <v>-100.4513</v>
      </c>
      <c r="S379" s="14" t="s">
        <v>190</v>
      </c>
      <c r="T379" s="14"/>
      <c r="U379" s="14"/>
      <c r="V379" s="14"/>
      <c r="W379" s="14"/>
      <c r="X379" s="14"/>
      <c r="Y379" s="14"/>
      <c r="Z379" s="14"/>
      <c r="AA379" s="15"/>
      <c r="AB379" s="16">
        <v>8.3333333333333329E-2</v>
      </c>
    </row>
    <row r="380" spans="1:28" x14ac:dyDescent="0.3">
      <c r="A380" s="6" t="s">
        <v>1154</v>
      </c>
      <c r="B380" s="7" t="s">
        <v>25</v>
      </c>
      <c r="C380" s="34" t="s">
        <v>418</v>
      </c>
      <c r="D380" s="33" t="s">
        <v>1775</v>
      </c>
      <c r="E380" s="6" t="s">
        <v>1155</v>
      </c>
      <c r="F380" s="6" t="s">
        <v>1156</v>
      </c>
      <c r="G380" s="6" t="s">
        <v>111</v>
      </c>
      <c r="H380" s="7">
        <v>1</v>
      </c>
      <c r="I380" s="6" t="s">
        <v>112</v>
      </c>
      <c r="J380" s="6" t="s">
        <v>31</v>
      </c>
      <c r="K380" s="6" t="s">
        <v>32</v>
      </c>
      <c r="L380" s="6" t="s">
        <v>1755</v>
      </c>
      <c r="M380" s="6" t="s">
        <v>33</v>
      </c>
      <c r="N380" s="10">
        <v>11</v>
      </c>
      <c r="O380" s="11">
        <v>3</v>
      </c>
      <c r="P380" s="12">
        <v>47</v>
      </c>
      <c r="Q380" s="13">
        <v>20.127882</v>
      </c>
      <c r="R380" s="13">
        <v>-101.52354800000001</v>
      </c>
      <c r="S380" s="14" t="s">
        <v>190</v>
      </c>
      <c r="T380" s="14"/>
      <c r="U380" s="14"/>
      <c r="V380" s="14"/>
      <c r="W380" s="14"/>
      <c r="X380" s="14"/>
      <c r="Y380" s="14"/>
      <c r="Z380" s="14"/>
      <c r="AA380" s="15"/>
      <c r="AB380" s="16">
        <v>8.3333333333333329E-2</v>
      </c>
    </row>
    <row r="381" spans="1:28" x14ac:dyDescent="0.3">
      <c r="A381" s="6" t="s">
        <v>1157</v>
      </c>
      <c r="B381" s="7" t="s">
        <v>25</v>
      </c>
      <c r="C381" s="34" t="s">
        <v>418</v>
      </c>
      <c r="D381" s="33" t="s">
        <v>1775</v>
      </c>
      <c r="E381" s="6" t="s">
        <v>305</v>
      </c>
      <c r="F381" s="6" t="s">
        <v>1158</v>
      </c>
      <c r="G381" s="6" t="s">
        <v>111</v>
      </c>
      <c r="H381" s="7">
        <v>1</v>
      </c>
      <c r="I381" s="6" t="s">
        <v>112</v>
      </c>
      <c r="J381" s="6" t="s">
        <v>31</v>
      </c>
      <c r="K381" s="6" t="s">
        <v>32</v>
      </c>
      <c r="L381" s="6" t="s">
        <v>1755</v>
      </c>
      <c r="M381" s="6" t="s">
        <v>33</v>
      </c>
      <c r="N381" s="10">
        <v>19</v>
      </c>
      <c r="O381" s="11">
        <v>3</v>
      </c>
      <c r="P381" s="12">
        <v>53</v>
      </c>
      <c r="Q381" s="13">
        <v>19.677021</v>
      </c>
      <c r="R381" s="13">
        <v>-100.517276</v>
      </c>
      <c r="S381" s="14" t="s">
        <v>190</v>
      </c>
      <c r="T381" s="14"/>
      <c r="U381" s="14"/>
      <c r="V381" s="14"/>
      <c r="W381" s="14"/>
      <c r="X381" s="14"/>
      <c r="Y381" s="14"/>
      <c r="Z381" s="14"/>
      <c r="AA381" s="15"/>
      <c r="AB381" s="16">
        <v>8.3333333333333329E-2</v>
      </c>
    </row>
    <row r="382" spans="1:28" x14ac:dyDescent="0.3">
      <c r="A382" s="6" t="s">
        <v>1159</v>
      </c>
      <c r="B382" s="7" t="s">
        <v>25</v>
      </c>
      <c r="C382" s="34" t="s">
        <v>418</v>
      </c>
      <c r="D382" s="33" t="s">
        <v>1775</v>
      </c>
      <c r="E382" s="6" t="s">
        <v>1160</v>
      </c>
      <c r="F382" s="6" t="s">
        <v>1161</v>
      </c>
      <c r="G382" s="6" t="s">
        <v>111</v>
      </c>
      <c r="H382" s="7">
        <v>1</v>
      </c>
      <c r="I382" s="6" t="s">
        <v>112</v>
      </c>
      <c r="J382" s="6" t="s">
        <v>31</v>
      </c>
      <c r="K382" s="6" t="s">
        <v>32</v>
      </c>
      <c r="L382" s="6" t="s">
        <v>1755</v>
      </c>
      <c r="M382" s="6" t="s">
        <v>33</v>
      </c>
      <c r="N382" s="10">
        <v>11</v>
      </c>
      <c r="O382" s="11">
        <v>3</v>
      </c>
      <c r="P382" s="12">
        <v>47</v>
      </c>
      <c r="Q382" s="13">
        <v>19.603588999999999</v>
      </c>
      <c r="R382" s="13">
        <v>-102.475351</v>
      </c>
      <c r="S382" s="14" t="s">
        <v>190</v>
      </c>
      <c r="T382" s="14"/>
      <c r="U382" s="14"/>
      <c r="V382" s="14"/>
      <c r="W382" s="14"/>
      <c r="X382" s="14"/>
      <c r="Y382" s="14"/>
      <c r="Z382" s="14"/>
      <c r="AA382" s="15"/>
      <c r="AB382" s="16">
        <v>8.3333333333333329E-2</v>
      </c>
    </row>
    <row r="383" spans="1:28" x14ac:dyDescent="0.3">
      <c r="A383" s="6" t="s">
        <v>1162</v>
      </c>
      <c r="B383" s="7" t="s">
        <v>25</v>
      </c>
      <c r="C383" s="34" t="s">
        <v>418</v>
      </c>
      <c r="D383" s="33" t="s">
        <v>1775</v>
      </c>
      <c r="E383" s="6" t="s">
        <v>1163</v>
      </c>
      <c r="F383" s="6" t="s">
        <v>1164</v>
      </c>
      <c r="G383" s="6" t="s">
        <v>111</v>
      </c>
      <c r="H383" s="7">
        <v>1</v>
      </c>
      <c r="I383" s="6" t="s">
        <v>112</v>
      </c>
      <c r="J383" s="6" t="s">
        <v>31</v>
      </c>
      <c r="K383" s="6" t="s">
        <v>32</v>
      </c>
      <c r="L383" s="6" t="s">
        <v>1755</v>
      </c>
      <c r="M383" s="6" t="s">
        <v>33</v>
      </c>
      <c r="N383" s="10">
        <v>19</v>
      </c>
      <c r="O383" s="11">
        <v>5</v>
      </c>
      <c r="P383" s="12">
        <v>85</v>
      </c>
      <c r="Q383" s="13">
        <v>20.319358999999999</v>
      </c>
      <c r="R383" s="13">
        <v>-102.018441</v>
      </c>
      <c r="S383" s="14" t="s">
        <v>190</v>
      </c>
      <c r="T383" s="14"/>
      <c r="U383" s="14"/>
      <c r="V383" s="14"/>
      <c r="W383" s="14"/>
      <c r="X383" s="14"/>
      <c r="Y383" s="14"/>
      <c r="Z383" s="14"/>
      <c r="AA383" s="15"/>
      <c r="AB383" s="16">
        <v>8.3333333333333329E-2</v>
      </c>
    </row>
    <row r="384" spans="1:28" x14ac:dyDescent="0.3">
      <c r="A384" s="6" t="s">
        <v>1165</v>
      </c>
      <c r="B384" s="7" t="s">
        <v>25</v>
      </c>
      <c r="C384" s="34" t="s">
        <v>418</v>
      </c>
      <c r="D384" s="33" t="s">
        <v>1775</v>
      </c>
      <c r="E384" s="6" t="s">
        <v>1166</v>
      </c>
      <c r="F384" s="6" t="s">
        <v>1167</v>
      </c>
      <c r="G384" s="6" t="s">
        <v>111</v>
      </c>
      <c r="H384" s="7">
        <v>1</v>
      </c>
      <c r="I384" s="6" t="s">
        <v>112</v>
      </c>
      <c r="J384" s="6" t="s">
        <v>31</v>
      </c>
      <c r="K384" s="6" t="s">
        <v>32</v>
      </c>
      <c r="L384" s="6" t="s">
        <v>1755</v>
      </c>
      <c r="M384" s="6" t="s">
        <v>33</v>
      </c>
      <c r="N384" s="10">
        <v>18</v>
      </c>
      <c r="O384" s="11">
        <v>6</v>
      </c>
      <c r="P384" s="12">
        <v>93</v>
      </c>
      <c r="Q384" s="13">
        <v>19.064997999999999</v>
      </c>
      <c r="R384" s="13">
        <v>-102.325361</v>
      </c>
      <c r="S384" s="14" t="s">
        <v>190</v>
      </c>
      <c r="T384" s="14"/>
      <c r="U384" s="14"/>
      <c r="V384" s="14"/>
      <c r="W384" s="14"/>
      <c r="X384" s="14"/>
      <c r="Y384" s="14"/>
      <c r="Z384" s="14"/>
      <c r="AA384" s="15"/>
      <c r="AB384" s="16">
        <v>8.3333333333333329E-2</v>
      </c>
    </row>
    <row r="385" spans="1:28" x14ac:dyDescent="0.3">
      <c r="A385" s="6" t="s">
        <v>1168</v>
      </c>
      <c r="B385" s="7" t="s">
        <v>25</v>
      </c>
      <c r="C385" s="34" t="s">
        <v>440</v>
      </c>
      <c r="D385" s="33" t="s">
        <v>1775</v>
      </c>
      <c r="E385" s="6" t="s">
        <v>1169</v>
      </c>
      <c r="F385" s="6" t="s">
        <v>1170</v>
      </c>
      <c r="G385" s="6" t="s">
        <v>111</v>
      </c>
      <c r="H385" s="7">
        <v>1</v>
      </c>
      <c r="I385" s="6" t="s">
        <v>112</v>
      </c>
      <c r="J385" s="6" t="s">
        <v>31</v>
      </c>
      <c r="K385" s="6" t="s">
        <v>32</v>
      </c>
      <c r="L385" s="6" t="s">
        <v>1755</v>
      </c>
      <c r="M385" s="6" t="s">
        <v>33</v>
      </c>
      <c r="N385" s="10">
        <v>22</v>
      </c>
      <c r="O385" s="11">
        <v>6</v>
      </c>
      <c r="P385" s="12">
        <v>140</v>
      </c>
      <c r="Q385" s="13">
        <v>18.845500000000001</v>
      </c>
      <c r="R385" s="13">
        <v>-98.939099999999996</v>
      </c>
      <c r="S385" s="14" t="s">
        <v>190</v>
      </c>
      <c r="T385" s="14"/>
      <c r="U385" s="14"/>
      <c r="V385" s="14"/>
      <c r="W385" s="14"/>
      <c r="X385" s="14"/>
      <c r="Y385" s="14"/>
      <c r="Z385" s="14"/>
      <c r="AA385" s="15"/>
      <c r="AB385" s="16">
        <v>8.3333333333333329E-2</v>
      </c>
    </row>
    <row r="386" spans="1:28" x14ac:dyDescent="0.3">
      <c r="A386" s="6" t="s">
        <v>1171</v>
      </c>
      <c r="B386" s="7" t="s">
        <v>25</v>
      </c>
      <c r="C386" s="34" t="s">
        <v>440</v>
      </c>
      <c r="D386" s="33" t="s">
        <v>1775</v>
      </c>
      <c r="E386" s="6" t="s">
        <v>1172</v>
      </c>
      <c r="F386" s="6" t="s">
        <v>1173</v>
      </c>
      <c r="G386" s="6" t="s">
        <v>111</v>
      </c>
      <c r="H386" s="7">
        <v>1</v>
      </c>
      <c r="I386" s="6" t="s">
        <v>112</v>
      </c>
      <c r="J386" s="6" t="s">
        <v>31</v>
      </c>
      <c r="K386" s="6" t="s">
        <v>32</v>
      </c>
      <c r="L386" s="6" t="s">
        <v>1755</v>
      </c>
      <c r="M386" s="6" t="s">
        <v>33</v>
      </c>
      <c r="N386" s="10">
        <v>36</v>
      </c>
      <c r="O386" s="11">
        <v>7</v>
      </c>
      <c r="P386" s="12">
        <v>223</v>
      </c>
      <c r="Q386" s="13">
        <v>18.9359</v>
      </c>
      <c r="R386" s="13">
        <v>-99.233500000000006</v>
      </c>
      <c r="S386" s="14" t="s">
        <v>190</v>
      </c>
      <c r="T386" s="14"/>
      <c r="U386" s="14"/>
      <c r="V386" s="14"/>
      <c r="W386" s="14"/>
      <c r="X386" s="14"/>
      <c r="Y386" s="14"/>
      <c r="Z386" s="14"/>
      <c r="AA386" s="15"/>
      <c r="AB386" s="16">
        <v>8.3333333333333329E-2</v>
      </c>
    </row>
    <row r="387" spans="1:28" x14ac:dyDescent="0.3">
      <c r="A387" s="6" t="s">
        <v>1174</v>
      </c>
      <c r="B387" s="7" t="s">
        <v>25</v>
      </c>
      <c r="C387" s="34" t="s">
        <v>440</v>
      </c>
      <c r="D387" s="33" t="s">
        <v>1775</v>
      </c>
      <c r="E387" s="6" t="s">
        <v>1175</v>
      </c>
      <c r="F387" s="6" t="s">
        <v>1176</v>
      </c>
      <c r="G387" s="6" t="s">
        <v>111</v>
      </c>
      <c r="H387" s="7">
        <v>1</v>
      </c>
      <c r="I387" s="6" t="s">
        <v>112</v>
      </c>
      <c r="J387" s="6" t="s">
        <v>31</v>
      </c>
      <c r="K387" s="6" t="s">
        <v>32</v>
      </c>
      <c r="L387" s="6" t="s">
        <v>1755</v>
      </c>
      <c r="M387" s="6" t="s">
        <v>33</v>
      </c>
      <c r="N387" s="10">
        <v>22</v>
      </c>
      <c r="O387" s="11">
        <v>5</v>
      </c>
      <c r="P387" s="12">
        <v>112</v>
      </c>
      <c r="Q387" s="13">
        <v>18.617699999999999</v>
      </c>
      <c r="R387" s="13">
        <v>-99.190700000000007</v>
      </c>
      <c r="S387" s="14" t="s">
        <v>190</v>
      </c>
      <c r="T387" s="14"/>
      <c r="U387" s="14"/>
      <c r="V387" s="14"/>
      <c r="W387" s="14"/>
      <c r="X387" s="14"/>
      <c r="Y387" s="14"/>
      <c r="Z387" s="14"/>
      <c r="AA387" s="15"/>
      <c r="AB387" s="16">
        <v>8.3333333333333329E-2</v>
      </c>
    </row>
    <row r="388" spans="1:28" x14ac:dyDescent="0.3">
      <c r="A388" s="6" t="s">
        <v>1177</v>
      </c>
      <c r="B388" s="7" t="s">
        <v>25</v>
      </c>
      <c r="C388" s="34" t="s">
        <v>440</v>
      </c>
      <c r="D388" s="33" t="s">
        <v>1775</v>
      </c>
      <c r="E388" s="6" t="s">
        <v>1178</v>
      </c>
      <c r="F388" s="6" t="s">
        <v>1179</v>
      </c>
      <c r="G388" s="6" t="s">
        <v>111</v>
      </c>
      <c r="H388" s="7">
        <v>1</v>
      </c>
      <c r="I388" s="6" t="s">
        <v>112</v>
      </c>
      <c r="J388" s="6" t="s">
        <v>31</v>
      </c>
      <c r="K388" s="6" t="s">
        <v>32</v>
      </c>
      <c r="L388" s="6" t="s">
        <v>1755</v>
      </c>
      <c r="M388" s="6" t="s">
        <v>33</v>
      </c>
      <c r="N388" s="10">
        <v>12</v>
      </c>
      <c r="O388" s="11">
        <v>4</v>
      </c>
      <c r="P388" s="12">
        <v>57</v>
      </c>
      <c r="Q388" s="13">
        <v>18.730795799999999</v>
      </c>
      <c r="R388" s="13">
        <v>-99.389778100000001</v>
      </c>
      <c r="S388" s="14" t="s">
        <v>190</v>
      </c>
      <c r="T388" s="14"/>
      <c r="U388" s="14"/>
      <c r="V388" s="14"/>
      <c r="W388" s="14"/>
      <c r="X388" s="14"/>
      <c r="Y388" s="14"/>
      <c r="Z388" s="14"/>
      <c r="AA388" s="15"/>
      <c r="AB388" s="16">
        <v>8.3333333333333329E-2</v>
      </c>
    </row>
    <row r="389" spans="1:28" x14ac:dyDescent="0.3">
      <c r="A389" s="6" t="s">
        <v>1180</v>
      </c>
      <c r="B389" s="7" t="s">
        <v>25</v>
      </c>
      <c r="C389" s="34" t="s">
        <v>440</v>
      </c>
      <c r="D389" s="33" t="s">
        <v>1775</v>
      </c>
      <c r="E389" s="6" t="s">
        <v>1181</v>
      </c>
      <c r="F389" s="6" t="s">
        <v>1182</v>
      </c>
      <c r="G389" s="6" t="s">
        <v>111</v>
      </c>
      <c r="H389" s="7">
        <v>1</v>
      </c>
      <c r="I389" s="6" t="s">
        <v>112</v>
      </c>
      <c r="J389" s="6" t="s">
        <v>31</v>
      </c>
      <c r="K389" s="6" t="s">
        <v>32</v>
      </c>
      <c r="L389" s="6" t="s">
        <v>1755</v>
      </c>
      <c r="M389" s="6" t="s">
        <v>33</v>
      </c>
      <c r="N389" s="10">
        <v>12</v>
      </c>
      <c r="O389" s="11">
        <v>3</v>
      </c>
      <c r="P389" s="12">
        <v>48</v>
      </c>
      <c r="Q389" s="13">
        <v>18.836831100000001</v>
      </c>
      <c r="R389" s="13">
        <v>-99.239024700000002</v>
      </c>
      <c r="S389" s="14" t="s">
        <v>190</v>
      </c>
      <c r="T389" s="14"/>
      <c r="U389" s="14"/>
      <c r="V389" s="14"/>
      <c r="W389" s="14"/>
      <c r="X389" s="14"/>
      <c r="Y389" s="14"/>
      <c r="Z389" s="14"/>
      <c r="AA389" s="15"/>
      <c r="AB389" s="16">
        <v>8.3333333333333329E-2</v>
      </c>
    </row>
    <row r="390" spans="1:28" x14ac:dyDescent="0.3">
      <c r="A390" s="6" t="s">
        <v>1183</v>
      </c>
      <c r="B390" s="7" t="s">
        <v>25</v>
      </c>
      <c r="C390" s="34" t="s">
        <v>440</v>
      </c>
      <c r="D390" s="33" t="s">
        <v>1775</v>
      </c>
      <c r="E390" s="6" t="s">
        <v>1184</v>
      </c>
      <c r="F390" s="6" t="s">
        <v>1185</v>
      </c>
      <c r="G390" s="6" t="s">
        <v>111</v>
      </c>
      <c r="H390" s="7">
        <v>1</v>
      </c>
      <c r="I390" s="6" t="s">
        <v>112</v>
      </c>
      <c r="J390" s="6" t="s">
        <v>31</v>
      </c>
      <c r="K390" s="6" t="s">
        <v>32</v>
      </c>
      <c r="L390" s="6" t="s">
        <v>1755</v>
      </c>
      <c r="M390" s="6" t="s">
        <v>33</v>
      </c>
      <c r="N390" s="10">
        <v>10</v>
      </c>
      <c r="O390" s="11">
        <v>2</v>
      </c>
      <c r="P390" s="12">
        <v>68</v>
      </c>
      <c r="Q390" s="13">
        <v>18.488446799999998</v>
      </c>
      <c r="R390" s="13">
        <v>-98.762501799999995</v>
      </c>
      <c r="S390" s="14" t="s">
        <v>190</v>
      </c>
      <c r="T390" s="14"/>
      <c r="U390" s="14"/>
      <c r="V390" s="14"/>
      <c r="W390" s="14"/>
      <c r="X390" s="14"/>
      <c r="Y390" s="14"/>
      <c r="Z390" s="14"/>
      <c r="AA390" s="15"/>
      <c r="AB390" s="16">
        <v>8.3333333333333329E-2</v>
      </c>
    </row>
    <row r="391" spans="1:28" x14ac:dyDescent="0.3">
      <c r="A391" s="6" t="s">
        <v>1186</v>
      </c>
      <c r="B391" s="7" t="s">
        <v>25</v>
      </c>
      <c r="C391" s="34" t="s">
        <v>450</v>
      </c>
      <c r="D391" s="33" t="s">
        <v>1775</v>
      </c>
      <c r="E391" s="6" t="s">
        <v>1187</v>
      </c>
      <c r="F391" s="6" t="s">
        <v>1188</v>
      </c>
      <c r="G391" s="6" t="s">
        <v>111</v>
      </c>
      <c r="H391" s="7">
        <v>1</v>
      </c>
      <c r="I391" s="6" t="s">
        <v>112</v>
      </c>
      <c r="J391" s="6" t="s">
        <v>31</v>
      </c>
      <c r="K391" s="6" t="s">
        <v>32</v>
      </c>
      <c r="L391" s="6" t="s">
        <v>1755</v>
      </c>
      <c r="M391" s="6" t="s">
        <v>33</v>
      </c>
      <c r="N391" s="10">
        <v>11</v>
      </c>
      <c r="O391" s="11">
        <v>2</v>
      </c>
      <c r="P391" s="12">
        <v>55</v>
      </c>
      <c r="Q391" s="13">
        <v>22.115096900000001</v>
      </c>
      <c r="R391" s="13">
        <v>-105.2094934</v>
      </c>
      <c r="S391" s="14" t="s">
        <v>190</v>
      </c>
      <c r="T391" s="14"/>
      <c r="U391" s="14"/>
      <c r="V391" s="14"/>
      <c r="W391" s="14"/>
      <c r="X391" s="14"/>
      <c r="Y391" s="14"/>
      <c r="Z391" s="14"/>
      <c r="AA391" s="15"/>
      <c r="AB391" s="16">
        <v>8.3333333333333329E-2</v>
      </c>
    </row>
    <row r="392" spans="1:28" x14ac:dyDescent="0.3">
      <c r="A392" s="6" t="s">
        <v>1189</v>
      </c>
      <c r="B392" s="7" t="s">
        <v>25</v>
      </c>
      <c r="C392" s="34" t="s">
        <v>450</v>
      </c>
      <c r="D392" s="33" t="s">
        <v>1775</v>
      </c>
      <c r="E392" s="6" t="s">
        <v>1190</v>
      </c>
      <c r="F392" s="6" t="s">
        <v>1191</v>
      </c>
      <c r="G392" s="6" t="s">
        <v>111</v>
      </c>
      <c r="H392" s="7">
        <v>1</v>
      </c>
      <c r="I392" s="6" t="s">
        <v>112</v>
      </c>
      <c r="J392" s="6" t="s">
        <v>31</v>
      </c>
      <c r="K392" s="6" t="s">
        <v>32</v>
      </c>
      <c r="L392" s="6" t="s">
        <v>1756</v>
      </c>
      <c r="M392" s="6" t="s">
        <v>33</v>
      </c>
      <c r="N392" s="10">
        <v>31</v>
      </c>
      <c r="O392" s="11">
        <v>5</v>
      </c>
      <c r="P392" s="12">
        <v>213</v>
      </c>
      <c r="Q392" s="13">
        <v>21.5010461</v>
      </c>
      <c r="R392" s="13">
        <v>-104.89762899999999</v>
      </c>
      <c r="S392" s="14" t="s">
        <v>190</v>
      </c>
      <c r="T392" s="14"/>
      <c r="U392" s="14"/>
      <c r="V392" s="14"/>
      <c r="W392" s="14"/>
      <c r="X392" s="14"/>
      <c r="Y392" s="14"/>
      <c r="Z392" s="14"/>
      <c r="AA392" s="15"/>
      <c r="AB392" s="16">
        <v>8.3333333333333329E-2</v>
      </c>
    </row>
    <row r="393" spans="1:28" x14ac:dyDescent="0.3">
      <c r="A393" s="6" t="s">
        <v>1192</v>
      </c>
      <c r="B393" s="7" t="s">
        <v>25</v>
      </c>
      <c r="C393" s="34" t="s">
        <v>450</v>
      </c>
      <c r="D393" s="33" t="s">
        <v>1775</v>
      </c>
      <c r="E393" s="6" t="s">
        <v>463</v>
      </c>
      <c r="F393" s="6" t="s">
        <v>1193</v>
      </c>
      <c r="G393" s="6" t="s">
        <v>111</v>
      </c>
      <c r="H393" s="7">
        <v>1</v>
      </c>
      <c r="I393" s="6" t="s">
        <v>112</v>
      </c>
      <c r="J393" s="6" t="s">
        <v>31</v>
      </c>
      <c r="K393" s="6" t="s">
        <v>32</v>
      </c>
      <c r="L393" s="6" t="s">
        <v>1755</v>
      </c>
      <c r="M393" s="6" t="s">
        <v>84</v>
      </c>
      <c r="N393" s="10">
        <v>12</v>
      </c>
      <c r="O393" s="11">
        <v>1</v>
      </c>
      <c r="P393" s="12">
        <v>42</v>
      </c>
      <c r="Q393" s="13">
        <v>20.900723299999999</v>
      </c>
      <c r="R393" s="13">
        <v>-105.4103064</v>
      </c>
      <c r="S393" s="14" t="s">
        <v>190</v>
      </c>
      <c r="T393" s="14"/>
      <c r="U393" s="14"/>
      <c r="V393" s="14"/>
      <c r="W393" s="14"/>
      <c r="X393" s="14"/>
      <c r="Y393" s="14"/>
      <c r="Z393" s="14"/>
      <c r="AA393" s="15"/>
      <c r="AB393" s="16">
        <v>8.3333333333333329E-2</v>
      </c>
    </row>
    <row r="394" spans="1:28" x14ac:dyDescent="0.3">
      <c r="A394" s="6" t="s">
        <v>1194</v>
      </c>
      <c r="B394" s="7" t="s">
        <v>25</v>
      </c>
      <c r="C394" s="34" t="s">
        <v>450</v>
      </c>
      <c r="D394" s="33" t="s">
        <v>1775</v>
      </c>
      <c r="E394" s="6" t="s">
        <v>1195</v>
      </c>
      <c r="F394" s="6" t="s">
        <v>1196</v>
      </c>
      <c r="G394" s="6" t="s">
        <v>111</v>
      </c>
      <c r="H394" s="7">
        <v>1</v>
      </c>
      <c r="I394" s="6" t="s">
        <v>112</v>
      </c>
      <c r="J394" s="6" t="s">
        <v>31</v>
      </c>
      <c r="K394" s="6" t="s">
        <v>32</v>
      </c>
      <c r="L394" s="6" t="s">
        <v>1755</v>
      </c>
      <c r="M394" s="6" t="s">
        <v>33</v>
      </c>
      <c r="N394" s="10">
        <v>15</v>
      </c>
      <c r="O394" s="11">
        <v>3</v>
      </c>
      <c r="P394" s="12">
        <v>47</v>
      </c>
      <c r="Q394" s="13">
        <v>21.812328600000001</v>
      </c>
      <c r="R394" s="13">
        <v>-105.20890110000001</v>
      </c>
      <c r="S394" s="14" t="s">
        <v>190</v>
      </c>
      <c r="T394" s="14"/>
      <c r="U394" s="14"/>
      <c r="V394" s="14"/>
      <c r="W394" s="14"/>
      <c r="X394" s="14"/>
      <c r="Y394" s="14"/>
      <c r="Z394" s="14"/>
      <c r="AA394" s="15"/>
      <c r="AB394" s="16">
        <v>8.3333333333333329E-2</v>
      </c>
    </row>
    <row r="395" spans="1:28" x14ac:dyDescent="0.3">
      <c r="A395" s="6" t="s">
        <v>1197</v>
      </c>
      <c r="B395" s="7" t="s">
        <v>25</v>
      </c>
      <c r="C395" s="34" t="s">
        <v>477</v>
      </c>
      <c r="D395" s="33" t="s">
        <v>1775</v>
      </c>
      <c r="E395" s="6" t="s">
        <v>1198</v>
      </c>
      <c r="F395" s="6" t="s">
        <v>1199</v>
      </c>
      <c r="G395" s="6" t="s">
        <v>111</v>
      </c>
      <c r="H395" s="7">
        <v>1</v>
      </c>
      <c r="I395" s="6" t="s">
        <v>112</v>
      </c>
      <c r="J395" s="6" t="s">
        <v>31</v>
      </c>
      <c r="K395" s="6" t="s">
        <v>32</v>
      </c>
      <c r="L395" s="6" t="s">
        <v>1755</v>
      </c>
      <c r="M395" s="6" t="s">
        <v>33</v>
      </c>
      <c r="N395" s="10">
        <v>8</v>
      </c>
      <c r="O395" s="11">
        <v>3</v>
      </c>
      <c r="P395" s="12">
        <v>49</v>
      </c>
      <c r="Q395" s="13">
        <v>17.811642500000001</v>
      </c>
      <c r="R395" s="13">
        <v>-97.772613399999997</v>
      </c>
      <c r="S395" s="14" t="s">
        <v>190</v>
      </c>
      <c r="T395" s="14"/>
      <c r="U395" s="14"/>
      <c r="V395" s="14"/>
      <c r="W395" s="14"/>
      <c r="X395" s="14"/>
      <c r="Y395" s="14"/>
      <c r="Z395" s="14"/>
      <c r="AA395" s="15"/>
      <c r="AB395" s="16">
        <v>8.3333333333333329E-2</v>
      </c>
    </row>
    <row r="396" spans="1:28" x14ac:dyDescent="0.3">
      <c r="A396" s="6" t="s">
        <v>1200</v>
      </c>
      <c r="B396" s="7" t="s">
        <v>25</v>
      </c>
      <c r="C396" s="34" t="s">
        <v>477</v>
      </c>
      <c r="D396" s="33" t="s">
        <v>1775</v>
      </c>
      <c r="E396" s="6" t="s">
        <v>1201</v>
      </c>
      <c r="F396" s="6" t="s">
        <v>1202</v>
      </c>
      <c r="G396" s="6" t="s">
        <v>111</v>
      </c>
      <c r="H396" s="7">
        <v>1</v>
      </c>
      <c r="I396" s="6" t="s">
        <v>112</v>
      </c>
      <c r="J396" s="6" t="s">
        <v>31</v>
      </c>
      <c r="K396" s="6" t="s">
        <v>32</v>
      </c>
      <c r="L396" s="6" t="s">
        <v>1755</v>
      </c>
      <c r="M396" s="6" t="s">
        <v>33</v>
      </c>
      <c r="N396" s="10">
        <v>23</v>
      </c>
      <c r="O396" s="11">
        <v>7</v>
      </c>
      <c r="P396" s="12">
        <v>237</v>
      </c>
      <c r="Q396" s="13">
        <v>17.0820483</v>
      </c>
      <c r="R396" s="13">
        <v>-96.718172699999997</v>
      </c>
      <c r="S396" s="14" t="s">
        <v>190</v>
      </c>
      <c r="T396" s="14"/>
      <c r="U396" s="14"/>
      <c r="V396" s="14"/>
      <c r="W396" s="14"/>
      <c r="X396" s="14"/>
      <c r="Y396" s="14"/>
      <c r="Z396" s="14"/>
      <c r="AA396" s="15"/>
      <c r="AB396" s="16">
        <v>8.3333333333333329E-2</v>
      </c>
    </row>
    <row r="397" spans="1:28" x14ac:dyDescent="0.3">
      <c r="A397" s="6" t="s">
        <v>1203</v>
      </c>
      <c r="B397" s="7" t="s">
        <v>25</v>
      </c>
      <c r="C397" s="34" t="s">
        <v>477</v>
      </c>
      <c r="D397" s="33" t="s">
        <v>1775</v>
      </c>
      <c r="E397" s="6" t="s">
        <v>1204</v>
      </c>
      <c r="F397" s="6" t="s">
        <v>1205</v>
      </c>
      <c r="G397" s="6" t="s">
        <v>111</v>
      </c>
      <c r="H397" s="7">
        <v>1</v>
      </c>
      <c r="I397" s="6" t="s">
        <v>112</v>
      </c>
      <c r="J397" s="6" t="s">
        <v>31</v>
      </c>
      <c r="K397" s="6" t="s">
        <v>32</v>
      </c>
      <c r="L397" s="6" t="s">
        <v>1755</v>
      </c>
      <c r="M397" s="6" t="s">
        <v>33</v>
      </c>
      <c r="N397" s="10">
        <v>10</v>
      </c>
      <c r="O397" s="11">
        <v>3</v>
      </c>
      <c r="P397" s="12">
        <v>41</v>
      </c>
      <c r="Q397" s="13">
        <v>17.808215499999999</v>
      </c>
      <c r="R397" s="13">
        <v>-96.959426699999995</v>
      </c>
      <c r="S397" s="14" t="s">
        <v>190</v>
      </c>
      <c r="T397" s="14"/>
      <c r="U397" s="14"/>
      <c r="V397" s="14"/>
      <c r="W397" s="14"/>
      <c r="X397" s="14"/>
      <c r="Y397" s="14"/>
      <c r="Z397" s="14"/>
      <c r="AA397" s="15"/>
      <c r="AB397" s="16">
        <v>8.3333333333333329E-2</v>
      </c>
    </row>
    <row r="398" spans="1:28" x14ac:dyDescent="0.3">
      <c r="A398" s="6" t="s">
        <v>1206</v>
      </c>
      <c r="B398" s="7" t="s">
        <v>25</v>
      </c>
      <c r="C398" s="34" t="s">
        <v>477</v>
      </c>
      <c r="D398" s="33" t="s">
        <v>1775</v>
      </c>
      <c r="E398" s="6" t="s">
        <v>1207</v>
      </c>
      <c r="F398" s="6" t="s">
        <v>1208</v>
      </c>
      <c r="G398" s="6" t="s">
        <v>111</v>
      </c>
      <c r="H398" s="7">
        <v>1</v>
      </c>
      <c r="I398" s="6" t="s">
        <v>112</v>
      </c>
      <c r="J398" s="6" t="s">
        <v>31</v>
      </c>
      <c r="K398" s="6" t="s">
        <v>32</v>
      </c>
      <c r="L398" s="6" t="s">
        <v>1755</v>
      </c>
      <c r="M398" s="6" t="s">
        <v>33</v>
      </c>
      <c r="N398" s="10">
        <v>6</v>
      </c>
      <c r="O398" s="11">
        <v>2</v>
      </c>
      <c r="P398" s="12">
        <v>38</v>
      </c>
      <c r="Q398" s="13">
        <v>17.446353200000001</v>
      </c>
      <c r="R398" s="13">
        <v>-95.430858099999995</v>
      </c>
      <c r="S398" s="14" t="s">
        <v>190</v>
      </c>
      <c r="T398" s="14"/>
      <c r="U398" s="14"/>
      <c r="V398" s="14"/>
      <c r="W398" s="14"/>
      <c r="X398" s="14"/>
      <c r="Y398" s="14"/>
      <c r="Z398" s="14"/>
      <c r="AA398" s="15"/>
      <c r="AB398" s="16">
        <v>8.3333333333333329E-2</v>
      </c>
    </row>
    <row r="399" spans="1:28" x14ac:dyDescent="0.3">
      <c r="A399" s="6" t="s">
        <v>1209</v>
      </c>
      <c r="B399" s="7" t="s">
        <v>25</v>
      </c>
      <c r="C399" s="34" t="s">
        <v>477</v>
      </c>
      <c r="D399" s="33" t="s">
        <v>1775</v>
      </c>
      <c r="E399" s="6" t="s">
        <v>1210</v>
      </c>
      <c r="F399" s="6" t="s">
        <v>1211</v>
      </c>
      <c r="G399" s="6" t="s">
        <v>111</v>
      </c>
      <c r="H399" s="7">
        <v>1</v>
      </c>
      <c r="I399" s="6" t="s">
        <v>112</v>
      </c>
      <c r="J399" s="6" t="s">
        <v>31</v>
      </c>
      <c r="K399" s="6" t="s">
        <v>32</v>
      </c>
      <c r="L399" s="6" t="s">
        <v>1755</v>
      </c>
      <c r="M399" s="6" t="s">
        <v>33</v>
      </c>
      <c r="N399" s="10">
        <v>10</v>
      </c>
      <c r="O399" s="11">
        <v>2</v>
      </c>
      <c r="P399" s="12">
        <v>42</v>
      </c>
      <c r="Q399" s="13">
        <v>16.816600000000001</v>
      </c>
      <c r="R399" s="13">
        <v>-96.786199999999994</v>
      </c>
      <c r="S399" s="14" t="s">
        <v>190</v>
      </c>
      <c r="T399" s="14"/>
      <c r="U399" s="14"/>
      <c r="V399" s="14"/>
      <c r="W399" s="14"/>
      <c r="X399" s="14"/>
      <c r="Y399" s="14"/>
      <c r="Z399" s="14"/>
      <c r="AA399" s="15"/>
      <c r="AB399" s="16">
        <v>8.3333333333333329E-2</v>
      </c>
    </row>
    <row r="400" spans="1:28" x14ac:dyDescent="0.3">
      <c r="A400" s="6" t="s">
        <v>1212</v>
      </c>
      <c r="B400" s="7" t="s">
        <v>25</v>
      </c>
      <c r="C400" s="34" t="s">
        <v>477</v>
      </c>
      <c r="D400" s="33" t="s">
        <v>1775</v>
      </c>
      <c r="E400" s="6" t="s">
        <v>1213</v>
      </c>
      <c r="F400" s="6" t="s">
        <v>1214</v>
      </c>
      <c r="G400" s="6" t="s">
        <v>111</v>
      </c>
      <c r="H400" s="7">
        <v>1</v>
      </c>
      <c r="I400" s="6" t="s">
        <v>112</v>
      </c>
      <c r="J400" s="6" t="s">
        <v>31</v>
      </c>
      <c r="K400" s="6" t="s">
        <v>32</v>
      </c>
      <c r="L400" s="6" t="s">
        <v>1755</v>
      </c>
      <c r="M400" s="6" t="s">
        <v>33</v>
      </c>
      <c r="N400" s="10">
        <v>11</v>
      </c>
      <c r="O400" s="11">
        <v>5</v>
      </c>
      <c r="P400" s="12">
        <v>83</v>
      </c>
      <c r="Q400" s="13">
        <v>15.7348654</v>
      </c>
      <c r="R400" s="13">
        <v>-96.472656599999993</v>
      </c>
      <c r="S400" s="14" t="s">
        <v>190</v>
      </c>
      <c r="T400" s="14"/>
      <c r="U400" s="14"/>
      <c r="V400" s="14"/>
      <c r="W400" s="14"/>
      <c r="X400" s="14"/>
      <c r="Y400" s="14"/>
      <c r="Z400" s="14"/>
      <c r="AA400" s="15"/>
      <c r="AB400" s="16">
        <v>8.3333333333333329E-2</v>
      </c>
    </row>
    <row r="401" spans="1:28" x14ac:dyDescent="0.3">
      <c r="A401" s="6" t="s">
        <v>1215</v>
      </c>
      <c r="B401" s="7" t="s">
        <v>25</v>
      </c>
      <c r="C401" s="34" t="s">
        <v>477</v>
      </c>
      <c r="D401" s="33" t="s">
        <v>1775</v>
      </c>
      <c r="E401" s="6" t="s">
        <v>1216</v>
      </c>
      <c r="F401" s="6" t="s">
        <v>1217</v>
      </c>
      <c r="G401" s="6" t="s">
        <v>111</v>
      </c>
      <c r="H401" s="7">
        <v>1</v>
      </c>
      <c r="I401" s="6" t="s">
        <v>112</v>
      </c>
      <c r="J401" s="6" t="s">
        <v>31</v>
      </c>
      <c r="K401" s="6" t="s">
        <v>32</v>
      </c>
      <c r="L401" s="6" t="s">
        <v>1755</v>
      </c>
      <c r="M401" s="6" t="s">
        <v>33</v>
      </c>
      <c r="N401" s="10">
        <v>7</v>
      </c>
      <c r="O401" s="11">
        <v>3</v>
      </c>
      <c r="P401" s="12">
        <v>70</v>
      </c>
      <c r="Q401" s="13">
        <v>16.347194300000002</v>
      </c>
      <c r="R401" s="13">
        <v>-98.048339200000001</v>
      </c>
      <c r="S401" s="14" t="s">
        <v>190</v>
      </c>
      <c r="T401" s="14"/>
      <c r="U401" s="14"/>
      <c r="V401" s="14"/>
      <c r="W401" s="14"/>
      <c r="X401" s="14"/>
      <c r="Y401" s="14"/>
      <c r="Z401" s="14"/>
      <c r="AA401" s="15"/>
      <c r="AB401" s="16">
        <v>8.3333333333333329E-2</v>
      </c>
    </row>
    <row r="402" spans="1:28" x14ac:dyDescent="0.3">
      <c r="A402" s="6" t="s">
        <v>1218</v>
      </c>
      <c r="B402" s="7" t="s">
        <v>25</v>
      </c>
      <c r="C402" s="34" t="s">
        <v>477</v>
      </c>
      <c r="D402" s="33" t="s">
        <v>1775</v>
      </c>
      <c r="E402" s="6" t="s">
        <v>1219</v>
      </c>
      <c r="F402" s="6" t="s">
        <v>1220</v>
      </c>
      <c r="G402" s="6" t="s">
        <v>111</v>
      </c>
      <c r="H402" s="7">
        <v>1</v>
      </c>
      <c r="I402" s="6" t="s">
        <v>112</v>
      </c>
      <c r="J402" s="6" t="s">
        <v>31</v>
      </c>
      <c r="K402" s="6" t="s">
        <v>32</v>
      </c>
      <c r="L402" s="6" t="s">
        <v>1755</v>
      </c>
      <c r="M402" s="6" t="s">
        <v>33</v>
      </c>
      <c r="N402" s="10">
        <v>13</v>
      </c>
      <c r="O402" s="11">
        <v>5</v>
      </c>
      <c r="P402" s="12">
        <v>100</v>
      </c>
      <c r="Q402" s="13">
        <v>16.433980699999999</v>
      </c>
      <c r="R402" s="13">
        <v>-95.013031499999997</v>
      </c>
      <c r="S402" s="14" t="s">
        <v>190</v>
      </c>
      <c r="T402" s="14"/>
      <c r="U402" s="14"/>
      <c r="V402" s="14"/>
      <c r="W402" s="14"/>
      <c r="X402" s="14"/>
      <c r="Y402" s="14"/>
      <c r="Z402" s="14"/>
      <c r="AA402" s="15"/>
      <c r="AB402" s="16">
        <v>8.3333333333333329E-2</v>
      </c>
    </row>
    <row r="403" spans="1:28" x14ac:dyDescent="0.3">
      <c r="A403" s="6" t="s">
        <v>1221</v>
      </c>
      <c r="B403" s="7" t="s">
        <v>25</v>
      </c>
      <c r="C403" s="34" t="s">
        <v>477</v>
      </c>
      <c r="D403" s="33" t="s">
        <v>1775</v>
      </c>
      <c r="E403" s="6" t="s">
        <v>1219</v>
      </c>
      <c r="F403" s="6" t="s">
        <v>1222</v>
      </c>
      <c r="G403" s="6" t="s">
        <v>111</v>
      </c>
      <c r="H403" s="7">
        <v>1</v>
      </c>
      <c r="I403" s="6" t="s">
        <v>112</v>
      </c>
      <c r="J403" s="6" t="s">
        <v>31</v>
      </c>
      <c r="K403" s="6" t="s">
        <v>32</v>
      </c>
      <c r="L403" s="6" t="s">
        <v>1755</v>
      </c>
      <c r="M403" s="6" t="s">
        <v>33</v>
      </c>
      <c r="N403" s="10">
        <v>0</v>
      </c>
      <c r="O403" s="11">
        <v>0</v>
      </c>
      <c r="P403" s="12">
        <v>0</v>
      </c>
      <c r="Q403" s="13">
        <v>16.455000999999999</v>
      </c>
      <c r="R403" s="13">
        <v>-95.026748999999995</v>
      </c>
      <c r="S403" s="14" t="s">
        <v>190</v>
      </c>
      <c r="T403" s="14"/>
      <c r="U403" s="14"/>
      <c r="V403" s="14"/>
      <c r="W403" s="14"/>
      <c r="X403" s="14"/>
      <c r="Y403" s="14"/>
      <c r="Z403" s="14"/>
      <c r="AA403" s="15"/>
      <c r="AB403" s="16">
        <v>8.3333333333333329E-2</v>
      </c>
    </row>
    <row r="404" spans="1:28" x14ac:dyDescent="0.3">
      <c r="A404" s="6" t="s">
        <v>1223</v>
      </c>
      <c r="B404" s="7" t="s">
        <v>25</v>
      </c>
      <c r="C404" s="34" t="s">
        <v>477</v>
      </c>
      <c r="D404" s="33" t="s">
        <v>1775</v>
      </c>
      <c r="E404" s="6" t="s">
        <v>1224</v>
      </c>
      <c r="F404" s="6" t="s">
        <v>1225</v>
      </c>
      <c r="G404" s="6" t="s">
        <v>111</v>
      </c>
      <c r="H404" s="7">
        <v>1</v>
      </c>
      <c r="I404" s="6" t="s">
        <v>112</v>
      </c>
      <c r="J404" s="6" t="s">
        <v>31</v>
      </c>
      <c r="K404" s="6" t="s">
        <v>32</v>
      </c>
      <c r="L404" s="6" t="s">
        <v>1755</v>
      </c>
      <c r="M404" s="6" t="s">
        <v>33</v>
      </c>
      <c r="N404" s="10">
        <v>11</v>
      </c>
      <c r="O404" s="11">
        <v>2</v>
      </c>
      <c r="P404" s="12">
        <v>47</v>
      </c>
      <c r="Q404" s="13">
        <v>16.5586412</v>
      </c>
      <c r="R404" s="13">
        <v>-95.118069599999998</v>
      </c>
      <c r="S404" s="14" t="s">
        <v>190</v>
      </c>
      <c r="T404" s="14"/>
      <c r="U404" s="14"/>
      <c r="V404" s="14"/>
      <c r="W404" s="14"/>
      <c r="X404" s="14"/>
      <c r="Y404" s="14"/>
      <c r="Z404" s="14"/>
      <c r="AA404" s="15"/>
      <c r="AB404" s="16">
        <v>8.3333333333333329E-2</v>
      </c>
    </row>
    <row r="405" spans="1:28" x14ac:dyDescent="0.3">
      <c r="A405" s="6" t="s">
        <v>1226</v>
      </c>
      <c r="B405" s="7" t="s">
        <v>25</v>
      </c>
      <c r="C405" s="34" t="s">
        <v>477</v>
      </c>
      <c r="D405" s="33" t="s">
        <v>1775</v>
      </c>
      <c r="E405" s="6" t="s">
        <v>1227</v>
      </c>
      <c r="F405" s="6" t="s">
        <v>1228</v>
      </c>
      <c r="G405" s="6" t="s">
        <v>111</v>
      </c>
      <c r="H405" s="7">
        <v>1</v>
      </c>
      <c r="I405" s="6" t="s">
        <v>112</v>
      </c>
      <c r="J405" s="6" t="s">
        <v>31</v>
      </c>
      <c r="K405" s="6" t="s">
        <v>32</v>
      </c>
      <c r="L405" s="6" t="s">
        <v>1755</v>
      </c>
      <c r="M405" s="6" t="s">
        <v>33</v>
      </c>
      <c r="N405" s="10">
        <v>15</v>
      </c>
      <c r="O405" s="11">
        <v>2</v>
      </c>
      <c r="P405" s="12">
        <v>45</v>
      </c>
      <c r="Q405" s="13">
        <v>16.290781800000001</v>
      </c>
      <c r="R405" s="13">
        <v>-95.2329182</v>
      </c>
      <c r="S405" s="14" t="s">
        <v>190</v>
      </c>
      <c r="T405" s="14"/>
      <c r="U405" s="14"/>
      <c r="V405" s="14"/>
      <c r="W405" s="14"/>
      <c r="X405" s="14"/>
      <c r="Y405" s="14"/>
      <c r="Z405" s="14"/>
      <c r="AA405" s="15"/>
      <c r="AB405" s="16">
        <v>8.3333333333333329E-2</v>
      </c>
    </row>
    <row r="406" spans="1:28" x14ac:dyDescent="0.3">
      <c r="A406" s="6" t="s">
        <v>1229</v>
      </c>
      <c r="B406" s="7" t="s">
        <v>25</v>
      </c>
      <c r="C406" s="34" t="s">
        <v>477</v>
      </c>
      <c r="D406" s="33" t="s">
        <v>1775</v>
      </c>
      <c r="E406" s="6" t="s">
        <v>1230</v>
      </c>
      <c r="F406" s="6" t="s">
        <v>1231</v>
      </c>
      <c r="G406" s="6" t="s">
        <v>111</v>
      </c>
      <c r="H406" s="7">
        <v>1</v>
      </c>
      <c r="I406" s="6" t="s">
        <v>112</v>
      </c>
      <c r="J406" s="6" t="s">
        <v>31</v>
      </c>
      <c r="K406" s="6" t="s">
        <v>32</v>
      </c>
      <c r="L406" s="6" t="s">
        <v>1755</v>
      </c>
      <c r="M406" s="6" t="s">
        <v>33</v>
      </c>
      <c r="N406" s="10">
        <v>26</v>
      </c>
      <c r="O406" s="11">
        <v>3</v>
      </c>
      <c r="P406" s="12">
        <v>102</v>
      </c>
      <c r="Q406" s="13">
        <v>16.241658999999999</v>
      </c>
      <c r="R406" s="13">
        <v>-95.209950500000005</v>
      </c>
      <c r="S406" s="14" t="s">
        <v>190</v>
      </c>
      <c r="T406" s="14"/>
      <c r="U406" s="14"/>
      <c r="V406" s="14"/>
      <c r="W406" s="14"/>
      <c r="X406" s="14"/>
      <c r="Y406" s="14"/>
      <c r="Z406" s="14"/>
      <c r="AA406" s="15"/>
      <c r="AB406" s="16">
        <v>8.3333333333333329E-2</v>
      </c>
    </row>
    <row r="407" spans="1:28" x14ac:dyDescent="0.3">
      <c r="A407" s="6" t="s">
        <v>1232</v>
      </c>
      <c r="B407" s="7" t="s">
        <v>25</v>
      </c>
      <c r="C407" s="34" t="s">
        <v>477</v>
      </c>
      <c r="D407" s="33" t="s">
        <v>1775</v>
      </c>
      <c r="E407" s="6" t="s">
        <v>1233</v>
      </c>
      <c r="F407" s="6" t="s">
        <v>1234</v>
      </c>
      <c r="G407" s="6" t="s">
        <v>111</v>
      </c>
      <c r="H407" s="7">
        <v>1</v>
      </c>
      <c r="I407" s="6" t="s">
        <v>112</v>
      </c>
      <c r="J407" s="6" t="s">
        <v>31</v>
      </c>
      <c r="K407" s="6" t="s">
        <v>32</v>
      </c>
      <c r="L407" s="6" t="s">
        <v>1755</v>
      </c>
      <c r="M407" s="6" t="s">
        <v>33</v>
      </c>
      <c r="N407" s="10">
        <v>9</v>
      </c>
      <c r="O407" s="11">
        <v>3</v>
      </c>
      <c r="P407" s="12">
        <v>61</v>
      </c>
      <c r="Q407" s="13">
        <v>15.880139700000001</v>
      </c>
      <c r="R407" s="13">
        <v>-97.089251000000004</v>
      </c>
      <c r="S407" s="14" t="s">
        <v>190</v>
      </c>
      <c r="T407" s="14"/>
      <c r="U407" s="14"/>
      <c r="V407" s="14"/>
      <c r="W407" s="14"/>
      <c r="X407" s="14"/>
      <c r="Y407" s="14"/>
      <c r="Z407" s="14"/>
      <c r="AA407" s="15"/>
      <c r="AB407" s="16">
        <v>8.3333333333333329E-2</v>
      </c>
    </row>
    <row r="408" spans="1:28" x14ac:dyDescent="0.3">
      <c r="A408" s="6" t="s">
        <v>1235</v>
      </c>
      <c r="B408" s="7" t="s">
        <v>25</v>
      </c>
      <c r="C408" s="34" t="s">
        <v>477</v>
      </c>
      <c r="D408" s="33" t="s">
        <v>1775</v>
      </c>
      <c r="E408" s="6" t="s">
        <v>1236</v>
      </c>
      <c r="F408" s="6" t="s">
        <v>1237</v>
      </c>
      <c r="G408" s="6" t="s">
        <v>111</v>
      </c>
      <c r="H408" s="7">
        <v>1</v>
      </c>
      <c r="I408" s="6" t="s">
        <v>112</v>
      </c>
      <c r="J408" s="6" t="s">
        <v>31</v>
      </c>
      <c r="K408" s="6" t="s">
        <v>32</v>
      </c>
      <c r="L408" s="6" t="s">
        <v>1755</v>
      </c>
      <c r="M408" s="6" t="s">
        <v>33</v>
      </c>
      <c r="N408" s="10">
        <v>0</v>
      </c>
      <c r="O408" s="11">
        <v>0</v>
      </c>
      <c r="P408" s="12">
        <v>0</v>
      </c>
      <c r="Q408" s="13">
        <v>18.1124425</v>
      </c>
      <c r="R408" s="13">
        <v>-96.137438900000006</v>
      </c>
      <c r="S408" s="14" t="s">
        <v>190</v>
      </c>
      <c r="T408" s="14"/>
      <c r="U408" s="14"/>
      <c r="V408" s="14"/>
      <c r="W408" s="14"/>
      <c r="X408" s="14"/>
      <c r="Y408" s="14"/>
      <c r="Z408" s="14"/>
      <c r="AA408" s="15"/>
      <c r="AB408" s="16">
        <v>8.3333333333333329E-2</v>
      </c>
    </row>
    <row r="409" spans="1:28" x14ac:dyDescent="0.3">
      <c r="A409" s="6" t="s">
        <v>1238</v>
      </c>
      <c r="B409" s="7" t="s">
        <v>25</v>
      </c>
      <c r="C409" s="34" t="s">
        <v>535</v>
      </c>
      <c r="D409" s="33" t="s">
        <v>1775</v>
      </c>
      <c r="E409" s="6" t="s">
        <v>1239</v>
      </c>
      <c r="F409" s="6" t="s">
        <v>1240</v>
      </c>
      <c r="G409" s="6" t="s">
        <v>111</v>
      </c>
      <c r="H409" s="7">
        <v>1</v>
      </c>
      <c r="I409" s="6" t="s">
        <v>112</v>
      </c>
      <c r="J409" s="6" t="s">
        <v>31</v>
      </c>
      <c r="K409" s="6" t="s">
        <v>32</v>
      </c>
      <c r="L409" s="6" t="s">
        <v>1755</v>
      </c>
      <c r="M409" s="6" t="s">
        <v>33</v>
      </c>
      <c r="N409" s="10">
        <v>10</v>
      </c>
      <c r="O409" s="11">
        <v>3</v>
      </c>
      <c r="P409" s="12">
        <v>44</v>
      </c>
      <c r="Q409" s="13">
        <v>18.9890106</v>
      </c>
      <c r="R409" s="13">
        <v>-97.449621899999997</v>
      </c>
      <c r="S409" s="14" t="s">
        <v>190</v>
      </c>
      <c r="T409" s="14"/>
      <c r="U409" s="14"/>
      <c r="V409" s="14"/>
      <c r="W409" s="14"/>
      <c r="X409" s="14"/>
      <c r="Y409" s="14"/>
      <c r="Z409" s="14"/>
      <c r="AA409" s="15"/>
      <c r="AB409" s="16">
        <v>8.3333333333333329E-2</v>
      </c>
    </row>
    <row r="410" spans="1:28" x14ac:dyDescent="0.3">
      <c r="A410" s="6" t="s">
        <v>1241</v>
      </c>
      <c r="B410" s="7" t="s">
        <v>25</v>
      </c>
      <c r="C410" s="34" t="s">
        <v>535</v>
      </c>
      <c r="D410" s="33" t="s">
        <v>1775</v>
      </c>
      <c r="E410" s="6" t="s">
        <v>1242</v>
      </c>
      <c r="F410" s="6" t="s">
        <v>1243</v>
      </c>
      <c r="G410" s="6" t="s">
        <v>111</v>
      </c>
      <c r="H410" s="7">
        <v>1</v>
      </c>
      <c r="I410" s="6" t="s">
        <v>112</v>
      </c>
      <c r="J410" s="6" t="s">
        <v>31</v>
      </c>
      <c r="K410" s="6" t="s">
        <v>32</v>
      </c>
      <c r="L410" s="6" t="s">
        <v>1755</v>
      </c>
      <c r="M410" s="6" t="s">
        <v>33</v>
      </c>
      <c r="N410" s="10">
        <v>17</v>
      </c>
      <c r="O410" s="11">
        <v>4</v>
      </c>
      <c r="P410" s="12">
        <v>66</v>
      </c>
      <c r="Q410" s="13">
        <v>19.457643900000001</v>
      </c>
      <c r="R410" s="13">
        <v>-97.680264800000003</v>
      </c>
      <c r="S410" s="14" t="s">
        <v>190</v>
      </c>
      <c r="T410" s="14"/>
      <c r="U410" s="14"/>
      <c r="V410" s="14"/>
      <c r="W410" s="14"/>
      <c r="X410" s="14"/>
      <c r="Y410" s="14"/>
      <c r="Z410" s="14"/>
      <c r="AA410" s="15"/>
      <c r="AB410" s="16">
        <v>8.3333333333333329E-2</v>
      </c>
    </row>
    <row r="411" spans="1:28" x14ac:dyDescent="0.3">
      <c r="A411" s="6" t="s">
        <v>1244</v>
      </c>
      <c r="B411" s="7" t="s">
        <v>25</v>
      </c>
      <c r="C411" s="34" t="s">
        <v>535</v>
      </c>
      <c r="D411" s="33" t="s">
        <v>1775</v>
      </c>
      <c r="E411" s="6" t="s">
        <v>535</v>
      </c>
      <c r="F411" s="6" t="s">
        <v>1245</v>
      </c>
      <c r="G411" s="6" t="s">
        <v>111</v>
      </c>
      <c r="H411" s="7">
        <v>1</v>
      </c>
      <c r="I411" s="6" t="s">
        <v>112</v>
      </c>
      <c r="J411" s="6" t="s">
        <v>31</v>
      </c>
      <c r="K411" s="6" t="s">
        <v>32</v>
      </c>
      <c r="L411" s="6" t="s">
        <v>1756</v>
      </c>
      <c r="M411" s="6" t="s">
        <v>33</v>
      </c>
      <c r="N411" s="10">
        <v>43</v>
      </c>
      <c r="O411" s="11">
        <v>6</v>
      </c>
      <c r="P411" s="12">
        <v>192</v>
      </c>
      <c r="Q411" s="13">
        <v>18.9862587</v>
      </c>
      <c r="R411" s="13">
        <v>-98.242134199999995</v>
      </c>
      <c r="S411" s="14" t="s">
        <v>190</v>
      </c>
      <c r="T411" s="14"/>
      <c r="U411" s="14"/>
      <c r="V411" s="14"/>
      <c r="W411" s="14"/>
      <c r="X411" s="14"/>
      <c r="Y411" s="14"/>
      <c r="Z411" s="14"/>
      <c r="AA411" s="15"/>
      <c r="AB411" s="16">
        <v>8.3333333333333329E-2</v>
      </c>
    </row>
    <row r="412" spans="1:28" x14ac:dyDescent="0.3">
      <c r="A412" s="6" t="s">
        <v>1246</v>
      </c>
      <c r="B412" s="7" t="s">
        <v>25</v>
      </c>
      <c r="C412" s="34" t="s">
        <v>535</v>
      </c>
      <c r="D412" s="33" t="s">
        <v>1775</v>
      </c>
      <c r="E412" s="6" t="s">
        <v>1247</v>
      </c>
      <c r="F412" s="6" t="s">
        <v>1248</v>
      </c>
      <c r="G412" s="6" t="s">
        <v>111</v>
      </c>
      <c r="H412" s="7">
        <v>1</v>
      </c>
      <c r="I412" s="6" t="s">
        <v>112</v>
      </c>
      <c r="J412" s="6" t="s">
        <v>31</v>
      </c>
      <c r="K412" s="6" t="s">
        <v>32</v>
      </c>
      <c r="L412" s="6" t="s">
        <v>1755</v>
      </c>
      <c r="M412" s="6" t="s">
        <v>33</v>
      </c>
      <c r="N412" s="10">
        <v>19</v>
      </c>
      <c r="O412" s="11">
        <v>5</v>
      </c>
      <c r="P412" s="12">
        <v>162</v>
      </c>
      <c r="Q412" s="13">
        <v>18.4480425</v>
      </c>
      <c r="R412" s="13">
        <v>-97.419533000000001</v>
      </c>
      <c r="S412" s="14" t="s">
        <v>190</v>
      </c>
      <c r="T412" s="14"/>
      <c r="U412" s="14"/>
      <c r="V412" s="14"/>
      <c r="W412" s="14"/>
      <c r="X412" s="14"/>
      <c r="Y412" s="14"/>
      <c r="Z412" s="14"/>
      <c r="AA412" s="15"/>
      <c r="AB412" s="16">
        <v>8.3333333333333329E-2</v>
      </c>
    </row>
    <row r="413" spans="1:28" x14ac:dyDescent="0.3">
      <c r="A413" s="6" t="s">
        <v>1249</v>
      </c>
      <c r="B413" s="7" t="s">
        <v>25</v>
      </c>
      <c r="C413" s="34" t="s">
        <v>535</v>
      </c>
      <c r="D413" s="33" t="s">
        <v>1775</v>
      </c>
      <c r="E413" s="6" t="s">
        <v>1250</v>
      </c>
      <c r="F413" s="6" t="s">
        <v>1251</v>
      </c>
      <c r="G413" s="6" t="s">
        <v>111</v>
      </c>
      <c r="H413" s="7">
        <v>1</v>
      </c>
      <c r="I413" s="6" t="s">
        <v>112</v>
      </c>
      <c r="J413" s="6" t="s">
        <v>31</v>
      </c>
      <c r="K413" s="6" t="s">
        <v>32</v>
      </c>
      <c r="L413" s="6" t="s">
        <v>1755</v>
      </c>
      <c r="M413" s="6" t="s">
        <v>33</v>
      </c>
      <c r="N413" s="10">
        <v>34</v>
      </c>
      <c r="O413" s="11">
        <v>10</v>
      </c>
      <c r="P413" s="12">
        <v>192</v>
      </c>
      <c r="Q413" s="13">
        <v>19.016862100000001</v>
      </c>
      <c r="R413" s="13">
        <v>-98.265913800000007</v>
      </c>
      <c r="S413" s="14" t="s">
        <v>190</v>
      </c>
      <c r="T413" s="14"/>
      <c r="U413" s="14"/>
      <c r="V413" s="14"/>
      <c r="W413" s="14"/>
      <c r="X413" s="14"/>
      <c r="Y413" s="14"/>
      <c r="Z413" s="14"/>
      <c r="AA413" s="15"/>
      <c r="AB413" s="16">
        <v>8.3333333333333329E-2</v>
      </c>
    </row>
    <row r="414" spans="1:28" x14ac:dyDescent="0.3">
      <c r="A414" s="6" t="s">
        <v>1252</v>
      </c>
      <c r="B414" s="7" t="s">
        <v>25</v>
      </c>
      <c r="C414" s="34" t="s">
        <v>535</v>
      </c>
      <c r="D414" s="33" t="s">
        <v>1775</v>
      </c>
      <c r="E414" s="6" t="s">
        <v>1253</v>
      </c>
      <c r="F414" s="6" t="s">
        <v>1254</v>
      </c>
      <c r="G414" s="6" t="s">
        <v>111</v>
      </c>
      <c r="H414" s="7">
        <v>1</v>
      </c>
      <c r="I414" s="6" t="s">
        <v>112</v>
      </c>
      <c r="J414" s="6" t="s">
        <v>31</v>
      </c>
      <c r="K414" s="6" t="s">
        <v>32</v>
      </c>
      <c r="L414" s="6" t="s">
        <v>1755</v>
      </c>
      <c r="M414" s="6" t="s">
        <v>33</v>
      </c>
      <c r="N414" s="10">
        <v>16</v>
      </c>
      <c r="O414" s="11">
        <v>6</v>
      </c>
      <c r="P414" s="12">
        <v>148</v>
      </c>
      <c r="Q414" s="13">
        <v>19.821950300000001</v>
      </c>
      <c r="R414" s="13">
        <v>-97.376941599999995</v>
      </c>
      <c r="S414" s="14" t="s">
        <v>190</v>
      </c>
      <c r="T414" s="14"/>
      <c r="U414" s="14"/>
      <c r="V414" s="14"/>
      <c r="W414" s="14"/>
      <c r="X414" s="14"/>
      <c r="Y414" s="14"/>
      <c r="Z414" s="14"/>
      <c r="AA414" s="15"/>
      <c r="AB414" s="16">
        <v>8.3333333333333329E-2</v>
      </c>
    </row>
    <row r="415" spans="1:28" x14ac:dyDescent="0.3">
      <c r="A415" s="6" t="s">
        <v>1255</v>
      </c>
      <c r="B415" s="7" t="s">
        <v>25</v>
      </c>
      <c r="C415" s="34" t="s">
        <v>535</v>
      </c>
      <c r="D415" s="33" t="s">
        <v>1775</v>
      </c>
      <c r="E415" s="6" t="s">
        <v>1256</v>
      </c>
      <c r="F415" s="6" t="s">
        <v>1257</v>
      </c>
      <c r="G415" s="6" t="s">
        <v>111</v>
      </c>
      <c r="H415" s="7">
        <v>1</v>
      </c>
      <c r="I415" s="6" t="s">
        <v>112</v>
      </c>
      <c r="J415" s="6" t="s">
        <v>31</v>
      </c>
      <c r="K415" s="6" t="s">
        <v>32</v>
      </c>
      <c r="L415" s="6" t="s">
        <v>1755</v>
      </c>
      <c r="M415" s="6" t="s">
        <v>33</v>
      </c>
      <c r="N415" s="10">
        <v>13</v>
      </c>
      <c r="O415" s="11">
        <v>4</v>
      </c>
      <c r="P415" s="12">
        <v>58</v>
      </c>
      <c r="Q415" s="13">
        <v>18.185898000000002</v>
      </c>
      <c r="R415" s="13">
        <v>-98.056408899999994</v>
      </c>
      <c r="S415" s="14" t="s">
        <v>190</v>
      </c>
      <c r="T415" s="14"/>
      <c r="U415" s="14"/>
      <c r="V415" s="14"/>
      <c r="W415" s="14"/>
      <c r="X415" s="14"/>
      <c r="Y415" s="14"/>
      <c r="Z415" s="14"/>
      <c r="AA415" s="15"/>
      <c r="AB415" s="16">
        <v>8.3333333333333329E-2</v>
      </c>
    </row>
    <row r="416" spans="1:28" x14ac:dyDescent="0.3">
      <c r="A416" s="6" t="s">
        <v>1258</v>
      </c>
      <c r="B416" s="7" t="s">
        <v>25</v>
      </c>
      <c r="C416" s="34" t="s">
        <v>535</v>
      </c>
      <c r="D416" s="33" t="s">
        <v>1775</v>
      </c>
      <c r="E416" s="6" t="s">
        <v>1259</v>
      </c>
      <c r="F416" s="6" t="s">
        <v>1260</v>
      </c>
      <c r="G416" s="6" t="s">
        <v>111</v>
      </c>
      <c r="H416" s="7">
        <v>1</v>
      </c>
      <c r="I416" s="6" t="s">
        <v>112</v>
      </c>
      <c r="J416" s="6" t="s">
        <v>31</v>
      </c>
      <c r="K416" s="6" t="s">
        <v>32</v>
      </c>
      <c r="L416" s="6" t="s">
        <v>1755</v>
      </c>
      <c r="M416" s="6" t="s">
        <v>84</v>
      </c>
      <c r="N416" s="10">
        <v>10</v>
      </c>
      <c r="O416" s="11">
        <v>3</v>
      </c>
      <c r="P416" s="12">
        <v>56</v>
      </c>
      <c r="Q416" s="13">
        <v>19.841002899999999</v>
      </c>
      <c r="R416" s="13">
        <v>-97.498489199999995</v>
      </c>
      <c r="S416" s="14" t="s">
        <v>190</v>
      </c>
      <c r="T416" s="14"/>
      <c r="U416" s="14"/>
      <c r="V416" s="14"/>
      <c r="W416" s="14"/>
      <c r="X416" s="14"/>
      <c r="Y416" s="14"/>
      <c r="Z416" s="14"/>
      <c r="AA416" s="15"/>
      <c r="AB416" s="16">
        <v>8.3333333333333329E-2</v>
      </c>
    </row>
    <row r="417" spans="1:28" x14ac:dyDescent="0.3">
      <c r="A417" s="6" t="s">
        <v>1261</v>
      </c>
      <c r="B417" s="7" t="s">
        <v>25</v>
      </c>
      <c r="C417" s="34" t="s">
        <v>535</v>
      </c>
      <c r="D417" s="33" t="s">
        <v>1775</v>
      </c>
      <c r="E417" s="6" t="s">
        <v>1262</v>
      </c>
      <c r="F417" s="6" t="s">
        <v>1263</v>
      </c>
      <c r="G417" s="6" t="s">
        <v>111</v>
      </c>
      <c r="H417" s="7">
        <v>1</v>
      </c>
      <c r="I417" s="6" t="s">
        <v>112</v>
      </c>
      <c r="J417" s="6" t="s">
        <v>31</v>
      </c>
      <c r="K417" s="6" t="s">
        <v>32</v>
      </c>
      <c r="L417" s="6" t="s">
        <v>1755</v>
      </c>
      <c r="M417" s="6" t="s">
        <v>33</v>
      </c>
      <c r="N417" s="10">
        <v>10</v>
      </c>
      <c r="O417" s="11">
        <v>3</v>
      </c>
      <c r="P417" s="12">
        <v>55</v>
      </c>
      <c r="Q417" s="13">
        <v>19.1392168</v>
      </c>
      <c r="R417" s="13">
        <v>-98.380429399999997</v>
      </c>
      <c r="S417" s="14" t="s">
        <v>190</v>
      </c>
      <c r="T417" s="14"/>
      <c r="U417" s="14"/>
      <c r="V417" s="14"/>
      <c r="W417" s="14"/>
      <c r="X417" s="14"/>
      <c r="Y417" s="14"/>
      <c r="Z417" s="14"/>
      <c r="AA417" s="15"/>
      <c r="AB417" s="16">
        <v>8.3333333333333329E-2</v>
      </c>
    </row>
    <row r="418" spans="1:28" x14ac:dyDescent="0.3">
      <c r="A418" s="6" t="s">
        <v>1264</v>
      </c>
      <c r="B418" s="7" t="s">
        <v>25</v>
      </c>
      <c r="C418" s="34" t="s">
        <v>535</v>
      </c>
      <c r="D418" s="33" t="s">
        <v>1775</v>
      </c>
      <c r="E418" s="6" t="s">
        <v>1265</v>
      </c>
      <c r="F418" s="6" t="s">
        <v>1266</v>
      </c>
      <c r="G418" s="6" t="s">
        <v>111</v>
      </c>
      <c r="H418" s="7">
        <v>1</v>
      </c>
      <c r="I418" s="6" t="s">
        <v>112</v>
      </c>
      <c r="J418" s="6" t="s">
        <v>31</v>
      </c>
      <c r="K418" s="6" t="s">
        <v>32</v>
      </c>
      <c r="L418" s="6" t="s">
        <v>1755</v>
      </c>
      <c r="M418" s="6" t="s">
        <v>84</v>
      </c>
      <c r="N418" s="10">
        <v>16</v>
      </c>
      <c r="O418" s="11">
        <v>4</v>
      </c>
      <c r="P418" s="12">
        <v>69</v>
      </c>
      <c r="Q418" s="13">
        <v>18.902904500000002</v>
      </c>
      <c r="R418" s="13">
        <v>-98.415797999999995</v>
      </c>
      <c r="S418" s="14" t="s">
        <v>190</v>
      </c>
      <c r="T418" s="14"/>
      <c r="U418" s="14"/>
      <c r="V418" s="14"/>
      <c r="W418" s="14"/>
      <c r="X418" s="14"/>
      <c r="Y418" s="14"/>
      <c r="Z418" s="14"/>
      <c r="AA418" s="15"/>
      <c r="AB418" s="16">
        <v>8.3333333333333329E-2</v>
      </c>
    </row>
    <row r="419" spans="1:28" x14ac:dyDescent="0.3">
      <c r="A419" s="6" t="s">
        <v>1267</v>
      </c>
      <c r="B419" s="7" t="s">
        <v>25</v>
      </c>
      <c r="C419" s="34" t="s">
        <v>535</v>
      </c>
      <c r="D419" s="33" t="s">
        <v>1775</v>
      </c>
      <c r="E419" s="6" t="s">
        <v>535</v>
      </c>
      <c r="F419" s="6" t="s">
        <v>1268</v>
      </c>
      <c r="G419" s="6" t="s">
        <v>111</v>
      </c>
      <c r="H419" s="7">
        <v>1</v>
      </c>
      <c r="I419" s="6" t="s">
        <v>155</v>
      </c>
      <c r="J419" s="6" t="s">
        <v>31</v>
      </c>
      <c r="K419" s="6" t="s">
        <v>32</v>
      </c>
      <c r="L419" s="6" t="s">
        <v>1756</v>
      </c>
      <c r="M419" s="6" t="s">
        <v>33</v>
      </c>
      <c r="N419" s="10">
        <v>20</v>
      </c>
      <c r="O419" s="11">
        <v>5</v>
      </c>
      <c r="P419" s="12">
        <v>104</v>
      </c>
      <c r="Q419" s="13">
        <v>19.0866662</v>
      </c>
      <c r="R419" s="13">
        <v>-98.198704899999996</v>
      </c>
      <c r="S419" s="14" t="s">
        <v>190</v>
      </c>
      <c r="T419" s="14"/>
      <c r="U419" s="14"/>
      <c r="V419" s="14"/>
      <c r="W419" s="14"/>
      <c r="X419" s="14"/>
      <c r="Y419" s="14"/>
      <c r="Z419" s="14"/>
      <c r="AA419" s="15"/>
      <c r="AB419" s="16">
        <v>8.3333333333333329E-2</v>
      </c>
    </row>
    <row r="420" spans="1:28" x14ac:dyDescent="0.3">
      <c r="A420" s="6" t="s">
        <v>1269</v>
      </c>
      <c r="B420" s="7" t="s">
        <v>25</v>
      </c>
      <c r="C420" s="34" t="s">
        <v>535</v>
      </c>
      <c r="D420" s="33" t="s">
        <v>1775</v>
      </c>
      <c r="E420" s="6" t="s">
        <v>535</v>
      </c>
      <c r="F420" s="6" t="s">
        <v>1270</v>
      </c>
      <c r="G420" s="6" t="s">
        <v>111</v>
      </c>
      <c r="H420" s="7">
        <v>1</v>
      </c>
      <c r="I420" s="6" t="s">
        <v>112</v>
      </c>
      <c r="J420" s="6" t="s">
        <v>31</v>
      </c>
      <c r="K420" s="6" t="s">
        <v>32</v>
      </c>
      <c r="L420" s="6" t="s">
        <v>1755</v>
      </c>
      <c r="M420" s="6" t="s">
        <v>33</v>
      </c>
      <c r="N420" s="10">
        <v>37</v>
      </c>
      <c r="O420" s="11">
        <v>9</v>
      </c>
      <c r="P420" s="12">
        <v>206</v>
      </c>
      <c r="Q420" s="13">
        <v>19.079308000000001</v>
      </c>
      <c r="R420" s="13">
        <v>-98.185216600000004</v>
      </c>
      <c r="S420" s="14" t="s">
        <v>190</v>
      </c>
      <c r="T420" s="14"/>
      <c r="U420" s="14"/>
      <c r="V420" s="14"/>
      <c r="W420" s="14"/>
      <c r="X420" s="14"/>
      <c r="Y420" s="14"/>
      <c r="Z420" s="14"/>
      <c r="AA420" s="15"/>
      <c r="AB420" s="16">
        <v>8.3333333333333329E-2</v>
      </c>
    </row>
    <row r="421" spans="1:28" x14ac:dyDescent="0.3">
      <c r="A421" s="6" t="s">
        <v>1271</v>
      </c>
      <c r="B421" s="7" t="s">
        <v>25</v>
      </c>
      <c r="C421" s="34" t="s">
        <v>535</v>
      </c>
      <c r="D421" s="33" t="s">
        <v>1775</v>
      </c>
      <c r="E421" s="6" t="s">
        <v>1272</v>
      </c>
      <c r="F421" s="6" t="s">
        <v>1273</v>
      </c>
      <c r="G421" s="6" t="s">
        <v>111</v>
      </c>
      <c r="H421" s="7">
        <v>1</v>
      </c>
      <c r="I421" s="6" t="s">
        <v>112</v>
      </c>
      <c r="J421" s="6" t="s">
        <v>31</v>
      </c>
      <c r="K421" s="6" t="s">
        <v>32</v>
      </c>
      <c r="L421" s="6" t="s">
        <v>1755</v>
      </c>
      <c r="M421" s="6" t="s">
        <v>33</v>
      </c>
      <c r="N421" s="10">
        <v>14</v>
      </c>
      <c r="O421" s="11">
        <v>3</v>
      </c>
      <c r="P421" s="12">
        <v>57</v>
      </c>
      <c r="Q421" s="13">
        <v>18.993343299999999</v>
      </c>
      <c r="R421" s="13">
        <v>-97.904352900000006</v>
      </c>
      <c r="S421" s="14" t="s">
        <v>190</v>
      </c>
      <c r="T421" s="14"/>
      <c r="U421" s="14"/>
      <c r="V421" s="14"/>
      <c r="W421" s="14"/>
      <c r="X421" s="14"/>
      <c r="Y421" s="14"/>
      <c r="Z421" s="14"/>
      <c r="AA421" s="15"/>
      <c r="AB421" s="16">
        <v>8.3333333333333329E-2</v>
      </c>
    </row>
    <row r="422" spans="1:28" x14ac:dyDescent="0.3">
      <c r="A422" s="6" t="s">
        <v>1274</v>
      </c>
      <c r="B422" s="7" t="s">
        <v>25</v>
      </c>
      <c r="C422" s="34" t="s">
        <v>535</v>
      </c>
      <c r="D422" s="33" t="s">
        <v>1775</v>
      </c>
      <c r="E422" s="6" t="s">
        <v>1275</v>
      </c>
      <c r="F422" s="6" t="s">
        <v>1276</v>
      </c>
      <c r="G422" s="6" t="s">
        <v>111</v>
      </c>
      <c r="H422" s="7">
        <v>1</v>
      </c>
      <c r="I422" s="6" t="s">
        <v>112</v>
      </c>
      <c r="J422" s="6" t="s">
        <v>31</v>
      </c>
      <c r="K422" s="6" t="s">
        <v>32</v>
      </c>
      <c r="L422" s="6" t="s">
        <v>1755</v>
      </c>
      <c r="M422" s="6" t="s">
        <v>33</v>
      </c>
      <c r="N422" s="10">
        <v>13</v>
      </c>
      <c r="O422" s="11">
        <v>3</v>
      </c>
      <c r="P422" s="12">
        <v>95</v>
      </c>
      <c r="Q422" s="13">
        <v>19.919967</v>
      </c>
      <c r="R422" s="13">
        <v>-97.962584399999997</v>
      </c>
      <c r="S422" s="14" t="s">
        <v>190</v>
      </c>
      <c r="T422" s="14"/>
      <c r="U422" s="14"/>
      <c r="V422" s="14"/>
      <c r="W422" s="14"/>
      <c r="X422" s="14"/>
      <c r="Y422" s="14"/>
      <c r="Z422" s="14"/>
      <c r="AA422" s="15"/>
      <c r="AB422" s="16">
        <v>8.3333333333333329E-2</v>
      </c>
    </row>
    <row r="423" spans="1:28" x14ac:dyDescent="0.3">
      <c r="A423" s="6" t="s">
        <v>1277</v>
      </c>
      <c r="B423" s="7" t="s">
        <v>25</v>
      </c>
      <c r="C423" s="34" t="s">
        <v>535</v>
      </c>
      <c r="D423" s="33" t="s">
        <v>1775</v>
      </c>
      <c r="E423" s="6" t="s">
        <v>1278</v>
      </c>
      <c r="F423" s="6" t="s">
        <v>1279</v>
      </c>
      <c r="G423" s="6" t="s">
        <v>111</v>
      </c>
      <c r="H423" s="7">
        <v>1</v>
      </c>
      <c r="I423" s="6" t="s">
        <v>112</v>
      </c>
      <c r="J423" s="6" t="s">
        <v>31</v>
      </c>
      <c r="K423" s="6" t="s">
        <v>32</v>
      </c>
      <c r="L423" s="6" t="s">
        <v>1755</v>
      </c>
      <c r="M423" s="6" t="s">
        <v>33</v>
      </c>
      <c r="N423" s="10">
        <v>8</v>
      </c>
      <c r="O423" s="11">
        <v>3</v>
      </c>
      <c r="P423" s="12">
        <v>55</v>
      </c>
      <c r="Q423" s="13">
        <v>20.186311100000001</v>
      </c>
      <c r="R423" s="13">
        <v>-98.069181200000003</v>
      </c>
      <c r="S423" s="14" t="s">
        <v>190</v>
      </c>
      <c r="T423" s="14"/>
      <c r="U423" s="14"/>
      <c r="V423" s="14"/>
      <c r="W423" s="14"/>
      <c r="X423" s="14"/>
      <c r="Y423" s="14"/>
      <c r="Z423" s="14"/>
      <c r="AA423" s="15"/>
      <c r="AB423" s="16">
        <v>8.3333333333333329E-2</v>
      </c>
    </row>
    <row r="424" spans="1:28" x14ac:dyDescent="0.3">
      <c r="A424" s="6" t="s">
        <v>1280</v>
      </c>
      <c r="B424" s="7" t="s">
        <v>25</v>
      </c>
      <c r="C424" s="34" t="s">
        <v>535</v>
      </c>
      <c r="D424" s="33" t="s">
        <v>1775</v>
      </c>
      <c r="E424" s="6" t="s">
        <v>1281</v>
      </c>
      <c r="F424" s="6" t="s">
        <v>1282</v>
      </c>
      <c r="G424" s="6" t="s">
        <v>111</v>
      </c>
      <c r="H424" s="7">
        <v>1</v>
      </c>
      <c r="I424" s="6" t="s">
        <v>112</v>
      </c>
      <c r="J424" s="6" t="s">
        <v>31</v>
      </c>
      <c r="K424" s="6" t="s">
        <v>32</v>
      </c>
      <c r="L424" s="6" t="s">
        <v>1755</v>
      </c>
      <c r="M424" s="6" t="s">
        <v>33</v>
      </c>
      <c r="N424" s="10">
        <v>19</v>
      </c>
      <c r="O424" s="11">
        <v>4</v>
      </c>
      <c r="P424" s="12">
        <v>96</v>
      </c>
      <c r="Q424" s="13">
        <v>18.590724399999999</v>
      </c>
      <c r="R424" s="13">
        <v>-98.451244700000004</v>
      </c>
      <c r="S424" s="14" t="s">
        <v>190</v>
      </c>
      <c r="T424" s="14"/>
      <c r="U424" s="14"/>
      <c r="V424" s="14"/>
      <c r="W424" s="14"/>
      <c r="X424" s="14"/>
      <c r="Y424" s="14"/>
      <c r="Z424" s="14"/>
      <c r="AA424" s="15"/>
      <c r="AB424" s="16">
        <v>8.3333333333333329E-2</v>
      </c>
    </row>
    <row r="425" spans="1:28" x14ac:dyDescent="0.3">
      <c r="A425" s="6" t="s">
        <v>1283</v>
      </c>
      <c r="B425" s="7" t="s">
        <v>25</v>
      </c>
      <c r="C425" s="34" t="s">
        <v>535</v>
      </c>
      <c r="D425" s="33" t="s">
        <v>1775</v>
      </c>
      <c r="E425" s="6" t="s">
        <v>1284</v>
      </c>
      <c r="F425" s="6" t="s">
        <v>1285</v>
      </c>
      <c r="G425" s="6" t="s">
        <v>111</v>
      </c>
      <c r="H425" s="7">
        <v>1</v>
      </c>
      <c r="I425" s="6" t="s">
        <v>112</v>
      </c>
      <c r="J425" s="6" t="s">
        <v>31</v>
      </c>
      <c r="K425" s="6" t="s">
        <v>32</v>
      </c>
      <c r="L425" s="6" t="s">
        <v>1755</v>
      </c>
      <c r="M425" s="6" t="s">
        <v>84</v>
      </c>
      <c r="N425" s="10">
        <v>17</v>
      </c>
      <c r="O425" s="11">
        <v>3</v>
      </c>
      <c r="P425" s="12">
        <v>59</v>
      </c>
      <c r="Q425" s="13">
        <v>20.009822700000001</v>
      </c>
      <c r="R425" s="13">
        <v>-97.531135000000006</v>
      </c>
      <c r="S425" s="14" t="s">
        <v>190</v>
      </c>
      <c r="T425" s="14"/>
      <c r="U425" s="14"/>
      <c r="V425" s="14"/>
      <c r="W425" s="14"/>
      <c r="X425" s="14"/>
      <c r="Y425" s="14"/>
      <c r="Z425" s="14"/>
      <c r="AA425" s="15"/>
      <c r="AB425" s="16">
        <v>8.3333333333333329E-2</v>
      </c>
    </row>
    <row r="426" spans="1:28" x14ac:dyDescent="0.3">
      <c r="A426" s="6" t="s">
        <v>1286</v>
      </c>
      <c r="B426" s="7" t="s">
        <v>25</v>
      </c>
      <c r="C426" s="34" t="s">
        <v>535</v>
      </c>
      <c r="D426" s="33" t="s">
        <v>1775</v>
      </c>
      <c r="E426" s="6" t="s">
        <v>1287</v>
      </c>
      <c r="F426" s="6" t="s">
        <v>1288</v>
      </c>
      <c r="G426" s="6" t="s">
        <v>111</v>
      </c>
      <c r="H426" s="7">
        <v>1</v>
      </c>
      <c r="I426" s="6" t="s">
        <v>112</v>
      </c>
      <c r="J426" s="6" t="s">
        <v>31</v>
      </c>
      <c r="K426" s="6" t="s">
        <v>32</v>
      </c>
      <c r="L426" s="6" t="s">
        <v>1755</v>
      </c>
      <c r="M426" s="6" t="s">
        <v>33</v>
      </c>
      <c r="N426" s="10">
        <v>11</v>
      </c>
      <c r="O426" s="11">
        <v>3</v>
      </c>
      <c r="P426" s="12">
        <v>50</v>
      </c>
      <c r="Q426" s="13">
        <v>18.879314900000001</v>
      </c>
      <c r="R426" s="13">
        <v>-97.714111700000004</v>
      </c>
      <c r="S426" s="14" t="s">
        <v>190</v>
      </c>
      <c r="T426" s="14"/>
      <c r="U426" s="14"/>
      <c r="V426" s="14"/>
      <c r="W426" s="14"/>
      <c r="X426" s="14"/>
      <c r="Y426" s="14"/>
      <c r="Z426" s="14"/>
      <c r="AA426" s="15"/>
      <c r="AB426" s="16">
        <v>8.3333333333333329E-2</v>
      </c>
    </row>
    <row r="427" spans="1:28" x14ac:dyDescent="0.3">
      <c r="A427" s="6" t="s">
        <v>1289</v>
      </c>
      <c r="B427" s="7" t="s">
        <v>25</v>
      </c>
      <c r="C427" s="34" t="s">
        <v>628</v>
      </c>
      <c r="D427" s="33" t="s">
        <v>1775</v>
      </c>
      <c r="E427" s="6" t="s">
        <v>1290</v>
      </c>
      <c r="F427" s="6" t="s">
        <v>1291</v>
      </c>
      <c r="G427" s="6" t="s">
        <v>111</v>
      </c>
      <c r="H427" s="7">
        <v>1</v>
      </c>
      <c r="I427" s="6" t="s">
        <v>112</v>
      </c>
      <c r="J427" s="6" t="s">
        <v>31</v>
      </c>
      <c r="K427" s="6" t="s">
        <v>32</v>
      </c>
      <c r="L427" s="6" t="s">
        <v>1755</v>
      </c>
      <c r="M427" s="6" t="s">
        <v>33</v>
      </c>
      <c r="N427" s="10">
        <v>7</v>
      </c>
      <c r="O427" s="11">
        <v>3</v>
      </c>
      <c r="P427" s="12">
        <v>84</v>
      </c>
      <c r="Q427" s="13">
        <v>20.501746199999999</v>
      </c>
      <c r="R427" s="13">
        <v>-86.953448800000004</v>
      </c>
      <c r="S427" s="14" t="s">
        <v>176</v>
      </c>
      <c r="T427" s="14"/>
      <c r="U427" s="14"/>
      <c r="V427" s="14"/>
      <c r="W427" s="14"/>
      <c r="X427" s="14"/>
      <c r="Y427" s="14"/>
      <c r="Z427" s="14"/>
      <c r="AA427" s="15"/>
      <c r="AB427" s="16">
        <v>4.1666666666666664E-2</v>
      </c>
    </row>
    <row r="428" spans="1:28" x14ac:dyDescent="0.3">
      <c r="A428" s="6" t="s">
        <v>1292</v>
      </c>
      <c r="B428" s="7" t="s">
        <v>25</v>
      </c>
      <c r="C428" s="34" t="s">
        <v>628</v>
      </c>
      <c r="D428" s="33" t="s">
        <v>1775</v>
      </c>
      <c r="E428" s="6" t="s">
        <v>1293</v>
      </c>
      <c r="F428" s="6" t="s">
        <v>1294</v>
      </c>
      <c r="G428" s="6" t="s">
        <v>111</v>
      </c>
      <c r="H428" s="7">
        <v>1</v>
      </c>
      <c r="I428" s="6" t="s">
        <v>112</v>
      </c>
      <c r="J428" s="6" t="s">
        <v>31</v>
      </c>
      <c r="K428" s="6" t="s">
        <v>32</v>
      </c>
      <c r="L428" s="6" t="s">
        <v>1755</v>
      </c>
      <c r="M428" s="6" t="s">
        <v>33</v>
      </c>
      <c r="N428" s="10">
        <v>9</v>
      </c>
      <c r="O428" s="11">
        <v>2</v>
      </c>
      <c r="P428" s="12">
        <v>51</v>
      </c>
      <c r="Q428" s="13">
        <v>19.571196</v>
      </c>
      <c r="R428" s="13">
        <v>-88.045705799999993</v>
      </c>
      <c r="S428" s="14" t="s">
        <v>176</v>
      </c>
      <c r="T428" s="14"/>
      <c r="U428" s="14"/>
      <c r="V428" s="14"/>
      <c r="W428" s="14"/>
      <c r="X428" s="14"/>
      <c r="Y428" s="14"/>
      <c r="Z428" s="14"/>
      <c r="AA428" s="15"/>
      <c r="AB428" s="16">
        <v>4.1666666666666664E-2</v>
      </c>
    </row>
    <row r="429" spans="1:28" x14ac:dyDescent="0.3">
      <c r="A429" s="6" t="s">
        <v>1295</v>
      </c>
      <c r="B429" s="7" t="s">
        <v>25</v>
      </c>
      <c r="C429" s="34" t="s">
        <v>628</v>
      </c>
      <c r="D429" s="33" t="s">
        <v>1775</v>
      </c>
      <c r="E429" s="6" t="s">
        <v>641</v>
      </c>
      <c r="F429" s="6" t="s">
        <v>1296</v>
      </c>
      <c r="G429" s="6" t="s">
        <v>111</v>
      </c>
      <c r="H429" s="7">
        <v>1</v>
      </c>
      <c r="I429" s="6" t="s">
        <v>112</v>
      </c>
      <c r="J429" s="6" t="s">
        <v>31</v>
      </c>
      <c r="K429" s="6" t="s">
        <v>32</v>
      </c>
      <c r="L429" s="6" t="s">
        <v>1755</v>
      </c>
      <c r="M429" s="6" t="s">
        <v>33</v>
      </c>
      <c r="N429" s="10">
        <v>12</v>
      </c>
      <c r="O429" s="11">
        <v>2</v>
      </c>
      <c r="P429" s="12">
        <v>128</v>
      </c>
      <c r="Q429" s="13">
        <v>18.516999999999999</v>
      </c>
      <c r="R429" s="13">
        <v>-88.304000000000002</v>
      </c>
      <c r="S429" s="14" t="s">
        <v>176</v>
      </c>
      <c r="T429" s="14"/>
      <c r="U429" s="14"/>
      <c r="V429" s="14"/>
      <c r="W429" s="14"/>
      <c r="X429" s="14"/>
      <c r="Y429" s="14"/>
      <c r="Z429" s="14"/>
      <c r="AA429" s="15"/>
      <c r="AB429" s="16">
        <v>4.1666666666666664E-2</v>
      </c>
    </row>
    <row r="430" spans="1:28" x14ac:dyDescent="0.3">
      <c r="A430" s="6" t="s">
        <v>1297</v>
      </c>
      <c r="B430" s="7" t="s">
        <v>25</v>
      </c>
      <c r="C430" s="34" t="s">
        <v>628</v>
      </c>
      <c r="D430" s="33" t="s">
        <v>1775</v>
      </c>
      <c r="E430" s="6" t="s">
        <v>641</v>
      </c>
      <c r="F430" s="6" t="s">
        <v>1298</v>
      </c>
      <c r="G430" s="6" t="s">
        <v>111</v>
      </c>
      <c r="H430" s="7">
        <v>1</v>
      </c>
      <c r="I430" s="6" t="s">
        <v>155</v>
      </c>
      <c r="J430" s="6" t="s">
        <v>31</v>
      </c>
      <c r="K430" s="6" t="s">
        <v>32</v>
      </c>
      <c r="L430" s="6" t="s">
        <v>1755</v>
      </c>
      <c r="M430" s="6" t="s">
        <v>33</v>
      </c>
      <c r="N430" s="10">
        <v>13</v>
      </c>
      <c r="O430" s="11">
        <v>2</v>
      </c>
      <c r="P430" s="12">
        <v>45</v>
      </c>
      <c r="Q430" s="13">
        <v>18.5077</v>
      </c>
      <c r="R430" s="13">
        <v>-88.347432999999995</v>
      </c>
      <c r="S430" s="14" t="s">
        <v>176</v>
      </c>
      <c r="T430" s="14"/>
      <c r="U430" s="14"/>
      <c r="V430" s="14"/>
      <c r="W430" s="14"/>
      <c r="X430" s="14"/>
      <c r="Y430" s="14"/>
      <c r="Z430" s="14"/>
      <c r="AA430" s="15"/>
      <c r="AB430" s="16">
        <v>4.1666666666666664E-2</v>
      </c>
    </row>
    <row r="431" spans="1:28" x14ac:dyDescent="0.3">
      <c r="A431" s="6" t="s">
        <v>1299</v>
      </c>
      <c r="B431" s="7" t="s">
        <v>25</v>
      </c>
      <c r="C431" s="34" t="s">
        <v>628</v>
      </c>
      <c r="D431" s="33" t="s">
        <v>1775</v>
      </c>
      <c r="E431" s="6" t="s">
        <v>1300</v>
      </c>
      <c r="F431" s="6" t="s">
        <v>1301</v>
      </c>
      <c r="G431" s="6" t="s">
        <v>111</v>
      </c>
      <c r="H431" s="7">
        <v>1</v>
      </c>
      <c r="I431" s="6" t="s">
        <v>112</v>
      </c>
      <c r="J431" s="6" t="s">
        <v>31</v>
      </c>
      <c r="K431" s="6" t="s">
        <v>32</v>
      </c>
      <c r="L431" s="6" t="s">
        <v>1755</v>
      </c>
      <c r="M431" s="6" t="s">
        <v>33</v>
      </c>
      <c r="N431" s="10">
        <v>15</v>
      </c>
      <c r="O431" s="11">
        <v>3</v>
      </c>
      <c r="P431" s="12">
        <v>73</v>
      </c>
      <c r="Q431" s="13">
        <v>20.644802500000001</v>
      </c>
      <c r="R431" s="13">
        <v>-87.094999400000006</v>
      </c>
      <c r="S431" s="14" t="s">
        <v>176</v>
      </c>
      <c r="T431" s="14"/>
      <c r="U431" s="14"/>
      <c r="V431" s="14"/>
      <c r="W431" s="14"/>
      <c r="X431" s="14"/>
      <c r="Y431" s="14"/>
      <c r="Z431" s="14"/>
      <c r="AA431" s="15"/>
      <c r="AB431" s="16">
        <v>4.1666666666666664E-2</v>
      </c>
    </row>
    <row r="432" spans="1:28" x14ac:dyDescent="0.3">
      <c r="A432" s="6" t="s">
        <v>1302</v>
      </c>
      <c r="B432" s="7" t="s">
        <v>25</v>
      </c>
      <c r="C432" s="34" t="s">
        <v>628</v>
      </c>
      <c r="D432" s="33" t="s">
        <v>1775</v>
      </c>
      <c r="E432" s="6" t="s">
        <v>226</v>
      </c>
      <c r="F432" s="6" t="s">
        <v>1303</v>
      </c>
      <c r="G432" s="6" t="s">
        <v>111</v>
      </c>
      <c r="H432" s="7">
        <v>1</v>
      </c>
      <c r="I432" s="6" t="s">
        <v>112</v>
      </c>
      <c r="J432" s="6" t="s">
        <v>31</v>
      </c>
      <c r="K432" s="6" t="s">
        <v>32</v>
      </c>
      <c r="L432" s="6" t="s">
        <v>1755</v>
      </c>
      <c r="M432" s="6" t="s">
        <v>33</v>
      </c>
      <c r="N432" s="10">
        <v>33</v>
      </c>
      <c r="O432" s="11">
        <v>6</v>
      </c>
      <c r="P432" s="12">
        <v>273</v>
      </c>
      <c r="Q432" s="13">
        <v>21.195309999999999</v>
      </c>
      <c r="R432" s="13">
        <v>-86.876869999999997</v>
      </c>
      <c r="S432" s="14" t="s">
        <v>176</v>
      </c>
      <c r="T432" s="14"/>
      <c r="U432" s="14"/>
      <c r="V432" s="14"/>
      <c r="W432" s="14"/>
      <c r="X432" s="14"/>
      <c r="Y432" s="14"/>
      <c r="Z432" s="14"/>
      <c r="AA432" s="15"/>
      <c r="AB432" s="16">
        <v>4.1666666666666664E-2</v>
      </c>
    </row>
    <row r="433" spans="1:28" x14ac:dyDescent="0.3">
      <c r="A433" s="6" t="s">
        <v>1304</v>
      </c>
      <c r="B433" s="7" t="s">
        <v>25</v>
      </c>
      <c r="C433" s="34" t="s">
        <v>647</v>
      </c>
      <c r="D433" s="33" t="s">
        <v>1775</v>
      </c>
      <c r="E433" s="6" t="s">
        <v>1305</v>
      </c>
      <c r="F433" s="6" t="s">
        <v>1306</v>
      </c>
      <c r="G433" s="6" t="s">
        <v>111</v>
      </c>
      <c r="H433" s="7">
        <v>1</v>
      </c>
      <c r="I433" s="6" t="s">
        <v>112</v>
      </c>
      <c r="J433" s="6" t="s">
        <v>31</v>
      </c>
      <c r="K433" s="6" t="s">
        <v>32</v>
      </c>
      <c r="L433" s="6" t="s">
        <v>1755</v>
      </c>
      <c r="M433" s="6" t="s">
        <v>33</v>
      </c>
      <c r="N433" s="10">
        <v>13</v>
      </c>
      <c r="O433" s="11">
        <v>6</v>
      </c>
      <c r="P433" s="12">
        <v>206</v>
      </c>
      <c r="Q433" s="13">
        <v>21.948257000000002</v>
      </c>
      <c r="R433" s="13">
        <v>-98.993797999999998</v>
      </c>
      <c r="S433" s="14" t="s">
        <v>190</v>
      </c>
      <c r="T433" s="14"/>
      <c r="U433" s="14"/>
      <c r="V433" s="14"/>
      <c r="W433" s="14"/>
      <c r="X433" s="14"/>
      <c r="Y433" s="14"/>
      <c r="Z433" s="14"/>
      <c r="AA433" s="15"/>
      <c r="AB433" s="16">
        <v>8.3333333333333329E-2</v>
      </c>
    </row>
    <row r="434" spans="1:28" x14ac:dyDescent="0.3">
      <c r="A434" s="6" t="s">
        <v>1307</v>
      </c>
      <c r="B434" s="7" t="s">
        <v>25</v>
      </c>
      <c r="C434" s="34" t="s">
        <v>647</v>
      </c>
      <c r="D434" s="33" t="s">
        <v>1775</v>
      </c>
      <c r="E434" s="6" t="s">
        <v>1308</v>
      </c>
      <c r="F434" s="6" t="s">
        <v>1309</v>
      </c>
      <c r="G434" s="6" t="s">
        <v>111</v>
      </c>
      <c r="H434" s="7">
        <v>1</v>
      </c>
      <c r="I434" s="6" t="s">
        <v>112</v>
      </c>
      <c r="J434" s="6" t="s">
        <v>31</v>
      </c>
      <c r="K434" s="6" t="s">
        <v>32</v>
      </c>
      <c r="L434" s="6" t="s">
        <v>1755</v>
      </c>
      <c r="M434" s="6" t="s">
        <v>33</v>
      </c>
      <c r="N434" s="10">
        <v>17</v>
      </c>
      <c r="O434" s="11">
        <v>4</v>
      </c>
      <c r="P434" s="12">
        <v>130</v>
      </c>
      <c r="Q434" s="13">
        <v>21.919696399999999</v>
      </c>
      <c r="R434" s="13">
        <v>-99.991885100000005</v>
      </c>
      <c r="S434" s="14" t="s">
        <v>190</v>
      </c>
      <c r="T434" s="14"/>
      <c r="U434" s="14"/>
      <c r="V434" s="14"/>
      <c r="W434" s="14"/>
      <c r="X434" s="14"/>
      <c r="Y434" s="14"/>
      <c r="Z434" s="14"/>
      <c r="AA434" s="15"/>
      <c r="AB434" s="16">
        <v>8.3333333333333329E-2</v>
      </c>
    </row>
    <row r="435" spans="1:28" x14ac:dyDescent="0.3">
      <c r="A435" s="6" t="s">
        <v>1310</v>
      </c>
      <c r="B435" s="7" t="s">
        <v>25</v>
      </c>
      <c r="C435" s="34" t="s">
        <v>647</v>
      </c>
      <c r="D435" s="33" t="s">
        <v>1775</v>
      </c>
      <c r="E435" s="6" t="s">
        <v>1311</v>
      </c>
      <c r="F435" s="6" t="s">
        <v>1312</v>
      </c>
      <c r="G435" s="6" t="s">
        <v>111</v>
      </c>
      <c r="H435" s="7">
        <v>1</v>
      </c>
      <c r="I435" s="6" t="s">
        <v>112</v>
      </c>
      <c r="J435" s="6" t="s">
        <v>31</v>
      </c>
      <c r="K435" s="6" t="s">
        <v>32</v>
      </c>
      <c r="L435" s="6" t="s">
        <v>1755</v>
      </c>
      <c r="M435" s="6" t="s">
        <v>33</v>
      </c>
      <c r="N435" s="10">
        <v>18</v>
      </c>
      <c r="O435" s="11">
        <v>4</v>
      </c>
      <c r="P435" s="12">
        <v>109</v>
      </c>
      <c r="Q435" s="13">
        <v>23.669090000000001</v>
      </c>
      <c r="R435" s="13">
        <v>-100.653531</v>
      </c>
      <c r="S435" s="14" t="s">
        <v>190</v>
      </c>
      <c r="T435" s="14"/>
      <c r="U435" s="14"/>
      <c r="V435" s="14"/>
      <c r="W435" s="14"/>
      <c r="X435" s="14"/>
      <c r="Y435" s="14"/>
      <c r="Z435" s="14"/>
      <c r="AA435" s="15"/>
      <c r="AB435" s="16">
        <v>8.3333333333333329E-2</v>
      </c>
    </row>
    <row r="436" spans="1:28" x14ac:dyDescent="0.3">
      <c r="A436" s="6" t="s">
        <v>1313</v>
      </c>
      <c r="B436" s="7" t="s">
        <v>25</v>
      </c>
      <c r="C436" s="34" t="s">
        <v>647</v>
      </c>
      <c r="D436" s="33" t="s">
        <v>1775</v>
      </c>
      <c r="E436" s="6" t="s">
        <v>647</v>
      </c>
      <c r="F436" s="6" t="s">
        <v>1314</v>
      </c>
      <c r="G436" s="6" t="s">
        <v>111</v>
      </c>
      <c r="H436" s="7">
        <v>1</v>
      </c>
      <c r="I436" s="6" t="s">
        <v>155</v>
      </c>
      <c r="J436" s="6" t="s">
        <v>31</v>
      </c>
      <c r="K436" s="6" t="s">
        <v>32</v>
      </c>
      <c r="L436" s="6" t="s">
        <v>1756</v>
      </c>
      <c r="M436" s="6" t="s">
        <v>33</v>
      </c>
      <c r="N436" s="10">
        <v>93</v>
      </c>
      <c r="O436" s="11">
        <v>12</v>
      </c>
      <c r="P436" s="12">
        <v>366</v>
      </c>
      <c r="Q436" s="13">
        <v>22.147998000000001</v>
      </c>
      <c r="R436" s="13">
        <v>-101.014679</v>
      </c>
      <c r="S436" s="14" t="s">
        <v>190</v>
      </c>
      <c r="T436" s="14"/>
      <c r="U436" s="14"/>
      <c r="V436" s="14"/>
      <c r="W436" s="14"/>
      <c r="X436" s="14"/>
      <c r="Y436" s="14"/>
      <c r="Z436" s="14"/>
      <c r="AA436" s="15"/>
      <c r="AB436" s="16">
        <v>8.3333333333333329E-2</v>
      </c>
    </row>
    <row r="437" spans="1:28" x14ac:dyDescent="0.3">
      <c r="A437" s="6" t="s">
        <v>1315</v>
      </c>
      <c r="B437" s="7" t="s">
        <v>25</v>
      </c>
      <c r="C437" s="34" t="s">
        <v>647</v>
      </c>
      <c r="D437" s="33" t="s">
        <v>1775</v>
      </c>
      <c r="E437" s="6" t="s">
        <v>1316</v>
      </c>
      <c r="F437" s="6" t="s">
        <v>1317</v>
      </c>
      <c r="G437" s="6" t="s">
        <v>111</v>
      </c>
      <c r="H437" s="7">
        <v>1</v>
      </c>
      <c r="I437" s="6" t="s">
        <v>112</v>
      </c>
      <c r="J437" s="6" t="s">
        <v>31</v>
      </c>
      <c r="K437" s="6" t="s">
        <v>32</v>
      </c>
      <c r="L437" s="6" t="s">
        <v>1756</v>
      </c>
      <c r="M437" s="6" t="s">
        <v>33</v>
      </c>
      <c r="N437" s="10">
        <v>20</v>
      </c>
      <c r="O437" s="11">
        <v>8</v>
      </c>
      <c r="P437" s="12">
        <v>148</v>
      </c>
      <c r="Q437" s="13">
        <v>22.164570999999999</v>
      </c>
      <c r="R437" s="13">
        <v>-100.938266</v>
      </c>
      <c r="S437" s="14" t="s">
        <v>190</v>
      </c>
      <c r="T437" s="14"/>
      <c r="U437" s="14"/>
      <c r="V437" s="14"/>
      <c r="W437" s="14"/>
      <c r="X437" s="14"/>
      <c r="Y437" s="14"/>
      <c r="Z437" s="14"/>
      <c r="AA437" s="15"/>
      <c r="AB437" s="16">
        <v>8.3333333333333329E-2</v>
      </c>
    </row>
    <row r="438" spans="1:28" x14ac:dyDescent="0.3">
      <c r="A438" s="6" t="s">
        <v>1318</v>
      </c>
      <c r="B438" s="7" t="s">
        <v>25</v>
      </c>
      <c r="C438" s="34" t="s">
        <v>672</v>
      </c>
      <c r="D438" s="33" t="s">
        <v>1775</v>
      </c>
      <c r="E438" s="6" t="s">
        <v>705</v>
      </c>
      <c r="F438" s="6" t="s">
        <v>1319</v>
      </c>
      <c r="G438" s="6" t="s">
        <v>111</v>
      </c>
      <c r="H438" s="7">
        <v>1</v>
      </c>
      <c r="I438" s="6" t="s">
        <v>112</v>
      </c>
      <c r="J438" s="6" t="s">
        <v>31</v>
      </c>
      <c r="K438" s="6" t="s">
        <v>32</v>
      </c>
      <c r="L438" s="6" t="s">
        <v>1755</v>
      </c>
      <c r="M438" s="6" t="s">
        <v>33</v>
      </c>
      <c r="N438" s="10">
        <v>51</v>
      </c>
      <c r="O438" s="11">
        <v>9</v>
      </c>
      <c r="P438" s="12">
        <v>242</v>
      </c>
      <c r="Q438" s="13">
        <v>24.8325414</v>
      </c>
      <c r="R438" s="13">
        <v>-107.3660201</v>
      </c>
      <c r="S438" s="14" t="s">
        <v>190</v>
      </c>
      <c r="T438" s="14"/>
      <c r="U438" s="14"/>
      <c r="V438" s="14"/>
      <c r="W438" s="14"/>
      <c r="X438" s="14"/>
      <c r="Y438" s="14"/>
      <c r="Z438" s="14"/>
      <c r="AA438" s="15"/>
      <c r="AB438" s="16">
        <v>8.3333333333333329E-2</v>
      </c>
    </row>
    <row r="439" spans="1:28" x14ac:dyDescent="0.3">
      <c r="A439" s="6" t="s">
        <v>1320</v>
      </c>
      <c r="B439" s="7" t="s">
        <v>25</v>
      </c>
      <c r="C439" s="34" t="s">
        <v>672</v>
      </c>
      <c r="D439" s="33" t="s">
        <v>1775</v>
      </c>
      <c r="E439" s="6" t="s">
        <v>699</v>
      </c>
      <c r="F439" s="6" t="s">
        <v>1321</v>
      </c>
      <c r="G439" s="6" t="s">
        <v>111</v>
      </c>
      <c r="H439" s="7">
        <v>1</v>
      </c>
      <c r="I439" s="6" t="s">
        <v>112</v>
      </c>
      <c r="J439" s="6" t="s">
        <v>31</v>
      </c>
      <c r="K439" s="6" t="s">
        <v>32</v>
      </c>
      <c r="L439" s="6" t="s">
        <v>1756</v>
      </c>
      <c r="M439" s="6" t="s">
        <v>33</v>
      </c>
      <c r="N439" s="10">
        <v>21</v>
      </c>
      <c r="O439" s="11">
        <v>7</v>
      </c>
      <c r="P439" s="12">
        <v>192</v>
      </c>
      <c r="Q439" s="13">
        <v>25.771093100000002</v>
      </c>
      <c r="R439" s="13">
        <v>-108.988561</v>
      </c>
      <c r="S439" s="14" t="s">
        <v>190</v>
      </c>
      <c r="T439" s="14"/>
      <c r="U439" s="14"/>
      <c r="V439" s="14"/>
      <c r="W439" s="14"/>
      <c r="X439" s="14"/>
      <c r="Y439" s="14"/>
      <c r="Z439" s="14"/>
      <c r="AA439" s="15"/>
      <c r="AB439" s="16">
        <v>8.3333333333333329E-2</v>
      </c>
    </row>
    <row r="440" spans="1:28" x14ac:dyDescent="0.3">
      <c r="A440" s="6" t="s">
        <v>1322</v>
      </c>
      <c r="B440" s="7" t="s">
        <v>25</v>
      </c>
      <c r="C440" s="34" t="s">
        <v>672</v>
      </c>
      <c r="D440" s="33" t="s">
        <v>1775</v>
      </c>
      <c r="E440" s="6" t="s">
        <v>1323</v>
      </c>
      <c r="F440" s="6" t="s">
        <v>1324</v>
      </c>
      <c r="G440" s="6" t="s">
        <v>111</v>
      </c>
      <c r="H440" s="7">
        <v>1</v>
      </c>
      <c r="I440" s="6" t="s">
        <v>112</v>
      </c>
      <c r="J440" s="6" t="s">
        <v>31</v>
      </c>
      <c r="K440" s="6" t="s">
        <v>32</v>
      </c>
      <c r="L440" s="6" t="s">
        <v>1755</v>
      </c>
      <c r="M440" s="6" t="s">
        <v>33</v>
      </c>
      <c r="N440" s="10">
        <v>18</v>
      </c>
      <c r="O440" s="11">
        <v>7</v>
      </c>
      <c r="P440" s="12">
        <v>92</v>
      </c>
      <c r="Q440" s="13">
        <v>25.5530893</v>
      </c>
      <c r="R440" s="13">
        <v>-108.4751021</v>
      </c>
      <c r="S440" s="14" t="s">
        <v>190</v>
      </c>
      <c r="T440" s="14"/>
      <c r="U440" s="14"/>
      <c r="V440" s="14"/>
      <c r="W440" s="14"/>
      <c r="X440" s="14"/>
      <c r="Y440" s="14"/>
      <c r="Z440" s="14"/>
      <c r="AA440" s="15"/>
      <c r="AB440" s="16">
        <v>8.3333333333333329E-2</v>
      </c>
    </row>
    <row r="441" spans="1:28" x14ac:dyDescent="0.3">
      <c r="A441" s="6" t="s">
        <v>1325</v>
      </c>
      <c r="B441" s="7" t="s">
        <v>25</v>
      </c>
      <c r="C441" s="34" t="s">
        <v>672</v>
      </c>
      <c r="D441" s="33" t="s">
        <v>1775</v>
      </c>
      <c r="E441" s="6" t="s">
        <v>1326</v>
      </c>
      <c r="F441" s="6" t="s">
        <v>1327</v>
      </c>
      <c r="G441" s="6" t="s">
        <v>111</v>
      </c>
      <c r="H441" s="7">
        <v>1</v>
      </c>
      <c r="I441" s="6" t="s">
        <v>112</v>
      </c>
      <c r="J441" s="6" t="s">
        <v>31</v>
      </c>
      <c r="K441" s="6" t="s">
        <v>32</v>
      </c>
      <c r="L441" s="6" t="s">
        <v>1756</v>
      </c>
      <c r="M441" s="6" t="s">
        <v>33</v>
      </c>
      <c r="N441" s="10">
        <v>31</v>
      </c>
      <c r="O441" s="11">
        <v>6</v>
      </c>
      <c r="P441" s="12">
        <v>148</v>
      </c>
      <c r="Q441" s="13">
        <v>23.291899999999998</v>
      </c>
      <c r="R441" s="13">
        <v>-106.45269999999999</v>
      </c>
      <c r="S441" s="14" t="s">
        <v>190</v>
      </c>
      <c r="T441" s="14"/>
      <c r="U441" s="14"/>
      <c r="V441" s="14"/>
      <c r="W441" s="14"/>
      <c r="X441" s="14"/>
      <c r="Y441" s="14"/>
      <c r="Z441" s="14"/>
      <c r="AA441" s="15"/>
      <c r="AB441" s="16">
        <v>8.3333333333333329E-2</v>
      </c>
    </row>
    <row r="442" spans="1:28" x14ac:dyDescent="0.3">
      <c r="A442" s="6" t="s">
        <v>1328</v>
      </c>
      <c r="B442" s="7" t="s">
        <v>25</v>
      </c>
      <c r="C442" s="34" t="s">
        <v>672</v>
      </c>
      <c r="D442" s="33" t="s">
        <v>1775</v>
      </c>
      <c r="E442" s="6" t="s">
        <v>1329</v>
      </c>
      <c r="F442" s="6" t="s">
        <v>1330</v>
      </c>
      <c r="G442" s="6" t="s">
        <v>111</v>
      </c>
      <c r="H442" s="7">
        <v>1</v>
      </c>
      <c r="I442" s="6" t="s">
        <v>112</v>
      </c>
      <c r="J442" s="6" t="s">
        <v>31</v>
      </c>
      <c r="K442" s="6" t="s">
        <v>32</v>
      </c>
      <c r="L442" s="6" t="s">
        <v>1755</v>
      </c>
      <c r="M442" s="6" t="s">
        <v>33</v>
      </c>
      <c r="N442" s="10">
        <v>12</v>
      </c>
      <c r="O442" s="11">
        <v>2</v>
      </c>
      <c r="P442" s="12">
        <v>51</v>
      </c>
      <c r="Q442" s="13">
        <v>23.9334366</v>
      </c>
      <c r="R442" s="13">
        <v>-106.8759673</v>
      </c>
      <c r="S442" s="14" t="s">
        <v>190</v>
      </c>
      <c r="T442" s="14"/>
      <c r="U442" s="14"/>
      <c r="V442" s="14"/>
      <c r="W442" s="14"/>
      <c r="X442" s="14"/>
      <c r="Y442" s="14"/>
      <c r="Z442" s="14"/>
      <c r="AA442" s="15"/>
      <c r="AB442" s="16">
        <v>8.3333333333333329E-2</v>
      </c>
    </row>
    <row r="443" spans="1:28" x14ac:dyDescent="0.3">
      <c r="A443" s="6" t="s">
        <v>1331</v>
      </c>
      <c r="B443" s="7" t="s">
        <v>25</v>
      </c>
      <c r="C443" s="34" t="s">
        <v>672</v>
      </c>
      <c r="D443" s="33" t="s">
        <v>1775</v>
      </c>
      <c r="E443" s="6" t="s">
        <v>1332</v>
      </c>
      <c r="F443" s="6" t="s">
        <v>1333</v>
      </c>
      <c r="G443" s="6" t="s">
        <v>111</v>
      </c>
      <c r="H443" s="7">
        <v>1</v>
      </c>
      <c r="I443" s="6" t="s">
        <v>112</v>
      </c>
      <c r="J443" s="6" t="s">
        <v>31</v>
      </c>
      <c r="K443" s="6" t="s">
        <v>32</v>
      </c>
      <c r="L443" s="6" t="s">
        <v>1755</v>
      </c>
      <c r="M443" s="6" t="s">
        <v>33</v>
      </c>
      <c r="N443" s="10">
        <v>17</v>
      </c>
      <c r="O443" s="11">
        <v>3</v>
      </c>
      <c r="P443" s="12">
        <v>79</v>
      </c>
      <c r="Q443" s="13">
        <v>22.831477799999998</v>
      </c>
      <c r="R443" s="13">
        <v>-105.77733449999999</v>
      </c>
      <c r="S443" s="14" t="s">
        <v>190</v>
      </c>
      <c r="T443" s="14"/>
      <c r="U443" s="14"/>
      <c r="V443" s="14"/>
      <c r="W443" s="14"/>
      <c r="X443" s="14"/>
      <c r="Y443" s="14"/>
      <c r="Z443" s="14"/>
      <c r="AA443" s="15"/>
      <c r="AB443" s="16">
        <v>8.3333333333333329E-2</v>
      </c>
    </row>
    <row r="444" spans="1:28" x14ac:dyDescent="0.3">
      <c r="A444" s="6" t="s">
        <v>1334</v>
      </c>
      <c r="B444" s="7" t="s">
        <v>25</v>
      </c>
      <c r="C444" s="34" t="s">
        <v>672</v>
      </c>
      <c r="D444" s="33" t="s">
        <v>1775</v>
      </c>
      <c r="E444" s="6" t="s">
        <v>1335</v>
      </c>
      <c r="F444" s="6" t="s">
        <v>1336</v>
      </c>
      <c r="G444" s="6" t="s">
        <v>111</v>
      </c>
      <c r="H444" s="7">
        <v>1</v>
      </c>
      <c r="I444" s="6" t="s">
        <v>112</v>
      </c>
      <c r="J444" s="6" t="s">
        <v>31</v>
      </c>
      <c r="K444" s="6" t="s">
        <v>32</v>
      </c>
      <c r="L444" s="6" t="s">
        <v>1755</v>
      </c>
      <c r="M444" s="6" t="s">
        <v>33</v>
      </c>
      <c r="N444" s="10">
        <v>13</v>
      </c>
      <c r="O444" s="11">
        <v>1</v>
      </c>
      <c r="P444" s="12">
        <v>48</v>
      </c>
      <c r="Q444" s="13">
        <v>24.311874199999998</v>
      </c>
      <c r="R444" s="13">
        <v>-107.36495909999999</v>
      </c>
      <c r="S444" s="14" t="s">
        <v>190</v>
      </c>
      <c r="T444" s="14"/>
      <c r="U444" s="14"/>
      <c r="V444" s="14"/>
      <c r="W444" s="14"/>
      <c r="X444" s="14"/>
      <c r="Y444" s="14"/>
      <c r="Z444" s="14"/>
      <c r="AA444" s="15"/>
      <c r="AB444" s="16">
        <v>8.3333333333333329E-2</v>
      </c>
    </row>
    <row r="445" spans="1:28" x14ac:dyDescent="0.3">
      <c r="A445" s="6" t="s">
        <v>1337</v>
      </c>
      <c r="B445" s="7" t="s">
        <v>25</v>
      </c>
      <c r="C445" s="34" t="s">
        <v>954</v>
      </c>
      <c r="D445" s="33" t="s">
        <v>1775</v>
      </c>
      <c r="E445" s="6" t="s">
        <v>1338</v>
      </c>
      <c r="F445" s="6" t="s">
        <v>1339</v>
      </c>
      <c r="G445" s="6" t="s">
        <v>111</v>
      </c>
      <c r="H445" s="7">
        <v>1</v>
      </c>
      <c r="I445" s="6" t="s">
        <v>112</v>
      </c>
      <c r="J445" s="6" t="s">
        <v>31</v>
      </c>
      <c r="K445" s="6" t="s">
        <v>32</v>
      </c>
      <c r="L445" s="6" t="s">
        <v>1755</v>
      </c>
      <c r="M445" s="6" t="s">
        <v>33</v>
      </c>
      <c r="N445" s="10">
        <v>14</v>
      </c>
      <c r="O445" s="11">
        <v>3</v>
      </c>
      <c r="P445" s="12">
        <v>91</v>
      </c>
      <c r="Q445" s="13">
        <v>27.060081199999999</v>
      </c>
      <c r="R445" s="13">
        <v>-109.43993380000001</v>
      </c>
      <c r="S445" s="14" t="s">
        <v>34</v>
      </c>
      <c r="T445" s="14" t="s">
        <v>175</v>
      </c>
      <c r="U445" s="14" t="s">
        <v>213</v>
      </c>
      <c r="V445" s="14" t="s">
        <v>213</v>
      </c>
      <c r="W445" s="14"/>
      <c r="X445" s="14"/>
      <c r="Y445" s="14"/>
      <c r="Z445" s="14"/>
      <c r="AA445" s="15"/>
      <c r="AB445" s="16">
        <v>0.29166666666666663</v>
      </c>
    </row>
    <row r="446" spans="1:28" x14ac:dyDescent="0.3">
      <c r="A446" s="6" t="s">
        <v>1340</v>
      </c>
      <c r="B446" s="7" t="s">
        <v>25</v>
      </c>
      <c r="C446" s="34" t="s">
        <v>954</v>
      </c>
      <c r="D446" s="33" t="s">
        <v>1775</v>
      </c>
      <c r="E446" s="6" t="s">
        <v>1341</v>
      </c>
      <c r="F446" s="6" t="s">
        <v>1342</v>
      </c>
      <c r="G446" s="6" t="s">
        <v>111</v>
      </c>
      <c r="H446" s="7">
        <v>1</v>
      </c>
      <c r="I446" s="6" t="s">
        <v>112</v>
      </c>
      <c r="J446" s="6" t="s">
        <v>31</v>
      </c>
      <c r="K446" s="6" t="s">
        <v>32</v>
      </c>
      <c r="L446" s="6" t="s">
        <v>1755</v>
      </c>
      <c r="M446" s="6" t="s">
        <v>33</v>
      </c>
      <c r="N446" s="10">
        <v>17</v>
      </c>
      <c r="O446" s="11">
        <v>4</v>
      </c>
      <c r="P446" s="12">
        <v>93</v>
      </c>
      <c r="Q446" s="13">
        <v>31.309418000000001</v>
      </c>
      <c r="R446" s="13">
        <v>-110.944518</v>
      </c>
      <c r="S446" s="14" t="s">
        <v>34</v>
      </c>
      <c r="T446" s="14" t="s">
        <v>175</v>
      </c>
      <c r="U446" s="14" t="s">
        <v>213</v>
      </c>
      <c r="V446" s="14" t="s">
        <v>213</v>
      </c>
      <c r="W446" s="14"/>
      <c r="X446" s="14"/>
      <c r="Y446" s="14"/>
      <c r="Z446" s="14"/>
      <c r="AA446" s="15"/>
      <c r="AB446" s="16">
        <v>0.29166666666666663</v>
      </c>
    </row>
    <row r="447" spans="1:28" x14ac:dyDescent="0.3">
      <c r="A447" s="6" t="s">
        <v>1343</v>
      </c>
      <c r="B447" s="7" t="s">
        <v>25</v>
      </c>
      <c r="C447" s="34" t="s">
        <v>954</v>
      </c>
      <c r="D447" s="33" t="s">
        <v>1775</v>
      </c>
      <c r="E447" s="6" t="s">
        <v>1344</v>
      </c>
      <c r="F447" s="6" t="s">
        <v>1345</v>
      </c>
      <c r="G447" s="6" t="s">
        <v>111</v>
      </c>
      <c r="H447" s="7">
        <v>1</v>
      </c>
      <c r="I447" s="6" t="s">
        <v>112</v>
      </c>
      <c r="J447" s="6" t="s">
        <v>31</v>
      </c>
      <c r="K447" s="6" t="s">
        <v>32</v>
      </c>
      <c r="L447" s="6" t="s">
        <v>1755</v>
      </c>
      <c r="M447" s="6" t="s">
        <v>33</v>
      </c>
      <c r="N447" s="10">
        <v>15</v>
      </c>
      <c r="O447" s="11">
        <v>3</v>
      </c>
      <c r="P447" s="12">
        <v>48</v>
      </c>
      <c r="Q447" s="13">
        <v>30.998305999999999</v>
      </c>
      <c r="R447" s="13">
        <v>-110.25402</v>
      </c>
      <c r="S447" s="14" t="s">
        <v>34</v>
      </c>
      <c r="T447" s="14" t="s">
        <v>175</v>
      </c>
      <c r="U447" s="14" t="s">
        <v>213</v>
      </c>
      <c r="V447" s="14" t="s">
        <v>213</v>
      </c>
      <c r="W447" s="14"/>
      <c r="X447" s="14"/>
      <c r="Y447" s="14"/>
      <c r="Z447" s="14"/>
      <c r="AA447" s="15"/>
      <c r="AB447" s="16">
        <v>0.29166666666666663</v>
      </c>
    </row>
    <row r="448" spans="1:28" x14ac:dyDescent="0.3">
      <c r="A448" s="6" t="s">
        <v>1346</v>
      </c>
      <c r="B448" s="7" t="s">
        <v>25</v>
      </c>
      <c r="C448" s="34" t="s">
        <v>954</v>
      </c>
      <c r="D448" s="33" t="s">
        <v>1775</v>
      </c>
      <c r="E448" s="6" t="s">
        <v>1347</v>
      </c>
      <c r="F448" s="6" t="s">
        <v>1348</v>
      </c>
      <c r="G448" s="6" t="s">
        <v>111</v>
      </c>
      <c r="H448" s="7">
        <v>1</v>
      </c>
      <c r="I448" s="6" t="s">
        <v>112</v>
      </c>
      <c r="J448" s="6" t="s">
        <v>31</v>
      </c>
      <c r="K448" s="6" t="s">
        <v>32</v>
      </c>
      <c r="L448" s="6" t="s">
        <v>1755</v>
      </c>
      <c r="M448" s="6" t="s">
        <v>33</v>
      </c>
      <c r="N448" s="10">
        <v>12</v>
      </c>
      <c r="O448" s="11">
        <v>2</v>
      </c>
      <c r="P448" s="12">
        <v>69</v>
      </c>
      <c r="Q448" s="13">
        <v>26.842471199999999</v>
      </c>
      <c r="R448" s="13">
        <v>-109.6410047</v>
      </c>
      <c r="S448" s="14" t="s">
        <v>34</v>
      </c>
      <c r="T448" s="14" t="s">
        <v>175</v>
      </c>
      <c r="U448" s="14" t="s">
        <v>213</v>
      </c>
      <c r="V448" s="14" t="s">
        <v>213</v>
      </c>
      <c r="W448" s="14"/>
      <c r="X448" s="14"/>
      <c r="Y448" s="14"/>
      <c r="Z448" s="14"/>
      <c r="AA448" s="15"/>
      <c r="AB448" s="16">
        <v>0.29166666666666663</v>
      </c>
    </row>
    <row r="449" spans="1:28" x14ac:dyDescent="0.3">
      <c r="A449" s="6" t="s">
        <v>1349</v>
      </c>
      <c r="B449" s="7" t="s">
        <v>25</v>
      </c>
      <c r="C449" s="34" t="s">
        <v>954</v>
      </c>
      <c r="D449" s="33" t="s">
        <v>1775</v>
      </c>
      <c r="E449" s="6" t="s">
        <v>1350</v>
      </c>
      <c r="F449" s="6" t="s">
        <v>1351</v>
      </c>
      <c r="G449" s="6" t="s">
        <v>164</v>
      </c>
      <c r="H449" s="7">
        <v>2</v>
      </c>
      <c r="I449" s="6" t="s">
        <v>155</v>
      </c>
      <c r="J449" s="6" t="s">
        <v>31</v>
      </c>
      <c r="K449" s="6" t="s">
        <v>32</v>
      </c>
      <c r="L449" s="6" t="s">
        <v>1755</v>
      </c>
      <c r="M449" s="6" t="s">
        <v>33</v>
      </c>
      <c r="N449" s="10">
        <v>0</v>
      </c>
      <c r="O449" s="11">
        <v>0</v>
      </c>
      <c r="P449" s="12">
        <v>0</v>
      </c>
      <c r="Q449" s="13">
        <v>29.115781200000001</v>
      </c>
      <c r="R449" s="13">
        <v>-110.9727041</v>
      </c>
      <c r="S449" s="14" t="s">
        <v>34</v>
      </c>
      <c r="T449" s="14" t="s">
        <v>175</v>
      </c>
      <c r="U449" s="14" t="s">
        <v>213</v>
      </c>
      <c r="V449" s="14" t="s">
        <v>213</v>
      </c>
      <c r="W449" s="14"/>
      <c r="X449" s="14"/>
      <c r="Y449" s="14"/>
      <c r="Z449" s="14"/>
      <c r="AA449" s="15"/>
      <c r="AB449" s="16">
        <v>0.29166666666666663</v>
      </c>
    </row>
    <row r="450" spans="1:28" x14ac:dyDescent="0.3">
      <c r="A450" s="6" t="s">
        <v>1352</v>
      </c>
      <c r="B450" s="7" t="s">
        <v>25</v>
      </c>
      <c r="C450" s="34" t="s">
        <v>954</v>
      </c>
      <c r="D450" s="33" t="s">
        <v>1775</v>
      </c>
      <c r="E450" s="6" t="s">
        <v>1353</v>
      </c>
      <c r="F450" s="6" t="s">
        <v>1354</v>
      </c>
      <c r="G450" s="6" t="s">
        <v>29</v>
      </c>
      <c r="H450" s="7">
        <v>1</v>
      </c>
      <c r="I450" s="6" t="s">
        <v>30</v>
      </c>
      <c r="J450" s="6" t="s">
        <v>31</v>
      </c>
      <c r="K450" s="6" t="s">
        <v>32</v>
      </c>
      <c r="L450" s="6" t="s">
        <v>1755</v>
      </c>
      <c r="M450" s="6" t="s">
        <v>33</v>
      </c>
      <c r="N450" s="10">
        <v>17</v>
      </c>
      <c r="O450" s="11">
        <v>3</v>
      </c>
      <c r="P450" s="12">
        <v>50</v>
      </c>
      <c r="Q450" s="13">
        <v>30.6420274</v>
      </c>
      <c r="R450" s="13">
        <v>-110.9547019</v>
      </c>
      <c r="S450" s="14" t="s">
        <v>34</v>
      </c>
      <c r="T450" s="14" t="s">
        <v>175</v>
      </c>
      <c r="U450" s="14" t="s">
        <v>213</v>
      </c>
      <c r="V450" s="14" t="s">
        <v>213</v>
      </c>
      <c r="W450" s="14"/>
      <c r="X450" s="14"/>
      <c r="Y450" s="14"/>
      <c r="Z450" s="14"/>
      <c r="AA450" s="15"/>
      <c r="AB450" s="16">
        <v>0.29166666666666663</v>
      </c>
    </row>
    <row r="451" spans="1:28" x14ac:dyDescent="0.3">
      <c r="A451" s="6" t="s">
        <v>1355</v>
      </c>
      <c r="B451" s="7" t="s">
        <v>25</v>
      </c>
      <c r="C451" s="34" t="s">
        <v>954</v>
      </c>
      <c r="D451" s="33" t="s">
        <v>1775</v>
      </c>
      <c r="E451" s="6" t="s">
        <v>1356</v>
      </c>
      <c r="F451" s="6" t="s">
        <v>1357</v>
      </c>
      <c r="G451" s="6" t="s">
        <v>29</v>
      </c>
      <c r="H451" s="7">
        <v>1</v>
      </c>
      <c r="I451" s="6" t="s">
        <v>30</v>
      </c>
      <c r="J451" s="6" t="s">
        <v>31</v>
      </c>
      <c r="K451" s="6" t="s">
        <v>32</v>
      </c>
      <c r="L451" s="6" t="s">
        <v>1755</v>
      </c>
      <c r="M451" s="6" t="s">
        <v>33</v>
      </c>
      <c r="N451" s="10">
        <v>8</v>
      </c>
      <c r="O451" s="11">
        <v>2</v>
      </c>
      <c r="P451" s="12">
        <v>26</v>
      </c>
      <c r="Q451" s="13">
        <v>31.341422999999999</v>
      </c>
      <c r="R451" s="13">
        <v>-113.51633699999999</v>
      </c>
      <c r="S451" s="14" t="s">
        <v>34</v>
      </c>
      <c r="T451" s="14" t="s">
        <v>175</v>
      </c>
      <c r="U451" s="14" t="s">
        <v>213</v>
      </c>
      <c r="V451" s="14" t="s">
        <v>213</v>
      </c>
      <c r="W451" s="14"/>
      <c r="X451" s="14"/>
      <c r="Y451" s="14"/>
      <c r="Z451" s="14"/>
      <c r="AA451" s="15"/>
      <c r="AB451" s="16">
        <v>0.29166666666666663</v>
      </c>
    </row>
    <row r="452" spans="1:28" x14ac:dyDescent="0.3">
      <c r="A452" s="6" t="s">
        <v>1358</v>
      </c>
      <c r="B452" s="7" t="s">
        <v>25</v>
      </c>
      <c r="C452" s="34" t="s">
        <v>954</v>
      </c>
      <c r="D452" s="33" t="s">
        <v>1775</v>
      </c>
      <c r="E452" s="6" t="s">
        <v>955</v>
      </c>
      <c r="F452" s="6" t="s">
        <v>1359</v>
      </c>
      <c r="G452" s="6" t="s">
        <v>111</v>
      </c>
      <c r="H452" s="7">
        <v>1</v>
      </c>
      <c r="I452" s="6" t="s">
        <v>112</v>
      </c>
      <c r="J452" s="6" t="s">
        <v>31</v>
      </c>
      <c r="K452" s="6" t="s">
        <v>32</v>
      </c>
      <c r="L452" s="6" t="s">
        <v>1755</v>
      </c>
      <c r="M452" s="6" t="s">
        <v>33</v>
      </c>
      <c r="N452" s="10">
        <v>12</v>
      </c>
      <c r="O452" s="11">
        <v>3</v>
      </c>
      <c r="P452" s="12">
        <v>81</v>
      </c>
      <c r="Q452" s="13">
        <v>27.918989400000001</v>
      </c>
      <c r="R452" s="13">
        <v>-110.8996277</v>
      </c>
      <c r="S452" s="14" t="s">
        <v>34</v>
      </c>
      <c r="T452" s="14" t="s">
        <v>175</v>
      </c>
      <c r="U452" s="14" t="s">
        <v>213</v>
      </c>
      <c r="V452" s="14" t="s">
        <v>213</v>
      </c>
      <c r="W452" s="14"/>
      <c r="X452" s="14"/>
      <c r="Y452" s="14"/>
      <c r="Z452" s="14"/>
      <c r="AA452" s="15"/>
      <c r="AB452" s="16">
        <v>0.29166666666666663</v>
      </c>
    </row>
    <row r="453" spans="1:28" x14ac:dyDescent="0.3">
      <c r="A453" s="6" t="s">
        <v>1360</v>
      </c>
      <c r="B453" s="7" t="s">
        <v>25</v>
      </c>
      <c r="C453" s="34" t="s">
        <v>954</v>
      </c>
      <c r="D453" s="33" t="s">
        <v>1775</v>
      </c>
      <c r="E453" s="6" t="s">
        <v>1350</v>
      </c>
      <c r="F453" s="6" t="s">
        <v>1361</v>
      </c>
      <c r="G453" s="6" t="s">
        <v>111</v>
      </c>
      <c r="H453" s="7">
        <v>1</v>
      </c>
      <c r="I453" s="6" t="s">
        <v>112</v>
      </c>
      <c r="J453" s="6" t="s">
        <v>31</v>
      </c>
      <c r="K453" s="6" t="s">
        <v>32</v>
      </c>
      <c r="L453" s="6" t="s">
        <v>1756</v>
      </c>
      <c r="M453" s="6" t="s">
        <v>33</v>
      </c>
      <c r="N453" s="10">
        <v>54</v>
      </c>
      <c r="O453" s="11">
        <v>12</v>
      </c>
      <c r="P453" s="12">
        <v>269</v>
      </c>
      <c r="Q453" s="13">
        <v>29.08175</v>
      </c>
      <c r="R453" s="13">
        <v>-111.003861</v>
      </c>
      <c r="S453" s="14" t="s">
        <v>34</v>
      </c>
      <c r="T453" s="14" t="s">
        <v>175</v>
      </c>
      <c r="U453" s="14" t="s">
        <v>213</v>
      </c>
      <c r="V453" s="14" t="s">
        <v>213</v>
      </c>
      <c r="W453" s="14"/>
      <c r="X453" s="14"/>
      <c r="Y453" s="14"/>
      <c r="Z453" s="14"/>
      <c r="AA453" s="15"/>
      <c r="AB453" s="16">
        <v>0.29166666666666663</v>
      </c>
    </row>
    <row r="454" spans="1:28" x14ac:dyDescent="0.3">
      <c r="A454" s="6" t="s">
        <v>1362</v>
      </c>
      <c r="B454" s="7" t="s">
        <v>25</v>
      </c>
      <c r="C454" s="34" t="s">
        <v>954</v>
      </c>
      <c r="D454" s="33" t="s">
        <v>1775</v>
      </c>
      <c r="E454" s="6" t="s">
        <v>1363</v>
      </c>
      <c r="F454" s="6" t="s">
        <v>1364</v>
      </c>
      <c r="G454" s="6" t="s">
        <v>111</v>
      </c>
      <c r="H454" s="7">
        <v>1</v>
      </c>
      <c r="I454" s="6" t="s">
        <v>112</v>
      </c>
      <c r="J454" s="6" t="s">
        <v>31</v>
      </c>
      <c r="K454" s="6" t="s">
        <v>32</v>
      </c>
      <c r="L454" s="6" t="s">
        <v>1755</v>
      </c>
      <c r="M454" s="6" t="s">
        <v>33</v>
      </c>
      <c r="N454" s="10">
        <v>8</v>
      </c>
      <c r="O454" s="11">
        <v>3</v>
      </c>
      <c r="P454" s="12">
        <v>59</v>
      </c>
      <c r="Q454" s="13">
        <v>32.470050000000001</v>
      </c>
      <c r="R454" s="13">
        <v>-114.7779322</v>
      </c>
      <c r="S454" s="14" t="s">
        <v>34</v>
      </c>
      <c r="T454" s="14" t="s">
        <v>175</v>
      </c>
      <c r="U454" s="14" t="s">
        <v>213</v>
      </c>
      <c r="V454" s="14" t="s">
        <v>213</v>
      </c>
      <c r="W454" s="14"/>
      <c r="X454" s="14"/>
      <c r="Y454" s="14"/>
      <c r="Z454" s="14"/>
      <c r="AA454" s="15"/>
      <c r="AB454" s="16">
        <v>0.29166666666666663</v>
      </c>
    </row>
    <row r="455" spans="1:28" x14ac:dyDescent="0.3">
      <c r="A455" s="6" t="s">
        <v>1365</v>
      </c>
      <c r="B455" s="7" t="s">
        <v>25</v>
      </c>
      <c r="C455" s="34" t="s">
        <v>724</v>
      </c>
      <c r="D455" s="33" t="s">
        <v>1775</v>
      </c>
      <c r="E455" s="6" t="s">
        <v>1366</v>
      </c>
      <c r="F455" s="6" t="s">
        <v>1367</v>
      </c>
      <c r="G455" s="6" t="s">
        <v>111</v>
      </c>
      <c r="H455" s="7">
        <v>1</v>
      </c>
      <c r="I455" s="6" t="s">
        <v>112</v>
      </c>
      <c r="J455" s="6" t="s">
        <v>31</v>
      </c>
      <c r="K455" s="6" t="s">
        <v>32</v>
      </c>
      <c r="L455" s="6" t="s">
        <v>1755</v>
      </c>
      <c r="M455" s="6" t="s">
        <v>33</v>
      </c>
      <c r="N455" s="10">
        <v>16</v>
      </c>
      <c r="O455" s="11">
        <v>2</v>
      </c>
      <c r="P455" s="12">
        <v>40</v>
      </c>
      <c r="Q455" s="13">
        <v>17.811900000000001</v>
      </c>
      <c r="R455" s="13">
        <v>-91.533500000000004</v>
      </c>
      <c r="S455" s="14" t="s">
        <v>176</v>
      </c>
      <c r="T455" s="14"/>
      <c r="U455" s="14"/>
      <c r="V455" s="14"/>
      <c r="W455" s="14"/>
      <c r="X455" s="14"/>
      <c r="Y455" s="14"/>
      <c r="Z455" s="14"/>
      <c r="AA455" s="15"/>
      <c r="AB455" s="16">
        <v>4.1666666666666664E-2</v>
      </c>
    </row>
    <row r="456" spans="1:28" x14ac:dyDescent="0.3">
      <c r="A456" s="6" t="s">
        <v>1368</v>
      </c>
      <c r="B456" s="7" t="s">
        <v>25</v>
      </c>
      <c r="C456" s="34" t="s">
        <v>724</v>
      </c>
      <c r="D456" s="33" t="s">
        <v>1775</v>
      </c>
      <c r="E456" s="6" t="s">
        <v>1369</v>
      </c>
      <c r="F456" s="6" t="s">
        <v>1370</v>
      </c>
      <c r="G456" s="6" t="s">
        <v>111</v>
      </c>
      <c r="H456" s="7">
        <v>1</v>
      </c>
      <c r="I456" s="6" t="s">
        <v>112</v>
      </c>
      <c r="J456" s="6" t="s">
        <v>31</v>
      </c>
      <c r="K456" s="6" t="s">
        <v>32</v>
      </c>
      <c r="L456" s="6" t="s">
        <v>1755</v>
      </c>
      <c r="M456" s="6" t="s">
        <v>33</v>
      </c>
      <c r="N456" s="10">
        <v>9</v>
      </c>
      <c r="O456" s="11">
        <v>3</v>
      </c>
      <c r="P456" s="12">
        <v>51</v>
      </c>
      <c r="Q456" s="13">
        <v>17.990542399999999</v>
      </c>
      <c r="R456" s="13">
        <v>-93.382786300000006</v>
      </c>
      <c r="S456" s="14" t="s">
        <v>176</v>
      </c>
      <c r="T456" s="14"/>
      <c r="U456" s="14"/>
      <c r="V456" s="14"/>
      <c r="W456" s="14"/>
      <c r="X456" s="14"/>
      <c r="Y456" s="14"/>
      <c r="Z456" s="14"/>
      <c r="AA456" s="15"/>
      <c r="AB456" s="16">
        <v>4.1666666666666664E-2</v>
      </c>
    </row>
    <row r="457" spans="1:28" x14ac:dyDescent="0.3">
      <c r="A457" s="6" t="s">
        <v>1371</v>
      </c>
      <c r="B457" s="7" t="s">
        <v>25</v>
      </c>
      <c r="C457" s="34" t="s">
        <v>724</v>
      </c>
      <c r="D457" s="33" t="s">
        <v>1775</v>
      </c>
      <c r="E457" s="6" t="s">
        <v>1372</v>
      </c>
      <c r="F457" s="6" t="s">
        <v>1373</v>
      </c>
      <c r="G457" s="6" t="s">
        <v>111</v>
      </c>
      <c r="H457" s="7">
        <v>1</v>
      </c>
      <c r="I457" s="6" t="s">
        <v>155</v>
      </c>
      <c r="J457" s="6" t="s">
        <v>31</v>
      </c>
      <c r="K457" s="6" t="s">
        <v>32</v>
      </c>
      <c r="L457" s="6" t="s">
        <v>1756</v>
      </c>
      <c r="M457" s="6" t="s">
        <v>33</v>
      </c>
      <c r="N457" s="10">
        <v>25</v>
      </c>
      <c r="O457" s="11">
        <v>11</v>
      </c>
      <c r="P457" s="12">
        <v>201</v>
      </c>
      <c r="Q457" s="13">
        <v>18.012402099999999</v>
      </c>
      <c r="R457" s="13">
        <v>-92.924240699999999</v>
      </c>
      <c r="S457" s="14" t="s">
        <v>176</v>
      </c>
      <c r="T457" s="14"/>
      <c r="U457" s="14"/>
      <c r="V457" s="14"/>
      <c r="W457" s="14"/>
      <c r="X457" s="14"/>
      <c r="Y457" s="14"/>
      <c r="Z457" s="14"/>
      <c r="AA457" s="15"/>
      <c r="AB457" s="16">
        <v>4.1666666666666664E-2</v>
      </c>
    </row>
    <row r="458" spans="1:28" x14ac:dyDescent="0.3">
      <c r="A458" s="6" t="s">
        <v>1374</v>
      </c>
      <c r="B458" s="7" t="s">
        <v>25</v>
      </c>
      <c r="C458" s="34" t="s">
        <v>724</v>
      </c>
      <c r="D458" s="33" t="s">
        <v>1775</v>
      </c>
      <c r="E458" s="6" t="s">
        <v>1372</v>
      </c>
      <c r="F458" s="6" t="s">
        <v>1375</v>
      </c>
      <c r="G458" s="6" t="s">
        <v>111</v>
      </c>
      <c r="H458" s="7">
        <v>1</v>
      </c>
      <c r="I458" s="6" t="s">
        <v>155</v>
      </c>
      <c r="J458" s="6" t="s">
        <v>31</v>
      </c>
      <c r="K458" s="6" t="s">
        <v>32</v>
      </c>
      <c r="L458" s="6" t="s">
        <v>1756</v>
      </c>
      <c r="M458" s="6" t="s">
        <v>33</v>
      </c>
      <c r="N458" s="10">
        <v>67</v>
      </c>
      <c r="O458" s="11">
        <v>8</v>
      </c>
      <c r="P458" s="12">
        <v>346</v>
      </c>
      <c r="Q458" s="13">
        <v>17.9788909</v>
      </c>
      <c r="R458" s="13">
        <v>-92.986235699999995</v>
      </c>
      <c r="S458" s="14" t="s">
        <v>176</v>
      </c>
      <c r="T458" s="14"/>
      <c r="U458" s="14"/>
      <c r="V458" s="14"/>
      <c r="W458" s="14"/>
      <c r="X458" s="14"/>
      <c r="Y458" s="14"/>
      <c r="Z458" s="14"/>
      <c r="AA458" s="15"/>
      <c r="AB458" s="16">
        <v>4.1666666666666664E-2</v>
      </c>
    </row>
    <row r="459" spans="1:28" x14ac:dyDescent="0.3">
      <c r="A459" s="6" t="s">
        <v>1376</v>
      </c>
      <c r="B459" s="7" t="s">
        <v>25</v>
      </c>
      <c r="C459" s="34" t="s">
        <v>724</v>
      </c>
      <c r="D459" s="33" t="s">
        <v>1775</v>
      </c>
      <c r="E459" s="6" t="s">
        <v>1377</v>
      </c>
      <c r="F459" s="6" t="s">
        <v>1378</v>
      </c>
      <c r="G459" s="6" t="s">
        <v>111</v>
      </c>
      <c r="H459" s="7">
        <v>1</v>
      </c>
      <c r="I459" s="6" t="s">
        <v>112</v>
      </c>
      <c r="J459" s="6" t="s">
        <v>31</v>
      </c>
      <c r="K459" s="6" t="s">
        <v>32</v>
      </c>
      <c r="L459" s="6" t="s">
        <v>1755</v>
      </c>
      <c r="M459" s="6" t="s">
        <v>33</v>
      </c>
      <c r="N459" s="10">
        <v>11</v>
      </c>
      <c r="O459" s="11">
        <v>3</v>
      </c>
      <c r="P459" s="12">
        <v>57</v>
      </c>
      <c r="Q459" s="13">
        <v>18.068595299999998</v>
      </c>
      <c r="R459" s="13">
        <v>-93.172695599999997</v>
      </c>
      <c r="S459" s="14" t="s">
        <v>176</v>
      </c>
      <c r="T459" s="14"/>
      <c r="U459" s="14"/>
      <c r="V459" s="14"/>
      <c r="W459" s="14"/>
      <c r="X459" s="14"/>
      <c r="Y459" s="14"/>
      <c r="Z459" s="14"/>
      <c r="AA459" s="15"/>
      <c r="AB459" s="16">
        <v>4.1666666666666664E-2</v>
      </c>
    </row>
    <row r="460" spans="1:28" x14ac:dyDescent="0.3">
      <c r="A460" s="6" t="s">
        <v>1379</v>
      </c>
      <c r="B460" s="7" t="s">
        <v>25</v>
      </c>
      <c r="C460" s="34" t="s">
        <v>724</v>
      </c>
      <c r="D460" s="33" t="s">
        <v>1775</v>
      </c>
      <c r="E460" s="6" t="s">
        <v>1380</v>
      </c>
      <c r="F460" s="6" t="s">
        <v>1381</v>
      </c>
      <c r="G460" s="6" t="s">
        <v>111</v>
      </c>
      <c r="H460" s="7">
        <v>1</v>
      </c>
      <c r="I460" s="6" t="s">
        <v>112</v>
      </c>
      <c r="J460" s="6" t="s">
        <v>31</v>
      </c>
      <c r="K460" s="6" t="s">
        <v>32</v>
      </c>
      <c r="L460" s="6" t="s">
        <v>1755</v>
      </c>
      <c r="M460" s="6" t="s">
        <v>33</v>
      </c>
      <c r="N460" s="10">
        <v>15</v>
      </c>
      <c r="O460" s="11">
        <v>2</v>
      </c>
      <c r="P460" s="12">
        <v>43</v>
      </c>
      <c r="Q460" s="13">
        <v>17.741220999999999</v>
      </c>
      <c r="R460" s="13">
        <v>-91.782673000000003</v>
      </c>
      <c r="S460" s="14" t="s">
        <v>176</v>
      </c>
      <c r="T460" s="14"/>
      <c r="U460" s="14"/>
      <c r="V460" s="14"/>
      <c r="W460" s="14"/>
      <c r="X460" s="14"/>
      <c r="Y460" s="14"/>
      <c r="Z460" s="14"/>
      <c r="AA460" s="15"/>
      <c r="AB460" s="16">
        <v>4.1666666666666664E-2</v>
      </c>
    </row>
    <row r="461" spans="1:28" x14ac:dyDescent="0.3">
      <c r="A461" s="6" t="s">
        <v>1382</v>
      </c>
      <c r="B461" s="7" t="s">
        <v>25</v>
      </c>
      <c r="C461" s="34" t="s">
        <v>724</v>
      </c>
      <c r="D461" s="33" t="s">
        <v>1775</v>
      </c>
      <c r="E461" s="6" t="s">
        <v>737</v>
      </c>
      <c r="F461" s="6" t="s">
        <v>1383</v>
      </c>
      <c r="G461" s="6" t="s">
        <v>111</v>
      </c>
      <c r="H461" s="7">
        <v>1</v>
      </c>
      <c r="I461" s="6" t="s">
        <v>112</v>
      </c>
      <c r="J461" s="6" t="s">
        <v>31</v>
      </c>
      <c r="K461" s="6" t="s">
        <v>32</v>
      </c>
      <c r="L461" s="6" t="s">
        <v>1755</v>
      </c>
      <c r="M461" s="6" t="s">
        <v>33</v>
      </c>
      <c r="N461" s="10">
        <v>19</v>
      </c>
      <c r="O461" s="11">
        <v>2</v>
      </c>
      <c r="P461" s="12">
        <v>43</v>
      </c>
      <c r="Q461" s="13">
        <v>17.826924000000002</v>
      </c>
      <c r="R461" s="13">
        <v>-93.395583000000002</v>
      </c>
      <c r="S461" s="14" t="s">
        <v>176</v>
      </c>
      <c r="T461" s="14"/>
      <c r="U461" s="14"/>
      <c r="V461" s="14"/>
      <c r="W461" s="14"/>
      <c r="X461" s="14"/>
      <c r="Y461" s="14"/>
      <c r="Z461" s="14"/>
      <c r="AA461" s="15"/>
      <c r="AB461" s="16">
        <v>4.1666666666666664E-2</v>
      </c>
    </row>
    <row r="462" spans="1:28" x14ac:dyDescent="0.3">
      <c r="A462" s="6" t="s">
        <v>1384</v>
      </c>
      <c r="B462" s="7" t="s">
        <v>25</v>
      </c>
      <c r="C462" s="34" t="s">
        <v>724</v>
      </c>
      <c r="D462" s="33" t="s">
        <v>1775</v>
      </c>
      <c r="E462" s="6" t="s">
        <v>1385</v>
      </c>
      <c r="F462" s="6" t="s">
        <v>1386</v>
      </c>
      <c r="G462" s="6" t="s">
        <v>111</v>
      </c>
      <c r="H462" s="7">
        <v>1</v>
      </c>
      <c r="I462" s="6" t="s">
        <v>112</v>
      </c>
      <c r="J462" s="6" t="s">
        <v>31</v>
      </c>
      <c r="K462" s="6" t="s">
        <v>32</v>
      </c>
      <c r="L462" s="6" t="s">
        <v>1755</v>
      </c>
      <c r="M462" s="6" t="s">
        <v>33</v>
      </c>
      <c r="N462" s="10">
        <v>9</v>
      </c>
      <c r="O462" s="11">
        <v>2</v>
      </c>
      <c r="P462" s="12">
        <v>42</v>
      </c>
      <c r="Q462" s="13">
        <v>17.7594599</v>
      </c>
      <c r="R462" s="13">
        <v>-92.592980600000004</v>
      </c>
      <c r="S462" s="14" t="s">
        <v>176</v>
      </c>
      <c r="T462" s="14"/>
      <c r="U462" s="14"/>
      <c r="V462" s="14"/>
      <c r="W462" s="14"/>
      <c r="X462" s="14"/>
      <c r="Y462" s="14"/>
      <c r="Z462" s="14"/>
      <c r="AA462" s="15"/>
      <c r="AB462" s="16">
        <v>4.1666666666666664E-2</v>
      </c>
    </row>
    <row r="463" spans="1:28" x14ac:dyDescent="0.3">
      <c r="A463" s="6" t="s">
        <v>1387</v>
      </c>
      <c r="B463" s="7" t="s">
        <v>25</v>
      </c>
      <c r="C463" s="34" t="s">
        <v>724</v>
      </c>
      <c r="D463" s="33" t="s">
        <v>1775</v>
      </c>
      <c r="E463" s="6" t="s">
        <v>1385</v>
      </c>
      <c r="F463" s="6" t="s">
        <v>1388</v>
      </c>
      <c r="G463" s="6" t="s">
        <v>111</v>
      </c>
      <c r="H463" s="7">
        <v>1</v>
      </c>
      <c r="I463" s="6" t="s">
        <v>112</v>
      </c>
      <c r="J463" s="6" t="s">
        <v>31</v>
      </c>
      <c r="K463" s="6" t="s">
        <v>32</v>
      </c>
      <c r="L463" s="6" t="s">
        <v>1755</v>
      </c>
      <c r="M463" s="6" t="s">
        <v>84</v>
      </c>
      <c r="N463" s="10">
        <v>12</v>
      </c>
      <c r="O463" s="11">
        <v>2</v>
      </c>
      <c r="P463" s="12">
        <v>53</v>
      </c>
      <c r="Q463" s="13">
        <v>17.8447</v>
      </c>
      <c r="R463" s="13">
        <v>-92.529300000000006</v>
      </c>
      <c r="S463" s="14" t="s">
        <v>176</v>
      </c>
      <c r="T463" s="14"/>
      <c r="U463" s="14"/>
      <c r="V463" s="14"/>
      <c r="W463" s="14"/>
      <c r="X463" s="14"/>
      <c r="Y463" s="14"/>
      <c r="Z463" s="14"/>
      <c r="AA463" s="15"/>
      <c r="AB463" s="16">
        <v>4.1666666666666664E-2</v>
      </c>
    </row>
    <row r="464" spans="1:28" x14ac:dyDescent="0.3">
      <c r="A464" s="6" t="s">
        <v>1389</v>
      </c>
      <c r="B464" s="7" t="s">
        <v>25</v>
      </c>
      <c r="C464" s="34" t="s">
        <v>724</v>
      </c>
      <c r="D464" s="33" t="s">
        <v>1775</v>
      </c>
      <c r="E464" s="6" t="s">
        <v>1390</v>
      </c>
      <c r="F464" s="6" t="s">
        <v>1391</v>
      </c>
      <c r="G464" s="6" t="s">
        <v>111</v>
      </c>
      <c r="H464" s="7">
        <v>1</v>
      </c>
      <c r="I464" s="6" t="s">
        <v>112</v>
      </c>
      <c r="J464" s="6" t="s">
        <v>31</v>
      </c>
      <c r="K464" s="6" t="s">
        <v>32</v>
      </c>
      <c r="L464" s="6" t="s">
        <v>1755</v>
      </c>
      <c r="M464" s="6" t="s">
        <v>84</v>
      </c>
      <c r="N464" s="10">
        <v>15</v>
      </c>
      <c r="O464" s="11">
        <v>2</v>
      </c>
      <c r="P464" s="12">
        <v>45</v>
      </c>
      <c r="Q464" s="13">
        <v>18.388200000000001</v>
      </c>
      <c r="R464" s="13">
        <v>-93.212299999999999</v>
      </c>
      <c r="S464" s="14" t="s">
        <v>176</v>
      </c>
      <c r="T464" s="14"/>
      <c r="U464" s="14"/>
      <c r="V464" s="14"/>
      <c r="W464" s="14"/>
      <c r="X464" s="14"/>
      <c r="Y464" s="14"/>
      <c r="Z464" s="14"/>
      <c r="AA464" s="15"/>
      <c r="AB464" s="16">
        <v>4.1666666666666664E-2</v>
      </c>
    </row>
    <row r="465" spans="1:28" x14ac:dyDescent="0.3">
      <c r="A465" s="6" t="s">
        <v>1392</v>
      </c>
      <c r="B465" s="7" t="s">
        <v>25</v>
      </c>
      <c r="C465" s="34" t="s">
        <v>724</v>
      </c>
      <c r="D465" s="33" t="s">
        <v>1775</v>
      </c>
      <c r="E465" s="6" t="s">
        <v>1393</v>
      </c>
      <c r="F465" s="6" t="s">
        <v>1394</v>
      </c>
      <c r="G465" s="6" t="s">
        <v>111</v>
      </c>
      <c r="H465" s="7">
        <v>1</v>
      </c>
      <c r="I465" s="6" t="s">
        <v>112</v>
      </c>
      <c r="J465" s="6" t="s">
        <v>31</v>
      </c>
      <c r="K465" s="6" t="s">
        <v>32</v>
      </c>
      <c r="L465" s="6" t="s">
        <v>1755</v>
      </c>
      <c r="M465" s="6" t="s">
        <v>33</v>
      </c>
      <c r="N465" s="10">
        <v>7</v>
      </c>
      <c r="O465" s="11">
        <v>2</v>
      </c>
      <c r="P465" s="12">
        <v>35</v>
      </c>
      <c r="Q465" s="13">
        <v>17.559166699999999</v>
      </c>
      <c r="R465" s="13">
        <v>-92.950222199999999</v>
      </c>
      <c r="S465" s="14" t="s">
        <v>176</v>
      </c>
      <c r="T465" s="14"/>
      <c r="U465" s="14"/>
      <c r="V465" s="14"/>
      <c r="W465" s="14"/>
      <c r="X465" s="14"/>
      <c r="Y465" s="14"/>
      <c r="Z465" s="14"/>
      <c r="AA465" s="15"/>
      <c r="AB465" s="16">
        <v>4.1666666666666664E-2</v>
      </c>
    </row>
    <row r="466" spans="1:28" x14ac:dyDescent="0.3">
      <c r="A466" s="6" t="s">
        <v>1395</v>
      </c>
      <c r="B466" s="7" t="s">
        <v>25</v>
      </c>
      <c r="C466" s="34" t="s">
        <v>724</v>
      </c>
      <c r="D466" s="33" t="s">
        <v>1775</v>
      </c>
      <c r="E466" s="6" t="s">
        <v>1396</v>
      </c>
      <c r="F466" s="6" t="s">
        <v>1397</v>
      </c>
      <c r="G466" s="6" t="s">
        <v>111</v>
      </c>
      <c r="H466" s="7">
        <v>1</v>
      </c>
      <c r="I466" s="6" t="s">
        <v>112</v>
      </c>
      <c r="J466" s="6" t="s">
        <v>31</v>
      </c>
      <c r="K466" s="6" t="s">
        <v>32</v>
      </c>
      <c r="L466" s="6" t="s">
        <v>1755</v>
      </c>
      <c r="M466" s="6" t="s">
        <v>33</v>
      </c>
      <c r="N466" s="10">
        <v>13</v>
      </c>
      <c r="O466" s="11">
        <v>2</v>
      </c>
      <c r="P466" s="12">
        <v>47</v>
      </c>
      <c r="Q466" s="13">
        <v>17.469200000000001</v>
      </c>
      <c r="R466" s="13">
        <v>-91.4114</v>
      </c>
      <c r="S466" s="14" t="s">
        <v>176</v>
      </c>
      <c r="T466" s="14"/>
      <c r="U466" s="14"/>
      <c r="V466" s="14"/>
      <c r="W466" s="14"/>
      <c r="X466" s="14"/>
      <c r="Y466" s="14"/>
      <c r="Z466" s="14"/>
      <c r="AA466" s="15"/>
      <c r="AB466" s="16">
        <v>4.1666666666666664E-2</v>
      </c>
    </row>
    <row r="467" spans="1:28" x14ac:dyDescent="0.3">
      <c r="A467" s="6" t="s">
        <v>1398</v>
      </c>
      <c r="B467" s="7" t="s">
        <v>25</v>
      </c>
      <c r="C467" s="34" t="s">
        <v>724</v>
      </c>
      <c r="D467" s="33" t="s">
        <v>1775</v>
      </c>
      <c r="E467" s="6" t="s">
        <v>1399</v>
      </c>
      <c r="F467" s="6" t="s">
        <v>1400</v>
      </c>
      <c r="G467" s="6" t="s">
        <v>111</v>
      </c>
      <c r="H467" s="7">
        <v>1</v>
      </c>
      <c r="I467" s="6" t="s">
        <v>112</v>
      </c>
      <c r="J467" s="6" t="s">
        <v>31</v>
      </c>
      <c r="K467" s="6" t="s">
        <v>32</v>
      </c>
      <c r="L467" s="6" t="s">
        <v>1755</v>
      </c>
      <c r="M467" s="6" t="s">
        <v>33</v>
      </c>
      <c r="N467" s="10">
        <v>18</v>
      </c>
      <c r="O467" s="11">
        <v>4</v>
      </c>
      <c r="P467" s="12">
        <v>99</v>
      </c>
      <c r="Q467" s="13">
        <v>18.266231900000001</v>
      </c>
      <c r="R467" s="13">
        <v>-93.231950100000006</v>
      </c>
      <c r="S467" s="14" t="s">
        <v>176</v>
      </c>
      <c r="T467" s="14"/>
      <c r="U467" s="14"/>
      <c r="V467" s="14"/>
      <c r="W467" s="14"/>
      <c r="X467" s="14"/>
      <c r="Y467" s="14"/>
      <c r="Z467" s="14"/>
      <c r="AA467" s="15"/>
      <c r="AB467" s="16">
        <v>4.1666666666666664E-2</v>
      </c>
    </row>
    <row r="468" spans="1:28" x14ac:dyDescent="0.3">
      <c r="A468" s="6" t="s">
        <v>1401</v>
      </c>
      <c r="B468" s="7" t="s">
        <v>25</v>
      </c>
      <c r="C468" s="34" t="s">
        <v>159</v>
      </c>
      <c r="D468" s="33" t="s">
        <v>1775</v>
      </c>
      <c r="E468" s="6" t="s">
        <v>1402</v>
      </c>
      <c r="F468" s="6" t="s">
        <v>1403</v>
      </c>
      <c r="G468" s="6" t="s">
        <v>111</v>
      </c>
      <c r="H468" s="7">
        <v>1</v>
      </c>
      <c r="I468" s="6" t="s">
        <v>112</v>
      </c>
      <c r="J468" s="6" t="s">
        <v>31</v>
      </c>
      <c r="K468" s="6" t="s">
        <v>32</v>
      </c>
      <c r="L468" s="6" t="s">
        <v>1755</v>
      </c>
      <c r="M468" s="6" t="s">
        <v>33</v>
      </c>
      <c r="N468" s="10">
        <v>11</v>
      </c>
      <c r="O468" s="11">
        <v>3</v>
      </c>
      <c r="P468" s="12">
        <v>104</v>
      </c>
      <c r="Q468" s="13">
        <v>22.254024000000001</v>
      </c>
      <c r="R468" s="13">
        <v>-97.823415999999995</v>
      </c>
      <c r="S468" s="14" t="s">
        <v>176</v>
      </c>
      <c r="T468" s="14"/>
      <c r="U468" s="14"/>
      <c r="V468" s="14"/>
      <c r="W468" s="14"/>
      <c r="X468" s="14"/>
      <c r="Y468" s="14"/>
      <c r="Z468" s="14"/>
      <c r="AA468" s="15"/>
      <c r="AB468" s="16">
        <v>4.1666666666666664E-2</v>
      </c>
    </row>
    <row r="469" spans="1:28" x14ac:dyDescent="0.3">
      <c r="A469" s="6" t="s">
        <v>1404</v>
      </c>
      <c r="B469" s="7" t="s">
        <v>25</v>
      </c>
      <c r="C469" s="34" t="s">
        <v>159</v>
      </c>
      <c r="D469" s="33" t="s">
        <v>1775</v>
      </c>
      <c r="E469" s="6" t="s">
        <v>1405</v>
      </c>
      <c r="F469" s="6" t="s">
        <v>1406</v>
      </c>
      <c r="G469" s="6" t="s">
        <v>111</v>
      </c>
      <c r="H469" s="7">
        <v>1</v>
      </c>
      <c r="I469" s="6" t="s">
        <v>112</v>
      </c>
      <c r="J469" s="6" t="s">
        <v>31</v>
      </c>
      <c r="K469" s="6" t="s">
        <v>32</v>
      </c>
      <c r="L469" s="6" t="s">
        <v>1755</v>
      </c>
      <c r="M469" s="6" t="s">
        <v>33</v>
      </c>
      <c r="N469" s="10">
        <v>14</v>
      </c>
      <c r="O469" s="11">
        <v>4</v>
      </c>
      <c r="P469" s="12">
        <v>92</v>
      </c>
      <c r="Q469" s="13">
        <v>27.485904000000001</v>
      </c>
      <c r="R469" s="13">
        <v>-99.504271000000003</v>
      </c>
      <c r="S469" s="14" t="s">
        <v>190</v>
      </c>
      <c r="T469" s="14"/>
      <c r="U469" s="14"/>
      <c r="V469" s="14"/>
      <c r="W469" s="14"/>
      <c r="X469" s="14"/>
      <c r="Y469" s="14"/>
      <c r="Z469" s="14"/>
      <c r="AA469" s="15"/>
      <c r="AB469" s="16">
        <v>8.3333333333333329E-2</v>
      </c>
    </row>
    <row r="470" spans="1:28" x14ac:dyDescent="0.3">
      <c r="A470" s="6" t="s">
        <v>1407</v>
      </c>
      <c r="B470" s="7" t="s">
        <v>25</v>
      </c>
      <c r="C470" s="34" t="s">
        <v>159</v>
      </c>
      <c r="D470" s="33" t="s">
        <v>1775</v>
      </c>
      <c r="E470" s="6" t="s">
        <v>1405</v>
      </c>
      <c r="F470" s="6" t="s">
        <v>1408</v>
      </c>
      <c r="G470" s="6" t="s">
        <v>111</v>
      </c>
      <c r="H470" s="7">
        <v>1</v>
      </c>
      <c r="I470" s="6" t="s">
        <v>112</v>
      </c>
      <c r="J470" s="6" t="s">
        <v>31</v>
      </c>
      <c r="K470" s="6" t="s">
        <v>32</v>
      </c>
      <c r="L470" s="6" t="s">
        <v>1755</v>
      </c>
      <c r="M470" s="6" t="s">
        <v>33</v>
      </c>
      <c r="N470" s="10">
        <v>12</v>
      </c>
      <c r="O470" s="11">
        <v>4</v>
      </c>
      <c r="P470" s="12">
        <v>45</v>
      </c>
      <c r="Q470" s="13">
        <v>27.493243</v>
      </c>
      <c r="R470" s="13">
        <v>-99.531614000000005</v>
      </c>
      <c r="S470" s="14" t="s">
        <v>190</v>
      </c>
      <c r="T470" s="14"/>
      <c r="U470" s="14"/>
      <c r="V470" s="14"/>
      <c r="W470" s="14"/>
      <c r="X470" s="14"/>
      <c r="Y470" s="14"/>
      <c r="Z470" s="14"/>
      <c r="AA470" s="15"/>
      <c r="AB470" s="16">
        <v>8.3333333333333329E-2</v>
      </c>
    </row>
    <row r="471" spans="1:28" x14ac:dyDescent="0.3">
      <c r="A471" s="6" t="s">
        <v>1409</v>
      </c>
      <c r="B471" s="7" t="s">
        <v>25</v>
      </c>
      <c r="C471" s="34" t="s">
        <v>159</v>
      </c>
      <c r="D471" s="33" t="s">
        <v>1775</v>
      </c>
      <c r="E471" s="6" t="s">
        <v>1410</v>
      </c>
      <c r="F471" s="6" t="s">
        <v>1411</v>
      </c>
      <c r="G471" s="6" t="s">
        <v>111</v>
      </c>
      <c r="H471" s="7">
        <v>1</v>
      </c>
      <c r="I471" s="6" t="s">
        <v>112</v>
      </c>
      <c r="J471" s="6" t="s">
        <v>31</v>
      </c>
      <c r="K471" s="6" t="s">
        <v>32</v>
      </c>
      <c r="L471" s="6" t="s">
        <v>1755</v>
      </c>
      <c r="M471" s="6" t="s">
        <v>33</v>
      </c>
      <c r="N471" s="10">
        <v>17</v>
      </c>
      <c r="O471" s="11">
        <v>6</v>
      </c>
      <c r="P471" s="12">
        <v>166</v>
      </c>
      <c r="Q471" s="13">
        <v>26.055748999999999</v>
      </c>
      <c r="R471" s="13">
        <v>-98.296918000000005</v>
      </c>
      <c r="S471" s="14" t="s">
        <v>190</v>
      </c>
      <c r="T471" s="14"/>
      <c r="U471" s="14"/>
      <c r="V471" s="14"/>
      <c r="W471" s="14"/>
      <c r="X471" s="14"/>
      <c r="Y471" s="14"/>
      <c r="Z471" s="14"/>
      <c r="AA471" s="15"/>
      <c r="AB471" s="16">
        <v>8.3333333333333329E-2</v>
      </c>
    </row>
    <row r="472" spans="1:28" x14ac:dyDescent="0.3">
      <c r="A472" s="6" t="s">
        <v>1412</v>
      </c>
      <c r="B472" s="7" t="s">
        <v>25</v>
      </c>
      <c r="C472" s="34" t="s">
        <v>159</v>
      </c>
      <c r="D472" s="33" t="s">
        <v>1775</v>
      </c>
      <c r="E472" s="6" t="s">
        <v>1413</v>
      </c>
      <c r="F472" s="6" t="s">
        <v>1414</v>
      </c>
      <c r="G472" s="6" t="s">
        <v>111</v>
      </c>
      <c r="H472" s="7">
        <v>1</v>
      </c>
      <c r="I472" s="6" t="s">
        <v>112</v>
      </c>
      <c r="J472" s="6" t="s">
        <v>31</v>
      </c>
      <c r="K472" s="6" t="s">
        <v>32</v>
      </c>
      <c r="L472" s="6" t="s">
        <v>1755</v>
      </c>
      <c r="M472" s="6" t="s">
        <v>33</v>
      </c>
      <c r="N472" s="10">
        <v>6</v>
      </c>
      <c r="O472" s="11">
        <v>3</v>
      </c>
      <c r="P472" s="12">
        <v>51</v>
      </c>
      <c r="Q472" s="13">
        <v>24.853304000000001</v>
      </c>
      <c r="R472" s="13">
        <v>-98.152894000000003</v>
      </c>
      <c r="S472" s="14" t="s">
        <v>190</v>
      </c>
      <c r="T472" s="14"/>
      <c r="U472" s="14"/>
      <c r="V472" s="14"/>
      <c r="W472" s="14"/>
      <c r="X472" s="14"/>
      <c r="Y472" s="14"/>
      <c r="Z472" s="14"/>
      <c r="AA472" s="15"/>
      <c r="AB472" s="16">
        <v>8.3333333333333329E-2</v>
      </c>
    </row>
    <row r="473" spans="1:28" x14ac:dyDescent="0.3">
      <c r="A473" s="6" t="s">
        <v>1415</v>
      </c>
      <c r="B473" s="7" t="s">
        <v>25</v>
      </c>
      <c r="C473" s="34" t="s">
        <v>159</v>
      </c>
      <c r="D473" s="33" t="s">
        <v>1775</v>
      </c>
      <c r="E473" s="6" t="s">
        <v>160</v>
      </c>
      <c r="F473" s="6" t="s">
        <v>1416</v>
      </c>
      <c r="G473" s="6" t="s">
        <v>111</v>
      </c>
      <c r="H473" s="7">
        <v>1</v>
      </c>
      <c r="I473" s="6" t="s">
        <v>112</v>
      </c>
      <c r="J473" s="6" t="s">
        <v>31</v>
      </c>
      <c r="K473" s="6" t="s">
        <v>32</v>
      </c>
      <c r="L473" s="6" t="s">
        <v>1755</v>
      </c>
      <c r="M473" s="6" t="s">
        <v>33</v>
      </c>
      <c r="N473" s="10">
        <v>22</v>
      </c>
      <c r="O473" s="11">
        <v>5</v>
      </c>
      <c r="P473" s="12">
        <v>119</v>
      </c>
      <c r="Q473" s="13">
        <v>23.728095</v>
      </c>
      <c r="R473" s="13">
        <v>-99.157252999999997</v>
      </c>
      <c r="S473" s="14" t="s">
        <v>190</v>
      </c>
      <c r="T473" s="14"/>
      <c r="U473" s="14"/>
      <c r="V473" s="14"/>
      <c r="W473" s="14"/>
      <c r="X473" s="14"/>
      <c r="Y473" s="14"/>
      <c r="Z473" s="14"/>
      <c r="AA473" s="15"/>
      <c r="AB473" s="16">
        <v>8.3333333333333329E-2</v>
      </c>
    </row>
    <row r="474" spans="1:28" x14ac:dyDescent="0.3">
      <c r="A474" s="6" t="s">
        <v>1417</v>
      </c>
      <c r="B474" s="7" t="s">
        <v>25</v>
      </c>
      <c r="C474" s="34" t="s">
        <v>159</v>
      </c>
      <c r="D474" s="33" t="s">
        <v>1775</v>
      </c>
      <c r="E474" s="6" t="s">
        <v>160</v>
      </c>
      <c r="F474" s="6" t="s">
        <v>1418</v>
      </c>
      <c r="G474" s="6" t="s">
        <v>111</v>
      </c>
      <c r="H474" s="7">
        <v>1</v>
      </c>
      <c r="I474" s="6" t="s">
        <v>112</v>
      </c>
      <c r="J474" s="6" t="s">
        <v>31</v>
      </c>
      <c r="K474" s="6" t="s">
        <v>32</v>
      </c>
      <c r="L474" s="6" t="s">
        <v>1756</v>
      </c>
      <c r="M474" s="6" t="s">
        <v>33</v>
      </c>
      <c r="N474" s="10">
        <v>36</v>
      </c>
      <c r="O474" s="11">
        <v>7</v>
      </c>
      <c r="P474" s="12">
        <v>161</v>
      </c>
      <c r="Q474" s="13">
        <v>23.748325999999999</v>
      </c>
      <c r="R474" s="13">
        <v>-99.137855000000002</v>
      </c>
      <c r="S474" s="14" t="s">
        <v>176</v>
      </c>
      <c r="T474" s="14"/>
      <c r="U474" s="14"/>
      <c r="V474" s="14"/>
      <c r="W474" s="14"/>
      <c r="X474" s="14"/>
      <c r="Y474" s="14"/>
      <c r="Z474" s="14"/>
      <c r="AA474" s="15"/>
      <c r="AB474" s="16">
        <v>4.1666666666666664E-2</v>
      </c>
    </row>
    <row r="475" spans="1:28" x14ac:dyDescent="0.3">
      <c r="A475" s="6" t="s">
        <v>1419</v>
      </c>
      <c r="B475" s="7" t="s">
        <v>25</v>
      </c>
      <c r="C475" s="34" t="s">
        <v>159</v>
      </c>
      <c r="D475" s="33" t="s">
        <v>1775</v>
      </c>
      <c r="E475" s="6" t="s">
        <v>1420</v>
      </c>
      <c r="F475" s="6" t="s">
        <v>1421</v>
      </c>
      <c r="G475" s="6" t="s">
        <v>111</v>
      </c>
      <c r="H475" s="7">
        <v>1</v>
      </c>
      <c r="I475" s="6" t="s">
        <v>112</v>
      </c>
      <c r="J475" s="6" t="s">
        <v>31</v>
      </c>
      <c r="K475" s="6" t="s">
        <v>32</v>
      </c>
      <c r="L475" s="6" t="s">
        <v>1755</v>
      </c>
      <c r="M475" s="6" t="s">
        <v>33</v>
      </c>
      <c r="N475" s="10">
        <v>33</v>
      </c>
      <c r="O475" s="11">
        <v>7</v>
      </c>
      <c r="P475" s="12">
        <v>203</v>
      </c>
      <c r="Q475" s="13">
        <v>25.827131000000001</v>
      </c>
      <c r="R475" s="13">
        <v>-97.532804999999996</v>
      </c>
      <c r="S475" s="14" t="s">
        <v>190</v>
      </c>
      <c r="T475" s="14"/>
      <c r="U475" s="14"/>
      <c r="V475" s="14"/>
      <c r="W475" s="14"/>
      <c r="X475" s="14"/>
      <c r="Y475" s="14"/>
      <c r="Z475" s="14"/>
      <c r="AA475" s="15"/>
      <c r="AB475" s="16">
        <v>8.3333333333333329E-2</v>
      </c>
    </row>
    <row r="476" spans="1:28" x14ac:dyDescent="0.3">
      <c r="A476" s="6" t="s">
        <v>1422</v>
      </c>
      <c r="B476" s="7" t="s">
        <v>25</v>
      </c>
      <c r="C476" s="34" t="s">
        <v>159</v>
      </c>
      <c r="D476" s="33" t="s">
        <v>1775</v>
      </c>
      <c r="E476" s="6" t="s">
        <v>1423</v>
      </c>
      <c r="F476" s="6" t="s">
        <v>1424</v>
      </c>
      <c r="G476" s="6" t="s">
        <v>111</v>
      </c>
      <c r="H476" s="7">
        <v>1</v>
      </c>
      <c r="I476" s="6" t="s">
        <v>112</v>
      </c>
      <c r="J476" s="6" t="s">
        <v>31</v>
      </c>
      <c r="K476" s="6" t="s">
        <v>32</v>
      </c>
      <c r="L476" s="6" t="s">
        <v>1756</v>
      </c>
      <c r="M476" s="6" t="s">
        <v>33</v>
      </c>
      <c r="N476" s="10">
        <v>35</v>
      </c>
      <c r="O476" s="11">
        <v>8</v>
      </c>
      <c r="P476" s="12">
        <v>251</v>
      </c>
      <c r="Q476" s="13">
        <v>22.253176</v>
      </c>
      <c r="R476" s="13">
        <v>-97.859497000000005</v>
      </c>
      <c r="S476" s="14" t="s">
        <v>176</v>
      </c>
      <c r="T476" s="14"/>
      <c r="U476" s="14"/>
      <c r="V476" s="14"/>
      <c r="W476" s="14"/>
      <c r="X476" s="14"/>
      <c r="Y476" s="14"/>
      <c r="Z476" s="14"/>
      <c r="AA476" s="15"/>
      <c r="AB476" s="16">
        <v>4.1666666666666664E-2</v>
      </c>
    </row>
    <row r="477" spans="1:28" x14ac:dyDescent="0.3">
      <c r="A477" s="6" t="s">
        <v>1425</v>
      </c>
      <c r="B477" s="7" t="s">
        <v>25</v>
      </c>
      <c r="C477" s="34" t="s">
        <v>159</v>
      </c>
      <c r="D477" s="33" t="s">
        <v>1775</v>
      </c>
      <c r="E477" s="6" t="s">
        <v>1426</v>
      </c>
      <c r="F477" s="6" t="s">
        <v>1427</v>
      </c>
      <c r="G477" s="6" t="s">
        <v>111</v>
      </c>
      <c r="H477" s="7">
        <v>1</v>
      </c>
      <c r="I477" s="6" t="s">
        <v>112</v>
      </c>
      <c r="J477" s="6" t="s">
        <v>31</v>
      </c>
      <c r="K477" s="6" t="s">
        <v>32</v>
      </c>
      <c r="L477" s="6" t="s">
        <v>1755</v>
      </c>
      <c r="M477" s="6" t="s">
        <v>33</v>
      </c>
      <c r="N477" s="10">
        <v>17</v>
      </c>
      <c r="O477" s="11">
        <v>4</v>
      </c>
      <c r="P477" s="12">
        <v>88</v>
      </c>
      <c r="Q477" s="13">
        <v>22.727022000000002</v>
      </c>
      <c r="R477" s="13">
        <v>-98.969549000000001</v>
      </c>
      <c r="S477" s="14" t="s">
        <v>190</v>
      </c>
      <c r="T477" s="14"/>
      <c r="U477" s="14"/>
      <c r="V477" s="14"/>
      <c r="W477" s="14"/>
      <c r="X477" s="14"/>
      <c r="Y477" s="14"/>
      <c r="Z477" s="14"/>
      <c r="AA477" s="15"/>
      <c r="AB477" s="16">
        <v>8.3333333333333329E-2</v>
      </c>
    </row>
    <row r="478" spans="1:28" x14ac:dyDescent="0.3">
      <c r="A478" s="6" t="s">
        <v>1428</v>
      </c>
      <c r="B478" s="7" t="s">
        <v>25</v>
      </c>
      <c r="C478" s="34" t="s">
        <v>159</v>
      </c>
      <c r="D478" s="33" t="s">
        <v>1775</v>
      </c>
      <c r="E478" s="6" t="s">
        <v>1429</v>
      </c>
      <c r="F478" s="6" t="s">
        <v>1430</v>
      </c>
      <c r="G478" s="6" t="s">
        <v>111</v>
      </c>
      <c r="H478" s="7">
        <v>1</v>
      </c>
      <c r="I478" s="6" t="s">
        <v>112</v>
      </c>
      <c r="J478" s="6" t="s">
        <v>31</v>
      </c>
      <c r="K478" s="6" t="s">
        <v>32</v>
      </c>
      <c r="L478" s="6" t="s">
        <v>1755</v>
      </c>
      <c r="M478" s="6" t="s">
        <v>33</v>
      </c>
      <c r="N478" s="10">
        <v>8</v>
      </c>
      <c r="O478" s="11">
        <v>2</v>
      </c>
      <c r="P478" s="12">
        <v>46</v>
      </c>
      <c r="Q478" s="13">
        <v>25.994527000000001</v>
      </c>
      <c r="R478" s="13">
        <v>-98.123613000000006</v>
      </c>
      <c r="S478" s="14" t="s">
        <v>190</v>
      </c>
      <c r="T478" s="14"/>
      <c r="U478" s="14"/>
      <c r="V478" s="14"/>
      <c r="W478" s="14"/>
      <c r="X478" s="14"/>
      <c r="Y478" s="14"/>
      <c r="Z478" s="14"/>
      <c r="AA478" s="15"/>
      <c r="AB478" s="16">
        <v>8.3333333333333329E-2</v>
      </c>
    </row>
    <row r="479" spans="1:28" x14ac:dyDescent="0.3">
      <c r="A479" s="6" t="s">
        <v>1431</v>
      </c>
      <c r="B479" s="7" t="s">
        <v>25</v>
      </c>
      <c r="C479" s="34" t="s">
        <v>159</v>
      </c>
      <c r="D479" s="33" t="s">
        <v>1775</v>
      </c>
      <c r="E479" s="6" t="s">
        <v>1432</v>
      </c>
      <c r="F479" s="6" t="s">
        <v>1433</v>
      </c>
      <c r="G479" s="6" t="s">
        <v>111</v>
      </c>
      <c r="H479" s="7">
        <v>1</v>
      </c>
      <c r="I479" s="6" t="s">
        <v>112</v>
      </c>
      <c r="J479" s="6" t="s">
        <v>31</v>
      </c>
      <c r="K479" s="6" t="s">
        <v>32</v>
      </c>
      <c r="L479" s="6" t="s">
        <v>1755</v>
      </c>
      <c r="M479" s="6" t="s">
        <v>33</v>
      </c>
      <c r="N479" s="10">
        <v>7</v>
      </c>
      <c r="O479" s="11">
        <v>2</v>
      </c>
      <c r="P479" s="12">
        <v>51</v>
      </c>
      <c r="Q479" s="13">
        <v>25.701958000000001</v>
      </c>
      <c r="R479" s="13">
        <v>-97.815852000000007</v>
      </c>
      <c r="S479" s="14" t="s">
        <v>190</v>
      </c>
      <c r="T479" s="14"/>
      <c r="U479" s="14"/>
      <c r="V479" s="14"/>
      <c r="W479" s="14"/>
      <c r="X479" s="14"/>
      <c r="Y479" s="14"/>
      <c r="Z479" s="14"/>
      <c r="AA479" s="15"/>
      <c r="AB479" s="16">
        <v>8.3333333333333329E-2</v>
      </c>
    </row>
    <row r="480" spans="1:28" x14ac:dyDescent="0.3">
      <c r="A480" s="6" t="s">
        <v>1434</v>
      </c>
      <c r="B480" s="7" t="s">
        <v>25</v>
      </c>
      <c r="C480" s="34" t="s">
        <v>755</v>
      </c>
      <c r="D480" s="33" t="s">
        <v>1775</v>
      </c>
      <c r="E480" s="6" t="s">
        <v>1435</v>
      </c>
      <c r="F480" s="6" t="s">
        <v>1436</v>
      </c>
      <c r="G480" s="6" t="s">
        <v>111</v>
      </c>
      <c r="H480" s="7">
        <v>1</v>
      </c>
      <c r="I480" s="6" t="s">
        <v>112</v>
      </c>
      <c r="J480" s="6" t="s">
        <v>31</v>
      </c>
      <c r="K480" s="6" t="s">
        <v>32</v>
      </c>
      <c r="L480" s="6" t="s">
        <v>1755</v>
      </c>
      <c r="M480" s="6" t="s">
        <v>33</v>
      </c>
      <c r="N480" s="10">
        <v>21</v>
      </c>
      <c r="O480" s="11">
        <v>6</v>
      </c>
      <c r="P480" s="12">
        <v>107</v>
      </c>
      <c r="Q480" s="13">
        <v>19.408774999999999</v>
      </c>
      <c r="R480" s="13">
        <v>-98.117972199999997</v>
      </c>
      <c r="S480" s="14" t="s">
        <v>34</v>
      </c>
      <c r="T480" s="14" t="s">
        <v>175</v>
      </c>
      <c r="U480" s="14"/>
      <c r="V480" s="14"/>
      <c r="W480" s="14"/>
      <c r="X480" s="14"/>
      <c r="Y480" s="14"/>
      <c r="Z480" s="14"/>
      <c r="AA480" s="15"/>
      <c r="AB480" s="16">
        <v>0.125</v>
      </c>
    </row>
    <row r="481" spans="1:28" x14ac:dyDescent="0.3">
      <c r="A481" s="6" t="s">
        <v>1437</v>
      </c>
      <c r="B481" s="7" t="s">
        <v>25</v>
      </c>
      <c r="C481" s="34" t="s">
        <v>755</v>
      </c>
      <c r="D481" s="33" t="s">
        <v>1775</v>
      </c>
      <c r="E481" s="6" t="s">
        <v>1438</v>
      </c>
      <c r="F481" s="6" t="s">
        <v>1439</v>
      </c>
      <c r="G481" s="6" t="s">
        <v>111</v>
      </c>
      <c r="H481" s="7">
        <v>1</v>
      </c>
      <c r="I481" s="6" t="s">
        <v>112</v>
      </c>
      <c r="J481" s="6" t="s">
        <v>31</v>
      </c>
      <c r="K481" s="6" t="s">
        <v>32</v>
      </c>
      <c r="L481" s="6" t="s">
        <v>1755</v>
      </c>
      <c r="M481" s="6" t="s">
        <v>33</v>
      </c>
      <c r="N481" s="10">
        <v>13</v>
      </c>
      <c r="O481" s="11">
        <v>3</v>
      </c>
      <c r="P481" s="12">
        <v>61</v>
      </c>
      <c r="Q481" s="13">
        <v>19.126875500000001</v>
      </c>
      <c r="R481" s="13">
        <v>-98.200689600000004</v>
      </c>
      <c r="S481" s="14" t="s">
        <v>34</v>
      </c>
      <c r="T481" s="14" t="s">
        <v>175</v>
      </c>
      <c r="U481" s="14"/>
      <c r="V481" s="14"/>
      <c r="W481" s="14"/>
      <c r="X481" s="14"/>
      <c r="Y481" s="14"/>
      <c r="Z481" s="14"/>
      <c r="AA481" s="15"/>
      <c r="AB481" s="16">
        <v>0.125</v>
      </c>
    </row>
    <row r="482" spans="1:28" x14ac:dyDescent="0.3">
      <c r="A482" s="6" t="s">
        <v>1440</v>
      </c>
      <c r="B482" s="7" t="s">
        <v>25</v>
      </c>
      <c r="C482" s="34" t="s">
        <v>755</v>
      </c>
      <c r="D482" s="33" t="s">
        <v>1775</v>
      </c>
      <c r="E482" s="6" t="s">
        <v>1441</v>
      </c>
      <c r="F482" s="6" t="s">
        <v>1442</v>
      </c>
      <c r="G482" s="6" t="s">
        <v>111</v>
      </c>
      <c r="H482" s="7">
        <v>1</v>
      </c>
      <c r="I482" s="6" t="s">
        <v>112</v>
      </c>
      <c r="J482" s="6" t="s">
        <v>31</v>
      </c>
      <c r="K482" s="6" t="s">
        <v>32</v>
      </c>
      <c r="L482" s="6" t="s">
        <v>1756</v>
      </c>
      <c r="M482" s="6" t="s">
        <v>33</v>
      </c>
      <c r="N482" s="10">
        <v>37</v>
      </c>
      <c r="O482" s="11">
        <v>7</v>
      </c>
      <c r="P482" s="12">
        <v>140</v>
      </c>
      <c r="Q482" s="13">
        <v>19.3698807</v>
      </c>
      <c r="R482" s="13">
        <v>-98.216435399999995</v>
      </c>
      <c r="S482" s="14" t="s">
        <v>34</v>
      </c>
      <c r="T482" s="14" t="s">
        <v>175</v>
      </c>
      <c r="U482" s="14"/>
      <c r="V482" s="14"/>
      <c r="W482" s="14"/>
      <c r="X482" s="14"/>
      <c r="Y482" s="14"/>
      <c r="Z482" s="14"/>
      <c r="AA482" s="15"/>
      <c r="AB482" s="16">
        <v>0.125</v>
      </c>
    </row>
    <row r="483" spans="1:28" x14ac:dyDescent="0.3">
      <c r="A483" s="6" t="s">
        <v>1443</v>
      </c>
      <c r="B483" s="7" t="s">
        <v>25</v>
      </c>
      <c r="C483" s="34" t="s">
        <v>755</v>
      </c>
      <c r="D483" s="33" t="s">
        <v>1775</v>
      </c>
      <c r="E483" s="6" t="s">
        <v>1444</v>
      </c>
      <c r="F483" s="6" t="s">
        <v>1445</v>
      </c>
      <c r="G483" s="6" t="s">
        <v>111</v>
      </c>
      <c r="H483" s="7">
        <v>1</v>
      </c>
      <c r="I483" s="6" t="s">
        <v>112</v>
      </c>
      <c r="J483" s="6" t="s">
        <v>31</v>
      </c>
      <c r="K483" s="6" t="s">
        <v>32</v>
      </c>
      <c r="L483" s="6" t="s">
        <v>1755</v>
      </c>
      <c r="M483" s="6" t="s">
        <v>33</v>
      </c>
      <c r="N483" s="10">
        <v>15</v>
      </c>
      <c r="O483" s="11">
        <v>3</v>
      </c>
      <c r="P483" s="12">
        <v>67</v>
      </c>
      <c r="Q483" s="13">
        <v>19.582561800000001</v>
      </c>
      <c r="R483" s="13">
        <v>-98.536741599999999</v>
      </c>
      <c r="S483" s="14" t="s">
        <v>34</v>
      </c>
      <c r="T483" s="14" t="s">
        <v>175</v>
      </c>
      <c r="U483" s="14"/>
      <c r="V483" s="14"/>
      <c r="W483" s="14"/>
      <c r="X483" s="14"/>
      <c r="Y483" s="14"/>
      <c r="Z483" s="14"/>
      <c r="AA483" s="15"/>
      <c r="AB483" s="16">
        <v>0.125</v>
      </c>
    </row>
    <row r="484" spans="1:28" x14ac:dyDescent="0.3">
      <c r="A484" s="6" t="s">
        <v>1446</v>
      </c>
      <c r="B484" s="7" t="s">
        <v>25</v>
      </c>
      <c r="C484" s="34" t="s">
        <v>755</v>
      </c>
      <c r="D484" s="33" t="s">
        <v>1775</v>
      </c>
      <c r="E484" s="6" t="s">
        <v>1447</v>
      </c>
      <c r="F484" s="6" t="s">
        <v>1448</v>
      </c>
      <c r="G484" s="6" t="s">
        <v>111</v>
      </c>
      <c r="H484" s="7">
        <v>1</v>
      </c>
      <c r="I484" s="6" t="s">
        <v>112</v>
      </c>
      <c r="J484" s="6" t="s">
        <v>31</v>
      </c>
      <c r="K484" s="6" t="s">
        <v>32</v>
      </c>
      <c r="L484" s="6" t="s">
        <v>1755</v>
      </c>
      <c r="M484" s="6" t="s">
        <v>33</v>
      </c>
      <c r="N484" s="10">
        <v>8</v>
      </c>
      <c r="O484" s="11">
        <v>2</v>
      </c>
      <c r="P484" s="12">
        <v>50</v>
      </c>
      <c r="Q484" s="13">
        <v>19.224226600000001</v>
      </c>
      <c r="R484" s="13">
        <v>-98.317484800000003</v>
      </c>
      <c r="S484" s="14" t="s">
        <v>34</v>
      </c>
      <c r="T484" s="14" t="s">
        <v>175</v>
      </c>
      <c r="U484" s="14"/>
      <c r="V484" s="14"/>
      <c r="W484" s="14"/>
      <c r="X484" s="14"/>
      <c r="Y484" s="14"/>
      <c r="Z484" s="14"/>
      <c r="AA484" s="15"/>
      <c r="AB484" s="16">
        <v>0.125</v>
      </c>
    </row>
    <row r="485" spans="1:28" x14ac:dyDescent="0.3">
      <c r="A485" s="6" t="s">
        <v>1449</v>
      </c>
      <c r="B485" s="7" t="s">
        <v>25</v>
      </c>
      <c r="C485" s="34" t="s">
        <v>755</v>
      </c>
      <c r="D485" s="33" t="s">
        <v>1775</v>
      </c>
      <c r="E485" s="6" t="s">
        <v>1450</v>
      </c>
      <c r="F485" s="6" t="s">
        <v>1451</v>
      </c>
      <c r="G485" s="6" t="s">
        <v>111</v>
      </c>
      <c r="H485" s="7">
        <v>1</v>
      </c>
      <c r="I485" s="6" t="s">
        <v>112</v>
      </c>
      <c r="J485" s="6" t="s">
        <v>31</v>
      </c>
      <c r="K485" s="6" t="s">
        <v>32</v>
      </c>
      <c r="L485" s="6" t="s">
        <v>1755</v>
      </c>
      <c r="M485" s="6" t="s">
        <v>33</v>
      </c>
      <c r="N485" s="10">
        <v>14</v>
      </c>
      <c r="O485" s="11">
        <v>3</v>
      </c>
      <c r="P485" s="12">
        <v>81</v>
      </c>
      <c r="Q485" s="13">
        <v>19.3063</v>
      </c>
      <c r="R485" s="13">
        <v>-97.940791700000005</v>
      </c>
      <c r="S485" s="14" t="s">
        <v>34</v>
      </c>
      <c r="T485" s="14" t="s">
        <v>175</v>
      </c>
      <c r="U485" s="14"/>
      <c r="V485" s="14"/>
      <c r="W485" s="14"/>
      <c r="X485" s="14"/>
      <c r="Y485" s="14"/>
      <c r="Z485" s="14"/>
      <c r="AA485" s="15"/>
      <c r="AB485" s="16">
        <v>0.125</v>
      </c>
    </row>
    <row r="486" spans="1:28" x14ac:dyDescent="0.3">
      <c r="A486" s="6" t="s">
        <v>1452</v>
      </c>
      <c r="B486" s="7" t="s">
        <v>25</v>
      </c>
      <c r="C486" s="34" t="s">
        <v>218</v>
      </c>
      <c r="D486" s="33" t="s">
        <v>1775</v>
      </c>
      <c r="E486" s="6" t="s">
        <v>1453</v>
      </c>
      <c r="F486" s="6" t="s">
        <v>1454</v>
      </c>
      <c r="G486" s="6" t="s">
        <v>111</v>
      </c>
      <c r="H486" s="7">
        <v>1</v>
      </c>
      <c r="I486" s="6" t="s">
        <v>112</v>
      </c>
      <c r="J486" s="6" t="s">
        <v>31</v>
      </c>
      <c r="K486" s="6" t="s">
        <v>32</v>
      </c>
      <c r="L486" s="6" t="s">
        <v>1755</v>
      </c>
      <c r="M486" s="6" t="s">
        <v>33</v>
      </c>
      <c r="N486" s="10">
        <v>10</v>
      </c>
      <c r="O486" s="11">
        <v>2</v>
      </c>
      <c r="P486" s="12">
        <v>50</v>
      </c>
      <c r="Q486" s="13">
        <v>19.76972</v>
      </c>
      <c r="R486" s="13">
        <v>-97.248090000000005</v>
      </c>
      <c r="S486" s="14" t="s">
        <v>176</v>
      </c>
      <c r="T486" s="14"/>
      <c r="U486" s="14"/>
      <c r="V486" s="14"/>
      <c r="W486" s="14"/>
      <c r="X486" s="14"/>
      <c r="Y486" s="14"/>
      <c r="Z486" s="14"/>
      <c r="AA486" s="15"/>
      <c r="AB486" s="16">
        <v>4.1666666666666664E-2</v>
      </c>
    </row>
    <row r="487" spans="1:28" x14ac:dyDescent="0.3">
      <c r="A487" s="6" t="s">
        <v>1455</v>
      </c>
      <c r="B487" s="7" t="s">
        <v>25</v>
      </c>
      <c r="C487" s="34" t="s">
        <v>218</v>
      </c>
      <c r="D487" s="33" t="s">
        <v>1775</v>
      </c>
      <c r="E487" s="6" t="s">
        <v>1456</v>
      </c>
      <c r="F487" s="6" t="s">
        <v>1457</v>
      </c>
      <c r="G487" s="6" t="s">
        <v>111</v>
      </c>
      <c r="H487" s="7">
        <v>1</v>
      </c>
      <c r="I487" s="6" t="s">
        <v>112</v>
      </c>
      <c r="J487" s="6" t="s">
        <v>31</v>
      </c>
      <c r="K487" s="6" t="s">
        <v>32</v>
      </c>
      <c r="L487" s="6" t="s">
        <v>1755</v>
      </c>
      <c r="M487" s="6" t="s">
        <v>33</v>
      </c>
      <c r="N487" s="10">
        <v>23</v>
      </c>
      <c r="O487" s="11">
        <v>5</v>
      </c>
      <c r="P487" s="12">
        <v>158</v>
      </c>
      <c r="Q487" s="13">
        <v>18.144901000000001</v>
      </c>
      <c r="R487" s="13">
        <v>-94.424400000000006</v>
      </c>
      <c r="S487" s="14" t="s">
        <v>176</v>
      </c>
      <c r="T487" s="14"/>
      <c r="U487" s="14"/>
      <c r="V487" s="14"/>
      <c r="W487" s="14"/>
      <c r="X487" s="14"/>
      <c r="Y487" s="14"/>
      <c r="Z487" s="14"/>
      <c r="AA487" s="15"/>
      <c r="AB487" s="16">
        <v>4.1666666666666664E-2</v>
      </c>
    </row>
    <row r="488" spans="1:28" x14ac:dyDescent="0.3">
      <c r="A488" s="6" t="s">
        <v>1458</v>
      </c>
      <c r="B488" s="7" t="s">
        <v>25</v>
      </c>
      <c r="C488" s="34" t="s">
        <v>218</v>
      </c>
      <c r="D488" s="33" t="s">
        <v>1775</v>
      </c>
      <c r="E488" s="6" t="s">
        <v>1459</v>
      </c>
      <c r="F488" s="6" t="s">
        <v>1460</v>
      </c>
      <c r="G488" s="6" t="s">
        <v>111</v>
      </c>
      <c r="H488" s="7">
        <v>1</v>
      </c>
      <c r="I488" s="6" t="s">
        <v>112</v>
      </c>
      <c r="J488" s="6" t="s">
        <v>31</v>
      </c>
      <c r="K488" s="6" t="s">
        <v>32</v>
      </c>
      <c r="L488" s="6" t="s">
        <v>1755</v>
      </c>
      <c r="M488" s="6" t="s">
        <v>33</v>
      </c>
      <c r="N488" s="10">
        <v>18</v>
      </c>
      <c r="O488" s="11">
        <v>5</v>
      </c>
      <c r="P488" s="12">
        <v>101</v>
      </c>
      <c r="Q488" s="13">
        <v>18.87951</v>
      </c>
      <c r="R488" s="13">
        <v>-96.920100000000005</v>
      </c>
      <c r="S488" s="14" t="s">
        <v>176</v>
      </c>
      <c r="T488" s="14"/>
      <c r="U488" s="14"/>
      <c r="V488" s="14"/>
      <c r="W488" s="14"/>
      <c r="X488" s="14"/>
      <c r="Y488" s="14"/>
      <c r="Z488" s="14"/>
      <c r="AA488" s="15"/>
      <c r="AB488" s="16">
        <v>4.1666666666666664E-2</v>
      </c>
    </row>
    <row r="489" spans="1:28" x14ac:dyDescent="0.3">
      <c r="A489" s="6" t="s">
        <v>1461</v>
      </c>
      <c r="B489" s="7" t="s">
        <v>25</v>
      </c>
      <c r="C489" s="34" t="s">
        <v>218</v>
      </c>
      <c r="D489" s="33" t="s">
        <v>1775</v>
      </c>
      <c r="E489" s="6" t="s">
        <v>1462</v>
      </c>
      <c r="F489" s="6" t="s">
        <v>1463</v>
      </c>
      <c r="G489" s="6" t="s">
        <v>111</v>
      </c>
      <c r="H489" s="7">
        <v>1</v>
      </c>
      <c r="I489" s="6" t="s">
        <v>112</v>
      </c>
      <c r="J489" s="6" t="s">
        <v>31</v>
      </c>
      <c r="K489" s="6" t="s">
        <v>32</v>
      </c>
      <c r="L489" s="6" t="s">
        <v>1755</v>
      </c>
      <c r="M489" s="6" t="s">
        <v>33</v>
      </c>
      <c r="N489" s="10">
        <v>14</v>
      </c>
      <c r="O489" s="11">
        <v>2</v>
      </c>
      <c r="P489" s="12">
        <v>48</v>
      </c>
      <c r="Q489" s="13">
        <v>18.365775200000002</v>
      </c>
      <c r="R489" s="13">
        <v>-95.796659399999996</v>
      </c>
      <c r="S489" s="14" t="s">
        <v>176</v>
      </c>
      <c r="T489" s="14"/>
      <c r="U489" s="14"/>
      <c r="V489" s="14"/>
      <c r="W489" s="14"/>
      <c r="X489" s="14"/>
      <c r="Y489" s="14"/>
      <c r="Z489" s="14"/>
      <c r="AA489" s="15"/>
      <c r="AB489" s="16">
        <v>4.1666666666666664E-2</v>
      </c>
    </row>
    <row r="490" spans="1:28" x14ac:dyDescent="0.3">
      <c r="A490" s="6" t="s">
        <v>1464</v>
      </c>
      <c r="B490" s="7" t="s">
        <v>25</v>
      </c>
      <c r="C490" s="34" t="s">
        <v>218</v>
      </c>
      <c r="D490" s="33" t="s">
        <v>1775</v>
      </c>
      <c r="E490" s="6" t="s">
        <v>1465</v>
      </c>
      <c r="F490" s="6" t="s">
        <v>1466</v>
      </c>
      <c r="G490" s="6" t="s">
        <v>111</v>
      </c>
      <c r="H490" s="7">
        <v>1</v>
      </c>
      <c r="I490" s="6" t="s">
        <v>112</v>
      </c>
      <c r="J490" s="6" t="s">
        <v>31</v>
      </c>
      <c r="K490" s="6" t="s">
        <v>32</v>
      </c>
      <c r="L490" s="6" t="s">
        <v>1755</v>
      </c>
      <c r="M490" s="6" t="s">
        <v>33</v>
      </c>
      <c r="N490" s="10">
        <v>13</v>
      </c>
      <c r="O490" s="11">
        <v>3</v>
      </c>
      <c r="P490" s="12">
        <v>42</v>
      </c>
      <c r="Q490" s="13">
        <v>19.151869999999999</v>
      </c>
      <c r="R490" s="13">
        <v>-96.968900000000005</v>
      </c>
      <c r="S490" s="14" t="s">
        <v>176</v>
      </c>
      <c r="T490" s="14"/>
      <c r="U490" s="14"/>
      <c r="V490" s="14"/>
      <c r="W490" s="14"/>
      <c r="X490" s="14"/>
      <c r="Y490" s="14"/>
      <c r="Z490" s="14"/>
      <c r="AA490" s="15"/>
      <c r="AB490" s="16">
        <v>4.1666666666666664E-2</v>
      </c>
    </row>
    <row r="491" spans="1:28" x14ac:dyDescent="0.3">
      <c r="A491" s="6" t="s">
        <v>1467</v>
      </c>
      <c r="B491" s="7" t="s">
        <v>25</v>
      </c>
      <c r="C491" s="34" t="s">
        <v>218</v>
      </c>
      <c r="D491" s="33" t="s">
        <v>1775</v>
      </c>
      <c r="E491" s="6" t="s">
        <v>1468</v>
      </c>
      <c r="F491" s="6" t="s">
        <v>1469</v>
      </c>
      <c r="G491" s="6" t="s">
        <v>111</v>
      </c>
      <c r="H491" s="7">
        <v>1</v>
      </c>
      <c r="I491" s="6" t="s">
        <v>155</v>
      </c>
      <c r="J491" s="6" t="s">
        <v>31</v>
      </c>
      <c r="K491" s="6" t="s">
        <v>32</v>
      </c>
      <c r="L491" s="6" t="s">
        <v>1756</v>
      </c>
      <c r="M491" s="6" t="s">
        <v>33</v>
      </c>
      <c r="N491" s="10">
        <v>19</v>
      </c>
      <c r="O491" s="11">
        <v>4</v>
      </c>
      <c r="P491" s="12">
        <v>110</v>
      </c>
      <c r="Q491" s="13">
        <v>19.544702000000001</v>
      </c>
      <c r="R491" s="13">
        <v>-96.923411000000002</v>
      </c>
      <c r="S491" s="14" t="s">
        <v>176</v>
      </c>
      <c r="T491" s="14"/>
      <c r="U491" s="14"/>
      <c r="V491" s="14"/>
      <c r="W491" s="14"/>
      <c r="X491" s="14"/>
      <c r="Y491" s="14"/>
      <c r="Z491" s="14"/>
      <c r="AA491" s="15"/>
      <c r="AB491" s="16">
        <v>4.1666666666666664E-2</v>
      </c>
    </row>
    <row r="492" spans="1:28" x14ac:dyDescent="0.3">
      <c r="A492" s="6" t="s">
        <v>1470</v>
      </c>
      <c r="B492" s="7" t="s">
        <v>25</v>
      </c>
      <c r="C492" s="34" t="s">
        <v>218</v>
      </c>
      <c r="D492" s="33" t="s">
        <v>1775</v>
      </c>
      <c r="E492" s="6" t="s">
        <v>1468</v>
      </c>
      <c r="F492" s="6" t="s">
        <v>1471</v>
      </c>
      <c r="G492" s="6" t="s">
        <v>111</v>
      </c>
      <c r="H492" s="7">
        <v>1</v>
      </c>
      <c r="I492" s="6" t="s">
        <v>155</v>
      </c>
      <c r="J492" s="6" t="s">
        <v>31</v>
      </c>
      <c r="K492" s="6" t="s">
        <v>32</v>
      </c>
      <c r="L492" s="6" t="s">
        <v>1756</v>
      </c>
      <c r="M492" s="6" t="s">
        <v>33</v>
      </c>
      <c r="N492" s="10">
        <v>32</v>
      </c>
      <c r="O492" s="11">
        <v>10</v>
      </c>
      <c r="P492" s="12">
        <v>292</v>
      </c>
      <c r="Q492" s="13">
        <v>19.551728000000001</v>
      </c>
      <c r="R492" s="13">
        <v>-96.935888000000006</v>
      </c>
      <c r="S492" s="14" t="s">
        <v>176</v>
      </c>
      <c r="T492" s="14"/>
      <c r="U492" s="14"/>
      <c r="V492" s="14"/>
      <c r="W492" s="14"/>
      <c r="X492" s="14"/>
      <c r="Y492" s="14"/>
      <c r="Z492" s="14"/>
      <c r="AA492" s="15"/>
      <c r="AB492" s="16">
        <v>4.1666666666666664E-2</v>
      </c>
    </row>
    <row r="493" spans="1:28" x14ac:dyDescent="0.3">
      <c r="A493" s="6" t="s">
        <v>1472</v>
      </c>
      <c r="B493" s="7" t="s">
        <v>25</v>
      </c>
      <c r="C493" s="34" t="s">
        <v>218</v>
      </c>
      <c r="D493" s="33" t="s">
        <v>1775</v>
      </c>
      <c r="E493" s="6" t="s">
        <v>1468</v>
      </c>
      <c r="F493" s="6" t="s">
        <v>1473</v>
      </c>
      <c r="G493" s="6" t="s">
        <v>111</v>
      </c>
      <c r="H493" s="7">
        <v>1</v>
      </c>
      <c r="I493" s="6" t="s">
        <v>112</v>
      </c>
      <c r="J493" s="6" t="s">
        <v>31</v>
      </c>
      <c r="K493" s="6" t="s">
        <v>32</v>
      </c>
      <c r="L493" s="6" t="s">
        <v>1755</v>
      </c>
      <c r="M493" s="6" t="s">
        <v>33</v>
      </c>
      <c r="N493" s="10">
        <v>27</v>
      </c>
      <c r="O493" s="11">
        <v>7</v>
      </c>
      <c r="P493" s="12">
        <v>188</v>
      </c>
      <c r="Q493" s="13">
        <v>19.525544</v>
      </c>
      <c r="R493" s="13">
        <v>-96.921020999999996</v>
      </c>
      <c r="S493" s="14" t="s">
        <v>176</v>
      </c>
      <c r="T493" s="14"/>
      <c r="U493" s="14"/>
      <c r="V493" s="14"/>
      <c r="W493" s="14"/>
      <c r="X493" s="14"/>
      <c r="Y493" s="14"/>
      <c r="Z493" s="14"/>
      <c r="AA493" s="15"/>
      <c r="AB493" s="16">
        <v>4.1666666666666664E-2</v>
      </c>
    </row>
    <row r="494" spans="1:28" x14ac:dyDescent="0.3">
      <c r="A494" s="6" t="s">
        <v>1474</v>
      </c>
      <c r="B494" s="7" t="s">
        <v>25</v>
      </c>
      <c r="C494" s="34" t="s">
        <v>218</v>
      </c>
      <c r="D494" s="33" t="s">
        <v>1775</v>
      </c>
      <c r="E494" s="6" t="s">
        <v>1475</v>
      </c>
      <c r="F494" s="6" t="s">
        <v>1476</v>
      </c>
      <c r="G494" s="6" t="s">
        <v>111</v>
      </c>
      <c r="H494" s="7">
        <v>1</v>
      </c>
      <c r="I494" s="6" t="s">
        <v>112</v>
      </c>
      <c r="J494" s="6" t="s">
        <v>31</v>
      </c>
      <c r="K494" s="6" t="s">
        <v>32</v>
      </c>
      <c r="L494" s="6" t="s">
        <v>1755</v>
      </c>
      <c r="M494" s="6" t="s">
        <v>33</v>
      </c>
      <c r="N494" s="10">
        <v>10</v>
      </c>
      <c r="O494" s="11">
        <v>3</v>
      </c>
      <c r="P494" s="12">
        <v>69</v>
      </c>
      <c r="Q494" s="13">
        <v>20.08089</v>
      </c>
      <c r="R494" s="13">
        <v>-97.048100000000005</v>
      </c>
      <c r="S494" s="14" t="s">
        <v>176</v>
      </c>
      <c r="T494" s="14"/>
      <c r="U494" s="14"/>
      <c r="V494" s="14"/>
      <c r="W494" s="14"/>
      <c r="X494" s="14"/>
      <c r="Y494" s="14"/>
      <c r="Z494" s="14"/>
      <c r="AA494" s="15"/>
      <c r="AB494" s="16">
        <v>4.1666666666666664E-2</v>
      </c>
    </row>
    <row r="495" spans="1:28" x14ac:dyDescent="0.3">
      <c r="A495" s="6" t="s">
        <v>1477</v>
      </c>
      <c r="B495" s="7" t="s">
        <v>25</v>
      </c>
      <c r="C495" s="34" t="s">
        <v>218</v>
      </c>
      <c r="D495" s="33" t="s">
        <v>1775</v>
      </c>
      <c r="E495" s="6" t="s">
        <v>1478</v>
      </c>
      <c r="F495" s="6" t="s">
        <v>1479</v>
      </c>
      <c r="G495" s="6" t="s">
        <v>111</v>
      </c>
      <c r="H495" s="7">
        <v>1</v>
      </c>
      <c r="I495" s="6" t="s">
        <v>112</v>
      </c>
      <c r="J495" s="6" t="s">
        <v>31</v>
      </c>
      <c r="K495" s="6" t="s">
        <v>32</v>
      </c>
      <c r="L495" s="6" t="s">
        <v>1755</v>
      </c>
      <c r="M495" s="6" t="s">
        <v>33</v>
      </c>
      <c r="N495" s="10">
        <v>9</v>
      </c>
      <c r="O495" s="11">
        <v>3</v>
      </c>
      <c r="P495" s="12">
        <v>71</v>
      </c>
      <c r="Q495" s="13">
        <v>17.990259999999999</v>
      </c>
      <c r="R495" s="13">
        <v>-94.559600000000003</v>
      </c>
      <c r="S495" s="14" t="s">
        <v>176</v>
      </c>
      <c r="T495" s="14"/>
      <c r="U495" s="14"/>
      <c r="V495" s="14"/>
      <c r="W495" s="14"/>
      <c r="X495" s="14"/>
      <c r="Y495" s="14"/>
      <c r="Z495" s="14"/>
      <c r="AA495" s="15"/>
      <c r="AB495" s="16">
        <v>4.1666666666666664E-2</v>
      </c>
    </row>
    <row r="496" spans="1:28" x14ac:dyDescent="0.3">
      <c r="A496" s="6" t="s">
        <v>1480</v>
      </c>
      <c r="B496" s="7" t="s">
        <v>25</v>
      </c>
      <c r="C496" s="34" t="s">
        <v>218</v>
      </c>
      <c r="D496" s="33" t="s">
        <v>1775</v>
      </c>
      <c r="E496" s="6" t="s">
        <v>1481</v>
      </c>
      <c r="F496" s="6" t="s">
        <v>1482</v>
      </c>
      <c r="G496" s="6" t="s">
        <v>111</v>
      </c>
      <c r="H496" s="7">
        <v>1</v>
      </c>
      <c r="I496" s="6" t="s">
        <v>112</v>
      </c>
      <c r="J496" s="6" t="s">
        <v>31</v>
      </c>
      <c r="K496" s="6" t="s">
        <v>32</v>
      </c>
      <c r="L496" s="6" t="s">
        <v>1755</v>
      </c>
      <c r="M496" s="6" t="s">
        <v>33</v>
      </c>
      <c r="N496" s="10">
        <v>8</v>
      </c>
      <c r="O496" s="11">
        <v>2</v>
      </c>
      <c r="P496" s="12">
        <v>45</v>
      </c>
      <c r="Q496" s="13">
        <v>19.922930000000001</v>
      </c>
      <c r="R496" s="13">
        <v>-96.851500000000001</v>
      </c>
      <c r="S496" s="14" t="s">
        <v>176</v>
      </c>
      <c r="T496" s="14"/>
      <c r="U496" s="14"/>
      <c r="V496" s="14"/>
      <c r="W496" s="14"/>
      <c r="X496" s="14"/>
      <c r="Y496" s="14"/>
      <c r="Z496" s="14"/>
      <c r="AA496" s="15"/>
      <c r="AB496" s="16">
        <v>4.1666666666666664E-2</v>
      </c>
    </row>
    <row r="497" spans="1:28" x14ac:dyDescent="0.3">
      <c r="A497" s="6" t="s">
        <v>1483</v>
      </c>
      <c r="B497" s="7" t="s">
        <v>25</v>
      </c>
      <c r="C497" s="34" t="s">
        <v>218</v>
      </c>
      <c r="D497" s="33" t="s">
        <v>1775</v>
      </c>
      <c r="E497" s="6" t="s">
        <v>1484</v>
      </c>
      <c r="F497" s="6" t="s">
        <v>1485</v>
      </c>
      <c r="G497" s="6" t="s">
        <v>111</v>
      </c>
      <c r="H497" s="7">
        <v>1</v>
      </c>
      <c r="I497" s="6" t="s">
        <v>112</v>
      </c>
      <c r="J497" s="6" t="s">
        <v>31</v>
      </c>
      <c r="K497" s="6" t="s">
        <v>32</v>
      </c>
      <c r="L497" s="6" t="s">
        <v>1755</v>
      </c>
      <c r="M497" s="6" t="s">
        <v>33</v>
      </c>
      <c r="N497" s="10">
        <v>7</v>
      </c>
      <c r="O497" s="11">
        <v>2</v>
      </c>
      <c r="P497" s="12">
        <v>45</v>
      </c>
      <c r="Q497" s="13">
        <v>22.049579999999999</v>
      </c>
      <c r="R497" s="13">
        <v>-98.181010000000001</v>
      </c>
      <c r="S497" s="14" t="s">
        <v>176</v>
      </c>
      <c r="T497" s="14"/>
      <c r="U497" s="14"/>
      <c r="V497" s="14"/>
      <c r="W497" s="14"/>
      <c r="X497" s="14"/>
      <c r="Y497" s="14"/>
      <c r="Z497" s="14"/>
      <c r="AA497" s="15"/>
      <c r="AB497" s="16">
        <v>4.1666666666666664E-2</v>
      </c>
    </row>
    <row r="498" spans="1:28" x14ac:dyDescent="0.3">
      <c r="A498" s="6" t="s">
        <v>1486</v>
      </c>
      <c r="B498" s="7" t="s">
        <v>25</v>
      </c>
      <c r="C498" s="34" t="s">
        <v>218</v>
      </c>
      <c r="D498" s="33" t="s">
        <v>1775</v>
      </c>
      <c r="E498" s="6" t="s">
        <v>1487</v>
      </c>
      <c r="F498" s="6" t="s">
        <v>1488</v>
      </c>
      <c r="G498" s="6" t="s">
        <v>111</v>
      </c>
      <c r="H498" s="7">
        <v>1</v>
      </c>
      <c r="I498" s="6" t="s">
        <v>112</v>
      </c>
      <c r="J498" s="6" t="s">
        <v>31</v>
      </c>
      <c r="K498" s="6" t="s">
        <v>32</v>
      </c>
      <c r="L498" s="6" t="s">
        <v>1755</v>
      </c>
      <c r="M498" s="6" t="s">
        <v>33</v>
      </c>
      <c r="N498" s="10">
        <v>10</v>
      </c>
      <c r="O498" s="11">
        <v>1</v>
      </c>
      <c r="P498" s="12">
        <v>60</v>
      </c>
      <c r="Q498" s="13">
        <v>20.450330000000001</v>
      </c>
      <c r="R498" s="13">
        <v>-97.329043100000007</v>
      </c>
      <c r="S498" s="14" t="s">
        <v>176</v>
      </c>
      <c r="T498" s="14"/>
      <c r="U498" s="14"/>
      <c r="V498" s="14"/>
      <c r="W498" s="14"/>
      <c r="X498" s="14"/>
      <c r="Y498" s="14"/>
      <c r="Z498" s="14"/>
      <c r="AA498" s="15"/>
      <c r="AB498" s="16">
        <v>4.1666666666666664E-2</v>
      </c>
    </row>
    <row r="499" spans="1:28" x14ac:dyDescent="0.3">
      <c r="A499" s="6" t="s">
        <v>1489</v>
      </c>
      <c r="B499" s="7" t="s">
        <v>25</v>
      </c>
      <c r="C499" s="34" t="s">
        <v>218</v>
      </c>
      <c r="D499" s="33" t="s">
        <v>1775</v>
      </c>
      <c r="E499" s="6" t="s">
        <v>1490</v>
      </c>
      <c r="F499" s="6" t="s">
        <v>1491</v>
      </c>
      <c r="G499" s="6" t="s">
        <v>111</v>
      </c>
      <c r="H499" s="7">
        <v>1</v>
      </c>
      <c r="I499" s="6" t="s">
        <v>112</v>
      </c>
      <c r="J499" s="6" t="s">
        <v>31</v>
      </c>
      <c r="K499" s="6" t="s">
        <v>32</v>
      </c>
      <c r="L499" s="6" t="s">
        <v>1755</v>
      </c>
      <c r="M499" s="6" t="s">
        <v>33</v>
      </c>
      <c r="N499" s="10">
        <v>17</v>
      </c>
      <c r="O499" s="11">
        <v>7</v>
      </c>
      <c r="P499" s="12">
        <v>164</v>
      </c>
      <c r="Q499" s="13">
        <v>20.554179999999999</v>
      </c>
      <c r="R499" s="13">
        <v>-97.439009999999996</v>
      </c>
      <c r="S499" s="14" t="s">
        <v>176</v>
      </c>
      <c r="T499" s="14"/>
      <c r="U499" s="14"/>
      <c r="V499" s="14"/>
      <c r="W499" s="14"/>
      <c r="X499" s="14"/>
      <c r="Y499" s="14"/>
      <c r="Z499" s="14"/>
      <c r="AA499" s="15"/>
      <c r="AB499" s="16">
        <v>4.1666666666666664E-2</v>
      </c>
    </row>
    <row r="500" spans="1:28" x14ac:dyDescent="0.3">
      <c r="A500" s="6" t="s">
        <v>1492</v>
      </c>
      <c r="B500" s="7" t="s">
        <v>25</v>
      </c>
      <c r="C500" s="34" t="s">
        <v>218</v>
      </c>
      <c r="D500" s="33" t="s">
        <v>1775</v>
      </c>
      <c r="E500" s="6" t="s">
        <v>1493</v>
      </c>
      <c r="F500" s="6" t="s">
        <v>1494</v>
      </c>
      <c r="G500" s="6" t="s">
        <v>111</v>
      </c>
      <c r="H500" s="7">
        <v>1</v>
      </c>
      <c r="I500" s="6" t="s">
        <v>112</v>
      </c>
      <c r="J500" s="6" t="s">
        <v>31</v>
      </c>
      <c r="K500" s="6" t="s">
        <v>32</v>
      </c>
      <c r="L500" s="6" t="s">
        <v>1755</v>
      </c>
      <c r="M500" s="6" t="s">
        <v>33</v>
      </c>
      <c r="N500" s="10">
        <v>20</v>
      </c>
      <c r="O500" s="11">
        <v>6</v>
      </c>
      <c r="P500" s="12">
        <v>234</v>
      </c>
      <c r="Q500" s="13">
        <v>18.835059999999999</v>
      </c>
      <c r="R500" s="13">
        <v>-97.125010000000003</v>
      </c>
      <c r="S500" s="14" t="s">
        <v>176</v>
      </c>
      <c r="T500" s="14"/>
      <c r="U500" s="14"/>
      <c r="V500" s="14"/>
      <c r="W500" s="14"/>
      <c r="X500" s="14"/>
      <c r="Y500" s="14"/>
      <c r="Z500" s="14"/>
      <c r="AA500" s="15"/>
      <c r="AB500" s="16">
        <v>4.1666666666666664E-2</v>
      </c>
    </row>
    <row r="501" spans="1:28" x14ac:dyDescent="0.3">
      <c r="A501" s="6" t="s">
        <v>1495</v>
      </c>
      <c r="B501" s="7" t="s">
        <v>25</v>
      </c>
      <c r="C501" s="34" t="s">
        <v>218</v>
      </c>
      <c r="D501" s="33" t="s">
        <v>1775</v>
      </c>
      <c r="E501" s="6" t="s">
        <v>1496</v>
      </c>
      <c r="F501" s="6" t="s">
        <v>1497</v>
      </c>
      <c r="G501" s="6" t="s">
        <v>111</v>
      </c>
      <c r="H501" s="7">
        <v>1</v>
      </c>
      <c r="I501" s="6" t="s">
        <v>112</v>
      </c>
      <c r="J501" s="6" t="s">
        <v>31</v>
      </c>
      <c r="K501" s="6" t="s">
        <v>32</v>
      </c>
      <c r="L501" s="6" t="s">
        <v>1755</v>
      </c>
      <c r="M501" s="6" t="s">
        <v>33</v>
      </c>
      <c r="N501" s="10">
        <v>16</v>
      </c>
      <c r="O501" s="11">
        <v>3</v>
      </c>
      <c r="P501" s="12">
        <v>68</v>
      </c>
      <c r="Q501" s="13">
        <v>18.443249999999999</v>
      </c>
      <c r="R501" s="13">
        <v>-95.2089</v>
      </c>
      <c r="S501" s="14" t="s">
        <v>176</v>
      </c>
      <c r="T501" s="14"/>
      <c r="U501" s="14"/>
      <c r="V501" s="14"/>
      <c r="W501" s="14"/>
      <c r="X501" s="14"/>
      <c r="Y501" s="14"/>
      <c r="Z501" s="14"/>
      <c r="AA501" s="15"/>
      <c r="AB501" s="16">
        <v>4.1666666666666664E-2</v>
      </c>
    </row>
    <row r="502" spans="1:28" x14ac:dyDescent="0.3">
      <c r="A502" s="6" t="s">
        <v>1498</v>
      </c>
      <c r="B502" s="7" t="s">
        <v>25</v>
      </c>
      <c r="C502" s="34" t="s">
        <v>218</v>
      </c>
      <c r="D502" s="33" t="s">
        <v>1775</v>
      </c>
      <c r="E502" s="6" t="s">
        <v>1499</v>
      </c>
      <c r="F502" s="6" t="s">
        <v>1500</v>
      </c>
      <c r="G502" s="6" t="s">
        <v>111</v>
      </c>
      <c r="H502" s="7">
        <v>1</v>
      </c>
      <c r="I502" s="6" t="s">
        <v>112</v>
      </c>
      <c r="J502" s="6" t="s">
        <v>31</v>
      </c>
      <c r="K502" s="6" t="s">
        <v>32</v>
      </c>
      <c r="L502" s="6" t="s">
        <v>1755</v>
      </c>
      <c r="M502" s="6" t="s">
        <v>33</v>
      </c>
      <c r="N502" s="10">
        <v>5</v>
      </c>
      <c r="O502" s="11">
        <v>2</v>
      </c>
      <c r="P502" s="12">
        <v>37</v>
      </c>
      <c r="Q502" s="13">
        <v>18.45825</v>
      </c>
      <c r="R502" s="13">
        <v>-95.3078</v>
      </c>
      <c r="S502" s="14" t="s">
        <v>176</v>
      </c>
      <c r="T502" s="14"/>
      <c r="U502" s="14"/>
      <c r="V502" s="14"/>
      <c r="W502" s="14"/>
      <c r="X502" s="14"/>
      <c r="Y502" s="14"/>
      <c r="Z502" s="14"/>
      <c r="AA502" s="15"/>
      <c r="AB502" s="16">
        <v>4.1666666666666664E-2</v>
      </c>
    </row>
    <row r="503" spans="1:28" x14ac:dyDescent="0.3">
      <c r="A503" s="6" t="s">
        <v>1501</v>
      </c>
      <c r="B503" s="7" t="s">
        <v>25</v>
      </c>
      <c r="C503" s="34" t="s">
        <v>218</v>
      </c>
      <c r="D503" s="33" t="s">
        <v>1775</v>
      </c>
      <c r="E503" s="6" t="s">
        <v>1502</v>
      </c>
      <c r="F503" s="6" t="s">
        <v>1503</v>
      </c>
      <c r="G503" s="6" t="s">
        <v>111</v>
      </c>
      <c r="H503" s="7">
        <v>1</v>
      </c>
      <c r="I503" s="6" t="s">
        <v>112</v>
      </c>
      <c r="J503" s="6" t="s">
        <v>31</v>
      </c>
      <c r="K503" s="6" t="s">
        <v>32</v>
      </c>
      <c r="L503" s="6" t="s">
        <v>1755</v>
      </c>
      <c r="M503" s="6" t="s">
        <v>33</v>
      </c>
      <c r="N503" s="10">
        <v>7</v>
      </c>
      <c r="O503" s="11">
        <v>1</v>
      </c>
      <c r="P503" s="12">
        <v>44</v>
      </c>
      <c r="Q503" s="13">
        <v>21.33229</v>
      </c>
      <c r="R503" s="13">
        <v>-98.219099999999997</v>
      </c>
      <c r="S503" s="14" t="s">
        <v>176</v>
      </c>
      <c r="T503" s="14"/>
      <c r="U503" s="14"/>
      <c r="V503" s="14"/>
      <c r="W503" s="14"/>
      <c r="X503" s="14"/>
      <c r="Y503" s="14"/>
      <c r="Z503" s="14"/>
      <c r="AA503" s="15"/>
      <c r="AB503" s="16">
        <v>4.1666666666666664E-2</v>
      </c>
    </row>
    <row r="504" spans="1:28" x14ac:dyDescent="0.3">
      <c r="A504" s="6" t="s">
        <v>1504</v>
      </c>
      <c r="B504" s="7" t="s">
        <v>25</v>
      </c>
      <c r="C504" s="34" t="s">
        <v>218</v>
      </c>
      <c r="D504" s="33" t="s">
        <v>1775</v>
      </c>
      <c r="E504" s="6" t="s">
        <v>1505</v>
      </c>
      <c r="F504" s="6" t="s">
        <v>1506</v>
      </c>
      <c r="G504" s="6" t="s">
        <v>111</v>
      </c>
      <c r="H504" s="7">
        <v>1</v>
      </c>
      <c r="I504" s="6" t="s">
        <v>112</v>
      </c>
      <c r="J504" s="6" t="s">
        <v>31</v>
      </c>
      <c r="K504" s="6" t="s">
        <v>32</v>
      </c>
      <c r="L504" s="6" t="s">
        <v>1755</v>
      </c>
      <c r="M504" s="6" t="s">
        <v>33</v>
      </c>
      <c r="N504" s="10">
        <v>7</v>
      </c>
      <c r="O504" s="11">
        <v>2</v>
      </c>
      <c r="P504" s="12">
        <v>42</v>
      </c>
      <c r="Q504" s="13">
        <v>18.441780000000001</v>
      </c>
      <c r="R504" s="13">
        <v>-96.347210000000004</v>
      </c>
      <c r="S504" s="14" t="s">
        <v>176</v>
      </c>
      <c r="T504" s="14"/>
      <c r="U504" s="14"/>
      <c r="V504" s="14"/>
      <c r="W504" s="14"/>
      <c r="X504" s="14"/>
      <c r="Y504" s="14"/>
      <c r="Z504" s="14"/>
      <c r="AA504" s="15"/>
      <c r="AB504" s="16">
        <v>4.1666666666666664E-2</v>
      </c>
    </row>
    <row r="505" spans="1:28" x14ac:dyDescent="0.3">
      <c r="A505" s="6" t="s">
        <v>1507</v>
      </c>
      <c r="B505" s="7" t="s">
        <v>25</v>
      </c>
      <c r="C505" s="34" t="s">
        <v>218</v>
      </c>
      <c r="D505" s="33" t="s">
        <v>1775</v>
      </c>
      <c r="E505" s="6" t="s">
        <v>474</v>
      </c>
      <c r="F505" s="6" t="s">
        <v>1508</v>
      </c>
      <c r="G505" s="6" t="s">
        <v>111</v>
      </c>
      <c r="H505" s="7">
        <v>1</v>
      </c>
      <c r="I505" s="6" t="s">
        <v>112</v>
      </c>
      <c r="J505" s="6" t="s">
        <v>31</v>
      </c>
      <c r="K505" s="6" t="s">
        <v>32</v>
      </c>
      <c r="L505" s="6" t="s">
        <v>1755</v>
      </c>
      <c r="M505" s="6" t="s">
        <v>33</v>
      </c>
      <c r="N505" s="10">
        <v>10</v>
      </c>
      <c r="O505" s="11">
        <v>2</v>
      </c>
      <c r="P505" s="12">
        <v>113</v>
      </c>
      <c r="Q505" s="13">
        <v>20.95092</v>
      </c>
      <c r="R505" s="13">
        <v>-97.400300000000001</v>
      </c>
      <c r="S505" s="14" t="s">
        <v>176</v>
      </c>
      <c r="T505" s="14"/>
      <c r="U505" s="14"/>
      <c r="V505" s="14"/>
      <c r="W505" s="14"/>
      <c r="X505" s="14"/>
      <c r="Y505" s="14"/>
      <c r="Z505" s="14"/>
      <c r="AA505" s="15"/>
      <c r="AB505" s="16">
        <v>4.1666666666666664E-2</v>
      </c>
    </row>
    <row r="506" spans="1:28" x14ac:dyDescent="0.3">
      <c r="A506" s="6" t="s">
        <v>1509</v>
      </c>
      <c r="B506" s="7" t="s">
        <v>25</v>
      </c>
      <c r="C506" s="34" t="s">
        <v>218</v>
      </c>
      <c r="D506" s="33" t="s">
        <v>1775</v>
      </c>
      <c r="E506" s="6" t="s">
        <v>1510</v>
      </c>
      <c r="F506" s="6" t="s">
        <v>1511</v>
      </c>
      <c r="G506" s="6" t="s">
        <v>111</v>
      </c>
      <c r="H506" s="7">
        <v>1</v>
      </c>
      <c r="I506" s="6" t="s">
        <v>155</v>
      </c>
      <c r="J506" s="6" t="s">
        <v>31</v>
      </c>
      <c r="K506" s="6" t="s">
        <v>32</v>
      </c>
      <c r="L506" s="6" t="s">
        <v>1756</v>
      </c>
      <c r="M506" s="6" t="s">
        <v>33</v>
      </c>
      <c r="N506" s="10">
        <v>49</v>
      </c>
      <c r="O506" s="11">
        <v>16</v>
      </c>
      <c r="P506" s="12">
        <v>493</v>
      </c>
      <c r="Q506" s="13">
        <v>19.18562</v>
      </c>
      <c r="R506" s="13">
        <v>-96.132099999999994</v>
      </c>
      <c r="S506" s="14" t="s">
        <v>176</v>
      </c>
      <c r="T506" s="14"/>
      <c r="U506" s="14"/>
      <c r="V506" s="14"/>
      <c r="W506" s="14"/>
      <c r="X506" s="14"/>
      <c r="Y506" s="14"/>
      <c r="Z506" s="14"/>
      <c r="AA506" s="15"/>
      <c r="AB506" s="16">
        <v>4.1666666666666664E-2</v>
      </c>
    </row>
    <row r="507" spans="1:28" x14ac:dyDescent="0.3">
      <c r="A507" s="6" t="s">
        <v>1512</v>
      </c>
      <c r="B507" s="7" t="s">
        <v>25</v>
      </c>
      <c r="C507" s="34" t="s">
        <v>218</v>
      </c>
      <c r="D507" s="33" t="s">
        <v>1775</v>
      </c>
      <c r="E507" s="6" t="s">
        <v>1513</v>
      </c>
      <c r="F507" s="6" t="s">
        <v>1514</v>
      </c>
      <c r="G507" s="6" t="s">
        <v>111</v>
      </c>
      <c r="H507" s="7">
        <v>1</v>
      </c>
      <c r="I507" s="6" t="s">
        <v>112</v>
      </c>
      <c r="J507" s="6" t="s">
        <v>31</v>
      </c>
      <c r="K507" s="6" t="s">
        <v>32</v>
      </c>
      <c r="L507" s="6" t="s">
        <v>1755</v>
      </c>
      <c r="M507" s="6" t="s">
        <v>33</v>
      </c>
      <c r="N507" s="10">
        <v>6</v>
      </c>
      <c r="O507" s="11">
        <v>2</v>
      </c>
      <c r="P507" s="12">
        <v>42</v>
      </c>
      <c r="Q507" s="13">
        <v>19.3669236</v>
      </c>
      <c r="R507" s="13">
        <v>-96.371402500000002</v>
      </c>
      <c r="S507" s="14" t="s">
        <v>176</v>
      </c>
      <c r="T507" s="14"/>
      <c r="U507" s="14"/>
      <c r="V507" s="14"/>
      <c r="W507" s="14"/>
      <c r="X507" s="14"/>
      <c r="Y507" s="14"/>
      <c r="Z507" s="14"/>
      <c r="AA507" s="15"/>
      <c r="AB507" s="16">
        <v>4.1666666666666664E-2</v>
      </c>
    </row>
    <row r="508" spans="1:28" x14ac:dyDescent="0.3">
      <c r="A508" s="6" t="s">
        <v>1515</v>
      </c>
      <c r="B508" s="7" t="s">
        <v>25</v>
      </c>
      <c r="C508" s="34" t="s">
        <v>218</v>
      </c>
      <c r="D508" s="33" t="s">
        <v>1775</v>
      </c>
      <c r="E508" s="6" t="s">
        <v>1510</v>
      </c>
      <c r="F508" s="6" t="s">
        <v>1516</v>
      </c>
      <c r="G508" s="6" t="s">
        <v>111</v>
      </c>
      <c r="H508" s="7">
        <v>1</v>
      </c>
      <c r="I508" s="6" t="s">
        <v>112</v>
      </c>
      <c r="J508" s="6" t="s">
        <v>31</v>
      </c>
      <c r="K508" s="6" t="s">
        <v>32</v>
      </c>
      <c r="L508" s="6" t="s">
        <v>1755</v>
      </c>
      <c r="M508" s="6" t="s">
        <v>33</v>
      </c>
      <c r="N508" s="10">
        <v>15</v>
      </c>
      <c r="O508" s="11">
        <v>4</v>
      </c>
      <c r="P508" s="12">
        <v>94</v>
      </c>
      <c r="Q508" s="13">
        <v>19.192800999999999</v>
      </c>
      <c r="R508" s="13">
        <v>-96.183899999999994</v>
      </c>
      <c r="S508" s="14" t="s">
        <v>176</v>
      </c>
      <c r="T508" s="14"/>
      <c r="U508" s="14"/>
      <c r="V508" s="14"/>
      <c r="W508" s="14"/>
      <c r="X508" s="14"/>
      <c r="Y508" s="14"/>
      <c r="Z508" s="14"/>
      <c r="AA508" s="15"/>
      <c r="AB508" s="16">
        <v>4.1666666666666664E-2</v>
      </c>
    </row>
    <row r="509" spans="1:28" x14ac:dyDescent="0.3">
      <c r="A509" s="6" t="s">
        <v>1517</v>
      </c>
      <c r="B509" s="7" t="s">
        <v>25</v>
      </c>
      <c r="C509" s="34" t="s">
        <v>218</v>
      </c>
      <c r="D509" s="33" t="s">
        <v>1775</v>
      </c>
      <c r="E509" s="6" t="s">
        <v>1518</v>
      </c>
      <c r="F509" s="6" t="s">
        <v>1519</v>
      </c>
      <c r="G509" s="6" t="s">
        <v>111</v>
      </c>
      <c r="H509" s="7">
        <v>1</v>
      </c>
      <c r="I509" s="6" t="s">
        <v>112</v>
      </c>
      <c r="J509" s="6" t="s">
        <v>31</v>
      </c>
      <c r="K509" s="6" t="s">
        <v>32</v>
      </c>
      <c r="L509" s="6" t="s">
        <v>1755</v>
      </c>
      <c r="M509" s="6" t="s">
        <v>33</v>
      </c>
      <c r="N509" s="10">
        <v>7</v>
      </c>
      <c r="O509" s="11">
        <v>2</v>
      </c>
      <c r="P509" s="12">
        <v>33</v>
      </c>
      <c r="Q509" s="13">
        <v>18.799759999999999</v>
      </c>
      <c r="R509" s="13">
        <v>-96.057608999999999</v>
      </c>
      <c r="S509" s="14" t="s">
        <v>176</v>
      </c>
      <c r="T509" s="14"/>
      <c r="U509" s="14"/>
      <c r="V509" s="14"/>
      <c r="W509" s="14"/>
      <c r="X509" s="14"/>
      <c r="Y509" s="14"/>
      <c r="Z509" s="14"/>
      <c r="AA509" s="15"/>
      <c r="AB509" s="16">
        <v>4.1666666666666664E-2</v>
      </c>
    </row>
    <row r="510" spans="1:28" x14ac:dyDescent="0.3">
      <c r="A510" s="6" t="s">
        <v>1520</v>
      </c>
      <c r="B510" s="7" t="s">
        <v>25</v>
      </c>
      <c r="C510" s="34" t="s">
        <v>218</v>
      </c>
      <c r="D510" s="33" t="s">
        <v>1775</v>
      </c>
      <c r="E510" s="6" t="s">
        <v>1521</v>
      </c>
      <c r="F510" s="6" t="s">
        <v>1522</v>
      </c>
      <c r="G510" s="6" t="s">
        <v>111</v>
      </c>
      <c r="H510" s="7">
        <v>1</v>
      </c>
      <c r="I510" s="6" t="s">
        <v>112</v>
      </c>
      <c r="J510" s="6" t="s">
        <v>31</v>
      </c>
      <c r="K510" s="6" t="s">
        <v>32</v>
      </c>
      <c r="L510" s="6" t="s">
        <v>1755</v>
      </c>
      <c r="M510" s="6" t="s">
        <v>33</v>
      </c>
      <c r="N510" s="10">
        <v>9</v>
      </c>
      <c r="O510" s="11">
        <v>2</v>
      </c>
      <c r="P510" s="12">
        <v>83</v>
      </c>
      <c r="Q510" s="13">
        <v>17.932000299999999</v>
      </c>
      <c r="R510" s="13">
        <v>-94.906152700000007</v>
      </c>
      <c r="S510" s="14" t="s">
        <v>176</v>
      </c>
      <c r="T510" s="14"/>
      <c r="U510" s="14"/>
      <c r="V510" s="14"/>
      <c r="W510" s="14"/>
      <c r="X510" s="14"/>
      <c r="Y510" s="14"/>
      <c r="Z510" s="14"/>
      <c r="AA510" s="15"/>
      <c r="AB510" s="16">
        <v>4.1666666666666664E-2</v>
      </c>
    </row>
    <row r="511" spans="1:28" x14ac:dyDescent="0.3">
      <c r="A511" s="6" t="s">
        <v>1523</v>
      </c>
      <c r="B511" s="7" t="s">
        <v>25</v>
      </c>
      <c r="C511" s="34" t="s">
        <v>218</v>
      </c>
      <c r="D511" s="33" t="s">
        <v>1775</v>
      </c>
      <c r="E511" s="6" t="s">
        <v>1524</v>
      </c>
      <c r="F511" s="6" t="s">
        <v>1525</v>
      </c>
      <c r="G511" s="6" t="s">
        <v>111</v>
      </c>
      <c r="H511" s="7">
        <v>1</v>
      </c>
      <c r="I511" s="6" t="s">
        <v>112</v>
      </c>
      <c r="J511" s="6" t="s">
        <v>31</v>
      </c>
      <c r="K511" s="6" t="s">
        <v>32</v>
      </c>
      <c r="L511" s="6" t="s">
        <v>1755</v>
      </c>
      <c r="M511" s="6" t="s">
        <v>33</v>
      </c>
      <c r="N511" s="10">
        <v>11</v>
      </c>
      <c r="O511" s="11">
        <v>3</v>
      </c>
      <c r="P511" s="12">
        <v>53</v>
      </c>
      <c r="Q511" s="13">
        <v>19.5784667</v>
      </c>
      <c r="R511" s="13">
        <v>-97.242171099999993</v>
      </c>
      <c r="S511" s="14" t="s">
        <v>176</v>
      </c>
      <c r="T511" s="14"/>
      <c r="U511" s="14"/>
      <c r="V511" s="14"/>
      <c r="W511" s="14"/>
      <c r="X511" s="14"/>
      <c r="Y511" s="14"/>
      <c r="Z511" s="14"/>
      <c r="AA511" s="15"/>
      <c r="AB511" s="16">
        <v>4.1666666666666664E-2</v>
      </c>
    </row>
    <row r="512" spans="1:28" x14ac:dyDescent="0.3">
      <c r="A512" s="6" t="s">
        <v>1526</v>
      </c>
      <c r="B512" s="7" t="s">
        <v>25</v>
      </c>
      <c r="C512" s="34" t="s">
        <v>218</v>
      </c>
      <c r="D512" s="33" t="s">
        <v>1775</v>
      </c>
      <c r="E512" s="6" t="s">
        <v>1527</v>
      </c>
      <c r="F512" s="6" t="s">
        <v>1528</v>
      </c>
      <c r="G512" s="6" t="s">
        <v>111</v>
      </c>
      <c r="H512" s="7">
        <v>1</v>
      </c>
      <c r="I512" s="6" t="s">
        <v>112</v>
      </c>
      <c r="J512" s="6" t="s">
        <v>31</v>
      </c>
      <c r="K512" s="6" t="s">
        <v>32</v>
      </c>
      <c r="L512" s="6" t="s">
        <v>1755</v>
      </c>
      <c r="M512" s="6" t="s">
        <v>33</v>
      </c>
      <c r="N512" s="10">
        <v>19</v>
      </c>
      <c r="O512" s="11">
        <v>4</v>
      </c>
      <c r="P512" s="12">
        <v>91</v>
      </c>
      <c r="Q512" s="13">
        <v>19.10332</v>
      </c>
      <c r="R512" s="13">
        <v>-96.108656999999994</v>
      </c>
      <c r="S512" s="14" t="s">
        <v>176</v>
      </c>
      <c r="T512" s="14"/>
      <c r="U512" s="14"/>
      <c r="V512" s="14"/>
      <c r="W512" s="14"/>
      <c r="X512" s="14"/>
      <c r="Y512" s="14"/>
      <c r="Z512" s="14"/>
      <c r="AA512" s="15"/>
      <c r="AB512" s="16">
        <v>4.1666666666666664E-2</v>
      </c>
    </row>
    <row r="513" spans="1:28" x14ac:dyDescent="0.3">
      <c r="A513" s="6" t="s">
        <v>1529</v>
      </c>
      <c r="B513" s="7" t="s">
        <v>25</v>
      </c>
      <c r="C513" s="34" t="s">
        <v>218</v>
      </c>
      <c r="D513" s="33" t="s">
        <v>1775</v>
      </c>
      <c r="E513" s="6" t="s">
        <v>1530</v>
      </c>
      <c r="F513" s="6" t="s">
        <v>1531</v>
      </c>
      <c r="G513" s="6" t="s">
        <v>111</v>
      </c>
      <c r="H513" s="7">
        <v>1</v>
      </c>
      <c r="I513" s="6" t="s">
        <v>112</v>
      </c>
      <c r="J513" s="6" t="s">
        <v>31</v>
      </c>
      <c r="K513" s="6" t="s">
        <v>32</v>
      </c>
      <c r="L513" s="6" t="s">
        <v>1755</v>
      </c>
      <c r="M513" s="6" t="s">
        <v>33</v>
      </c>
      <c r="N513" s="10">
        <v>10</v>
      </c>
      <c r="O513" s="11">
        <v>2</v>
      </c>
      <c r="P513" s="12">
        <v>68</v>
      </c>
      <c r="Q513" s="13">
        <v>18.037626100000001</v>
      </c>
      <c r="R513" s="13">
        <v>-95.530038000000005</v>
      </c>
      <c r="S513" s="14" t="s">
        <v>176</v>
      </c>
      <c r="T513" s="14"/>
      <c r="U513" s="14"/>
      <c r="V513" s="14"/>
      <c r="W513" s="14"/>
      <c r="X513" s="14"/>
      <c r="Y513" s="14"/>
      <c r="Z513" s="14"/>
      <c r="AA513" s="15"/>
      <c r="AB513" s="16">
        <v>4.1666666666666664E-2</v>
      </c>
    </row>
    <row r="514" spans="1:28" x14ac:dyDescent="0.3">
      <c r="A514" s="6" t="s">
        <v>1532</v>
      </c>
      <c r="B514" s="7" t="s">
        <v>25</v>
      </c>
      <c r="C514" s="34" t="s">
        <v>218</v>
      </c>
      <c r="D514" s="33" t="s">
        <v>1775</v>
      </c>
      <c r="E514" s="6" t="s">
        <v>1533</v>
      </c>
      <c r="F514" s="6" t="s">
        <v>1534</v>
      </c>
      <c r="G514" s="6" t="s">
        <v>111</v>
      </c>
      <c r="H514" s="7">
        <v>1</v>
      </c>
      <c r="I514" s="6" t="s">
        <v>112</v>
      </c>
      <c r="J514" s="6" t="s">
        <v>31</v>
      </c>
      <c r="K514" s="6" t="s">
        <v>32</v>
      </c>
      <c r="L514" s="6" t="s">
        <v>1755</v>
      </c>
      <c r="M514" s="6" t="s">
        <v>33</v>
      </c>
      <c r="N514" s="10">
        <v>7</v>
      </c>
      <c r="O514" s="11">
        <v>2</v>
      </c>
      <c r="P514" s="12">
        <v>31</v>
      </c>
      <c r="Q514" s="13">
        <v>17.99222</v>
      </c>
      <c r="R514" s="13">
        <v>-94.641199999999998</v>
      </c>
      <c r="S514" s="14" t="s">
        <v>176</v>
      </c>
      <c r="T514" s="14"/>
      <c r="U514" s="14"/>
      <c r="V514" s="14"/>
      <c r="W514" s="14"/>
      <c r="X514" s="14"/>
      <c r="Y514" s="14"/>
      <c r="Z514" s="14"/>
      <c r="AA514" s="15"/>
      <c r="AB514" s="16">
        <v>4.1666666666666664E-2</v>
      </c>
    </row>
    <row r="515" spans="1:28" x14ac:dyDescent="0.3">
      <c r="A515" s="6" t="s">
        <v>1535</v>
      </c>
      <c r="B515" s="7" t="s">
        <v>25</v>
      </c>
      <c r="C515" s="34" t="s">
        <v>218</v>
      </c>
      <c r="D515" s="33" t="s">
        <v>1775</v>
      </c>
      <c r="E515" s="6" t="s">
        <v>1536</v>
      </c>
      <c r="F515" s="6" t="s">
        <v>1537</v>
      </c>
      <c r="G515" s="6" t="s">
        <v>111</v>
      </c>
      <c r="H515" s="7">
        <v>1</v>
      </c>
      <c r="I515" s="6" t="s">
        <v>112</v>
      </c>
      <c r="J515" s="6" t="s">
        <v>31</v>
      </c>
      <c r="K515" s="6" t="s">
        <v>32</v>
      </c>
      <c r="L515" s="6" t="s">
        <v>1755</v>
      </c>
      <c r="M515" s="6" t="s">
        <v>33</v>
      </c>
      <c r="N515" s="10">
        <v>7</v>
      </c>
      <c r="O515" s="11">
        <v>2</v>
      </c>
      <c r="P515" s="12">
        <v>54</v>
      </c>
      <c r="Q515" s="13">
        <v>20.884830000000001</v>
      </c>
      <c r="R515" s="13">
        <v>-97.653700000000001</v>
      </c>
      <c r="S515" s="14" t="s">
        <v>176</v>
      </c>
      <c r="T515" s="14"/>
      <c r="U515" s="14"/>
      <c r="V515" s="14"/>
      <c r="W515" s="14"/>
      <c r="X515" s="14"/>
      <c r="Y515" s="14"/>
      <c r="Z515" s="14"/>
      <c r="AA515" s="15"/>
      <c r="AB515" s="16">
        <v>4.1666666666666664E-2</v>
      </c>
    </row>
    <row r="516" spans="1:28" x14ac:dyDescent="0.3">
      <c r="A516" s="6" t="s">
        <v>1538</v>
      </c>
      <c r="B516" s="7" t="s">
        <v>25</v>
      </c>
      <c r="C516" s="34" t="s">
        <v>837</v>
      </c>
      <c r="D516" s="33" t="s">
        <v>1775</v>
      </c>
      <c r="E516" s="6" t="s">
        <v>1539</v>
      </c>
      <c r="F516" s="6" t="s">
        <v>1540</v>
      </c>
      <c r="G516" s="6" t="s">
        <v>111</v>
      </c>
      <c r="H516" s="7">
        <v>1</v>
      </c>
      <c r="I516" s="6" t="s">
        <v>112</v>
      </c>
      <c r="J516" s="6" t="s">
        <v>31</v>
      </c>
      <c r="K516" s="6" t="s">
        <v>32</v>
      </c>
      <c r="L516" s="6" t="s">
        <v>1755</v>
      </c>
      <c r="M516" s="6" t="s">
        <v>33</v>
      </c>
      <c r="N516" s="10">
        <v>22</v>
      </c>
      <c r="O516" s="11">
        <v>7</v>
      </c>
      <c r="P516" s="12">
        <v>135</v>
      </c>
      <c r="Q516" s="13">
        <v>23.17238</v>
      </c>
      <c r="R516" s="13">
        <v>-102.912707</v>
      </c>
      <c r="S516" s="14" t="s">
        <v>190</v>
      </c>
      <c r="T516" s="14"/>
      <c r="U516" s="14"/>
      <c r="V516" s="14"/>
      <c r="W516" s="14"/>
      <c r="X516" s="14"/>
      <c r="Y516" s="14"/>
      <c r="Z516" s="14"/>
      <c r="AA516" s="15"/>
      <c r="AB516" s="16">
        <v>8.3333333333333329E-2</v>
      </c>
    </row>
    <row r="517" spans="1:28" x14ac:dyDescent="0.3">
      <c r="A517" s="6" t="s">
        <v>1541</v>
      </c>
      <c r="B517" s="7" t="s">
        <v>25</v>
      </c>
      <c r="C517" s="34" t="s">
        <v>837</v>
      </c>
      <c r="D517" s="33" t="s">
        <v>1775</v>
      </c>
      <c r="E517" s="6" t="s">
        <v>1542</v>
      </c>
      <c r="F517" s="6" t="s">
        <v>1543</v>
      </c>
      <c r="G517" s="6" t="s">
        <v>111</v>
      </c>
      <c r="H517" s="7">
        <v>1</v>
      </c>
      <c r="I517" s="6" t="s">
        <v>112</v>
      </c>
      <c r="J517" s="6" t="s">
        <v>31</v>
      </c>
      <c r="K517" s="6" t="s">
        <v>32</v>
      </c>
      <c r="L517" s="6" t="s">
        <v>1755</v>
      </c>
      <c r="M517" s="6" t="s">
        <v>33</v>
      </c>
      <c r="N517" s="10">
        <v>11</v>
      </c>
      <c r="O517" s="11">
        <v>3</v>
      </c>
      <c r="P517" s="12">
        <v>50</v>
      </c>
      <c r="Q517" s="13">
        <v>22.639379999999999</v>
      </c>
      <c r="R517" s="13">
        <v>-102.996528</v>
      </c>
      <c r="S517" s="14" t="s">
        <v>190</v>
      </c>
      <c r="T517" s="14"/>
      <c r="U517" s="14"/>
      <c r="V517" s="14"/>
      <c r="W517" s="14"/>
      <c r="X517" s="14"/>
      <c r="Y517" s="14"/>
      <c r="Z517" s="14"/>
      <c r="AA517" s="15"/>
      <c r="AB517" s="16">
        <v>8.3333333333333329E-2</v>
      </c>
    </row>
    <row r="518" spans="1:28" x14ac:dyDescent="0.3">
      <c r="A518" s="6" t="s">
        <v>1544</v>
      </c>
      <c r="B518" s="7" t="s">
        <v>25</v>
      </c>
      <c r="C518" s="34" t="s">
        <v>837</v>
      </c>
      <c r="D518" s="33" t="s">
        <v>1775</v>
      </c>
      <c r="E518" s="6" t="s">
        <v>887</v>
      </c>
      <c r="F518" s="6" t="s">
        <v>1545</v>
      </c>
      <c r="G518" s="6" t="s">
        <v>111</v>
      </c>
      <c r="H518" s="7">
        <v>1</v>
      </c>
      <c r="I518" s="6" t="s">
        <v>112</v>
      </c>
      <c r="J518" s="6" t="s">
        <v>31</v>
      </c>
      <c r="K518" s="6" t="s">
        <v>32</v>
      </c>
      <c r="L518" s="6" t="s">
        <v>1755</v>
      </c>
      <c r="M518" s="6" t="s">
        <v>33</v>
      </c>
      <c r="N518" s="10">
        <v>5</v>
      </c>
      <c r="O518" s="11">
        <v>3</v>
      </c>
      <c r="P518" s="12">
        <v>56</v>
      </c>
      <c r="Q518" s="13">
        <v>22.256167999999999</v>
      </c>
      <c r="R518" s="13">
        <v>-101.989743</v>
      </c>
      <c r="S518" s="14" t="s">
        <v>190</v>
      </c>
      <c r="T518" s="14"/>
      <c r="U518" s="14"/>
      <c r="V518" s="14"/>
      <c r="W518" s="14"/>
      <c r="X518" s="14"/>
      <c r="Y518" s="14"/>
      <c r="Z518" s="14"/>
      <c r="AA518" s="15"/>
      <c r="AB518" s="16">
        <v>8.3333333333333329E-2</v>
      </c>
    </row>
    <row r="519" spans="1:28" x14ac:dyDescent="0.3">
      <c r="A519" s="6" t="s">
        <v>1546</v>
      </c>
      <c r="B519" s="7" t="s">
        <v>25</v>
      </c>
      <c r="C519" s="34" t="s">
        <v>837</v>
      </c>
      <c r="D519" s="33" t="s">
        <v>1775</v>
      </c>
      <c r="E519" s="6" t="s">
        <v>837</v>
      </c>
      <c r="F519" s="6" t="s">
        <v>1547</v>
      </c>
      <c r="G519" s="6" t="s">
        <v>111</v>
      </c>
      <c r="H519" s="7">
        <v>1</v>
      </c>
      <c r="I519" s="6" t="s">
        <v>112</v>
      </c>
      <c r="J519" s="6" t="s">
        <v>31</v>
      </c>
      <c r="K519" s="6" t="s">
        <v>32</v>
      </c>
      <c r="L519" s="6" t="s">
        <v>1755</v>
      </c>
      <c r="M519" s="6" t="s">
        <v>33</v>
      </c>
      <c r="N519" s="10">
        <v>32</v>
      </c>
      <c r="O519" s="11">
        <v>6</v>
      </c>
      <c r="P519" s="12">
        <v>183</v>
      </c>
      <c r="Q519" s="13">
        <v>22.778268000000001</v>
      </c>
      <c r="R519" s="13">
        <v>-102.619871</v>
      </c>
      <c r="S519" s="14" t="s">
        <v>190</v>
      </c>
      <c r="T519" s="14"/>
      <c r="U519" s="14"/>
      <c r="V519" s="14"/>
      <c r="W519" s="14"/>
      <c r="X519" s="14"/>
      <c r="Y519" s="14"/>
      <c r="Z519" s="14"/>
      <c r="AA519" s="15"/>
      <c r="AB519" s="16">
        <v>8.3333333333333329E-2</v>
      </c>
    </row>
    <row r="520" spans="1:28" x14ac:dyDescent="0.3">
      <c r="A520" s="6" t="s">
        <v>1548</v>
      </c>
      <c r="B520" s="7" t="s">
        <v>25</v>
      </c>
      <c r="C520" s="34" t="s">
        <v>1773</v>
      </c>
      <c r="D520" s="34" t="s">
        <v>1771</v>
      </c>
      <c r="E520" s="6" t="s">
        <v>400</v>
      </c>
      <c r="F520" s="6" t="s">
        <v>1549</v>
      </c>
      <c r="G520" s="6" t="s">
        <v>154</v>
      </c>
      <c r="H520" s="7">
        <v>1</v>
      </c>
      <c r="I520" s="6" t="s">
        <v>155</v>
      </c>
      <c r="J520" s="6" t="s">
        <v>31</v>
      </c>
      <c r="K520" s="6" t="s">
        <v>32</v>
      </c>
      <c r="L520" s="6" t="s">
        <v>1756</v>
      </c>
      <c r="M520" s="6" t="s">
        <v>84</v>
      </c>
      <c r="N520" s="10">
        <v>58</v>
      </c>
      <c r="O520" s="11">
        <v>14</v>
      </c>
      <c r="P520" s="12">
        <v>446</v>
      </c>
      <c r="Q520" s="13">
        <v>19.318664399999999</v>
      </c>
      <c r="R520" s="13">
        <v>-98.855389000000002</v>
      </c>
      <c r="S520" s="14"/>
      <c r="T520" s="14"/>
      <c r="U520" s="14"/>
      <c r="V520" s="14"/>
      <c r="W520" s="14"/>
      <c r="X520" s="14"/>
      <c r="Y520" s="14"/>
      <c r="Z520" s="14"/>
      <c r="AA520" s="15"/>
      <c r="AB520" s="16">
        <v>0</v>
      </c>
    </row>
    <row r="521" spans="1:28" x14ac:dyDescent="0.3">
      <c r="A521" s="6" t="s">
        <v>1550</v>
      </c>
      <c r="B521" s="7" t="s">
        <v>25</v>
      </c>
      <c r="C521" s="34" t="s">
        <v>477</v>
      </c>
      <c r="D521" s="34" t="s">
        <v>1771</v>
      </c>
      <c r="E521" s="6" t="s">
        <v>1551</v>
      </c>
      <c r="F521" s="6" t="s">
        <v>1552</v>
      </c>
      <c r="G521" s="6" t="s">
        <v>154</v>
      </c>
      <c r="H521" s="7">
        <v>1</v>
      </c>
      <c r="I521" s="6" t="s">
        <v>155</v>
      </c>
      <c r="J521" s="6" t="s">
        <v>31</v>
      </c>
      <c r="K521" s="6" t="s">
        <v>32</v>
      </c>
      <c r="L521" s="6" t="s">
        <v>1756</v>
      </c>
      <c r="M521" s="6" t="s">
        <v>33</v>
      </c>
      <c r="N521" s="10">
        <v>20</v>
      </c>
      <c r="O521" s="11">
        <v>5</v>
      </c>
      <c r="P521" s="12">
        <v>104</v>
      </c>
      <c r="Q521" s="13">
        <v>16.948091000000002</v>
      </c>
      <c r="R521" s="13">
        <v>-96.713217</v>
      </c>
      <c r="S521" s="14" t="s">
        <v>176</v>
      </c>
      <c r="T521" s="14"/>
      <c r="U521" s="14"/>
      <c r="V521" s="14"/>
      <c r="W521" s="14"/>
      <c r="X521" s="14"/>
      <c r="Y521" s="14"/>
      <c r="Z521" s="14"/>
      <c r="AA521" s="15"/>
      <c r="AB521" s="16">
        <v>4.1666666666666664E-2</v>
      </c>
    </row>
    <row r="522" spans="1:28" x14ac:dyDescent="0.3">
      <c r="A522" s="6" t="s">
        <v>1553</v>
      </c>
      <c r="B522" s="7" t="s">
        <v>25</v>
      </c>
      <c r="C522" s="34" t="s">
        <v>477</v>
      </c>
      <c r="D522" s="33" t="s">
        <v>1775</v>
      </c>
      <c r="E522" s="6" t="s">
        <v>1554</v>
      </c>
      <c r="F522" s="6" t="s">
        <v>1555</v>
      </c>
      <c r="G522" s="6" t="s">
        <v>164</v>
      </c>
      <c r="H522" s="7">
        <v>2</v>
      </c>
      <c r="I522" s="6" t="s">
        <v>112</v>
      </c>
      <c r="J522" s="6" t="s">
        <v>31</v>
      </c>
      <c r="K522" s="6" t="s">
        <v>32</v>
      </c>
      <c r="L522" s="6" t="s">
        <v>1755</v>
      </c>
      <c r="M522" s="6" t="s">
        <v>84</v>
      </c>
      <c r="N522" s="10">
        <v>11</v>
      </c>
      <c r="O522" s="11">
        <v>2</v>
      </c>
      <c r="P522" s="12">
        <v>56</v>
      </c>
      <c r="Q522" s="13">
        <v>17.003969399999999</v>
      </c>
      <c r="R522" s="13">
        <v>-97.907989900000004</v>
      </c>
      <c r="S522" s="14" t="s">
        <v>190</v>
      </c>
      <c r="T522" s="14"/>
      <c r="U522" s="14"/>
      <c r="V522" s="14"/>
      <c r="W522" s="14"/>
      <c r="X522" s="14"/>
      <c r="Y522" s="14"/>
      <c r="Z522" s="14"/>
      <c r="AA522" s="15"/>
      <c r="AB522" s="16">
        <v>8.3333333333333329E-2</v>
      </c>
    </row>
    <row r="523" spans="1:28" x14ac:dyDescent="0.3">
      <c r="A523" s="6" t="s">
        <v>1556</v>
      </c>
      <c r="B523" s="7" t="s">
        <v>25</v>
      </c>
      <c r="C523" s="34" t="s">
        <v>327</v>
      </c>
      <c r="D523" s="33" t="s">
        <v>1775</v>
      </c>
      <c r="E523" s="6" t="s">
        <v>1072</v>
      </c>
      <c r="F523" s="6" t="s">
        <v>1557</v>
      </c>
      <c r="G523" s="6" t="s">
        <v>164</v>
      </c>
      <c r="H523" s="7">
        <v>2</v>
      </c>
      <c r="I523" s="6" t="s">
        <v>31</v>
      </c>
      <c r="J523" s="6" t="s">
        <v>31</v>
      </c>
      <c r="K523" s="6" t="s">
        <v>32</v>
      </c>
      <c r="L523" s="6" t="s">
        <v>1755</v>
      </c>
      <c r="M523" s="6" t="s">
        <v>33</v>
      </c>
      <c r="N523" s="10">
        <v>14</v>
      </c>
      <c r="O523" s="11">
        <v>6</v>
      </c>
      <c r="P523" s="12">
        <v>204</v>
      </c>
      <c r="Q523" s="13">
        <v>19.2725574</v>
      </c>
      <c r="R523" s="13">
        <v>-99.661015300000003</v>
      </c>
      <c r="S523" s="14" t="s">
        <v>190</v>
      </c>
      <c r="T523" s="14"/>
      <c r="U523" s="14"/>
      <c r="V523" s="14"/>
      <c r="W523" s="14"/>
      <c r="X523" s="14"/>
      <c r="Y523" s="14"/>
      <c r="Z523" s="14"/>
      <c r="AA523" s="15"/>
      <c r="AB523" s="16">
        <v>8.3333333333333329E-2</v>
      </c>
    </row>
    <row r="524" spans="1:28" x14ac:dyDescent="0.3">
      <c r="A524" s="6" t="s">
        <v>1558</v>
      </c>
      <c r="B524" s="7" t="s">
        <v>25</v>
      </c>
      <c r="C524" s="34" t="s">
        <v>229</v>
      </c>
      <c r="D524" s="33" t="s">
        <v>1775</v>
      </c>
      <c r="E524" s="6" t="s">
        <v>1559</v>
      </c>
      <c r="F524" s="6" t="s">
        <v>1560</v>
      </c>
      <c r="G524" s="6" t="s">
        <v>164</v>
      </c>
      <c r="H524" s="7">
        <v>2</v>
      </c>
      <c r="I524" s="6" t="s">
        <v>155</v>
      </c>
      <c r="J524" s="6" t="s">
        <v>31</v>
      </c>
      <c r="K524" s="6" t="s">
        <v>32</v>
      </c>
      <c r="L524" s="6" t="s">
        <v>1755</v>
      </c>
      <c r="M524" s="6" t="s">
        <v>33</v>
      </c>
      <c r="N524" s="10">
        <v>4</v>
      </c>
      <c r="O524" s="11">
        <v>4</v>
      </c>
      <c r="P524" s="12">
        <v>67</v>
      </c>
      <c r="Q524" s="13">
        <v>17.525231999999999</v>
      </c>
      <c r="R524" s="13">
        <v>-99.491960000000006</v>
      </c>
      <c r="S524" s="14" t="s">
        <v>176</v>
      </c>
      <c r="T524" s="14"/>
      <c r="U524" s="14"/>
      <c r="V524" s="14"/>
      <c r="W524" s="14"/>
      <c r="X524" s="14"/>
      <c r="Y524" s="14"/>
      <c r="Z524" s="14"/>
      <c r="AA524" s="15"/>
      <c r="AB524" s="16">
        <v>4.1666666666666664E-2</v>
      </c>
    </row>
    <row r="525" spans="1:28" x14ac:dyDescent="0.3">
      <c r="A525" s="6" t="s">
        <v>1561</v>
      </c>
      <c r="B525" s="7" t="s">
        <v>25</v>
      </c>
      <c r="C525" s="34" t="s">
        <v>229</v>
      </c>
      <c r="D525" s="33" t="s">
        <v>1775</v>
      </c>
      <c r="E525" s="6" t="s">
        <v>1006</v>
      </c>
      <c r="F525" s="6" t="s">
        <v>1562</v>
      </c>
      <c r="G525" s="6" t="s">
        <v>164</v>
      </c>
      <c r="H525" s="7">
        <v>2</v>
      </c>
      <c r="I525" s="6" t="s">
        <v>155</v>
      </c>
      <c r="J525" s="6" t="s">
        <v>31</v>
      </c>
      <c r="K525" s="6" t="s">
        <v>32</v>
      </c>
      <c r="L525" s="6" t="s">
        <v>1755</v>
      </c>
      <c r="M525" s="6" t="s">
        <v>33</v>
      </c>
      <c r="N525" s="10">
        <v>8</v>
      </c>
      <c r="O525" s="11">
        <v>2</v>
      </c>
      <c r="P525" s="12">
        <v>33</v>
      </c>
      <c r="Q525" s="13">
        <v>17.543475999999998</v>
      </c>
      <c r="R525" s="13">
        <v>-98.589370000000002</v>
      </c>
      <c r="S525" s="14" t="s">
        <v>176</v>
      </c>
      <c r="T525" s="14"/>
      <c r="U525" s="14"/>
      <c r="V525" s="14"/>
      <c r="W525" s="14"/>
      <c r="X525" s="14"/>
      <c r="Y525" s="14"/>
      <c r="Z525" s="14"/>
      <c r="AA525" s="15"/>
      <c r="AB525" s="16">
        <v>4.1666666666666664E-2</v>
      </c>
    </row>
    <row r="526" spans="1:28" x14ac:dyDescent="0.3">
      <c r="A526" s="6" t="s">
        <v>1563</v>
      </c>
      <c r="B526" s="7" t="s">
        <v>25</v>
      </c>
      <c r="C526" s="34" t="s">
        <v>418</v>
      </c>
      <c r="D526" s="33" t="s">
        <v>1775</v>
      </c>
      <c r="E526" s="6" t="s">
        <v>1126</v>
      </c>
      <c r="F526" s="6" t="s">
        <v>1564</v>
      </c>
      <c r="G526" s="6" t="s">
        <v>164</v>
      </c>
      <c r="H526" s="7">
        <v>2</v>
      </c>
      <c r="I526" s="6" t="s">
        <v>155</v>
      </c>
      <c r="J526" s="6" t="s">
        <v>31</v>
      </c>
      <c r="K526" s="6" t="s">
        <v>32</v>
      </c>
      <c r="L526" s="6" t="s">
        <v>1756</v>
      </c>
      <c r="M526" s="6" t="s">
        <v>33</v>
      </c>
      <c r="N526" s="10">
        <v>21</v>
      </c>
      <c r="O526" s="11">
        <v>8</v>
      </c>
      <c r="P526" s="12">
        <v>174</v>
      </c>
      <c r="Q526" s="13">
        <v>19.692886000000001</v>
      </c>
      <c r="R526" s="13">
        <v>-101.154067</v>
      </c>
      <c r="S526" s="14" t="s">
        <v>190</v>
      </c>
      <c r="T526" s="14"/>
      <c r="U526" s="14"/>
      <c r="V526" s="14"/>
      <c r="W526" s="14"/>
      <c r="X526" s="14"/>
      <c r="Y526" s="14"/>
      <c r="Z526" s="14"/>
      <c r="AA526" s="15"/>
      <c r="AB526" s="16">
        <v>8.3333333333333329E-2</v>
      </c>
    </row>
    <row r="527" spans="1:28" x14ac:dyDescent="0.3">
      <c r="A527" s="6" t="s">
        <v>1565</v>
      </c>
      <c r="B527" s="7" t="s">
        <v>25</v>
      </c>
      <c r="C527" s="34" t="s">
        <v>440</v>
      </c>
      <c r="D527" s="33" t="s">
        <v>1775</v>
      </c>
      <c r="E527" s="6" t="s">
        <v>1566</v>
      </c>
      <c r="F527" s="6" t="s">
        <v>1564</v>
      </c>
      <c r="G527" s="6" t="s">
        <v>164</v>
      </c>
      <c r="H527" s="7">
        <v>2</v>
      </c>
      <c r="I527" s="6" t="s">
        <v>155</v>
      </c>
      <c r="J527" s="6" t="s">
        <v>31</v>
      </c>
      <c r="K527" s="6" t="s">
        <v>32</v>
      </c>
      <c r="L527" s="6" t="s">
        <v>1755</v>
      </c>
      <c r="M527" s="6" t="s">
        <v>33</v>
      </c>
      <c r="N527" s="10">
        <v>13</v>
      </c>
      <c r="O527" s="11">
        <v>3</v>
      </c>
      <c r="P527" s="12">
        <v>59</v>
      </c>
      <c r="Q527" s="13">
        <v>18.883800000000001</v>
      </c>
      <c r="R527" s="13">
        <v>-99.08</v>
      </c>
      <c r="S527" s="14" t="s">
        <v>190</v>
      </c>
      <c r="T527" s="14"/>
      <c r="U527" s="14"/>
      <c r="V527" s="14"/>
      <c r="W527" s="14"/>
      <c r="X527" s="14"/>
      <c r="Y527" s="14"/>
      <c r="Z527" s="14"/>
      <c r="AA527" s="15"/>
      <c r="AB527" s="16">
        <v>8.3333333333333329E-2</v>
      </c>
    </row>
    <row r="528" spans="1:28" x14ac:dyDescent="0.3">
      <c r="A528" s="6" t="s">
        <v>1567</v>
      </c>
      <c r="B528" s="7" t="s">
        <v>25</v>
      </c>
      <c r="C528" s="34" t="s">
        <v>450</v>
      </c>
      <c r="D528" s="33" t="s">
        <v>1775</v>
      </c>
      <c r="E528" s="6" t="s">
        <v>1190</v>
      </c>
      <c r="F528" s="6" t="s">
        <v>1564</v>
      </c>
      <c r="G528" s="6" t="s">
        <v>164</v>
      </c>
      <c r="H528" s="7">
        <v>2</v>
      </c>
      <c r="I528" s="6" t="s">
        <v>155</v>
      </c>
      <c r="J528" s="6" t="s">
        <v>31</v>
      </c>
      <c r="K528" s="6" t="s">
        <v>32</v>
      </c>
      <c r="L528" s="6" t="s">
        <v>1755</v>
      </c>
      <c r="M528" s="6" t="s">
        <v>33</v>
      </c>
      <c r="N528" s="10">
        <v>13</v>
      </c>
      <c r="O528" s="11">
        <v>5</v>
      </c>
      <c r="P528" s="12">
        <v>77</v>
      </c>
      <c r="Q528" s="13">
        <v>21.480749500000002</v>
      </c>
      <c r="R528" s="13">
        <v>-104.84592790000001</v>
      </c>
      <c r="S528" s="14" t="s">
        <v>190</v>
      </c>
      <c r="T528" s="14"/>
      <c r="U528" s="14"/>
      <c r="V528" s="14"/>
      <c r="W528" s="14"/>
      <c r="X528" s="14"/>
      <c r="Y528" s="14"/>
      <c r="Z528" s="14"/>
      <c r="AA528" s="15"/>
      <c r="AB528" s="16">
        <v>8.3333333333333329E-2</v>
      </c>
    </row>
    <row r="529" spans="1:28" x14ac:dyDescent="0.3">
      <c r="A529" s="6" t="s">
        <v>1568</v>
      </c>
      <c r="B529" s="7" t="s">
        <v>25</v>
      </c>
      <c r="C529" s="34" t="s">
        <v>535</v>
      </c>
      <c r="D529" s="33" t="s">
        <v>1775</v>
      </c>
      <c r="E529" s="6" t="s">
        <v>535</v>
      </c>
      <c r="F529" s="6" t="s">
        <v>1564</v>
      </c>
      <c r="G529" s="6" t="s">
        <v>164</v>
      </c>
      <c r="H529" s="7">
        <v>2</v>
      </c>
      <c r="I529" s="6" t="s">
        <v>155</v>
      </c>
      <c r="J529" s="6" t="s">
        <v>31</v>
      </c>
      <c r="K529" s="6" t="s">
        <v>32</v>
      </c>
      <c r="L529" s="6" t="s">
        <v>1755</v>
      </c>
      <c r="M529" s="6" t="s">
        <v>33</v>
      </c>
      <c r="N529" s="10">
        <v>18</v>
      </c>
      <c r="O529" s="11">
        <v>6</v>
      </c>
      <c r="P529" s="12">
        <v>98</v>
      </c>
      <c r="Q529" s="13">
        <v>18.986057200000001</v>
      </c>
      <c r="R529" s="13">
        <v>-98.240833499999994</v>
      </c>
      <c r="S529" s="14" t="s">
        <v>190</v>
      </c>
      <c r="T529" s="14"/>
      <c r="U529" s="14"/>
      <c r="V529" s="14"/>
      <c r="W529" s="14"/>
      <c r="X529" s="14"/>
      <c r="Y529" s="14"/>
      <c r="Z529" s="14"/>
      <c r="AA529" s="15"/>
      <c r="AB529" s="16">
        <v>8.3333333333333329E-2</v>
      </c>
    </row>
    <row r="530" spans="1:28" x14ac:dyDescent="0.3">
      <c r="A530" s="6" t="s">
        <v>1569</v>
      </c>
      <c r="B530" s="7" t="s">
        <v>25</v>
      </c>
      <c r="C530" s="34" t="s">
        <v>672</v>
      </c>
      <c r="D530" s="33" t="s">
        <v>1775</v>
      </c>
      <c r="E530" s="6" t="s">
        <v>705</v>
      </c>
      <c r="F530" s="6" t="s">
        <v>1564</v>
      </c>
      <c r="G530" s="6" t="s">
        <v>164</v>
      </c>
      <c r="H530" s="7">
        <v>2</v>
      </c>
      <c r="I530" s="6" t="s">
        <v>155</v>
      </c>
      <c r="J530" s="6" t="s">
        <v>31</v>
      </c>
      <c r="K530" s="6" t="s">
        <v>32</v>
      </c>
      <c r="L530" s="6" t="s">
        <v>1756</v>
      </c>
      <c r="M530" s="6" t="s">
        <v>33</v>
      </c>
      <c r="N530" s="10">
        <v>22</v>
      </c>
      <c r="O530" s="11">
        <v>7</v>
      </c>
      <c r="P530" s="12">
        <v>173</v>
      </c>
      <c r="Q530" s="13">
        <v>24.795667000000002</v>
      </c>
      <c r="R530" s="13">
        <v>-107.45043200000001</v>
      </c>
      <c r="S530" s="14" t="s">
        <v>190</v>
      </c>
      <c r="T530" s="14"/>
      <c r="U530" s="14"/>
      <c r="V530" s="14"/>
      <c r="W530" s="14"/>
      <c r="X530" s="14"/>
      <c r="Y530" s="14"/>
      <c r="Z530" s="14"/>
      <c r="AA530" s="15"/>
      <c r="AB530" s="16">
        <v>8.3333333333333329E-2</v>
      </c>
    </row>
    <row r="531" spans="1:28" x14ac:dyDescent="0.3">
      <c r="A531" s="6" t="s">
        <v>1570</v>
      </c>
      <c r="B531" s="7" t="s">
        <v>25</v>
      </c>
      <c r="C531" s="34" t="s">
        <v>755</v>
      </c>
      <c r="D531" s="33" t="s">
        <v>1775</v>
      </c>
      <c r="E531" s="6" t="s">
        <v>1441</v>
      </c>
      <c r="F531" s="6" t="s">
        <v>1564</v>
      </c>
      <c r="G531" s="6" t="s">
        <v>164</v>
      </c>
      <c r="H531" s="7">
        <v>2</v>
      </c>
      <c r="I531" s="6" t="s">
        <v>155</v>
      </c>
      <c r="J531" s="6" t="s">
        <v>31</v>
      </c>
      <c r="K531" s="6" t="s">
        <v>32</v>
      </c>
      <c r="L531" s="6" t="s">
        <v>1755</v>
      </c>
      <c r="M531" s="6" t="s">
        <v>33</v>
      </c>
      <c r="N531" s="10">
        <v>10</v>
      </c>
      <c r="O531" s="11">
        <v>3</v>
      </c>
      <c r="P531" s="12">
        <v>65</v>
      </c>
      <c r="Q531" s="13">
        <v>19.368702800000001</v>
      </c>
      <c r="R531" s="13">
        <v>-98.212519900000004</v>
      </c>
      <c r="S531" s="14" t="s">
        <v>34</v>
      </c>
      <c r="T531" s="14" t="s">
        <v>175</v>
      </c>
      <c r="U531" s="14"/>
      <c r="V531" s="14"/>
      <c r="W531" s="14"/>
      <c r="X531" s="14"/>
      <c r="Y531" s="14"/>
      <c r="Z531" s="14"/>
      <c r="AA531" s="15"/>
      <c r="AB531" s="16">
        <v>0.125</v>
      </c>
    </row>
    <row r="532" spans="1:28" x14ac:dyDescent="0.3">
      <c r="A532" s="6" t="s">
        <v>1571</v>
      </c>
      <c r="B532" s="7" t="s">
        <v>25</v>
      </c>
      <c r="C532" s="34" t="s">
        <v>837</v>
      </c>
      <c r="D532" s="33" t="s">
        <v>1775</v>
      </c>
      <c r="E532" s="6" t="s">
        <v>1572</v>
      </c>
      <c r="F532" s="6" t="s">
        <v>1564</v>
      </c>
      <c r="G532" s="6" t="s">
        <v>164</v>
      </c>
      <c r="H532" s="7">
        <v>2</v>
      </c>
      <c r="I532" s="6" t="s">
        <v>155</v>
      </c>
      <c r="J532" s="6" t="s">
        <v>31</v>
      </c>
      <c r="K532" s="6" t="s">
        <v>32</v>
      </c>
      <c r="L532" s="6" t="s">
        <v>1755</v>
      </c>
      <c r="M532" s="6" t="s">
        <v>33</v>
      </c>
      <c r="N532" s="10">
        <v>11</v>
      </c>
      <c r="O532" s="11">
        <v>6</v>
      </c>
      <c r="P532" s="12">
        <v>121</v>
      </c>
      <c r="Q532" s="13">
        <v>22.744225</v>
      </c>
      <c r="R532" s="13">
        <v>-102.50020600000001</v>
      </c>
      <c r="S532" s="14" t="s">
        <v>190</v>
      </c>
      <c r="T532" s="14"/>
      <c r="U532" s="14"/>
      <c r="V532" s="14"/>
      <c r="W532" s="14"/>
      <c r="X532" s="14"/>
      <c r="Y532" s="14"/>
      <c r="Z532" s="14"/>
      <c r="AA532" s="15"/>
      <c r="AB532" s="16">
        <v>8.3333333333333329E-2</v>
      </c>
    </row>
    <row r="533" spans="1:28" x14ac:dyDescent="0.3">
      <c r="A533" s="6" t="s">
        <v>1573</v>
      </c>
      <c r="B533" s="7" t="s">
        <v>25</v>
      </c>
      <c r="C533" s="34" t="s">
        <v>535</v>
      </c>
      <c r="D533" s="33" t="s">
        <v>1775</v>
      </c>
      <c r="E533" s="6" t="s">
        <v>1247</v>
      </c>
      <c r="F533" s="6" t="s">
        <v>1574</v>
      </c>
      <c r="G533" s="6" t="s">
        <v>164</v>
      </c>
      <c r="H533" s="7">
        <v>2</v>
      </c>
      <c r="I533" s="6" t="s">
        <v>155</v>
      </c>
      <c r="J533" s="6" t="s">
        <v>31</v>
      </c>
      <c r="K533" s="6" t="s">
        <v>32</v>
      </c>
      <c r="L533" s="6" t="s">
        <v>1756</v>
      </c>
      <c r="M533" s="6" t="s">
        <v>33</v>
      </c>
      <c r="N533" s="10">
        <v>14</v>
      </c>
      <c r="O533" s="11">
        <v>4</v>
      </c>
      <c r="P533" s="12">
        <v>90</v>
      </c>
      <c r="Q533" s="13">
        <v>18.4769823</v>
      </c>
      <c r="R533" s="13">
        <v>-97.439687599999999</v>
      </c>
      <c r="S533" s="14" t="s">
        <v>190</v>
      </c>
      <c r="T533" s="14"/>
      <c r="U533" s="14"/>
      <c r="V533" s="14"/>
      <c r="W533" s="14"/>
      <c r="X533" s="14"/>
      <c r="Y533" s="14"/>
      <c r="Z533" s="14"/>
      <c r="AA533" s="15"/>
      <c r="AB533" s="16">
        <v>8.3333333333333329E-2</v>
      </c>
    </row>
    <row r="534" spans="1:28" x14ac:dyDescent="0.3">
      <c r="A534" s="6" t="s">
        <v>1575</v>
      </c>
      <c r="B534" s="7" t="s">
        <v>25</v>
      </c>
      <c r="C534" s="34" t="s">
        <v>647</v>
      </c>
      <c r="D534" s="33" t="s">
        <v>1775</v>
      </c>
      <c r="E534" s="6" t="s">
        <v>647</v>
      </c>
      <c r="F534" s="6" t="s">
        <v>1576</v>
      </c>
      <c r="G534" s="6" t="s">
        <v>164</v>
      </c>
      <c r="H534" s="7">
        <v>2</v>
      </c>
      <c r="I534" s="6" t="s">
        <v>155</v>
      </c>
      <c r="J534" s="6" t="s">
        <v>31</v>
      </c>
      <c r="K534" s="6" t="s">
        <v>32</v>
      </c>
      <c r="L534" s="6" t="s">
        <v>1756</v>
      </c>
      <c r="M534" s="6" t="s">
        <v>33</v>
      </c>
      <c r="N534" s="10">
        <v>26</v>
      </c>
      <c r="O534" s="11">
        <v>9</v>
      </c>
      <c r="P534" s="12">
        <v>178</v>
      </c>
      <c r="Q534" s="13">
        <v>22.116164000000001</v>
      </c>
      <c r="R534" s="13">
        <v>-100.98585</v>
      </c>
      <c r="S534" s="14" t="s">
        <v>190</v>
      </c>
      <c r="T534" s="14"/>
      <c r="U534" s="14"/>
      <c r="V534" s="14"/>
      <c r="W534" s="14"/>
      <c r="X534" s="14"/>
      <c r="Y534" s="14"/>
      <c r="Z534" s="14"/>
      <c r="AA534" s="15"/>
      <c r="AB534" s="16">
        <v>8.3333333333333329E-2</v>
      </c>
    </row>
    <row r="535" spans="1:28" x14ac:dyDescent="0.3">
      <c r="A535" s="6" t="s">
        <v>1577</v>
      </c>
      <c r="B535" s="7" t="s">
        <v>25</v>
      </c>
      <c r="C535" s="34" t="s">
        <v>477</v>
      </c>
      <c r="D535" s="33" t="s">
        <v>1775</v>
      </c>
      <c r="E535" s="6" t="s">
        <v>1551</v>
      </c>
      <c r="F535" s="6" t="s">
        <v>1578</v>
      </c>
      <c r="G535" s="6" t="s">
        <v>164</v>
      </c>
      <c r="H535" s="7">
        <v>2</v>
      </c>
      <c r="I535" s="6" t="s">
        <v>112</v>
      </c>
      <c r="J535" s="6" t="s">
        <v>31</v>
      </c>
      <c r="K535" s="6" t="s">
        <v>32</v>
      </c>
      <c r="L535" s="6" t="s">
        <v>1755</v>
      </c>
      <c r="M535" s="6" t="s">
        <v>33</v>
      </c>
      <c r="N535" s="10">
        <v>2</v>
      </c>
      <c r="O535" s="11">
        <v>0</v>
      </c>
      <c r="P535" s="12">
        <v>0</v>
      </c>
      <c r="Q535" s="13">
        <v>16.912372000000001</v>
      </c>
      <c r="R535" s="13">
        <v>-96.722317000000004</v>
      </c>
      <c r="S535" s="14" t="s">
        <v>190</v>
      </c>
      <c r="T535" s="14"/>
      <c r="U535" s="14"/>
      <c r="V535" s="14"/>
      <c r="W535" s="14"/>
      <c r="X535" s="14"/>
      <c r="Y535" s="14"/>
      <c r="Z535" s="14"/>
      <c r="AA535" s="15"/>
      <c r="AB535" s="16">
        <v>8.3333333333333329E-2</v>
      </c>
    </row>
    <row r="536" spans="1:28" x14ac:dyDescent="0.3">
      <c r="A536" s="6" t="s">
        <v>1579</v>
      </c>
      <c r="B536" s="7" t="s">
        <v>25</v>
      </c>
      <c r="C536" s="34" t="s">
        <v>159</v>
      </c>
      <c r="D536" s="33" t="s">
        <v>1775</v>
      </c>
      <c r="E536" s="6" t="s">
        <v>1410</v>
      </c>
      <c r="F536" s="6" t="s">
        <v>1580</v>
      </c>
      <c r="G536" s="6" t="s">
        <v>164</v>
      </c>
      <c r="H536" s="7">
        <v>2</v>
      </c>
      <c r="I536" s="6" t="s">
        <v>112</v>
      </c>
      <c r="J536" s="6" t="s">
        <v>31</v>
      </c>
      <c r="K536" s="6" t="s">
        <v>32</v>
      </c>
      <c r="L536" s="6" t="s">
        <v>1755</v>
      </c>
      <c r="M536" s="6" t="s">
        <v>33</v>
      </c>
      <c r="N536" s="10">
        <v>15</v>
      </c>
      <c r="O536" s="11">
        <v>4</v>
      </c>
      <c r="P536" s="12">
        <v>125</v>
      </c>
      <c r="Q536" s="13">
        <v>26.050744999999999</v>
      </c>
      <c r="R536" s="13">
        <v>-98.379484000000005</v>
      </c>
      <c r="S536" s="14" t="s">
        <v>190</v>
      </c>
      <c r="T536" s="14"/>
      <c r="U536" s="14"/>
      <c r="V536" s="14"/>
      <c r="W536" s="14"/>
      <c r="X536" s="14"/>
      <c r="Y536" s="14"/>
      <c r="Z536" s="14"/>
      <c r="AA536" s="15"/>
      <c r="AB536" s="16">
        <v>8.3333333333333329E-2</v>
      </c>
    </row>
    <row r="537" spans="1:28" x14ac:dyDescent="0.3">
      <c r="A537" s="6" t="s">
        <v>1581</v>
      </c>
      <c r="B537" s="7" t="s">
        <v>25</v>
      </c>
      <c r="C537" s="34" t="s">
        <v>418</v>
      </c>
      <c r="D537" s="33" t="s">
        <v>1775</v>
      </c>
      <c r="E537" s="6" t="s">
        <v>1126</v>
      </c>
      <c r="F537" s="6" t="s">
        <v>1582</v>
      </c>
      <c r="G537" s="6" t="s">
        <v>164</v>
      </c>
      <c r="H537" s="7">
        <v>2</v>
      </c>
      <c r="I537" s="6" t="s">
        <v>155</v>
      </c>
      <c r="J537" s="6" t="s">
        <v>31</v>
      </c>
      <c r="K537" s="6" t="s">
        <v>32</v>
      </c>
      <c r="L537" s="6" t="s">
        <v>1755</v>
      </c>
      <c r="M537" s="6" t="s">
        <v>84</v>
      </c>
      <c r="N537" s="10">
        <v>50</v>
      </c>
      <c r="O537" s="11">
        <v>7</v>
      </c>
      <c r="P537" s="12">
        <v>201</v>
      </c>
      <c r="Q537" s="13">
        <v>19.732402</v>
      </c>
      <c r="R537" s="13">
        <v>-101.102766</v>
      </c>
      <c r="S537" s="14" t="s">
        <v>190</v>
      </c>
      <c r="T537" s="14"/>
      <c r="U537" s="14"/>
      <c r="V537" s="14"/>
      <c r="W537" s="14"/>
      <c r="X537" s="14"/>
      <c r="Y537" s="14"/>
      <c r="Z537" s="14"/>
      <c r="AA537" s="15"/>
      <c r="AB537" s="16">
        <v>8.3333333333333329E-2</v>
      </c>
    </row>
    <row r="538" spans="1:28" x14ac:dyDescent="0.3">
      <c r="A538" s="6" t="s">
        <v>1583</v>
      </c>
      <c r="B538" s="7" t="s">
        <v>25</v>
      </c>
      <c r="C538" s="34" t="s">
        <v>159</v>
      </c>
      <c r="D538" s="33" t="s">
        <v>1775</v>
      </c>
      <c r="E538" s="6" t="s">
        <v>160</v>
      </c>
      <c r="F538" s="6" t="s">
        <v>1584</v>
      </c>
      <c r="G538" s="6" t="s">
        <v>164</v>
      </c>
      <c r="H538" s="7">
        <v>2</v>
      </c>
      <c r="I538" s="6" t="s">
        <v>155</v>
      </c>
      <c r="J538" s="6" t="s">
        <v>31</v>
      </c>
      <c r="K538" s="6" t="s">
        <v>32</v>
      </c>
      <c r="L538" s="6" t="s">
        <v>1756</v>
      </c>
      <c r="M538" s="6" t="s">
        <v>33</v>
      </c>
      <c r="N538" s="10">
        <v>16</v>
      </c>
      <c r="O538" s="11">
        <v>2</v>
      </c>
      <c r="P538" s="12">
        <v>93</v>
      </c>
      <c r="Q538" s="13">
        <v>23.721793999999999</v>
      </c>
      <c r="R538" s="13">
        <v>-99.163718000000003</v>
      </c>
      <c r="S538" s="14" t="s">
        <v>176</v>
      </c>
      <c r="T538" s="14"/>
      <c r="U538" s="14"/>
      <c r="V538" s="14"/>
      <c r="W538" s="14"/>
      <c r="X538" s="14"/>
      <c r="Y538" s="14"/>
      <c r="Z538" s="14"/>
      <c r="AA538" s="15"/>
      <c r="AB538" s="16">
        <v>4.1666666666666664E-2</v>
      </c>
    </row>
    <row r="539" spans="1:28" x14ac:dyDescent="0.3">
      <c r="A539" s="6" t="s">
        <v>1585</v>
      </c>
      <c r="B539" s="7" t="s">
        <v>25</v>
      </c>
      <c r="C539" s="34" t="s">
        <v>755</v>
      </c>
      <c r="D539" s="33" t="s">
        <v>1775</v>
      </c>
      <c r="E539" s="6" t="s">
        <v>1441</v>
      </c>
      <c r="F539" s="6" t="s">
        <v>1586</v>
      </c>
      <c r="G539" s="6" t="s">
        <v>164</v>
      </c>
      <c r="H539" s="7">
        <v>2</v>
      </c>
      <c r="I539" s="6" t="s">
        <v>155</v>
      </c>
      <c r="J539" s="6" t="s">
        <v>31</v>
      </c>
      <c r="K539" s="6" t="s">
        <v>32</v>
      </c>
      <c r="L539" s="6" t="s">
        <v>1756</v>
      </c>
      <c r="M539" s="6" t="s">
        <v>33</v>
      </c>
      <c r="N539" s="10">
        <v>14</v>
      </c>
      <c r="O539" s="11">
        <v>3</v>
      </c>
      <c r="P539" s="12">
        <v>77</v>
      </c>
      <c r="Q539" s="13">
        <v>19.3683333</v>
      </c>
      <c r="R539" s="13">
        <v>-98.211333300000007</v>
      </c>
      <c r="S539" s="14" t="s">
        <v>34</v>
      </c>
      <c r="T539" s="14" t="s">
        <v>175</v>
      </c>
      <c r="U539" s="14"/>
      <c r="V539" s="14"/>
      <c r="W539" s="14"/>
      <c r="X539" s="14"/>
      <c r="Y539" s="14"/>
      <c r="Z539" s="14"/>
      <c r="AA539" s="15"/>
      <c r="AB539" s="16">
        <v>0.125</v>
      </c>
    </row>
    <row r="540" spans="1:28" x14ac:dyDescent="0.3">
      <c r="A540" s="6" t="s">
        <v>1587</v>
      </c>
      <c r="B540" s="7" t="s">
        <v>25</v>
      </c>
      <c r="C540" s="34" t="s">
        <v>954</v>
      </c>
      <c r="D540" s="33" t="s">
        <v>1775</v>
      </c>
      <c r="E540" s="6" t="s">
        <v>1588</v>
      </c>
      <c r="F540" s="6" t="s">
        <v>1589</v>
      </c>
      <c r="G540" s="6" t="s">
        <v>111</v>
      </c>
      <c r="H540" s="7">
        <v>1</v>
      </c>
      <c r="I540" s="6" t="s">
        <v>112</v>
      </c>
      <c r="J540" s="6" t="s">
        <v>31</v>
      </c>
      <c r="K540" s="6" t="s">
        <v>32</v>
      </c>
      <c r="L540" s="6" t="s">
        <v>1755</v>
      </c>
      <c r="M540" s="6" t="s">
        <v>33</v>
      </c>
      <c r="N540" s="10">
        <v>9</v>
      </c>
      <c r="O540" s="11">
        <v>4</v>
      </c>
      <c r="P540" s="12">
        <v>55</v>
      </c>
      <c r="Q540" s="13">
        <v>30.704348299999999</v>
      </c>
      <c r="R540" s="13">
        <v>-112.1791726</v>
      </c>
      <c r="S540" s="14" t="s">
        <v>34</v>
      </c>
      <c r="T540" s="14" t="s">
        <v>175</v>
      </c>
      <c r="U540" s="14" t="s">
        <v>213</v>
      </c>
      <c r="V540" s="14" t="s">
        <v>213</v>
      </c>
      <c r="W540" s="14"/>
      <c r="X540" s="14"/>
      <c r="Y540" s="14"/>
      <c r="Z540" s="14"/>
      <c r="AA540" s="15"/>
      <c r="AB540" s="16">
        <v>0.29166666666666663</v>
      </c>
    </row>
    <row r="541" spans="1:28" x14ac:dyDescent="0.3">
      <c r="A541" s="6" t="s">
        <v>1590</v>
      </c>
      <c r="B541" s="7" t="s">
        <v>25</v>
      </c>
      <c r="C541" s="34" t="s">
        <v>327</v>
      </c>
      <c r="D541" s="33" t="s">
        <v>1775</v>
      </c>
      <c r="E541" s="6" t="s">
        <v>1106</v>
      </c>
      <c r="F541" s="6" t="s">
        <v>1591</v>
      </c>
      <c r="G541" s="6" t="s">
        <v>164</v>
      </c>
      <c r="H541" s="7">
        <v>2</v>
      </c>
      <c r="I541" s="6" t="s">
        <v>112</v>
      </c>
      <c r="J541" s="6" t="s">
        <v>31</v>
      </c>
      <c r="K541" s="6" t="s">
        <v>32</v>
      </c>
      <c r="L541" s="6" t="s">
        <v>1755</v>
      </c>
      <c r="M541" s="6" t="s">
        <v>33</v>
      </c>
      <c r="N541" s="10">
        <v>9</v>
      </c>
      <c r="O541" s="11">
        <v>2</v>
      </c>
      <c r="P541" s="12">
        <v>36</v>
      </c>
      <c r="Q541" s="13">
        <v>19.454329399999999</v>
      </c>
      <c r="R541" s="13">
        <v>-98.872573799999998</v>
      </c>
      <c r="S541" s="14" t="s">
        <v>190</v>
      </c>
      <c r="T541" s="14"/>
      <c r="U541" s="14"/>
      <c r="V541" s="14"/>
      <c r="W541" s="14"/>
      <c r="X541" s="14"/>
      <c r="Y541" s="14"/>
      <c r="Z541" s="14"/>
      <c r="AA541" s="15"/>
      <c r="AB541" s="16">
        <v>8.3333333333333329E-2</v>
      </c>
    </row>
    <row r="542" spans="1:28" x14ac:dyDescent="0.3">
      <c r="A542" s="6" t="s">
        <v>1592</v>
      </c>
      <c r="B542" s="7" t="s">
        <v>25</v>
      </c>
      <c r="C542" s="34" t="s">
        <v>886</v>
      </c>
      <c r="D542" s="33" t="s">
        <v>1775</v>
      </c>
      <c r="E542" s="6" t="s">
        <v>1593</v>
      </c>
      <c r="F542" s="6" t="s">
        <v>1594</v>
      </c>
      <c r="G542" s="6" t="s">
        <v>111</v>
      </c>
      <c r="H542" s="7">
        <v>1</v>
      </c>
      <c r="I542" s="6" t="s">
        <v>112</v>
      </c>
      <c r="J542" s="6" t="s">
        <v>31</v>
      </c>
      <c r="K542" s="6" t="s">
        <v>32</v>
      </c>
      <c r="L542" s="6" t="s">
        <v>1755</v>
      </c>
      <c r="M542" s="6" t="s">
        <v>33</v>
      </c>
      <c r="N542" s="10">
        <v>10</v>
      </c>
      <c r="O542" s="11">
        <v>2</v>
      </c>
      <c r="P542" s="12">
        <v>48</v>
      </c>
      <c r="Q542" s="13">
        <v>25.018382800000001</v>
      </c>
      <c r="R542" s="13">
        <v>-111.66186570000001</v>
      </c>
      <c r="S542" s="14" t="s">
        <v>34</v>
      </c>
      <c r="T542" s="14" t="s">
        <v>175</v>
      </c>
      <c r="U542" s="14" t="s">
        <v>213</v>
      </c>
      <c r="V542" s="14" t="s">
        <v>213</v>
      </c>
      <c r="W542" s="14"/>
      <c r="X542" s="14"/>
      <c r="Y542" s="14"/>
      <c r="Z542" s="14"/>
      <c r="AA542" s="15"/>
      <c r="AB542" s="16">
        <v>0.29166666666666663</v>
      </c>
    </row>
    <row r="543" spans="1:28" x14ac:dyDescent="0.3">
      <c r="A543" s="6" t="s">
        <v>1595</v>
      </c>
      <c r="B543" s="7" t="s">
        <v>25</v>
      </c>
      <c r="C543" s="34" t="s">
        <v>954</v>
      </c>
      <c r="D543" s="33" t="s">
        <v>1775</v>
      </c>
      <c r="E543" s="6" t="s">
        <v>1350</v>
      </c>
      <c r="F543" s="6" t="s">
        <v>1596</v>
      </c>
      <c r="G543" s="6" t="s">
        <v>164</v>
      </c>
      <c r="H543" s="7">
        <v>2</v>
      </c>
      <c r="I543" s="6" t="s">
        <v>155</v>
      </c>
      <c r="J543" s="6" t="s">
        <v>31</v>
      </c>
      <c r="K543" s="6" t="s">
        <v>32</v>
      </c>
      <c r="L543" s="6" t="s">
        <v>1756</v>
      </c>
      <c r="M543" s="6" t="s">
        <v>33</v>
      </c>
      <c r="N543" s="10">
        <v>48</v>
      </c>
      <c r="O543" s="11">
        <v>10</v>
      </c>
      <c r="P543" s="12">
        <v>263</v>
      </c>
      <c r="Q543" s="13">
        <v>29.116381100000002</v>
      </c>
      <c r="R543" s="13">
        <v>-110.9718024</v>
      </c>
      <c r="S543" s="14" t="s">
        <v>34</v>
      </c>
      <c r="T543" s="14" t="s">
        <v>175</v>
      </c>
      <c r="U543" s="14" t="s">
        <v>213</v>
      </c>
      <c r="V543" s="14" t="s">
        <v>213</v>
      </c>
      <c r="W543" s="14"/>
      <c r="X543" s="14"/>
      <c r="Y543" s="14"/>
      <c r="Z543" s="14"/>
      <c r="AA543" s="15"/>
      <c r="AB543" s="16">
        <v>0.29166666666666663</v>
      </c>
    </row>
    <row r="544" spans="1:28" x14ac:dyDescent="0.3">
      <c r="A544" s="6" t="s">
        <v>1597</v>
      </c>
      <c r="B544" s="7" t="s">
        <v>25</v>
      </c>
      <c r="C544" s="34" t="s">
        <v>305</v>
      </c>
      <c r="D544" s="33" t="s">
        <v>1775</v>
      </c>
      <c r="E544" s="6" t="s">
        <v>1598</v>
      </c>
      <c r="F544" s="6" t="s">
        <v>1599</v>
      </c>
      <c r="G544" s="6" t="s">
        <v>111</v>
      </c>
      <c r="H544" s="7">
        <v>1</v>
      </c>
      <c r="I544" s="6" t="s">
        <v>112</v>
      </c>
      <c r="J544" s="6" t="s">
        <v>31</v>
      </c>
      <c r="K544" s="6" t="s">
        <v>32</v>
      </c>
      <c r="L544" s="6" t="s">
        <v>1755</v>
      </c>
      <c r="M544" s="6" t="s">
        <v>33</v>
      </c>
      <c r="N544" s="10">
        <v>13</v>
      </c>
      <c r="O544" s="11">
        <v>4</v>
      </c>
      <c r="P544" s="12">
        <v>91</v>
      </c>
      <c r="Q544" s="13">
        <v>20.040680999999999</v>
      </c>
      <c r="R544" s="13">
        <v>-99.342061000000001</v>
      </c>
      <c r="S544" s="14" t="s">
        <v>34</v>
      </c>
      <c r="T544" s="14" t="s">
        <v>35</v>
      </c>
      <c r="U544" s="14" t="s">
        <v>35</v>
      </c>
      <c r="V544" s="14" t="s">
        <v>35</v>
      </c>
      <c r="W544" s="14" t="s">
        <v>175</v>
      </c>
      <c r="X544" s="14" t="s">
        <v>36</v>
      </c>
      <c r="Y544" s="14"/>
      <c r="Z544" s="14"/>
      <c r="AA544" s="15"/>
      <c r="AB544" s="16">
        <v>0.70833333333333337</v>
      </c>
    </row>
    <row r="545" spans="1:28" x14ac:dyDescent="0.3">
      <c r="A545" s="6" t="s">
        <v>1600</v>
      </c>
      <c r="B545" s="7" t="s">
        <v>25</v>
      </c>
      <c r="C545" s="34" t="s">
        <v>327</v>
      </c>
      <c r="D545" s="33" t="s">
        <v>1775</v>
      </c>
      <c r="E545" s="6" t="s">
        <v>1043</v>
      </c>
      <c r="F545" s="6" t="s">
        <v>1601</v>
      </c>
      <c r="G545" s="6" t="s">
        <v>164</v>
      </c>
      <c r="H545" s="7">
        <v>2</v>
      </c>
      <c r="I545" s="6" t="s">
        <v>155</v>
      </c>
      <c r="J545" s="6" t="s">
        <v>31</v>
      </c>
      <c r="K545" s="6" t="s">
        <v>32</v>
      </c>
      <c r="L545" s="6" t="s">
        <v>1755</v>
      </c>
      <c r="M545" s="6" t="s">
        <v>33</v>
      </c>
      <c r="N545" s="10">
        <v>8</v>
      </c>
      <c r="O545" s="11">
        <v>5</v>
      </c>
      <c r="P545" s="12">
        <v>98</v>
      </c>
      <c r="Q545" s="13">
        <v>19.213963</v>
      </c>
      <c r="R545" s="13">
        <v>-98.922724000000002</v>
      </c>
      <c r="S545" s="14" t="s">
        <v>190</v>
      </c>
      <c r="T545" s="14"/>
      <c r="U545" s="14"/>
      <c r="V545" s="14"/>
      <c r="W545" s="14"/>
      <c r="X545" s="14"/>
      <c r="Y545" s="14"/>
      <c r="Z545" s="14"/>
      <c r="AA545" s="15"/>
      <c r="AB545" s="16">
        <v>8.3333333333333329E-2</v>
      </c>
    </row>
    <row r="546" spans="1:28" x14ac:dyDescent="0.3">
      <c r="A546" s="6" t="s">
        <v>1602</v>
      </c>
      <c r="B546" s="7" t="s">
        <v>25</v>
      </c>
      <c r="C546" s="34" t="s">
        <v>954</v>
      </c>
      <c r="D546" s="33" t="s">
        <v>1775</v>
      </c>
      <c r="E546" s="6" t="s">
        <v>1603</v>
      </c>
      <c r="F546" s="6" t="s">
        <v>1604</v>
      </c>
      <c r="G546" s="6" t="s">
        <v>111</v>
      </c>
      <c r="H546" s="7">
        <v>1</v>
      </c>
      <c r="I546" s="6" t="s">
        <v>112</v>
      </c>
      <c r="J546" s="6" t="s">
        <v>31</v>
      </c>
      <c r="K546" s="6" t="s">
        <v>32</v>
      </c>
      <c r="L546" s="6" t="s">
        <v>1755</v>
      </c>
      <c r="M546" s="6" t="s">
        <v>33</v>
      </c>
      <c r="N546" s="10">
        <v>15</v>
      </c>
      <c r="O546" s="11">
        <v>1</v>
      </c>
      <c r="P546" s="12">
        <v>49</v>
      </c>
      <c r="Q546" s="13">
        <v>31.319126000000001</v>
      </c>
      <c r="R546" s="13">
        <v>-109.5827257</v>
      </c>
      <c r="S546" s="14" t="s">
        <v>34</v>
      </c>
      <c r="T546" s="14" t="s">
        <v>175</v>
      </c>
      <c r="U546" s="14" t="s">
        <v>213</v>
      </c>
      <c r="V546" s="14" t="s">
        <v>213</v>
      </c>
      <c r="W546" s="14"/>
      <c r="X546" s="14"/>
      <c r="Y546" s="14"/>
      <c r="Z546" s="14"/>
      <c r="AA546" s="15"/>
      <c r="AB546" s="16">
        <v>0.29166666666666663</v>
      </c>
    </row>
    <row r="547" spans="1:28" x14ac:dyDescent="0.3">
      <c r="A547" s="6" t="s">
        <v>1605</v>
      </c>
      <c r="B547" s="7" t="s">
        <v>25</v>
      </c>
      <c r="C547" s="34" t="s">
        <v>225</v>
      </c>
      <c r="D547" s="33" t="s">
        <v>1775</v>
      </c>
      <c r="E547" s="6" t="s">
        <v>1606</v>
      </c>
      <c r="F547" s="6" t="s">
        <v>1607</v>
      </c>
      <c r="G547" s="6" t="s">
        <v>941</v>
      </c>
      <c r="H547" s="7">
        <v>2</v>
      </c>
      <c r="I547" s="6" t="s">
        <v>155</v>
      </c>
      <c r="J547" s="6" t="s">
        <v>31</v>
      </c>
      <c r="K547" s="6" t="s">
        <v>32</v>
      </c>
      <c r="L547" s="6" t="s">
        <v>1756</v>
      </c>
      <c r="M547" s="6" t="s">
        <v>33</v>
      </c>
      <c r="N547" s="10">
        <v>15</v>
      </c>
      <c r="O547" s="11">
        <v>2</v>
      </c>
      <c r="P547" s="12">
        <v>84</v>
      </c>
      <c r="Q547" s="13">
        <v>19.345625999999999</v>
      </c>
      <c r="R547" s="13">
        <v>-99.167851200000001</v>
      </c>
      <c r="S547" s="14" t="s">
        <v>176</v>
      </c>
      <c r="T547" s="14"/>
      <c r="U547" s="14"/>
      <c r="V547" s="14"/>
      <c r="W547" s="14"/>
      <c r="X547" s="14"/>
      <c r="Y547" s="14"/>
      <c r="Z547" s="14"/>
      <c r="AA547" s="15"/>
      <c r="AB547" s="16">
        <v>4.1666666666666664E-2</v>
      </c>
    </row>
    <row r="548" spans="1:28" x14ac:dyDescent="0.3">
      <c r="A548" s="19" t="s">
        <v>1608</v>
      </c>
      <c r="B548" s="7" t="s">
        <v>210</v>
      </c>
      <c r="C548" s="34" t="s">
        <v>149</v>
      </c>
      <c r="D548" s="33" t="s">
        <v>1775</v>
      </c>
      <c r="E548" s="6" t="s">
        <v>1609</v>
      </c>
      <c r="F548" s="6" t="s">
        <v>316</v>
      </c>
      <c r="G548" s="6" t="s">
        <v>164</v>
      </c>
      <c r="H548" s="7">
        <v>2</v>
      </c>
      <c r="I548" s="6" t="s">
        <v>155</v>
      </c>
      <c r="J548" s="6" t="s">
        <v>31</v>
      </c>
      <c r="K548" s="6" t="s">
        <v>32</v>
      </c>
      <c r="L548" s="6" t="s">
        <v>1755</v>
      </c>
      <c r="M548" s="6" t="s">
        <v>33</v>
      </c>
      <c r="N548" s="10">
        <v>27</v>
      </c>
      <c r="O548" s="11">
        <v>4</v>
      </c>
      <c r="P548" s="12">
        <v>123</v>
      </c>
      <c r="Q548" s="20">
        <v>20.903480600000002</v>
      </c>
      <c r="R548" s="20">
        <v>-89.643447399999999</v>
      </c>
      <c r="S548" s="14" t="s">
        <v>34</v>
      </c>
      <c r="T548" s="14" t="s">
        <v>175</v>
      </c>
      <c r="U548" s="14" t="s">
        <v>213</v>
      </c>
      <c r="V548" s="14" t="s">
        <v>213</v>
      </c>
      <c r="W548" s="14"/>
      <c r="X548" s="14"/>
      <c r="Y548" s="14"/>
      <c r="Z548" s="14"/>
      <c r="AA548" s="15"/>
      <c r="AB548" s="16">
        <v>0.29166666666666663</v>
      </c>
    </row>
    <row r="549" spans="1:28" x14ac:dyDescent="0.3">
      <c r="A549" s="6" t="s">
        <v>1610</v>
      </c>
      <c r="B549" s="7" t="s">
        <v>25</v>
      </c>
      <c r="C549" s="34" t="s">
        <v>218</v>
      </c>
      <c r="D549" s="33" t="s">
        <v>1775</v>
      </c>
      <c r="E549" s="6" t="s">
        <v>1456</v>
      </c>
      <c r="F549" s="6" t="s">
        <v>1611</v>
      </c>
      <c r="G549" s="6" t="s">
        <v>164</v>
      </c>
      <c r="H549" s="7">
        <v>2</v>
      </c>
      <c r="I549" s="6" t="s">
        <v>112</v>
      </c>
      <c r="J549" s="6" t="s">
        <v>31</v>
      </c>
      <c r="K549" s="6" t="s">
        <v>32</v>
      </c>
      <c r="L549" s="6" t="s">
        <v>1755</v>
      </c>
      <c r="M549" s="6" t="s">
        <v>33</v>
      </c>
      <c r="N549" s="10">
        <v>21</v>
      </c>
      <c r="O549" s="11">
        <v>4</v>
      </c>
      <c r="P549" s="12">
        <v>101</v>
      </c>
      <c r="Q549" s="13">
        <v>18.146144</v>
      </c>
      <c r="R549" s="13">
        <v>-94.511622000000003</v>
      </c>
      <c r="S549" s="14" t="s">
        <v>176</v>
      </c>
      <c r="T549" s="14"/>
      <c r="U549" s="14"/>
      <c r="V549" s="14"/>
      <c r="W549" s="14"/>
      <c r="X549" s="14"/>
      <c r="Y549" s="14"/>
      <c r="Z549" s="14"/>
      <c r="AA549" s="15"/>
      <c r="AB549" s="16">
        <v>4.1666666666666664E-2</v>
      </c>
    </row>
    <row r="550" spans="1:28" x14ac:dyDescent="0.3">
      <c r="A550" s="6" t="s">
        <v>1612</v>
      </c>
      <c r="B550" s="7" t="s">
        <v>25</v>
      </c>
      <c r="C550" s="34" t="s">
        <v>886</v>
      </c>
      <c r="D550" s="33" t="s">
        <v>1775</v>
      </c>
      <c r="E550" s="6" t="s">
        <v>1613</v>
      </c>
      <c r="F550" s="6" t="s">
        <v>1614</v>
      </c>
      <c r="G550" s="6" t="s">
        <v>111</v>
      </c>
      <c r="H550" s="7">
        <v>1</v>
      </c>
      <c r="I550" s="6" t="s">
        <v>112</v>
      </c>
      <c r="J550" s="6" t="s">
        <v>31</v>
      </c>
      <c r="K550" s="6" t="s">
        <v>32</v>
      </c>
      <c r="L550" s="6" t="s">
        <v>1755</v>
      </c>
      <c r="M550" s="6" t="s">
        <v>33</v>
      </c>
      <c r="N550" s="10">
        <v>8</v>
      </c>
      <c r="O550" s="11">
        <v>2</v>
      </c>
      <c r="P550" s="12">
        <v>32</v>
      </c>
      <c r="Q550" s="13">
        <v>27.3472486</v>
      </c>
      <c r="R550" s="13">
        <v>-112.2728432</v>
      </c>
      <c r="S550" s="14" t="s">
        <v>34</v>
      </c>
      <c r="T550" s="14" t="s">
        <v>175</v>
      </c>
      <c r="U550" s="14" t="s">
        <v>213</v>
      </c>
      <c r="V550" s="14" t="s">
        <v>213</v>
      </c>
      <c r="W550" s="14"/>
      <c r="X550" s="14"/>
      <c r="Y550" s="14"/>
      <c r="Z550" s="14"/>
      <c r="AA550" s="15"/>
      <c r="AB550" s="16">
        <v>0.29166666666666663</v>
      </c>
    </row>
    <row r="551" spans="1:28" x14ac:dyDescent="0.3">
      <c r="A551" s="6" t="s">
        <v>1615</v>
      </c>
      <c r="B551" s="7" t="s">
        <v>25</v>
      </c>
      <c r="C551" s="34" t="s">
        <v>225</v>
      </c>
      <c r="D551" s="33" t="s">
        <v>1775</v>
      </c>
      <c r="E551" s="6" t="s">
        <v>926</v>
      </c>
      <c r="F551" s="6" t="s">
        <v>1616</v>
      </c>
      <c r="G551" s="6" t="s">
        <v>941</v>
      </c>
      <c r="H551" s="7">
        <v>2</v>
      </c>
      <c r="I551" s="6" t="s">
        <v>155</v>
      </c>
      <c r="J551" s="6" t="s">
        <v>31</v>
      </c>
      <c r="K551" s="6" t="s">
        <v>32</v>
      </c>
      <c r="L551" s="6" t="s">
        <v>1756</v>
      </c>
      <c r="M551" s="6" t="s">
        <v>33</v>
      </c>
      <c r="N551" s="10">
        <v>27</v>
      </c>
      <c r="O551" s="11">
        <v>2</v>
      </c>
      <c r="P551" s="12">
        <v>82</v>
      </c>
      <c r="Q551" s="13">
        <v>19.4507251</v>
      </c>
      <c r="R551" s="13">
        <v>-99.202854099999996</v>
      </c>
      <c r="S551" s="14" t="s">
        <v>176</v>
      </c>
      <c r="T551" s="14"/>
      <c r="U551" s="14"/>
      <c r="V551" s="14"/>
      <c r="W551" s="14"/>
      <c r="X551" s="14"/>
      <c r="Y551" s="14"/>
      <c r="Z551" s="14"/>
      <c r="AA551" s="15"/>
      <c r="AB551" s="16">
        <v>4.1666666666666664E-2</v>
      </c>
    </row>
    <row r="552" spans="1:28" x14ac:dyDescent="0.3">
      <c r="A552" s="6" t="s">
        <v>1617</v>
      </c>
      <c r="B552" s="7" t="s">
        <v>25</v>
      </c>
      <c r="C552" s="34" t="s">
        <v>327</v>
      </c>
      <c r="D552" s="33" t="s">
        <v>1775</v>
      </c>
      <c r="E552" s="6" t="s">
        <v>1037</v>
      </c>
      <c r="F552" s="6" t="s">
        <v>1618</v>
      </c>
      <c r="G552" s="6" t="s">
        <v>164</v>
      </c>
      <c r="H552" s="7">
        <v>2</v>
      </c>
      <c r="I552" s="6" t="s">
        <v>155</v>
      </c>
      <c r="J552" s="6" t="s">
        <v>31</v>
      </c>
      <c r="K552" s="6" t="s">
        <v>32</v>
      </c>
      <c r="L552" s="6" t="s">
        <v>1755</v>
      </c>
      <c r="M552" s="6" t="s">
        <v>33</v>
      </c>
      <c r="N552" s="10">
        <v>8</v>
      </c>
      <c r="O552" s="11">
        <v>4</v>
      </c>
      <c r="P552" s="12">
        <v>110</v>
      </c>
      <c r="Q552" s="13">
        <v>19.597300000000001</v>
      </c>
      <c r="R552" s="13">
        <v>-99.263183999999995</v>
      </c>
      <c r="S552" s="14" t="s">
        <v>190</v>
      </c>
      <c r="T552" s="14"/>
      <c r="U552" s="14"/>
      <c r="V552" s="14"/>
      <c r="W552" s="14"/>
      <c r="X552" s="14"/>
      <c r="Y552" s="14"/>
      <c r="Z552" s="14"/>
      <c r="AA552" s="15"/>
      <c r="AB552" s="16">
        <v>8.3333333333333329E-2</v>
      </c>
    </row>
    <row r="553" spans="1:28" x14ac:dyDescent="0.3">
      <c r="A553" s="6" t="s">
        <v>1619</v>
      </c>
      <c r="B553" s="7" t="s">
        <v>25</v>
      </c>
      <c r="C553" s="34" t="s">
        <v>225</v>
      </c>
      <c r="D553" s="33" t="s">
        <v>1775</v>
      </c>
      <c r="E553" s="6" t="s">
        <v>1620</v>
      </c>
      <c r="F553" s="6" t="s">
        <v>1621</v>
      </c>
      <c r="G553" s="6" t="s">
        <v>111</v>
      </c>
      <c r="H553" s="7">
        <v>1</v>
      </c>
      <c r="I553" s="6" t="s">
        <v>112</v>
      </c>
      <c r="J553" s="6" t="s">
        <v>31</v>
      </c>
      <c r="K553" s="6" t="s">
        <v>32</v>
      </c>
      <c r="L553" s="6" t="s">
        <v>1755</v>
      </c>
      <c r="M553" s="6" t="s">
        <v>33</v>
      </c>
      <c r="N553" s="10">
        <v>17</v>
      </c>
      <c r="O553" s="11">
        <v>3</v>
      </c>
      <c r="P553" s="12">
        <v>74</v>
      </c>
      <c r="Q553" s="13">
        <v>19.200989799999999</v>
      </c>
      <c r="R553" s="13">
        <v>-99.0111074</v>
      </c>
      <c r="S553" s="14" t="s">
        <v>176</v>
      </c>
      <c r="T553" s="14"/>
      <c r="U553" s="14"/>
      <c r="V553" s="14"/>
      <c r="W553" s="14"/>
      <c r="X553" s="14"/>
      <c r="Y553" s="14"/>
      <c r="Z553" s="14"/>
      <c r="AA553" s="15"/>
      <c r="AB553" s="16">
        <v>4.1666666666666664E-2</v>
      </c>
    </row>
    <row r="554" spans="1:28" x14ac:dyDescent="0.3">
      <c r="A554" s="6" t="s">
        <v>1622</v>
      </c>
      <c r="B554" s="7" t="s">
        <v>25</v>
      </c>
      <c r="C554" s="34" t="s">
        <v>327</v>
      </c>
      <c r="D554" s="33" t="s">
        <v>1775</v>
      </c>
      <c r="E554" s="6" t="s">
        <v>1623</v>
      </c>
      <c r="F554" s="6" t="s">
        <v>1624</v>
      </c>
      <c r="G554" s="6" t="s">
        <v>164</v>
      </c>
      <c r="H554" s="7">
        <v>2</v>
      </c>
      <c r="I554" s="6" t="s">
        <v>155</v>
      </c>
      <c r="J554" s="6" t="s">
        <v>31</v>
      </c>
      <c r="K554" s="6" t="s">
        <v>32</v>
      </c>
      <c r="L554" s="6" t="s">
        <v>1755</v>
      </c>
      <c r="M554" s="6" t="s">
        <v>84</v>
      </c>
      <c r="N554" s="10">
        <v>8</v>
      </c>
      <c r="O554" s="11">
        <v>2</v>
      </c>
      <c r="P554" s="12">
        <v>70</v>
      </c>
      <c r="Q554" s="13">
        <v>19.657679000000002</v>
      </c>
      <c r="R554" s="13">
        <v>-100.12159</v>
      </c>
      <c r="S554" s="14" t="s">
        <v>190</v>
      </c>
      <c r="T554" s="14"/>
      <c r="U554" s="14"/>
      <c r="V554" s="14"/>
      <c r="W554" s="14"/>
      <c r="X554" s="14"/>
      <c r="Y554" s="14"/>
      <c r="Z554" s="14"/>
      <c r="AA554" s="15"/>
      <c r="AB554" s="16">
        <v>8.3333333333333329E-2</v>
      </c>
    </row>
    <row r="555" spans="1:28" x14ac:dyDescent="0.3">
      <c r="A555" s="6" t="s">
        <v>1625</v>
      </c>
      <c r="B555" s="7" t="s">
        <v>25</v>
      </c>
      <c r="C555" s="34" t="s">
        <v>225</v>
      </c>
      <c r="D555" s="33" t="s">
        <v>1775</v>
      </c>
      <c r="E555" s="6" t="s">
        <v>921</v>
      </c>
      <c r="F555" s="6" t="s">
        <v>1626</v>
      </c>
      <c r="G555" s="6" t="s">
        <v>941</v>
      </c>
      <c r="H555" s="7">
        <v>2</v>
      </c>
      <c r="I555" s="6" t="s">
        <v>155</v>
      </c>
      <c r="J555" s="6" t="s">
        <v>31</v>
      </c>
      <c r="K555" s="6" t="s">
        <v>32</v>
      </c>
      <c r="L555" s="6" t="s">
        <v>1756</v>
      </c>
      <c r="M555" s="6" t="s">
        <v>33</v>
      </c>
      <c r="N555" s="10">
        <v>23</v>
      </c>
      <c r="O555" s="11">
        <v>2</v>
      </c>
      <c r="P555" s="12">
        <v>70</v>
      </c>
      <c r="Q555" s="13">
        <v>19.458006999999998</v>
      </c>
      <c r="R555" s="13">
        <v>-99.092431899999994</v>
      </c>
      <c r="S555" s="14" t="s">
        <v>176</v>
      </c>
      <c r="T555" s="14"/>
      <c r="U555" s="14"/>
      <c r="V555" s="14"/>
      <c r="W555" s="14"/>
      <c r="X555" s="14"/>
      <c r="Y555" s="14"/>
      <c r="Z555" s="14"/>
      <c r="AA555" s="15"/>
      <c r="AB555" s="16">
        <v>4.1666666666666664E-2</v>
      </c>
    </row>
    <row r="556" spans="1:28" x14ac:dyDescent="0.3">
      <c r="A556" s="6" t="s">
        <v>1627</v>
      </c>
      <c r="B556" s="7" t="s">
        <v>25</v>
      </c>
      <c r="C556" s="34" t="s">
        <v>327</v>
      </c>
      <c r="D556" s="33" t="s">
        <v>1775</v>
      </c>
      <c r="E556" s="6" t="s">
        <v>895</v>
      </c>
      <c r="F556" s="6" t="s">
        <v>1628</v>
      </c>
      <c r="G556" s="6" t="s">
        <v>164</v>
      </c>
      <c r="H556" s="7">
        <v>2</v>
      </c>
      <c r="I556" s="6" t="s">
        <v>155</v>
      </c>
      <c r="J556" s="6" t="s">
        <v>31</v>
      </c>
      <c r="K556" s="6" t="s">
        <v>32</v>
      </c>
      <c r="L556" s="6" t="s">
        <v>1755</v>
      </c>
      <c r="M556" s="6" t="s">
        <v>33</v>
      </c>
      <c r="N556" s="10">
        <v>12</v>
      </c>
      <c r="O556" s="11">
        <v>2</v>
      </c>
      <c r="P556" s="12">
        <v>43</v>
      </c>
      <c r="Q556" s="13">
        <v>19.374755</v>
      </c>
      <c r="R556" s="13">
        <v>-98.944597000000002</v>
      </c>
      <c r="S556" s="14" t="s">
        <v>190</v>
      </c>
      <c r="T556" s="14"/>
      <c r="U556" s="14"/>
      <c r="V556" s="14"/>
      <c r="W556" s="14"/>
      <c r="X556" s="14"/>
      <c r="Y556" s="14"/>
      <c r="Z556" s="14"/>
      <c r="AA556" s="15"/>
      <c r="AB556" s="16">
        <v>8.3333333333333329E-2</v>
      </c>
    </row>
    <row r="557" spans="1:28" x14ac:dyDescent="0.3">
      <c r="A557" s="6" t="s">
        <v>1629</v>
      </c>
      <c r="B557" s="7" t="s">
        <v>25</v>
      </c>
      <c r="C557" s="34" t="s">
        <v>628</v>
      </c>
      <c r="D557" s="33" t="s">
        <v>1775</v>
      </c>
      <c r="E557" s="6" t="s">
        <v>641</v>
      </c>
      <c r="F557" s="6" t="s">
        <v>1630</v>
      </c>
      <c r="G557" s="6" t="s">
        <v>164</v>
      </c>
      <c r="H557" s="7">
        <v>2</v>
      </c>
      <c r="I557" s="6" t="s">
        <v>155</v>
      </c>
      <c r="J557" s="6" t="s">
        <v>31</v>
      </c>
      <c r="K557" s="6" t="s">
        <v>32</v>
      </c>
      <c r="L557" s="6" t="s">
        <v>1755</v>
      </c>
      <c r="M557" s="6" t="s">
        <v>33</v>
      </c>
      <c r="N557" s="10">
        <v>8</v>
      </c>
      <c r="O557" s="11">
        <v>3</v>
      </c>
      <c r="P557" s="12">
        <v>60</v>
      </c>
      <c r="Q557" s="13">
        <v>18.502268999999998</v>
      </c>
      <c r="R557" s="13">
        <v>-88.298130999999998</v>
      </c>
      <c r="S557" s="14" t="s">
        <v>176</v>
      </c>
      <c r="T557" s="14"/>
      <c r="U557" s="14"/>
      <c r="V557" s="14"/>
      <c r="W557" s="14"/>
      <c r="X557" s="14"/>
      <c r="Y557" s="14"/>
      <c r="Z557" s="14"/>
      <c r="AA557" s="15"/>
      <c r="AB557" s="16">
        <v>4.1666666666666664E-2</v>
      </c>
    </row>
    <row r="558" spans="1:28" x14ac:dyDescent="0.3">
      <c r="A558" s="6" t="s">
        <v>1631</v>
      </c>
      <c r="B558" s="7" t="s">
        <v>25</v>
      </c>
      <c r="C558" s="34" t="s">
        <v>225</v>
      </c>
      <c r="D558" s="33" t="s">
        <v>1775</v>
      </c>
      <c r="E558" s="6" t="s">
        <v>939</v>
      </c>
      <c r="F558" s="6" t="s">
        <v>1632</v>
      </c>
      <c r="G558" s="6" t="s">
        <v>111</v>
      </c>
      <c r="H558" s="7">
        <v>1</v>
      </c>
      <c r="I558" s="6" t="s">
        <v>112</v>
      </c>
      <c r="J558" s="6" t="s">
        <v>31</v>
      </c>
      <c r="K558" s="6" t="s">
        <v>32</v>
      </c>
      <c r="L558" s="6" t="s">
        <v>1755</v>
      </c>
      <c r="M558" s="6" t="s">
        <v>33</v>
      </c>
      <c r="N558" s="10">
        <v>10</v>
      </c>
      <c r="O558" s="11">
        <v>3</v>
      </c>
      <c r="P558" s="12">
        <v>69</v>
      </c>
      <c r="Q558" s="13">
        <v>19.437636999999999</v>
      </c>
      <c r="R558" s="13">
        <v>-99.129454999999993</v>
      </c>
      <c r="S558" s="14" t="s">
        <v>176</v>
      </c>
      <c r="T558" s="14"/>
      <c r="U558" s="14"/>
      <c r="V558" s="14"/>
      <c r="W558" s="14"/>
      <c r="X558" s="14"/>
      <c r="Y558" s="14"/>
      <c r="Z558" s="14"/>
      <c r="AA558" s="15"/>
      <c r="AB558" s="16">
        <v>4.1666666666666664E-2</v>
      </c>
    </row>
    <row r="559" spans="1:28" x14ac:dyDescent="0.3">
      <c r="A559" s="6" t="s">
        <v>1633</v>
      </c>
      <c r="B559" s="7" t="s">
        <v>25</v>
      </c>
      <c r="C559" s="34" t="s">
        <v>327</v>
      </c>
      <c r="D559" s="33" t="s">
        <v>1775</v>
      </c>
      <c r="E559" s="6" t="s">
        <v>1046</v>
      </c>
      <c r="F559" s="6" t="s">
        <v>1634</v>
      </c>
      <c r="G559" s="6" t="s">
        <v>164</v>
      </c>
      <c r="H559" s="7">
        <v>2</v>
      </c>
      <c r="I559" s="6" t="s">
        <v>155</v>
      </c>
      <c r="J559" s="6" t="s">
        <v>31</v>
      </c>
      <c r="K559" s="6" t="s">
        <v>32</v>
      </c>
      <c r="L559" s="6" t="s">
        <v>1756</v>
      </c>
      <c r="M559" s="6" t="s">
        <v>33</v>
      </c>
      <c r="N559" s="10">
        <v>6</v>
      </c>
      <c r="O559" s="11">
        <v>4</v>
      </c>
      <c r="P559" s="12">
        <v>112</v>
      </c>
      <c r="Q559" s="13">
        <v>19.4422201</v>
      </c>
      <c r="R559" s="13">
        <v>-98.972637500000005</v>
      </c>
      <c r="S559" s="14" t="s">
        <v>190</v>
      </c>
      <c r="T559" s="14"/>
      <c r="U559" s="14"/>
      <c r="V559" s="14"/>
      <c r="W559" s="14"/>
      <c r="X559" s="14"/>
      <c r="Y559" s="14"/>
      <c r="Z559" s="14"/>
      <c r="AA559" s="15"/>
      <c r="AB559" s="16">
        <v>8.3333333333333329E-2</v>
      </c>
    </row>
    <row r="560" spans="1:28" x14ac:dyDescent="0.3">
      <c r="A560" s="6" t="s">
        <v>1635</v>
      </c>
      <c r="B560" s="7" t="s">
        <v>25</v>
      </c>
      <c r="C560" s="34" t="s">
        <v>225</v>
      </c>
      <c r="D560" s="33" t="s">
        <v>1775</v>
      </c>
      <c r="E560" s="6" t="s">
        <v>1636</v>
      </c>
      <c r="F560" s="6" t="s">
        <v>1637</v>
      </c>
      <c r="G560" s="6" t="s">
        <v>941</v>
      </c>
      <c r="H560" s="7">
        <v>2</v>
      </c>
      <c r="I560" s="6" t="s">
        <v>155</v>
      </c>
      <c r="J560" s="6" t="s">
        <v>31</v>
      </c>
      <c r="K560" s="6" t="s">
        <v>32</v>
      </c>
      <c r="L560" s="6" t="s">
        <v>1756</v>
      </c>
      <c r="M560" s="6" t="s">
        <v>33</v>
      </c>
      <c r="N560" s="10">
        <v>13</v>
      </c>
      <c r="O560" s="11">
        <v>2</v>
      </c>
      <c r="P560" s="12">
        <v>63</v>
      </c>
      <c r="Q560" s="13">
        <v>19.402655299999999</v>
      </c>
      <c r="R560" s="13">
        <v>-99.117966600000003</v>
      </c>
      <c r="S560" s="14" t="s">
        <v>176</v>
      </c>
      <c r="T560" s="14"/>
      <c r="U560" s="14"/>
      <c r="V560" s="14"/>
      <c r="W560" s="14"/>
      <c r="X560" s="14"/>
      <c r="Y560" s="14"/>
      <c r="Z560" s="14"/>
      <c r="AA560" s="15"/>
      <c r="AB560" s="16">
        <v>4.1666666666666664E-2</v>
      </c>
    </row>
    <row r="561" spans="1:28" x14ac:dyDescent="0.3">
      <c r="A561" s="6" t="s">
        <v>1638</v>
      </c>
      <c r="B561" s="7" t="s">
        <v>25</v>
      </c>
      <c r="C561" s="34" t="s">
        <v>327</v>
      </c>
      <c r="D561" s="33" t="s">
        <v>1775</v>
      </c>
      <c r="E561" s="6" t="s">
        <v>1072</v>
      </c>
      <c r="F561" s="6" t="s">
        <v>1639</v>
      </c>
      <c r="G561" s="6" t="s">
        <v>164</v>
      </c>
      <c r="H561" s="7">
        <v>2</v>
      </c>
      <c r="I561" s="6" t="s">
        <v>155</v>
      </c>
      <c r="J561" s="6" t="s">
        <v>31</v>
      </c>
      <c r="K561" s="6" t="s">
        <v>32</v>
      </c>
      <c r="L561" s="6" t="s">
        <v>1756</v>
      </c>
      <c r="M561" s="6" t="s">
        <v>33</v>
      </c>
      <c r="N561" s="10">
        <v>22</v>
      </c>
      <c r="O561" s="11">
        <v>6</v>
      </c>
      <c r="P561" s="12">
        <v>162</v>
      </c>
      <c r="Q561" s="13">
        <v>19.27244</v>
      </c>
      <c r="R561" s="13">
        <v>-99.656936999999999</v>
      </c>
      <c r="S561" s="14" t="s">
        <v>190</v>
      </c>
      <c r="T561" s="14"/>
      <c r="U561" s="14"/>
      <c r="V561" s="14"/>
      <c r="W561" s="14"/>
      <c r="X561" s="14"/>
      <c r="Y561" s="14"/>
      <c r="Z561" s="14"/>
      <c r="AA561" s="15"/>
      <c r="AB561" s="16">
        <v>8.3333333333333329E-2</v>
      </c>
    </row>
    <row r="562" spans="1:28" x14ac:dyDescent="0.3">
      <c r="A562" s="6" t="s">
        <v>1640</v>
      </c>
      <c r="B562" s="7" t="s">
        <v>25</v>
      </c>
      <c r="C562" s="34" t="s">
        <v>724</v>
      </c>
      <c r="D562" s="33" t="s">
        <v>1775</v>
      </c>
      <c r="E562" s="6" t="s">
        <v>1372</v>
      </c>
      <c r="F562" s="6" t="s">
        <v>1641</v>
      </c>
      <c r="G562" s="6" t="s">
        <v>164</v>
      </c>
      <c r="H562" s="7">
        <v>2</v>
      </c>
      <c r="I562" s="6" t="s">
        <v>155</v>
      </c>
      <c r="J562" s="6" t="s">
        <v>31</v>
      </c>
      <c r="K562" s="6" t="s">
        <v>32</v>
      </c>
      <c r="L562" s="6" t="s">
        <v>1756</v>
      </c>
      <c r="M562" s="6" t="s">
        <v>33</v>
      </c>
      <c r="N562" s="10">
        <v>33</v>
      </c>
      <c r="O562" s="11">
        <v>8</v>
      </c>
      <c r="P562" s="12">
        <v>118</v>
      </c>
      <c r="Q562" s="13">
        <v>17.976465999999999</v>
      </c>
      <c r="R562" s="13">
        <v>-92.953389999999999</v>
      </c>
      <c r="S562" s="14" t="s">
        <v>176</v>
      </c>
      <c r="T562" s="14"/>
      <c r="U562" s="14"/>
      <c r="V562" s="14"/>
      <c r="W562" s="14"/>
      <c r="X562" s="14"/>
      <c r="Y562" s="14"/>
      <c r="Z562" s="14"/>
      <c r="AA562" s="15"/>
      <c r="AB562" s="16">
        <v>4.1666666666666664E-2</v>
      </c>
    </row>
    <row r="563" spans="1:28" x14ac:dyDescent="0.3">
      <c r="A563" s="6" t="s">
        <v>1642</v>
      </c>
      <c r="B563" s="7" t="s">
        <v>25</v>
      </c>
      <c r="C563" s="34" t="s">
        <v>477</v>
      </c>
      <c r="D563" s="33" t="s">
        <v>1775</v>
      </c>
      <c r="E563" s="6" t="s">
        <v>1551</v>
      </c>
      <c r="F563" s="6" t="s">
        <v>1643</v>
      </c>
      <c r="G563" s="6" t="s">
        <v>941</v>
      </c>
      <c r="H563" s="7">
        <v>2</v>
      </c>
      <c r="I563" s="6" t="s">
        <v>155</v>
      </c>
      <c r="J563" s="6" t="s">
        <v>31</v>
      </c>
      <c r="K563" s="6" t="s">
        <v>32</v>
      </c>
      <c r="L563" s="6" t="s">
        <v>1756</v>
      </c>
      <c r="M563" s="6" t="s">
        <v>33</v>
      </c>
      <c r="N563" s="10">
        <v>25</v>
      </c>
      <c r="O563" s="11">
        <v>4</v>
      </c>
      <c r="P563" s="12">
        <v>110</v>
      </c>
      <c r="Q563" s="13">
        <v>16.9465851</v>
      </c>
      <c r="R563" s="13">
        <v>-96.710920000000002</v>
      </c>
      <c r="S563" s="14" t="s">
        <v>176</v>
      </c>
      <c r="T563" s="14"/>
      <c r="U563" s="14"/>
      <c r="V563" s="14"/>
      <c r="W563" s="14"/>
      <c r="X563" s="14"/>
      <c r="Y563" s="14"/>
      <c r="Z563" s="14"/>
      <c r="AA563" s="15"/>
      <c r="AB563" s="16">
        <v>4.1666666666666664E-2</v>
      </c>
    </row>
    <row r="564" spans="1:28" x14ac:dyDescent="0.3">
      <c r="A564" s="6" t="s">
        <v>1644</v>
      </c>
      <c r="B564" s="7" t="s">
        <v>25</v>
      </c>
      <c r="C564" s="34" t="s">
        <v>535</v>
      </c>
      <c r="D564" s="33" t="s">
        <v>1775</v>
      </c>
      <c r="E564" s="6" t="s">
        <v>1250</v>
      </c>
      <c r="F564" s="6" t="s">
        <v>1645</v>
      </c>
      <c r="G564" s="6" t="s">
        <v>941</v>
      </c>
      <c r="H564" s="7">
        <v>2</v>
      </c>
      <c r="I564" s="6" t="s">
        <v>155</v>
      </c>
      <c r="J564" s="6" t="s">
        <v>31</v>
      </c>
      <c r="K564" s="6" t="s">
        <v>32</v>
      </c>
      <c r="L564" s="6" t="s">
        <v>1756</v>
      </c>
      <c r="M564" s="6" t="s">
        <v>33</v>
      </c>
      <c r="N564" s="10">
        <v>47</v>
      </c>
      <c r="O564" s="11">
        <v>7</v>
      </c>
      <c r="P564" s="12">
        <v>246</v>
      </c>
      <c r="Q564" s="13">
        <v>19.035013200000002</v>
      </c>
      <c r="R564" s="13">
        <v>-98.244393900000006</v>
      </c>
      <c r="S564" s="14" t="s">
        <v>190</v>
      </c>
      <c r="T564" s="14"/>
      <c r="U564" s="14"/>
      <c r="V564" s="14"/>
      <c r="W564" s="14"/>
      <c r="X564" s="14"/>
      <c r="Y564" s="14"/>
      <c r="Z564" s="14"/>
      <c r="AA564" s="15"/>
      <c r="AB564" s="16">
        <v>8.3333333333333329E-2</v>
      </c>
    </row>
    <row r="565" spans="1:28" x14ac:dyDescent="0.3">
      <c r="A565" s="6" t="s">
        <v>1646</v>
      </c>
      <c r="B565" s="7" t="s">
        <v>25</v>
      </c>
      <c r="C565" s="34" t="s">
        <v>440</v>
      </c>
      <c r="D565" s="33" t="s">
        <v>1775</v>
      </c>
      <c r="E565" s="6" t="s">
        <v>1380</v>
      </c>
      <c r="F565" s="6" t="s">
        <v>1647</v>
      </c>
      <c r="G565" s="6" t="s">
        <v>941</v>
      </c>
      <c r="H565" s="7">
        <v>2</v>
      </c>
      <c r="I565" s="6" t="s">
        <v>155</v>
      </c>
      <c r="J565" s="6" t="s">
        <v>31</v>
      </c>
      <c r="K565" s="6" t="s">
        <v>32</v>
      </c>
      <c r="L565" s="6" t="s">
        <v>1756</v>
      </c>
      <c r="M565" s="6" t="s">
        <v>33</v>
      </c>
      <c r="N565" s="10">
        <v>42</v>
      </c>
      <c r="O565" s="11">
        <v>5</v>
      </c>
      <c r="P565" s="12">
        <v>82</v>
      </c>
      <c r="Q565" s="13">
        <v>18.843599999999999</v>
      </c>
      <c r="R565" s="13">
        <v>-99.202200000000005</v>
      </c>
      <c r="S565" s="14" t="s">
        <v>190</v>
      </c>
      <c r="T565" s="14"/>
      <c r="U565" s="14"/>
      <c r="V565" s="14"/>
      <c r="W565" s="14"/>
      <c r="X565" s="14"/>
      <c r="Y565" s="14"/>
      <c r="Z565" s="14"/>
      <c r="AA565" s="15"/>
      <c r="AB565" s="16">
        <v>8.3333333333333329E-2</v>
      </c>
    </row>
    <row r="566" spans="1:28" x14ac:dyDescent="0.3">
      <c r="A566" s="6" t="s">
        <v>1648</v>
      </c>
      <c r="B566" s="7" t="s">
        <v>25</v>
      </c>
      <c r="C566" s="34" t="s">
        <v>327</v>
      </c>
      <c r="D566" s="33" t="s">
        <v>1775</v>
      </c>
      <c r="E566" s="6" t="s">
        <v>1072</v>
      </c>
      <c r="F566" s="6" t="s">
        <v>1649</v>
      </c>
      <c r="G566" s="6" t="s">
        <v>941</v>
      </c>
      <c r="H566" s="7">
        <v>2</v>
      </c>
      <c r="I566" s="6" t="s">
        <v>31</v>
      </c>
      <c r="J566" s="6" t="s">
        <v>31</v>
      </c>
      <c r="K566" s="6" t="s">
        <v>32</v>
      </c>
      <c r="L566" s="6" t="s">
        <v>1755</v>
      </c>
      <c r="M566" s="6" t="s">
        <v>33</v>
      </c>
      <c r="N566" s="10">
        <v>22</v>
      </c>
      <c r="O566" s="11">
        <v>4</v>
      </c>
      <c r="P566" s="12">
        <v>138</v>
      </c>
      <c r="Q566" s="13">
        <v>19.271601799999999</v>
      </c>
      <c r="R566" s="13">
        <v>-99.660760400000001</v>
      </c>
      <c r="S566" s="14" t="s">
        <v>190</v>
      </c>
      <c r="T566" s="14"/>
      <c r="U566" s="14"/>
      <c r="V566" s="14"/>
      <c r="W566" s="14"/>
      <c r="X566" s="14"/>
      <c r="Y566" s="14"/>
      <c r="Z566" s="14"/>
      <c r="AA566" s="15"/>
      <c r="AB566" s="16">
        <v>8.3333333333333329E-2</v>
      </c>
    </row>
    <row r="567" spans="1:28" x14ac:dyDescent="0.3">
      <c r="A567" s="6" t="s">
        <v>1650</v>
      </c>
      <c r="B567" s="7" t="s">
        <v>25</v>
      </c>
      <c r="C567" s="34" t="s">
        <v>225</v>
      </c>
      <c r="D567" s="33" t="s">
        <v>1775</v>
      </c>
      <c r="E567" s="6" t="s">
        <v>921</v>
      </c>
      <c r="F567" s="6" t="s">
        <v>1651</v>
      </c>
      <c r="G567" s="6" t="s">
        <v>164</v>
      </c>
      <c r="H567" s="7">
        <v>2</v>
      </c>
      <c r="I567" s="6" t="s">
        <v>155</v>
      </c>
      <c r="J567" s="6" t="s">
        <v>31</v>
      </c>
      <c r="K567" s="6" t="s">
        <v>32</v>
      </c>
      <c r="L567" s="6" t="s">
        <v>1755</v>
      </c>
      <c r="M567" s="6" t="s">
        <v>33</v>
      </c>
      <c r="N567" s="10">
        <v>9</v>
      </c>
      <c r="O567" s="11">
        <v>4</v>
      </c>
      <c r="P567" s="12">
        <v>58</v>
      </c>
      <c r="Q567" s="13">
        <v>19.539723299999999</v>
      </c>
      <c r="R567" s="13">
        <v>-99.141039800000001</v>
      </c>
      <c r="S567" s="14" t="s">
        <v>176</v>
      </c>
      <c r="T567" s="14"/>
      <c r="U567" s="14"/>
      <c r="V567" s="14"/>
      <c r="W567" s="14"/>
      <c r="X567" s="14"/>
      <c r="Y567" s="14"/>
      <c r="Z567" s="14"/>
      <c r="AA567" s="15"/>
      <c r="AB567" s="16">
        <v>4.1666666666666664E-2</v>
      </c>
    </row>
    <row r="568" spans="1:28" x14ac:dyDescent="0.3">
      <c r="A568" s="6" t="s">
        <v>1652</v>
      </c>
      <c r="B568" s="7" t="s">
        <v>25</v>
      </c>
      <c r="C568" s="34" t="s">
        <v>225</v>
      </c>
      <c r="D568" s="33" t="s">
        <v>1775</v>
      </c>
      <c r="E568" s="6" t="s">
        <v>921</v>
      </c>
      <c r="F568" s="6" t="s">
        <v>1653</v>
      </c>
      <c r="G568" s="6" t="s">
        <v>941</v>
      </c>
      <c r="H568" s="7">
        <v>2</v>
      </c>
      <c r="I568" s="6" t="s">
        <v>155</v>
      </c>
      <c r="J568" s="6" t="s">
        <v>31</v>
      </c>
      <c r="K568" s="6" t="s">
        <v>32</v>
      </c>
      <c r="L568" s="6" t="s">
        <v>1756</v>
      </c>
      <c r="M568" s="6" t="s">
        <v>33</v>
      </c>
      <c r="N568" s="10">
        <v>15</v>
      </c>
      <c r="O568" s="11">
        <v>2</v>
      </c>
      <c r="P568" s="12">
        <v>58</v>
      </c>
      <c r="Q568" s="13">
        <v>19.487081700000001</v>
      </c>
      <c r="R568" s="13">
        <v>-99.114261999999997</v>
      </c>
      <c r="S568" s="14" t="s">
        <v>176</v>
      </c>
      <c r="T568" s="14"/>
      <c r="U568" s="14"/>
      <c r="V568" s="14"/>
      <c r="W568" s="14"/>
      <c r="X568" s="14"/>
      <c r="Y568" s="14"/>
      <c r="Z568" s="14"/>
      <c r="AA568" s="15"/>
      <c r="AB568" s="16">
        <v>4.1666666666666664E-2</v>
      </c>
    </row>
    <row r="569" spans="1:28" x14ac:dyDescent="0.3">
      <c r="A569" s="6" t="s">
        <v>1654</v>
      </c>
      <c r="B569" s="7" t="s">
        <v>25</v>
      </c>
      <c r="C569" s="34" t="s">
        <v>672</v>
      </c>
      <c r="D569" s="33" t="s">
        <v>1775</v>
      </c>
      <c r="E569" s="6" t="s">
        <v>705</v>
      </c>
      <c r="F569" s="6" t="s">
        <v>1655</v>
      </c>
      <c r="G569" s="6" t="s">
        <v>941</v>
      </c>
      <c r="H569" s="7">
        <v>2</v>
      </c>
      <c r="I569" s="6" t="s">
        <v>155</v>
      </c>
      <c r="J569" s="6" t="s">
        <v>31</v>
      </c>
      <c r="K569" s="6" t="s">
        <v>32</v>
      </c>
      <c r="L569" s="6" t="s">
        <v>1756</v>
      </c>
      <c r="M569" s="6" t="s">
        <v>33</v>
      </c>
      <c r="N569" s="10">
        <v>47</v>
      </c>
      <c r="O569" s="11">
        <v>4</v>
      </c>
      <c r="P569" s="12">
        <v>138</v>
      </c>
      <c r="Q569" s="13">
        <v>24.798774999999999</v>
      </c>
      <c r="R569" s="13">
        <v>-107.39942449999999</v>
      </c>
      <c r="S569" s="14" t="s">
        <v>190</v>
      </c>
      <c r="T569" s="14"/>
      <c r="U569" s="14"/>
      <c r="V569" s="14"/>
      <c r="W569" s="14"/>
      <c r="X569" s="14"/>
      <c r="Y569" s="14"/>
      <c r="Z569" s="14"/>
      <c r="AA569" s="15"/>
      <c r="AB569" s="16">
        <v>8.3333333333333329E-2</v>
      </c>
    </row>
    <row r="570" spans="1:28" x14ac:dyDescent="0.3">
      <c r="A570" s="6" t="s">
        <v>1656</v>
      </c>
      <c r="B570" s="7" t="s">
        <v>25</v>
      </c>
      <c r="C570" s="34" t="s">
        <v>225</v>
      </c>
      <c r="D570" s="33" t="s">
        <v>1775</v>
      </c>
      <c r="E570" s="6" t="s">
        <v>915</v>
      </c>
      <c r="F570" s="6" t="s">
        <v>1657</v>
      </c>
      <c r="G570" s="6" t="s">
        <v>164</v>
      </c>
      <c r="H570" s="7">
        <v>2</v>
      </c>
      <c r="I570" s="6" t="s">
        <v>155</v>
      </c>
      <c r="J570" s="6" t="s">
        <v>31</v>
      </c>
      <c r="K570" s="6" t="s">
        <v>32</v>
      </c>
      <c r="L570" s="6" t="s">
        <v>1755</v>
      </c>
      <c r="M570" s="6" t="s">
        <v>33</v>
      </c>
      <c r="N570" s="10">
        <v>9</v>
      </c>
      <c r="O570" s="11">
        <v>2</v>
      </c>
      <c r="P570" s="12">
        <v>56</v>
      </c>
      <c r="Q570" s="13">
        <v>19.2652517</v>
      </c>
      <c r="R570" s="13">
        <v>-98.998098900000002</v>
      </c>
      <c r="S570" s="14" t="s">
        <v>176</v>
      </c>
      <c r="T570" s="14"/>
      <c r="U570" s="14"/>
      <c r="V570" s="14"/>
      <c r="W570" s="14"/>
      <c r="X570" s="14"/>
      <c r="Y570" s="14"/>
      <c r="Z570" s="14"/>
      <c r="AA570" s="15"/>
      <c r="AB570" s="16">
        <v>4.1666666666666664E-2</v>
      </c>
    </row>
    <row r="571" spans="1:28" x14ac:dyDescent="0.3">
      <c r="A571" s="6" t="s">
        <v>1658</v>
      </c>
      <c r="B571" s="7" t="s">
        <v>25</v>
      </c>
      <c r="C571" s="34" t="s">
        <v>225</v>
      </c>
      <c r="D571" s="33" t="s">
        <v>1775</v>
      </c>
      <c r="E571" s="6" t="s">
        <v>1659</v>
      </c>
      <c r="F571" s="6" t="s">
        <v>1660</v>
      </c>
      <c r="G571" s="9" t="s">
        <v>164</v>
      </c>
      <c r="H571" s="7">
        <v>2</v>
      </c>
      <c r="I571" s="6" t="s">
        <v>155</v>
      </c>
      <c r="J571" s="6" t="s">
        <v>31</v>
      </c>
      <c r="K571" s="6" t="s">
        <v>32</v>
      </c>
      <c r="L571" s="6" t="s">
        <v>1755</v>
      </c>
      <c r="M571" s="6" t="s">
        <v>33</v>
      </c>
      <c r="N571" s="10">
        <v>11</v>
      </c>
      <c r="O571" s="11">
        <v>2</v>
      </c>
      <c r="P571" s="12">
        <v>52</v>
      </c>
      <c r="Q571" s="13">
        <v>19.3194005</v>
      </c>
      <c r="R571" s="13">
        <v>-99.239020999999994</v>
      </c>
      <c r="S571" s="14" t="s">
        <v>176</v>
      </c>
      <c r="T571" s="14"/>
      <c r="U571" s="14"/>
      <c r="V571" s="14"/>
      <c r="W571" s="14"/>
      <c r="X571" s="14"/>
      <c r="Y571" s="14"/>
      <c r="Z571" s="14"/>
      <c r="AA571" s="15"/>
      <c r="AB571" s="16">
        <v>4.1666666666666664E-2</v>
      </c>
    </row>
    <row r="572" spans="1:28" x14ac:dyDescent="0.3">
      <c r="A572" s="6" t="s">
        <v>1661</v>
      </c>
      <c r="B572" s="7" t="s">
        <v>25</v>
      </c>
      <c r="C572" s="34" t="s">
        <v>225</v>
      </c>
      <c r="D572" s="33" t="s">
        <v>1775</v>
      </c>
      <c r="E572" s="6" t="s">
        <v>1662</v>
      </c>
      <c r="F572" s="6" t="s">
        <v>1663</v>
      </c>
      <c r="G572" s="6" t="s">
        <v>164</v>
      </c>
      <c r="H572" s="7">
        <v>2</v>
      </c>
      <c r="I572" s="6" t="s">
        <v>155</v>
      </c>
      <c r="J572" s="6" t="s">
        <v>31</v>
      </c>
      <c r="K572" s="6" t="s">
        <v>32</v>
      </c>
      <c r="L572" s="6" t="s">
        <v>1755</v>
      </c>
      <c r="M572" s="6" t="s">
        <v>33</v>
      </c>
      <c r="N572" s="10">
        <v>5</v>
      </c>
      <c r="O572" s="11">
        <v>2</v>
      </c>
      <c r="P572" s="12">
        <v>46</v>
      </c>
      <c r="Q572" s="13">
        <v>19.497986000000001</v>
      </c>
      <c r="R572" s="13">
        <v>-99.203194300000007</v>
      </c>
      <c r="S572" s="14" t="s">
        <v>176</v>
      </c>
      <c r="T572" s="14"/>
      <c r="U572" s="14"/>
      <c r="V572" s="14"/>
      <c r="W572" s="14"/>
      <c r="X572" s="14"/>
      <c r="Y572" s="14"/>
      <c r="Z572" s="14"/>
      <c r="AA572" s="15"/>
      <c r="AB572" s="16">
        <v>4.1666666666666664E-2</v>
      </c>
    </row>
    <row r="573" spans="1:28" x14ac:dyDescent="0.3">
      <c r="A573" s="6" t="s">
        <v>1664</v>
      </c>
      <c r="B573" s="7" t="s">
        <v>25</v>
      </c>
      <c r="C573" s="34" t="s">
        <v>225</v>
      </c>
      <c r="D573" s="33" t="s">
        <v>1775</v>
      </c>
      <c r="E573" s="6" t="s">
        <v>912</v>
      </c>
      <c r="F573" s="6" t="s">
        <v>1665</v>
      </c>
      <c r="G573" s="6" t="s">
        <v>29</v>
      </c>
      <c r="H573" s="7">
        <v>1</v>
      </c>
      <c r="I573" s="6" t="s">
        <v>30</v>
      </c>
      <c r="J573" s="6" t="s">
        <v>31</v>
      </c>
      <c r="K573" s="6" t="s">
        <v>32</v>
      </c>
      <c r="L573" s="6" t="s">
        <v>1755</v>
      </c>
      <c r="M573" s="6" t="s">
        <v>33</v>
      </c>
      <c r="N573" s="10">
        <v>17</v>
      </c>
      <c r="O573" s="11">
        <v>3</v>
      </c>
      <c r="P573" s="12">
        <v>42</v>
      </c>
      <c r="Q573" s="13">
        <v>19.339504099999999</v>
      </c>
      <c r="R573" s="13">
        <v>-98.978461100000004</v>
      </c>
      <c r="S573" s="14" t="s">
        <v>176</v>
      </c>
      <c r="T573" s="14"/>
      <c r="U573" s="14"/>
      <c r="V573" s="14"/>
      <c r="W573" s="14"/>
      <c r="X573" s="14"/>
      <c r="Y573" s="14"/>
      <c r="Z573" s="14"/>
      <c r="AA573" s="15"/>
      <c r="AB573" s="16">
        <v>4.1666666666666664E-2</v>
      </c>
    </row>
    <row r="574" spans="1:28" x14ac:dyDescent="0.3">
      <c r="A574" s="6" t="s">
        <v>1666</v>
      </c>
      <c r="B574" s="7" t="s">
        <v>25</v>
      </c>
      <c r="C574" s="34" t="s">
        <v>225</v>
      </c>
      <c r="D574" s="33" t="s">
        <v>1775</v>
      </c>
      <c r="E574" s="6" t="s">
        <v>1662</v>
      </c>
      <c r="F574" s="6" t="s">
        <v>1667</v>
      </c>
      <c r="G574" s="6" t="s">
        <v>941</v>
      </c>
      <c r="H574" s="7">
        <v>2</v>
      </c>
      <c r="I574" s="6" t="s">
        <v>155</v>
      </c>
      <c r="J574" s="6" t="s">
        <v>31</v>
      </c>
      <c r="K574" s="6" t="s">
        <v>32</v>
      </c>
      <c r="L574" s="6" t="s">
        <v>1756</v>
      </c>
      <c r="M574" s="6" t="s">
        <v>33</v>
      </c>
      <c r="N574" s="10">
        <v>13</v>
      </c>
      <c r="O574" s="11">
        <v>1</v>
      </c>
      <c r="P574" s="12">
        <v>27</v>
      </c>
      <c r="Q574" s="13">
        <v>19.484406799999999</v>
      </c>
      <c r="R574" s="13">
        <v>-99.185474999999997</v>
      </c>
      <c r="S574" s="14" t="s">
        <v>176</v>
      </c>
      <c r="T574" s="14"/>
      <c r="U574" s="14"/>
      <c r="V574" s="14"/>
      <c r="W574" s="14"/>
      <c r="X574" s="14"/>
      <c r="Y574" s="14"/>
      <c r="Z574" s="14"/>
      <c r="AA574" s="15"/>
      <c r="AB574" s="16">
        <v>4.1666666666666664E-2</v>
      </c>
    </row>
    <row r="575" spans="1:28" x14ac:dyDescent="0.3">
      <c r="A575" s="6" t="s">
        <v>1668</v>
      </c>
      <c r="B575" s="7" t="s">
        <v>25</v>
      </c>
      <c r="C575" s="34" t="s">
        <v>225</v>
      </c>
      <c r="D575" s="33" t="s">
        <v>1775</v>
      </c>
      <c r="E575" s="6" t="s">
        <v>625</v>
      </c>
      <c r="F575" s="6" t="s">
        <v>1669</v>
      </c>
      <c r="G575" s="6" t="s">
        <v>111</v>
      </c>
      <c r="H575" s="7">
        <v>1</v>
      </c>
      <c r="I575" s="6" t="s">
        <v>155</v>
      </c>
      <c r="J575" s="6" t="s">
        <v>31</v>
      </c>
      <c r="K575" s="6" t="s">
        <v>32</v>
      </c>
      <c r="L575" s="6" t="s">
        <v>1755</v>
      </c>
      <c r="M575" s="6" t="s">
        <v>33</v>
      </c>
      <c r="N575" s="10">
        <v>9</v>
      </c>
      <c r="O575" s="11">
        <v>0</v>
      </c>
      <c r="P575" s="12">
        <v>17</v>
      </c>
      <c r="Q575" s="13">
        <v>19.480653799999999</v>
      </c>
      <c r="R575" s="13">
        <v>-99.124137099999999</v>
      </c>
      <c r="S575" s="14" t="s">
        <v>176</v>
      </c>
      <c r="T575" s="14"/>
      <c r="U575" s="14"/>
      <c r="V575" s="14"/>
      <c r="W575" s="14"/>
      <c r="X575" s="14"/>
      <c r="Y575" s="14"/>
      <c r="Z575" s="14"/>
      <c r="AA575" s="15"/>
      <c r="AB575" s="16">
        <v>4.1666666666666664E-2</v>
      </c>
    </row>
    <row r="576" spans="1:28" x14ac:dyDescent="0.3">
      <c r="A576" s="6" t="s">
        <v>1672</v>
      </c>
      <c r="B576" s="7" t="s">
        <v>25</v>
      </c>
      <c r="C576" s="34" t="s">
        <v>225</v>
      </c>
      <c r="D576" s="33" t="s">
        <v>1775</v>
      </c>
      <c r="E576" s="6" t="s">
        <v>929</v>
      </c>
      <c r="F576" s="6" t="s">
        <v>1673</v>
      </c>
      <c r="G576" s="6" t="s">
        <v>111</v>
      </c>
      <c r="H576" s="7">
        <v>1</v>
      </c>
      <c r="I576" s="6" t="s">
        <v>155</v>
      </c>
      <c r="J576" s="6" t="s">
        <v>31</v>
      </c>
      <c r="K576" s="6" t="s">
        <v>32</v>
      </c>
      <c r="L576" s="6" t="s">
        <v>1755</v>
      </c>
      <c r="M576" s="6" t="s">
        <v>33</v>
      </c>
      <c r="N576" s="10">
        <v>5</v>
      </c>
      <c r="O576" s="11">
        <v>0</v>
      </c>
      <c r="P576" s="12">
        <v>8</v>
      </c>
      <c r="Q576" s="13">
        <v>19.264199999999999</v>
      </c>
      <c r="R576" s="13">
        <v>-99.114000000000004</v>
      </c>
      <c r="S576" s="14" t="s">
        <v>176</v>
      </c>
      <c r="T576" s="14"/>
      <c r="U576" s="14"/>
      <c r="V576" s="14"/>
      <c r="W576" s="14"/>
      <c r="X576" s="14"/>
      <c r="Y576" s="14"/>
      <c r="Z576" s="14"/>
      <c r="AA576" s="15"/>
      <c r="AB576" s="16">
        <v>4.1666666666666664E-2</v>
      </c>
    </row>
    <row r="577" spans="1:28" x14ac:dyDescent="0.3">
      <c r="A577" s="6" t="s">
        <v>1674</v>
      </c>
      <c r="B577" s="7" t="s">
        <v>25</v>
      </c>
      <c r="C577" s="34" t="s">
        <v>724</v>
      </c>
      <c r="D577" s="33" t="s">
        <v>1775</v>
      </c>
      <c r="E577" s="6" t="s">
        <v>1372</v>
      </c>
      <c r="F577" s="6" t="s">
        <v>1675</v>
      </c>
      <c r="G577" s="6" t="s">
        <v>941</v>
      </c>
      <c r="H577" s="7">
        <v>2</v>
      </c>
      <c r="I577" s="6" t="s">
        <v>155</v>
      </c>
      <c r="J577" s="6" t="s">
        <v>31</v>
      </c>
      <c r="K577" s="6" t="s">
        <v>32</v>
      </c>
      <c r="L577" s="6" t="s">
        <v>1756</v>
      </c>
      <c r="M577" s="6" t="s">
        <v>33</v>
      </c>
      <c r="N577" s="10">
        <v>45</v>
      </c>
      <c r="O577" s="11">
        <v>6</v>
      </c>
      <c r="P577" s="12">
        <v>152</v>
      </c>
      <c r="Q577" s="13">
        <v>17.977150999999999</v>
      </c>
      <c r="R577" s="13">
        <v>-92.952872999999997</v>
      </c>
      <c r="S577" s="14" t="s">
        <v>176</v>
      </c>
      <c r="T577" s="14"/>
      <c r="U577" s="14"/>
      <c r="V577" s="14"/>
      <c r="W577" s="14"/>
      <c r="X577" s="14"/>
      <c r="Y577" s="14"/>
      <c r="Z577" s="14"/>
      <c r="AA577" s="15"/>
      <c r="AB577" s="16">
        <v>4.1666666666666664E-2</v>
      </c>
    </row>
    <row r="578" spans="1:28" x14ac:dyDescent="0.3">
      <c r="A578" s="6" t="s">
        <v>1676</v>
      </c>
      <c r="B578" s="7" t="s">
        <v>25</v>
      </c>
      <c r="C578" s="34" t="s">
        <v>886</v>
      </c>
      <c r="D578" s="33" t="s">
        <v>1775</v>
      </c>
      <c r="E578" s="6" t="s">
        <v>895</v>
      </c>
      <c r="F578" s="6" t="s">
        <v>1677</v>
      </c>
      <c r="G578" s="6" t="s">
        <v>169</v>
      </c>
      <c r="H578" s="7">
        <v>2</v>
      </c>
      <c r="I578" s="6" t="s">
        <v>170</v>
      </c>
      <c r="J578" s="6" t="s">
        <v>31</v>
      </c>
      <c r="K578" s="6" t="s">
        <v>32</v>
      </c>
      <c r="L578" s="6" t="s">
        <v>1755</v>
      </c>
      <c r="M578" s="6" t="s">
        <v>33</v>
      </c>
      <c r="N578" s="10">
        <v>6</v>
      </c>
      <c r="O578" s="11">
        <v>0</v>
      </c>
      <c r="P578" s="12">
        <v>32</v>
      </c>
      <c r="Q578" s="13">
        <v>24.096708</v>
      </c>
      <c r="R578" s="13">
        <v>-110.398409</v>
      </c>
      <c r="S578" s="14" t="s">
        <v>34</v>
      </c>
      <c r="T578" s="14" t="s">
        <v>175</v>
      </c>
      <c r="U578" s="14" t="s">
        <v>213</v>
      </c>
      <c r="V578" s="14" t="s">
        <v>213</v>
      </c>
      <c r="W578" s="14"/>
      <c r="X578" s="14"/>
      <c r="Y578" s="14"/>
      <c r="Z578" s="14"/>
      <c r="AA578" s="15"/>
      <c r="AB578" s="16">
        <v>0.29166666666666663</v>
      </c>
    </row>
    <row r="579" spans="1:28" x14ac:dyDescent="0.3">
      <c r="A579" s="6" t="s">
        <v>1678</v>
      </c>
      <c r="B579" s="7" t="s">
        <v>25</v>
      </c>
      <c r="C579" s="34" t="s">
        <v>187</v>
      </c>
      <c r="D579" s="33" t="s">
        <v>1775</v>
      </c>
      <c r="E579" s="6" t="s">
        <v>187</v>
      </c>
      <c r="F579" s="6" t="s">
        <v>1679</v>
      </c>
      <c r="G579" s="6" t="s">
        <v>169</v>
      </c>
      <c r="H579" s="7">
        <v>2</v>
      </c>
      <c r="I579" s="6" t="s">
        <v>170</v>
      </c>
      <c r="J579" s="6" t="s">
        <v>31</v>
      </c>
      <c r="K579" s="6" t="s">
        <v>32</v>
      </c>
      <c r="L579" s="6" t="s">
        <v>1755</v>
      </c>
      <c r="M579" s="6" t="s">
        <v>84</v>
      </c>
      <c r="N579" s="10">
        <v>11</v>
      </c>
      <c r="O579" s="11">
        <v>0</v>
      </c>
      <c r="P579" s="12">
        <v>28</v>
      </c>
      <c r="Q579" s="13">
        <v>19.913613000000002</v>
      </c>
      <c r="R579" s="13">
        <v>-90.419135999999995</v>
      </c>
      <c r="S579" s="14" t="s">
        <v>190</v>
      </c>
      <c r="T579" s="14"/>
      <c r="U579" s="14"/>
      <c r="V579" s="14"/>
      <c r="W579" s="14"/>
      <c r="X579" s="14"/>
      <c r="Y579" s="14"/>
      <c r="Z579" s="14"/>
      <c r="AA579" s="15"/>
      <c r="AB579" s="16">
        <v>8.3333333333333329E-2</v>
      </c>
    </row>
    <row r="580" spans="1:28" x14ac:dyDescent="0.3">
      <c r="A580" s="21" t="s">
        <v>1680</v>
      </c>
      <c r="B580" s="7" t="s">
        <v>25</v>
      </c>
      <c r="C580" s="34" t="s">
        <v>218</v>
      </c>
      <c r="D580" s="33" t="s">
        <v>1775</v>
      </c>
      <c r="E580" s="6" t="s">
        <v>1681</v>
      </c>
      <c r="F580" s="6" t="s">
        <v>1682</v>
      </c>
      <c r="G580" s="6" t="s">
        <v>169</v>
      </c>
      <c r="H580" s="7">
        <v>2</v>
      </c>
      <c r="I580" s="6" t="s">
        <v>170</v>
      </c>
      <c r="J580" s="6" t="s">
        <v>31</v>
      </c>
      <c r="K580" s="6" t="s">
        <v>32</v>
      </c>
      <c r="L580" s="6" t="s">
        <v>1755</v>
      </c>
      <c r="M580" s="6" t="s">
        <v>33</v>
      </c>
      <c r="N580" s="10">
        <v>13</v>
      </c>
      <c r="O580" s="11">
        <v>0</v>
      </c>
      <c r="P580" s="12">
        <v>120</v>
      </c>
      <c r="Q580" s="13">
        <v>20.197225400000001</v>
      </c>
      <c r="R580" s="13">
        <v>-96.758920000000003</v>
      </c>
      <c r="S580" s="14" t="s">
        <v>176</v>
      </c>
      <c r="T580" s="14"/>
      <c r="U580" s="14"/>
      <c r="V580" s="14"/>
      <c r="W580" s="14"/>
      <c r="X580" s="14"/>
      <c r="Y580" s="14"/>
      <c r="Z580" s="14"/>
      <c r="AA580" s="15"/>
      <c r="AB580" s="16">
        <v>4.1666666666666664E-2</v>
      </c>
    </row>
    <row r="581" spans="1:28" x14ac:dyDescent="0.3">
      <c r="A581" s="6" t="s">
        <v>1683</v>
      </c>
      <c r="B581" s="7" t="s">
        <v>25</v>
      </c>
      <c r="C581" s="34" t="s">
        <v>305</v>
      </c>
      <c r="D581" s="33" t="s">
        <v>1775</v>
      </c>
      <c r="E581" s="6" t="s">
        <v>1684</v>
      </c>
      <c r="F581" s="6" t="s">
        <v>1685</v>
      </c>
      <c r="G581" s="6" t="s">
        <v>111</v>
      </c>
      <c r="H581" s="7">
        <v>1</v>
      </c>
      <c r="I581" s="6" t="s">
        <v>112</v>
      </c>
      <c r="J581" s="6" t="s">
        <v>31</v>
      </c>
      <c r="K581" s="6" t="s">
        <v>32</v>
      </c>
      <c r="L581" s="6" t="s">
        <v>1755</v>
      </c>
      <c r="M581" s="6" t="s">
        <v>33</v>
      </c>
      <c r="N581" s="10">
        <v>14</v>
      </c>
      <c r="O581" s="11">
        <v>7</v>
      </c>
      <c r="P581" s="12">
        <v>52</v>
      </c>
      <c r="Q581" s="13">
        <v>20.5901538</v>
      </c>
      <c r="R581" s="13">
        <v>-98.758901399999999</v>
      </c>
      <c r="S581" s="14" t="s">
        <v>34</v>
      </c>
      <c r="T581" s="14" t="s">
        <v>35</v>
      </c>
      <c r="U581" s="14" t="s">
        <v>35</v>
      </c>
      <c r="V581" s="14" t="s">
        <v>35</v>
      </c>
      <c r="W581" s="14" t="s">
        <v>175</v>
      </c>
      <c r="X581" s="14" t="s">
        <v>36</v>
      </c>
      <c r="Y581" s="14"/>
      <c r="Z581" s="14"/>
      <c r="AA581" s="15"/>
      <c r="AB581" s="16">
        <v>0.70833333333333337</v>
      </c>
    </row>
    <row r="582" spans="1:28" x14ac:dyDescent="0.3">
      <c r="A582" s="6" t="s">
        <v>1686</v>
      </c>
      <c r="B582" s="7" t="s">
        <v>25</v>
      </c>
      <c r="C582" s="34" t="s">
        <v>327</v>
      </c>
      <c r="D582" s="33" t="s">
        <v>1775</v>
      </c>
      <c r="E582" s="6" t="s">
        <v>1034</v>
      </c>
      <c r="F582" s="6" t="s">
        <v>1687</v>
      </c>
      <c r="G582" s="6" t="s">
        <v>169</v>
      </c>
      <c r="H582" s="7">
        <v>2</v>
      </c>
      <c r="I582" s="6" t="s">
        <v>170</v>
      </c>
      <c r="J582" s="6" t="s">
        <v>31</v>
      </c>
      <c r="K582" s="6" t="s">
        <v>32</v>
      </c>
      <c r="L582" s="6" t="s">
        <v>1755</v>
      </c>
      <c r="M582" s="6" t="s">
        <v>33</v>
      </c>
      <c r="N582" s="10">
        <v>15</v>
      </c>
      <c r="O582" s="11">
        <v>0</v>
      </c>
      <c r="P582" s="12">
        <v>237</v>
      </c>
      <c r="Q582" s="13">
        <v>19.611996399999999</v>
      </c>
      <c r="R582" s="13">
        <v>-98.951946899999996</v>
      </c>
      <c r="S582" s="14" t="s">
        <v>190</v>
      </c>
      <c r="T582" s="14"/>
      <c r="U582" s="14"/>
      <c r="V582" s="14"/>
      <c r="W582" s="14"/>
      <c r="X582" s="14"/>
      <c r="Y582" s="14"/>
      <c r="Z582" s="14"/>
      <c r="AA582" s="15"/>
      <c r="AB582" s="16">
        <v>8.3333333333333329E-2</v>
      </c>
    </row>
    <row r="583" spans="1:28" x14ac:dyDescent="0.3">
      <c r="A583" s="6" t="s">
        <v>1688</v>
      </c>
      <c r="B583" s="7" t="s">
        <v>25</v>
      </c>
      <c r="C583" s="34" t="s">
        <v>327</v>
      </c>
      <c r="D583" s="33" t="s">
        <v>1775</v>
      </c>
      <c r="E583" s="6" t="s">
        <v>1034</v>
      </c>
      <c r="F583" s="6" t="s">
        <v>1689</v>
      </c>
      <c r="G583" s="6" t="s">
        <v>169</v>
      </c>
      <c r="H583" s="7">
        <v>2</v>
      </c>
      <c r="I583" s="6" t="s">
        <v>170</v>
      </c>
      <c r="J583" s="6" t="s">
        <v>31</v>
      </c>
      <c r="K583" s="6" t="s">
        <v>32</v>
      </c>
      <c r="L583" s="6" t="s">
        <v>1755</v>
      </c>
      <c r="M583" s="6" t="s">
        <v>33</v>
      </c>
      <c r="N583" s="10">
        <v>17</v>
      </c>
      <c r="O583" s="11">
        <v>0</v>
      </c>
      <c r="P583" s="12">
        <v>213</v>
      </c>
      <c r="Q583" s="13">
        <v>19.611483</v>
      </c>
      <c r="R583" s="13">
        <v>-98.944547999999998</v>
      </c>
      <c r="S583" s="14" t="s">
        <v>190</v>
      </c>
      <c r="T583" s="14"/>
      <c r="U583" s="14"/>
      <c r="V583" s="14"/>
      <c r="W583" s="14"/>
      <c r="X583" s="14"/>
      <c r="Y583" s="14"/>
      <c r="Z583" s="14"/>
      <c r="AA583" s="15"/>
      <c r="AB583" s="16">
        <v>8.3333333333333329E-2</v>
      </c>
    </row>
    <row r="584" spans="1:28" x14ac:dyDescent="0.3">
      <c r="A584" s="6" t="s">
        <v>1690</v>
      </c>
      <c r="B584" s="7" t="s">
        <v>25</v>
      </c>
      <c r="C584" s="34" t="s">
        <v>327</v>
      </c>
      <c r="D584" s="33" t="s">
        <v>1775</v>
      </c>
      <c r="E584" s="6" t="s">
        <v>400</v>
      </c>
      <c r="F584" s="6" t="s">
        <v>1691</v>
      </c>
      <c r="G584" s="6" t="s">
        <v>169</v>
      </c>
      <c r="H584" s="7">
        <v>2</v>
      </c>
      <c r="I584" s="6" t="s">
        <v>170</v>
      </c>
      <c r="J584" s="6" t="s">
        <v>31</v>
      </c>
      <c r="K584" s="6" t="s">
        <v>32</v>
      </c>
      <c r="L584" s="6" t="s">
        <v>1755</v>
      </c>
      <c r="M584" s="6" t="s">
        <v>84</v>
      </c>
      <c r="N584" s="10">
        <v>29</v>
      </c>
      <c r="O584" s="11">
        <v>0</v>
      </c>
      <c r="P584" s="12">
        <v>161</v>
      </c>
      <c r="Q584" s="13">
        <v>19.316490600000002</v>
      </c>
      <c r="R584" s="13">
        <v>-98.854220699999999</v>
      </c>
      <c r="S584" s="14" t="s">
        <v>190</v>
      </c>
      <c r="T584" s="14"/>
      <c r="U584" s="14"/>
      <c r="V584" s="14"/>
      <c r="W584" s="14"/>
      <c r="X584" s="14"/>
      <c r="Y584" s="14"/>
      <c r="Z584" s="14"/>
      <c r="AA584" s="15"/>
      <c r="AB584" s="16">
        <v>8.3333333333333329E-2</v>
      </c>
    </row>
    <row r="585" spans="1:28" x14ac:dyDescent="0.3">
      <c r="A585" s="6" t="s">
        <v>1692</v>
      </c>
      <c r="B585" s="7" t="s">
        <v>25</v>
      </c>
      <c r="C585" s="34" t="s">
        <v>418</v>
      </c>
      <c r="D585" s="33" t="s">
        <v>1775</v>
      </c>
      <c r="E585" s="6" t="s">
        <v>1126</v>
      </c>
      <c r="F585" s="6" t="s">
        <v>1693</v>
      </c>
      <c r="G585" s="6" t="s">
        <v>169</v>
      </c>
      <c r="H585" s="7">
        <v>2</v>
      </c>
      <c r="I585" s="6" t="s">
        <v>170</v>
      </c>
      <c r="J585" s="6" t="s">
        <v>31</v>
      </c>
      <c r="K585" s="6" t="s">
        <v>32</v>
      </c>
      <c r="L585" s="6" t="s">
        <v>1755</v>
      </c>
      <c r="M585" s="6" t="s">
        <v>33</v>
      </c>
      <c r="N585" s="10">
        <v>20</v>
      </c>
      <c r="O585" s="11">
        <v>0</v>
      </c>
      <c r="P585" s="12">
        <v>87</v>
      </c>
      <c r="Q585" s="13">
        <v>19.693043899999999</v>
      </c>
      <c r="R585" s="13">
        <v>-101.1554807</v>
      </c>
      <c r="S585" s="14" t="s">
        <v>190</v>
      </c>
      <c r="T585" s="14"/>
      <c r="U585" s="14"/>
      <c r="V585" s="14"/>
      <c r="W585" s="14"/>
      <c r="X585" s="14"/>
      <c r="Y585" s="14"/>
      <c r="Z585" s="14"/>
      <c r="AA585" s="15"/>
      <c r="AB585" s="16">
        <v>8.3333333333333329E-2</v>
      </c>
    </row>
    <row r="586" spans="1:28" x14ac:dyDescent="0.3">
      <c r="A586" s="6" t="s">
        <v>1694</v>
      </c>
      <c r="B586" s="7" t="s">
        <v>25</v>
      </c>
      <c r="C586" s="34" t="s">
        <v>477</v>
      </c>
      <c r="D586" s="33" t="s">
        <v>1775</v>
      </c>
      <c r="E586" s="6" t="s">
        <v>1551</v>
      </c>
      <c r="F586" s="6" t="s">
        <v>1695</v>
      </c>
      <c r="G586" s="6" t="s">
        <v>169</v>
      </c>
      <c r="H586" s="7">
        <v>2</v>
      </c>
      <c r="I586" s="6" t="s">
        <v>170</v>
      </c>
      <c r="J586" s="6" t="s">
        <v>31</v>
      </c>
      <c r="K586" s="6" t="s">
        <v>32</v>
      </c>
      <c r="L586" s="6" t="s">
        <v>1755</v>
      </c>
      <c r="M586" s="6" t="s">
        <v>33</v>
      </c>
      <c r="N586" s="10">
        <v>13</v>
      </c>
      <c r="O586" s="11">
        <v>0</v>
      </c>
      <c r="P586" s="12">
        <v>120</v>
      </c>
      <c r="Q586" s="13">
        <v>16.912682</v>
      </c>
      <c r="R586" s="13">
        <v>-96.720197999999996</v>
      </c>
      <c r="S586" s="14" t="s">
        <v>190</v>
      </c>
      <c r="T586" s="14"/>
      <c r="U586" s="14"/>
      <c r="V586" s="14"/>
      <c r="W586" s="14"/>
      <c r="X586" s="14"/>
      <c r="Y586" s="14"/>
      <c r="Z586" s="14"/>
      <c r="AA586" s="15"/>
      <c r="AB586" s="16">
        <v>8.3333333333333329E-2</v>
      </c>
    </row>
    <row r="587" spans="1:28" x14ac:dyDescent="0.3">
      <c r="A587" s="6" t="s">
        <v>1696</v>
      </c>
      <c r="B587" s="7" t="s">
        <v>25</v>
      </c>
      <c r="C587" s="34" t="s">
        <v>535</v>
      </c>
      <c r="D587" s="33" t="s">
        <v>1775</v>
      </c>
      <c r="E587" s="6" t="s">
        <v>535</v>
      </c>
      <c r="F587" s="6" t="s">
        <v>1697</v>
      </c>
      <c r="G587" s="6" t="s">
        <v>169</v>
      </c>
      <c r="H587" s="7">
        <v>2</v>
      </c>
      <c r="I587" s="6" t="s">
        <v>170</v>
      </c>
      <c r="J587" s="6" t="s">
        <v>31</v>
      </c>
      <c r="K587" s="6" t="s">
        <v>32</v>
      </c>
      <c r="L587" s="6" t="s">
        <v>1755</v>
      </c>
      <c r="M587" s="6" t="s">
        <v>33</v>
      </c>
      <c r="N587" s="10">
        <v>19</v>
      </c>
      <c r="O587" s="11">
        <v>0</v>
      </c>
      <c r="P587" s="12">
        <v>256</v>
      </c>
      <c r="Q587" s="13">
        <v>18.988149100000001</v>
      </c>
      <c r="R587" s="13">
        <v>-98.182584800000001</v>
      </c>
      <c r="S587" s="14" t="s">
        <v>190</v>
      </c>
      <c r="T587" s="14"/>
      <c r="U587" s="14"/>
      <c r="V587" s="14"/>
      <c r="W587" s="14"/>
      <c r="X587" s="14"/>
      <c r="Y587" s="14"/>
      <c r="Z587" s="14"/>
      <c r="AA587" s="15"/>
      <c r="AB587" s="16">
        <v>8.3333333333333329E-2</v>
      </c>
    </row>
    <row r="588" spans="1:28" x14ac:dyDescent="0.3">
      <c r="A588" s="6" t="s">
        <v>1698</v>
      </c>
      <c r="B588" s="7" t="s">
        <v>25</v>
      </c>
      <c r="C588" s="34" t="s">
        <v>647</v>
      </c>
      <c r="D588" s="33" t="s">
        <v>1775</v>
      </c>
      <c r="E588" s="6" t="s">
        <v>1316</v>
      </c>
      <c r="F588" s="6" t="s">
        <v>1699</v>
      </c>
      <c r="G588" s="6" t="s">
        <v>169</v>
      </c>
      <c r="H588" s="7">
        <v>2</v>
      </c>
      <c r="I588" s="6" t="s">
        <v>170</v>
      </c>
      <c r="J588" s="6" t="s">
        <v>31</v>
      </c>
      <c r="K588" s="6" t="s">
        <v>32</v>
      </c>
      <c r="L588" s="6" t="s">
        <v>1755</v>
      </c>
      <c r="M588" s="6" t="s">
        <v>33</v>
      </c>
      <c r="N588" s="10">
        <v>20</v>
      </c>
      <c r="O588" s="11">
        <v>0</v>
      </c>
      <c r="P588" s="12">
        <v>92</v>
      </c>
      <c r="Q588" s="13">
        <v>22.209494899999999</v>
      </c>
      <c r="R588" s="13">
        <v>-100.9015162</v>
      </c>
      <c r="S588" s="14" t="s">
        <v>190</v>
      </c>
      <c r="T588" s="14"/>
      <c r="U588" s="14"/>
      <c r="V588" s="14"/>
      <c r="W588" s="14"/>
      <c r="X588" s="14"/>
      <c r="Y588" s="14"/>
      <c r="Z588" s="14"/>
      <c r="AA588" s="15"/>
      <c r="AB588" s="16">
        <v>8.3333333333333329E-2</v>
      </c>
    </row>
    <row r="589" spans="1:28" x14ac:dyDescent="0.3">
      <c r="A589" s="6" t="s">
        <v>1700</v>
      </c>
      <c r="B589" s="7" t="s">
        <v>25</v>
      </c>
      <c r="C589" s="34" t="s">
        <v>672</v>
      </c>
      <c r="D589" s="33" t="s">
        <v>1775</v>
      </c>
      <c r="E589" s="6" t="s">
        <v>705</v>
      </c>
      <c r="F589" s="6" t="s">
        <v>170</v>
      </c>
      <c r="G589" s="6" t="s">
        <v>169</v>
      </c>
      <c r="H589" s="7">
        <v>2</v>
      </c>
      <c r="I589" s="6" t="s">
        <v>170</v>
      </c>
      <c r="J589" s="6" t="s">
        <v>31</v>
      </c>
      <c r="K589" s="6" t="s">
        <v>32</v>
      </c>
      <c r="L589" s="6" t="s">
        <v>1755</v>
      </c>
      <c r="M589" s="6" t="s">
        <v>33</v>
      </c>
      <c r="N589" s="10">
        <v>16</v>
      </c>
      <c r="O589" s="11">
        <v>0</v>
      </c>
      <c r="P589" s="12">
        <v>58</v>
      </c>
      <c r="Q589" s="13">
        <v>24.8168142</v>
      </c>
      <c r="R589" s="13">
        <v>-107.4280536</v>
      </c>
      <c r="S589" s="14" t="s">
        <v>190</v>
      </c>
      <c r="T589" s="14"/>
      <c r="U589" s="14"/>
      <c r="V589" s="14"/>
      <c r="W589" s="14"/>
      <c r="X589" s="14"/>
      <c r="Y589" s="14"/>
      <c r="Z589" s="14"/>
      <c r="AA589" s="15"/>
      <c r="AB589" s="16">
        <v>8.3333333333333329E-2</v>
      </c>
    </row>
    <row r="590" spans="1:28" x14ac:dyDescent="0.3">
      <c r="A590" s="6" t="s">
        <v>1701</v>
      </c>
      <c r="B590" s="7" t="s">
        <v>25</v>
      </c>
      <c r="C590" s="34" t="s">
        <v>954</v>
      </c>
      <c r="D590" s="33" t="s">
        <v>1775</v>
      </c>
      <c r="E590" s="6" t="s">
        <v>1350</v>
      </c>
      <c r="F590" s="6" t="s">
        <v>1702</v>
      </c>
      <c r="G590" s="6" t="s">
        <v>169</v>
      </c>
      <c r="H590" s="7">
        <v>2</v>
      </c>
      <c r="I590" s="6" t="s">
        <v>170</v>
      </c>
      <c r="J590" s="6" t="s">
        <v>31</v>
      </c>
      <c r="K590" s="6" t="s">
        <v>32</v>
      </c>
      <c r="L590" s="6" t="s">
        <v>1755</v>
      </c>
      <c r="M590" s="6" t="s">
        <v>33</v>
      </c>
      <c r="N590" s="10">
        <v>12</v>
      </c>
      <c r="O590" s="11">
        <v>0</v>
      </c>
      <c r="P590" s="12">
        <v>87</v>
      </c>
      <c r="Q590" s="13">
        <v>29.0813168</v>
      </c>
      <c r="R590" s="13">
        <v>-111.0050473</v>
      </c>
      <c r="S590" s="14" t="s">
        <v>34</v>
      </c>
      <c r="T590" s="14" t="s">
        <v>175</v>
      </c>
      <c r="U590" s="14" t="s">
        <v>213</v>
      </c>
      <c r="V590" s="14" t="s">
        <v>213</v>
      </c>
      <c r="W590" s="14"/>
      <c r="X590" s="14"/>
      <c r="Y590" s="14"/>
      <c r="Z590" s="14"/>
      <c r="AA590" s="15"/>
      <c r="AB590" s="16">
        <v>0.29166666666666663</v>
      </c>
    </row>
    <row r="591" spans="1:28" x14ac:dyDescent="0.3">
      <c r="A591" s="6" t="s">
        <v>1703</v>
      </c>
      <c r="B591" s="7" t="s">
        <v>25</v>
      </c>
      <c r="C591" s="34" t="s">
        <v>954</v>
      </c>
      <c r="D591" s="33" t="s">
        <v>1775</v>
      </c>
      <c r="E591" s="6" t="s">
        <v>1350</v>
      </c>
      <c r="F591" s="6" t="s">
        <v>1704</v>
      </c>
      <c r="G591" s="6" t="s">
        <v>169</v>
      </c>
      <c r="H591" s="7">
        <v>2</v>
      </c>
      <c r="I591" s="6" t="s">
        <v>170</v>
      </c>
      <c r="J591" s="6" t="s">
        <v>31</v>
      </c>
      <c r="K591" s="6" t="s">
        <v>32</v>
      </c>
      <c r="L591" s="6" t="s">
        <v>1755</v>
      </c>
      <c r="M591" s="6" t="s">
        <v>33</v>
      </c>
      <c r="N591" s="10">
        <v>24</v>
      </c>
      <c r="O591" s="11">
        <v>0</v>
      </c>
      <c r="P591" s="12">
        <v>0</v>
      </c>
      <c r="Q591" s="13">
        <v>29.071741599999999</v>
      </c>
      <c r="R591" s="13">
        <v>-110.955854</v>
      </c>
      <c r="S591" s="14" t="s">
        <v>34</v>
      </c>
      <c r="T591" s="14" t="s">
        <v>175</v>
      </c>
      <c r="U591" s="14" t="s">
        <v>213</v>
      </c>
      <c r="V591" s="14" t="s">
        <v>213</v>
      </c>
      <c r="W591" s="14"/>
      <c r="X591" s="14"/>
      <c r="Y591" s="14"/>
      <c r="Z591" s="14"/>
      <c r="AA591" s="15"/>
      <c r="AB591" s="16">
        <v>0.29166666666666663</v>
      </c>
    </row>
    <row r="592" spans="1:28" x14ac:dyDescent="0.3">
      <c r="A592" s="6" t="s">
        <v>1705</v>
      </c>
      <c r="B592" s="7" t="s">
        <v>25</v>
      </c>
      <c r="C592" s="34" t="s">
        <v>724</v>
      </c>
      <c r="D592" s="33" t="s">
        <v>1775</v>
      </c>
      <c r="E592" s="6" t="s">
        <v>1372</v>
      </c>
      <c r="F592" s="6" t="s">
        <v>1706</v>
      </c>
      <c r="G592" s="6" t="s">
        <v>169</v>
      </c>
      <c r="H592" s="7">
        <v>2</v>
      </c>
      <c r="I592" s="6" t="s">
        <v>170</v>
      </c>
      <c r="J592" s="6" t="s">
        <v>31</v>
      </c>
      <c r="K592" s="6" t="s">
        <v>32</v>
      </c>
      <c r="L592" s="6" t="s">
        <v>1756</v>
      </c>
      <c r="M592" s="6" t="s">
        <v>33</v>
      </c>
      <c r="N592" s="10">
        <v>13</v>
      </c>
      <c r="O592" s="11">
        <v>0</v>
      </c>
      <c r="P592" s="12">
        <v>83</v>
      </c>
      <c r="Q592" s="13">
        <v>18.014170700000001</v>
      </c>
      <c r="R592" s="13">
        <v>-92.920878999999999</v>
      </c>
      <c r="S592" s="14" t="s">
        <v>176</v>
      </c>
      <c r="T592" s="14"/>
      <c r="U592" s="14"/>
      <c r="V592" s="14"/>
      <c r="W592" s="14"/>
      <c r="X592" s="14"/>
      <c r="Y592" s="14"/>
      <c r="Z592" s="14"/>
      <c r="AA592" s="15"/>
      <c r="AB592" s="16">
        <v>4.1666666666666664E-2</v>
      </c>
    </row>
    <row r="593" spans="1:28" x14ac:dyDescent="0.3">
      <c r="A593" s="6" t="s">
        <v>1707</v>
      </c>
      <c r="B593" s="7" t="s">
        <v>25</v>
      </c>
      <c r="C593" s="34" t="s">
        <v>159</v>
      </c>
      <c r="D593" s="33" t="s">
        <v>1775</v>
      </c>
      <c r="E593" s="6" t="s">
        <v>1423</v>
      </c>
      <c r="F593" s="6" t="s">
        <v>1708</v>
      </c>
      <c r="G593" s="6" t="s">
        <v>169</v>
      </c>
      <c r="H593" s="7">
        <v>2</v>
      </c>
      <c r="I593" s="6" t="s">
        <v>170</v>
      </c>
      <c r="J593" s="6" t="s">
        <v>31</v>
      </c>
      <c r="K593" s="6" t="s">
        <v>32</v>
      </c>
      <c r="L593" s="6" t="s">
        <v>1755</v>
      </c>
      <c r="M593" s="6" t="s">
        <v>33</v>
      </c>
      <c r="N593" s="10">
        <v>11</v>
      </c>
      <c r="O593" s="11">
        <v>0</v>
      </c>
      <c r="P593" s="12">
        <v>52</v>
      </c>
      <c r="Q593" s="13">
        <v>22.252884999999999</v>
      </c>
      <c r="R593" s="13">
        <v>-97.858569000000003</v>
      </c>
      <c r="S593" s="14" t="s">
        <v>190</v>
      </c>
      <c r="T593" s="14"/>
      <c r="U593" s="14"/>
      <c r="V593" s="14"/>
      <c r="W593" s="14"/>
      <c r="X593" s="14"/>
      <c r="Y593" s="14"/>
      <c r="Z593" s="14"/>
      <c r="AA593" s="15"/>
      <c r="AB593" s="16">
        <v>8.3333333333333329E-2</v>
      </c>
    </row>
    <row r="594" spans="1:28" x14ac:dyDescent="0.3">
      <c r="A594" s="6" t="s">
        <v>1709</v>
      </c>
      <c r="B594" s="7" t="s">
        <v>25</v>
      </c>
      <c r="C594" s="34" t="s">
        <v>218</v>
      </c>
      <c r="D594" s="33" t="s">
        <v>1775</v>
      </c>
      <c r="E594" s="6" t="s">
        <v>1468</v>
      </c>
      <c r="F594" s="6" t="s">
        <v>1710</v>
      </c>
      <c r="G594" s="6" t="s">
        <v>169</v>
      </c>
      <c r="H594" s="7">
        <v>2</v>
      </c>
      <c r="I594" s="6" t="s">
        <v>170</v>
      </c>
      <c r="J594" s="6" t="s">
        <v>31</v>
      </c>
      <c r="K594" s="6" t="s">
        <v>32</v>
      </c>
      <c r="L594" s="6" t="s">
        <v>1755</v>
      </c>
      <c r="M594" s="6" t="s">
        <v>33</v>
      </c>
      <c r="N594" s="10">
        <v>17</v>
      </c>
      <c r="O594" s="11">
        <v>0</v>
      </c>
      <c r="P594" s="12">
        <v>71</v>
      </c>
      <c r="Q594" s="13">
        <v>19.545672700000001</v>
      </c>
      <c r="R594" s="13">
        <v>-96.923429200000001</v>
      </c>
      <c r="S594" s="14" t="s">
        <v>176</v>
      </c>
      <c r="T594" s="14"/>
      <c r="U594" s="14"/>
      <c r="V594" s="14"/>
      <c r="W594" s="14"/>
      <c r="X594" s="14"/>
      <c r="Y594" s="14"/>
      <c r="Z594" s="14"/>
      <c r="AA594" s="15"/>
      <c r="AB594" s="16">
        <v>4.1666666666666664E-2</v>
      </c>
    </row>
    <row r="595" spans="1:28" x14ac:dyDescent="0.3">
      <c r="A595" s="19" t="s">
        <v>1711</v>
      </c>
      <c r="B595" s="7" t="s">
        <v>210</v>
      </c>
      <c r="C595" s="34" t="s">
        <v>149</v>
      </c>
      <c r="D595" s="33" t="s">
        <v>1775</v>
      </c>
      <c r="E595" s="6" t="s">
        <v>1609</v>
      </c>
      <c r="F595" s="6" t="s">
        <v>1712</v>
      </c>
      <c r="G595" s="6" t="s">
        <v>169</v>
      </c>
      <c r="H595" s="7">
        <v>2</v>
      </c>
      <c r="I595" s="6" t="s">
        <v>170</v>
      </c>
      <c r="J595" s="6" t="s">
        <v>31</v>
      </c>
      <c r="K595" s="6" t="s">
        <v>32</v>
      </c>
      <c r="L595" s="6" t="s">
        <v>1755</v>
      </c>
      <c r="M595" s="6" t="s">
        <v>33</v>
      </c>
      <c r="N595" s="10">
        <v>33</v>
      </c>
      <c r="O595" s="11">
        <v>0</v>
      </c>
      <c r="P595" s="12">
        <v>134</v>
      </c>
      <c r="Q595" s="20">
        <v>20.973250700000001</v>
      </c>
      <c r="R595" s="20">
        <v>-89.656283799999997</v>
      </c>
      <c r="S595" s="14" t="s">
        <v>34</v>
      </c>
      <c r="T595" s="14" t="s">
        <v>175</v>
      </c>
      <c r="U595" s="14" t="s">
        <v>213</v>
      </c>
      <c r="V595" s="14" t="s">
        <v>213</v>
      </c>
      <c r="W595" s="14"/>
      <c r="X595" s="14"/>
      <c r="Y595" s="14"/>
      <c r="Z595" s="14"/>
      <c r="AA595" s="15"/>
      <c r="AB595" s="16">
        <v>0.29166666666666663</v>
      </c>
    </row>
    <row r="596" spans="1:28" x14ac:dyDescent="0.3">
      <c r="A596" s="6" t="s">
        <v>1713</v>
      </c>
      <c r="B596" s="7" t="s">
        <v>25</v>
      </c>
      <c r="C596" s="34" t="s">
        <v>837</v>
      </c>
      <c r="D596" s="33" t="s">
        <v>1775</v>
      </c>
      <c r="E596" s="6" t="s">
        <v>861</v>
      </c>
      <c r="F596" s="6" t="s">
        <v>1714</v>
      </c>
      <c r="G596" s="6" t="s">
        <v>169</v>
      </c>
      <c r="H596" s="7">
        <v>2</v>
      </c>
      <c r="I596" s="6" t="s">
        <v>170</v>
      </c>
      <c r="J596" s="6" t="s">
        <v>31</v>
      </c>
      <c r="K596" s="6" t="s">
        <v>32</v>
      </c>
      <c r="L596" s="6" t="s">
        <v>1755</v>
      </c>
      <c r="M596" s="6" t="s">
        <v>33</v>
      </c>
      <c r="N596" s="10">
        <v>8</v>
      </c>
      <c r="O596" s="11">
        <v>0</v>
      </c>
      <c r="P596" s="12">
        <v>38</v>
      </c>
      <c r="Q596" s="13">
        <v>22.930294</v>
      </c>
      <c r="R596" s="13">
        <v>-102.684899</v>
      </c>
      <c r="S596" s="14" t="s">
        <v>190</v>
      </c>
      <c r="T596" s="14"/>
      <c r="U596" s="14"/>
      <c r="V596" s="14"/>
      <c r="W596" s="14"/>
      <c r="X596" s="14"/>
      <c r="Y596" s="14"/>
      <c r="Z596" s="14"/>
      <c r="AA596" s="15"/>
      <c r="AB596" s="16">
        <v>8.3333333333333329E-2</v>
      </c>
    </row>
    <row r="597" spans="1:28" ht="52.8" x14ac:dyDescent="0.3">
      <c r="A597" s="6" t="s">
        <v>1759</v>
      </c>
      <c r="B597" s="7" t="s">
        <v>25</v>
      </c>
      <c r="C597" s="34" t="s">
        <v>1716</v>
      </c>
      <c r="D597" s="33" t="s">
        <v>1775</v>
      </c>
      <c r="E597" s="6" t="s">
        <v>1752</v>
      </c>
      <c r="F597" s="22" t="s">
        <v>1753</v>
      </c>
      <c r="G597" s="6"/>
      <c r="H597" s="7"/>
      <c r="I597" s="6"/>
      <c r="J597" s="6"/>
      <c r="K597" s="6"/>
      <c r="L597" s="6"/>
      <c r="M597" s="6"/>
      <c r="N597" s="10"/>
      <c r="O597" s="11"/>
      <c r="P597" s="12"/>
      <c r="Q597" s="13"/>
      <c r="R597" s="13"/>
      <c r="S597" s="14"/>
      <c r="T597" s="14"/>
      <c r="U597" s="14" t="s">
        <v>35</v>
      </c>
      <c r="V597" s="14" t="s">
        <v>35</v>
      </c>
      <c r="W597" s="14" t="s">
        <v>175</v>
      </c>
      <c r="X597" s="14" t="s">
        <v>36</v>
      </c>
      <c r="Y597" s="14"/>
      <c r="Z597" s="14"/>
      <c r="AA597" s="15"/>
      <c r="AB597" s="16">
        <v>0.45833333333333331</v>
      </c>
    </row>
    <row r="598" spans="1:28" x14ac:dyDescent="0.3">
      <c r="A598" s="6" t="s">
        <v>1715</v>
      </c>
      <c r="B598" s="7" t="s">
        <v>25</v>
      </c>
      <c r="C598" s="34" t="s">
        <v>1716</v>
      </c>
      <c r="D598" s="34" t="s">
        <v>1771</v>
      </c>
      <c r="E598" s="6" t="s">
        <v>1717</v>
      </c>
      <c r="F598" s="6" t="s">
        <v>1718</v>
      </c>
      <c r="G598" s="6" t="s">
        <v>154</v>
      </c>
      <c r="H598" s="7">
        <v>1</v>
      </c>
      <c r="I598" s="6" t="s">
        <v>155</v>
      </c>
      <c r="J598" s="6" t="s">
        <v>31</v>
      </c>
      <c r="K598" s="6" t="s">
        <v>32</v>
      </c>
      <c r="L598" s="6" t="s">
        <v>1756</v>
      </c>
      <c r="M598" s="6" t="s">
        <v>33</v>
      </c>
      <c r="N598" s="10">
        <v>33</v>
      </c>
      <c r="O598" s="11">
        <v>10</v>
      </c>
      <c r="P598" s="12">
        <v>247</v>
      </c>
      <c r="Q598" s="13">
        <v>21.0613651</v>
      </c>
      <c r="R598" s="13">
        <v>-101.5767015</v>
      </c>
      <c r="S598" s="14"/>
      <c r="T598" s="14"/>
      <c r="U598" s="14"/>
      <c r="V598" s="14"/>
      <c r="W598" s="14"/>
      <c r="X598" s="14"/>
      <c r="Y598" s="14"/>
      <c r="Z598" s="14"/>
      <c r="AA598" s="15"/>
      <c r="AB598" s="16">
        <v>0</v>
      </c>
    </row>
    <row r="599" spans="1:28" x14ac:dyDescent="0.3">
      <c r="A599" s="23" t="s">
        <v>1719</v>
      </c>
      <c r="B599" s="24" t="s">
        <v>25</v>
      </c>
      <c r="C599" s="35" t="s">
        <v>187</v>
      </c>
      <c r="D599" s="33" t="s">
        <v>1775</v>
      </c>
      <c r="E599" s="23" t="s">
        <v>187</v>
      </c>
      <c r="F599" s="23" t="s">
        <v>1720</v>
      </c>
      <c r="G599" s="23" t="s">
        <v>1721</v>
      </c>
      <c r="H599" s="24">
        <v>3</v>
      </c>
      <c r="I599" s="23" t="s">
        <v>1722</v>
      </c>
      <c r="J599" s="23" t="s">
        <v>1723</v>
      </c>
      <c r="K599" s="23" t="s">
        <v>32</v>
      </c>
      <c r="L599" s="23" t="s">
        <v>1755</v>
      </c>
      <c r="M599" s="23" t="s">
        <v>33</v>
      </c>
      <c r="N599" s="24">
        <v>12</v>
      </c>
      <c r="O599" s="24">
        <v>0</v>
      </c>
      <c r="P599" s="24">
        <v>14</v>
      </c>
      <c r="Q599" s="25">
        <v>19.817001999999999</v>
      </c>
      <c r="R599" s="25">
        <v>-90.525126999999998</v>
      </c>
      <c r="S599" s="14" t="s">
        <v>190</v>
      </c>
      <c r="T599" s="14"/>
      <c r="U599" s="14"/>
      <c r="V599" s="14"/>
      <c r="W599" s="14"/>
      <c r="X599" s="14"/>
      <c r="Y599" s="14"/>
      <c r="Z599" s="14"/>
      <c r="AA599" s="15"/>
      <c r="AB599" s="16">
        <v>8.3333333333333329E-2</v>
      </c>
    </row>
    <row r="600" spans="1:28" x14ac:dyDescent="0.3">
      <c r="A600" s="23" t="s">
        <v>1724</v>
      </c>
      <c r="B600" s="24" t="s">
        <v>25</v>
      </c>
      <c r="C600" s="35" t="s">
        <v>477</v>
      </c>
      <c r="D600" s="33" t="s">
        <v>1775</v>
      </c>
      <c r="E600" s="23" t="s">
        <v>1201</v>
      </c>
      <c r="F600" s="23" t="s">
        <v>1725</v>
      </c>
      <c r="G600" s="23" t="s">
        <v>1721</v>
      </c>
      <c r="H600" s="24">
        <v>3</v>
      </c>
      <c r="I600" s="23" t="s">
        <v>1722</v>
      </c>
      <c r="J600" s="23" t="s">
        <v>1723</v>
      </c>
      <c r="K600" s="23" t="s">
        <v>32</v>
      </c>
      <c r="L600" s="23" t="s">
        <v>1755</v>
      </c>
      <c r="M600" s="23" t="s">
        <v>33</v>
      </c>
      <c r="N600" s="24">
        <v>2</v>
      </c>
      <c r="O600" s="24">
        <v>0</v>
      </c>
      <c r="P600" s="24">
        <v>4</v>
      </c>
      <c r="Q600" s="25">
        <v>17.0745</v>
      </c>
      <c r="R600" s="25">
        <v>-96.726100000000002</v>
      </c>
      <c r="S600" s="14" t="s">
        <v>190</v>
      </c>
      <c r="T600" s="14"/>
      <c r="U600" s="14"/>
      <c r="V600" s="14"/>
      <c r="W600" s="14"/>
      <c r="X600" s="14"/>
      <c r="Y600" s="14"/>
      <c r="Z600" s="14"/>
      <c r="AA600" s="15"/>
      <c r="AB600" s="16">
        <v>8.3333333333333329E-2</v>
      </c>
    </row>
    <row r="601" spans="1:28" x14ac:dyDescent="0.3">
      <c r="A601" s="23" t="s">
        <v>1726</v>
      </c>
      <c r="B601" s="24" t="s">
        <v>25</v>
      </c>
      <c r="C601" s="35" t="s">
        <v>535</v>
      </c>
      <c r="D601" s="33" t="s">
        <v>1775</v>
      </c>
      <c r="E601" s="23" t="s">
        <v>535</v>
      </c>
      <c r="F601" s="23" t="s">
        <v>1727</v>
      </c>
      <c r="G601" s="23" t="s">
        <v>1721</v>
      </c>
      <c r="H601" s="24">
        <v>3</v>
      </c>
      <c r="I601" s="23" t="s">
        <v>1722</v>
      </c>
      <c r="J601" s="23" t="s">
        <v>1723</v>
      </c>
      <c r="K601" s="23" t="s">
        <v>32</v>
      </c>
      <c r="L601" s="23" t="s">
        <v>1755</v>
      </c>
      <c r="M601" s="23" t="s">
        <v>33</v>
      </c>
      <c r="N601" s="24">
        <v>9</v>
      </c>
      <c r="O601" s="24">
        <v>1</v>
      </c>
      <c r="P601" s="24">
        <v>3</v>
      </c>
      <c r="Q601" s="25">
        <v>18.985352299999999</v>
      </c>
      <c r="R601" s="25">
        <v>-98.241913999999994</v>
      </c>
      <c r="S601" s="14" t="s">
        <v>190</v>
      </c>
      <c r="T601" s="14"/>
      <c r="U601" s="14"/>
      <c r="V601" s="14"/>
      <c r="W601" s="14"/>
      <c r="X601" s="14"/>
      <c r="Y601" s="14"/>
      <c r="Z601" s="14"/>
      <c r="AA601" s="15"/>
      <c r="AB601" s="16">
        <v>8.3333333333333329E-2</v>
      </c>
    </row>
    <row r="602" spans="1:28" x14ac:dyDescent="0.3">
      <c r="A602" s="6" t="s">
        <v>1728</v>
      </c>
      <c r="B602" s="7" t="s">
        <v>25</v>
      </c>
      <c r="C602" s="34" t="s">
        <v>886</v>
      </c>
      <c r="D602" s="33" t="s">
        <v>1775</v>
      </c>
      <c r="E602" s="6" t="s">
        <v>895</v>
      </c>
      <c r="F602" s="6" t="s">
        <v>1729</v>
      </c>
      <c r="G602" s="6" t="s">
        <v>180</v>
      </c>
      <c r="H602" s="7">
        <v>3</v>
      </c>
      <c r="I602" s="6" t="s">
        <v>181</v>
      </c>
      <c r="J602" s="6" t="s">
        <v>182</v>
      </c>
      <c r="K602" s="6" t="s">
        <v>32</v>
      </c>
      <c r="L602" s="6" t="s">
        <v>1755</v>
      </c>
      <c r="M602" s="6" t="s">
        <v>33</v>
      </c>
      <c r="N602" s="7">
        <v>8</v>
      </c>
      <c r="O602" s="7">
        <v>1</v>
      </c>
      <c r="P602" s="7">
        <v>6</v>
      </c>
      <c r="Q602" s="13">
        <v>24.110720000000001</v>
      </c>
      <c r="R602" s="13">
        <v>-110.31905</v>
      </c>
      <c r="S602" s="14" t="s">
        <v>34</v>
      </c>
      <c r="T602" s="14" t="s">
        <v>175</v>
      </c>
      <c r="U602" s="14" t="s">
        <v>213</v>
      </c>
      <c r="V602" s="14" t="s">
        <v>213</v>
      </c>
      <c r="W602" s="14"/>
      <c r="X602" s="14"/>
      <c r="Y602" s="14"/>
      <c r="Z602" s="14"/>
      <c r="AA602" s="15"/>
      <c r="AB602" s="16">
        <v>0.29166666666666663</v>
      </c>
    </row>
    <row r="603" spans="1:28" x14ac:dyDescent="0.3">
      <c r="A603" s="23" t="s">
        <v>1730</v>
      </c>
      <c r="B603" s="24" t="s">
        <v>25</v>
      </c>
      <c r="C603" s="35" t="s">
        <v>450</v>
      </c>
      <c r="D603" s="33" t="s">
        <v>1775</v>
      </c>
      <c r="E603" s="23" t="s">
        <v>1190</v>
      </c>
      <c r="F603" s="23" t="s">
        <v>1731</v>
      </c>
      <c r="G603" s="23" t="s">
        <v>180</v>
      </c>
      <c r="H603" s="24">
        <v>3</v>
      </c>
      <c r="I603" s="23" t="s">
        <v>181</v>
      </c>
      <c r="J603" s="23" t="s">
        <v>182</v>
      </c>
      <c r="K603" s="23" t="s">
        <v>32</v>
      </c>
      <c r="L603" s="23" t="s">
        <v>1755</v>
      </c>
      <c r="M603" s="23" t="s">
        <v>33</v>
      </c>
      <c r="N603" s="24">
        <v>10</v>
      </c>
      <c r="O603" s="24">
        <v>0</v>
      </c>
      <c r="P603" s="24">
        <v>1</v>
      </c>
      <c r="Q603" s="25">
        <v>21.501364800000001</v>
      </c>
      <c r="R603" s="25">
        <v>-104.89738389999999</v>
      </c>
      <c r="S603" s="14" t="s">
        <v>190</v>
      </c>
      <c r="T603" s="14"/>
      <c r="U603" s="14"/>
      <c r="V603" s="14"/>
      <c r="W603" s="14"/>
      <c r="X603" s="14"/>
      <c r="Y603" s="14"/>
      <c r="Z603" s="14"/>
      <c r="AA603" s="15"/>
      <c r="AB603" s="16">
        <v>8.3333333333333329E-2</v>
      </c>
    </row>
    <row r="604" spans="1:28" x14ac:dyDescent="0.3">
      <c r="A604" s="23" t="s">
        <v>1732</v>
      </c>
      <c r="B604" s="24" t="s">
        <v>25</v>
      </c>
      <c r="C604" s="35" t="s">
        <v>672</v>
      </c>
      <c r="D604" s="33" t="s">
        <v>1775</v>
      </c>
      <c r="E604" s="23" t="s">
        <v>705</v>
      </c>
      <c r="F604" s="23" t="s">
        <v>1733</v>
      </c>
      <c r="G604" s="23" t="s">
        <v>180</v>
      </c>
      <c r="H604" s="24">
        <v>3</v>
      </c>
      <c r="I604" s="23" t="s">
        <v>181</v>
      </c>
      <c r="J604" s="23" t="s">
        <v>182</v>
      </c>
      <c r="K604" s="23" t="s">
        <v>32</v>
      </c>
      <c r="L604" s="23" t="s">
        <v>1755</v>
      </c>
      <c r="M604" s="23" t="s">
        <v>33</v>
      </c>
      <c r="N604" s="24">
        <v>11</v>
      </c>
      <c r="O604" s="24">
        <v>0</v>
      </c>
      <c r="P604" s="24">
        <v>4</v>
      </c>
      <c r="Q604" s="25">
        <v>24.820399999999999</v>
      </c>
      <c r="R604" s="25">
        <v>-107.405</v>
      </c>
      <c r="S604" s="14" t="s">
        <v>190</v>
      </c>
      <c r="T604" s="14"/>
      <c r="U604" s="14"/>
      <c r="V604" s="14"/>
      <c r="W604" s="14"/>
      <c r="X604" s="14"/>
      <c r="Y604" s="14"/>
      <c r="Z604" s="14"/>
      <c r="AA604" s="15"/>
      <c r="AB604" s="16">
        <v>8.3333333333333329E-2</v>
      </c>
    </row>
    <row r="605" spans="1:28" x14ac:dyDescent="0.3">
      <c r="A605" s="23" t="s">
        <v>1734</v>
      </c>
      <c r="B605" s="24" t="s">
        <v>25</v>
      </c>
      <c r="C605" s="35" t="s">
        <v>954</v>
      </c>
      <c r="D605" s="33" t="s">
        <v>1775</v>
      </c>
      <c r="E605" s="23" t="s">
        <v>1350</v>
      </c>
      <c r="F605" s="23" t="s">
        <v>1735</v>
      </c>
      <c r="G605" s="23" t="s">
        <v>180</v>
      </c>
      <c r="H605" s="24">
        <v>3</v>
      </c>
      <c r="I605" s="23" t="s">
        <v>181</v>
      </c>
      <c r="J605" s="23" t="s">
        <v>182</v>
      </c>
      <c r="K605" s="23" t="s">
        <v>32</v>
      </c>
      <c r="L605" s="23" t="s">
        <v>1755</v>
      </c>
      <c r="M605" s="23" t="s">
        <v>33</v>
      </c>
      <c r="N605" s="24">
        <v>16</v>
      </c>
      <c r="O605" s="24">
        <v>0</v>
      </c>
      <c r="P605" s="24">
        <v>6</v>
      </c>
      <c r="Q605" s="25">
        <v>29.064399999999999</v>
      </c>
      <c r="R605" s="25">
        <v>-110.962194</v>
      </c>
      <c r="S605" s="14" t="s">
        <v>34</v>
      </c>
      <c r="T605" s="14" t="s">
        <v>175</v>
      </c>
      <c r="U605" s="14" t="s">
        <v>213</v>
      </c>
      <c r="V605" s="14" t="s">
        <v>213</v>
      </c>
      <c r="W605" s="14"/>
      <c r="X605" s="14"/>
      <c r="Y605" s="14"/>
      <c r="Z605" s="14"/>
      <c r="AA605" s="15"/>
      <c r="AB605" s="16">
        <v>0.29166666666666663</v>
      </c>
    </row>
    <row r="606" spans="1:28" x14ac:dyDescent="0.3">
      <c r="A606" s="23" t="s">
        <v>1736</v>
      </c>
      <c r="B606" s="24" t="s">
        <v>25</v>
      </c>
      <c r="C606" s="35" t="s">
        <v>159</v>
      </c>
      <c r="D606" s="33" t="s">
        <v>1775</v>
      </c>
      <c r="E606" s="23" t="s">
        <v>160</v>
      </c>
      <c r="F606" s="23" t="s">
        <v>1737</v>
      </c>
      <c r="G606" s="23" t="s">
        <v>180</v>
      </c>
      <c r="H606" s="24">
        <v>3</v>
      </c>
      <c r="I606" s="23" t="s">
        <v>181</v>
      </c>
      <c r="J606" s="23" t="s">
        <v>182</v>
      </c>
      <c r="K606" s="23" t="s">
        <v>32</v>
      </c>
      <c r="L606" s="23" t="s">
        <v>1755</v>
      </c>
      <c r="M606" s="23" t="s">
        <v>33</v>
      </c>
      <c r="N606" s="24">
        <v>6</v>
      </c>
      <c r="O606" s="24">
        <v>0</v>
      </c>
      <c r="P606" s="24">
        <v>3</v>
      </c>
      <c r="Q606" s="25">
        <v>23.722435999999998</v>
      </c>
      <c r="R606" s="25">
        <v>-99.164563000000001</v>
      </c>
      <c r="S606" s="14" t="s">
        <v>190</v>
      </c>
      <c r="T606" s="14"/>
      <c r="U606" s="14"/>
      <c r="V606" s="14"/>
      <c r="W606" s="14"/>
      <c r="X606" s="14"/>
      <c r="Y606" s="14"/>
      <c r="Z606" s="14"/>
      <c r="AA606" s="15"/>
      <c r="AB606" s="16">
        <v>8.3333333333333329E-2</v>
      </c>
    </row>
    <row r="607" spans="1:28" x14ac:dyDescent="0.3">
      <c r="A607" s="23" t="s">
        <v>1738</v>
      </c>
      <c r="B607" s="24" t="s">
        <v>25</v>
      </c>
      <c r="C607" s="35" t="s">
        <v>159</v>
      </c>
      <c r="D607" s="33" t="s">
        <v>1775</v>
      </c>
      <c r="E607" s="23" t="s">
        <v>1405</v>
      </c>
      <c r="F607" s="23" t="s">
        <v>1739</v>
      </c>
      <c r="G607" s="23" t="s">
        <v>180</v>
      </c>
      <c r="H607" s="24">
        <v>3</v>
      </c>
      <c r="I607" s="23" t="s">
        <v>181</v>
      </c>
      <c r="J607" s="23" t="s">
        <v>182</v>
      </c>
      <c r="K607" s="23" t="s">
        <v>32</v>
      </c>
      <c r="L607" s="23" t="s">
        <v>1755</v>
      </c>
      <c r="M607" s="23" t="s">
        <v>33</v>
      </c>
      <c r="N607" s="24">
        <v>5</v>
      </c>
      <c r="O607" s="24">
        <v>0</v>
      </c>
      <c r="P607" s="24">
        <v>2</v>
      </c>
      <c r="Q607" s="25">
        <v>27.477285999999999</v>
      </c>
      <c r="R607" s="25">
        <v>-99.547320999999997</v>
      </c>
      <c r="S607" s="14" t="s">
        <v>190</v>
      </c>
      <c r="T607" s="14"/>
      <c r="U607" s="14"/>
      <c r="V607" s="14"/>
      <c r="W607" s="14"/>
      <c r="X607" s="14"/>
      <c r="Y607" s="14"/>
      <c r="Z607" s="14"/>
      <c r="AA607" s="15"/>
      <c r="AB607" s="16">
        <v>8.3333333333333329E-2</v>
      </c>
    </row>
    <row r="608" spans="1:28" x14ac:dyDescent="0.3">
      <c r="A608" s="23" t="s">
        <v>1740</v>
      </c>
      <c r="B608" s="24" t="s">
        <v>25</v>
      </c>
      <c r="C608" s="35" t="s">
        <v>755</v>
      </c>
      <c r="D608" s="33" t="s">
        <v>1775</v>
      </c>
      <c r="E608" s="23" t="s">
        <v>1441</v>
      </c>
      <c r="F608" s="23" t="s">
        <v>1741</v>
      </c>
      <c r="G608" s="23" t="s">
        <v>180</v>
      </c>
      <c r="H608" s="24">
        <v>3</v>
      </c>
      <c r="I608" s="23" t="s">
        <v>181</v>
      </c>
      <c r="J608" s="23" t="s">
        <v>182</v>
      </c>
      <c r="K608" s="23" t="s">
        <v>32</v>
      </c>
      <c r="L608" s="23" t="s">
        <v>1755</v>
      </c>
      <c r="M608" s="23" t="s">
        <v>33</v>
      </c>
      <c r="N608" s="24">
        <v>2</v>
      </c>
      <c r="O608" s="24">
        <v>0</v>
      </c>
      <c r="P608" s="24">
        <v>0</v>
      </c>
      <c r="Q608" s="25">
        <v>19.368091499999998</v>
      </c>
      <c r="R608" s="25">
        <v>-98.210456899999997</v>
      </c>
      <c r="S608" s="14" t="s">
        <v>34</v>
      </c>
      <c r="T608" s="14" t="s">
        <v>175</v>
      </c>
      <c r="U608" s="14"/>
      <c r="V608" s="14"/>
      <c r="W608" s="14"/>
      <c r="X608" s="14"/>
      <c r="Y608" s="14"/>
      <c r="Z608" s="14"/>
      <c r="AA608" s="15"/>
      <c r="AB608" s="16">
        <v>0.125</v>
      </c>
    </row>
    <row r="609" spans="1:28" x14ac:dyDescent="0.3">
      <c r="A609" s="23" t="s">
        <v>1742</v>
      </c>
      <c r="B609" s="24" t="s">
        <v>25</v>
      </c>
      <c r="C609" s="35" t="s">
        <v>837</v>
      </c>
      <c r="D609" s="33" t="s">
        <v>1775</v>
      </c>
      <c r="E609" s="23" t="s">
        <v>1572</v>
      </c>
      <c r="F609" s="23" t="s">
        <v>1743</v>
      </c>
      <c r="G609" s="23" t="s">
        <v>180</v>
      </c>
      <c r="H609" s="24">
        <v>3</v>
      </c>
      <c r="I609" s="23" t="s">
        <v>181</v>
      </c>
      <c r="J609" s="23" t="s">
        <v>182</v>
      </c>
      <c r="K609" s="23" t="s">
        <v>32</v>
      </c>
      <c r="L609" s="23" t="s">
        <v>1755</v>
      </c>
      <c r="M609" s="23" t="s">
        <v>33</v>
      </c>
      <c r="N609" s="24">
        <v>5</v>
      </c>
      <c r="O609" s="24">
        <v>0</v>
      </c>
      <c r="P609" s="24">
        <v>2</v>
      </c>
      <c r="Q609" s="25">
        <v>22.752110999999999</v>
      </c>
      <c r="R609" s="25">
        <v>-102.502348</v>
      </c>
      <c r="S609" s="14" t="s">
        <v>176</v>
      </c>
      <c r="T609" s="14"/>
      <c r="U609" s="14"/>
      <c r="V609" s="14"/>
      <c r="W609" s="14"/>
      <c r="X609" s="14"/>
      <c r="Y609" s="14"/>
      <c r="Z609" s="14"/>
      <c r="AA609" s="15"/>
      <c r="AB609" s="16">
        <v>4.1666666666666664E-2</v>
      </c>
    </row>
    <row r="610" spans="1:28" x14ac:dyDescent="0.3">
      <c r="A610" s="23" t="s">
        <v>1744</v>
      </c>
      <c r="B610" s="24" t="s">
        <v>25</v>
      </c>
      <c r="C610" s="35" t="s">
        <v>159</v>
      </c>
      <c r="D610" s="33" t="s">
        <v>1775</v>
      </c>
      <c r="E610" s="23" t="s">
        <v>160</v>
      </c>
      <c r="F610" s="23" t="s">
        <v>1745</v>
      </c>
      <c r="G610" s="23" t="s">
        <v>180</v>
      </c>
      <c r="H610" s="24">
        <v>3</v>
      </c>
      <c r="I610" s="23" t="s">
        <v>181</v>
      </c>
      <c r="J610" s="23" t="s">
        <v>182</v>
      </c>
      <c r="K610" s="23" t="s">
        <v>32</v>
      </c>
      <c r="L610" s="23" t="s">
        <v>1755</v>
      </c>
      <c r="M610" s="23" t="s">
        <v>33</v>
      </c>
      <c r="N610" s="24">
        <v>2</v>
      </c>
      <c r="O610" s="24">
        <v>0</v>
      </c>
      <c r="P610" s="24">
        <v>0</v>
      </c>
      <c r="Q610" s="25">
        <v>23.765743000000001</v>
      </c>
      <c r="R610" s="25">
        <v>-99.104639000000006</v>
      </c>
      <c r="S610" s="14" t="s">
        <v>190</v>
      </c>
      <c r="T610" s="14"/>
      <c r="U610" s="14"/>
      <c r="V610" s="14"/>
      <c r="W610" s="14"/>
      <c r="X610" s="14"/>
      <c r="Y610" s="14"/>
      <c r="Z610" s="14"/>
      <c r="AA610" s="15"/>
      <c r="AB610" s="30">
        <v>8.3333333333333329E-2</v>
      </c>
    </row>
    <row r="611" spans="1:28" x14ac:dyDescent="0.3">
      <c r="A611" s="26" t="s">
        <v>1746</v>
      </c>
      <c r="B611" s="27" t="s">
        <v>210</v>
      </c>
      <c r="C611" s="36" t="s">
        <v>149</v>
      </c>
      <c r="D611" s="33" t="s">
        <v>1775</v>
      </c>
      <c r="E611" s="27" t="s">
        <v>1609</v>
      </c>
      <c r="F611" s="27" t="s">
        <v>1747</v>
      </c>
      <c r="G611" s="27" t="s">
        <v>1747</v>
      </c>
      <c r="H611" s="24">
        <v>3</v>
      </c>
      <c r="I611" s="27" t="s">
        <v>181</v>
      </c>
      <c r="J611" s="27" t="s">
        <v>182</v>
      </c>
      <c r="K611" s="27" t="s">
        <v>32</v>
      </c>
      <c r="L611" s="27" t="s">
        <v>1760</v>
      </c>
      <c r="M611" s="27" t="s">
        <v>33</v>
      </c>
      <c r="N611" s="28">
        <v>6</v>
      </c>
      <c r="O611" s="28">
        <v>1</v>
      </c>
      <c r="P611" s="28">
        <v>4</v>
      </c>
      <c r="Q611" s="27">
        <v>20.974905799999998</v>
      </c>
      <c r="R611" s="27">
        <v>-89.640565199999998</v>
      </c>
      <c r="S611" s="14" t="s">
        <v>176</v>
      </c>
      <c r="T611" s="14" t="s">
        <v>175</v>
      </c>
      <c r="U611" s="14" t="s">
        <v>213</v>
      </c>
      <c r="V611" s="14" t="s">
        <v>213</v>
      </c>
      <c r="W611" s="14"/>
      <c r="X611" s="14"/>
      <c r="Y611" s="14"/>
      <c r="Z611" s="14"/>
      <c r="AA611" s="15"/>
      <c r="AB611" s="30">
        <v>0.20833333333333331</v>
      </c>
    </row>
  </sheetData>
  <conditionalFormatting sqref="A598:A609">
    <cfRule type="duplicateValues" dxfId="504" priority="27"/>
  </conditionalFormatting>
  <conditionalFormatting sqref="Q611">
    <cfRule type="containsText" dxfId="503" priority="10" operator="containsText" text="ENVIADO A TICS">
      <formula>NOT(ISERROR(SEARCH("ENVIADO A TICS",Q611)))</formula>
    </cfRule>
    <cfRule type="containsText" dxfId="502" priority="11" operator="containsText" text="ENTREGADO/REVISIÓN">
      <formula>NOT(ISERROR(SEARCH("ENTREGADO/REVISIÓN",Q611)))</formula>
    </cfRule>
    <cfRule type="containsText" dxfId="501" priority="12" operator="containsText" text="ENVIADO A LA CE/UM">
      <formula>NOT(ISERROR(SEARCH("ENVIADO A LA CE/UM",Q611)))</formula>
    </cfRule>
  </conditionalFormatting>
  <conditionalFormatting sqref="R611">
    <cfRule type="containsText" dxfId="500" priority="9" operator="containsText" text="EN PROCESO">
      <formula>NOT(ISERROR(SEARCH("EN PROCESO",R611)))</formula>
    </cfRule>
  </conditionalFormatting>
  <conditionalFormatting sqref="R611:U611 T1:W610">
    <cfRule type="containsText" dxfId="499" priority="18" operator="containsText" text="CONCLUIDO">
      <formula>NOT(ISERROR(SEARCH("CONCLUIDO",R1)))</formula>
    </cfRule>
  </conditionalFormatting>
  <conditionalFormatting sqref="S1:S610">
    <cfRule type="containsText" dxfId="498" priority="24" operator="containsText" text="ENVIADO A TICS">
      <formula>NOT(ISERROR(SEARCH("ENVIADO A TICS",S1)))</formula>
    </cfRule>
    <cfRule type="containsText" dxfId="497" priority="25" operator="containsText" text="ENTREGADO/REVISIÓN">
      <formula>NOT(ISERROR(SEARCH("ENTREGADO/REVISIÓN",S1)))</formula>
    </cfRule>
    <cfRule type="containsText" dxfId="496" priority="26" operator="containsText" text="ENVIADO A LA CE/UM">
      <formula>NOT(ISERROR(SEARCH("ENVIADO A LA CE/UM",S1)))</formula>
    </cfRule>
  </conditionalFormatting>
  <conditionalFormatting sqref="S611:T611">
    <cfRule type="containsText" dxfId="495" priority="7" operator="containsText" text="EN REVISIÓN CENTRAL">
      <formula>NOT(ISERROR(SEARCH("EN REVISIÓN CENTRAL",S611)))</formula>
    </cfRule>
    <cfRule type="containsText" dxfId="494" priority="8" operator="containsText" text="ENVIADO A LA CE/UM">
      <formula>NOT(ISERROR(SEARCH("ENVIADO A LA CE/UM",S611)))</formula>
    </cfRule>
  </conditionalFormatting>
  <conditionalFormatting sqref="T1:T610">
    <cfRule type="containsText" dxfId="493" priority="23" operator="containsText" text="EN PROCESO">
      <formula>NOT(ISERROR(SEARCH("EN PROCESO",T1)))</formula>
    </cfRule>
  </conditionalFormatting>
  <conditionalFormatting sqref="U1">
    <cfRule type="containsText" dxfId="492" priority="28" operator="containsText" text="ENVIADO A LA CE/UM">
      <formula>NOT(ISERROR(SEARCH("ENVIADO A LA CE/UM",U1)))</formula>
    </cfRule>
  </conditionalFormatting>
  <conditionalFormatting sqref="U611">
    <cfRule type="containsText" dxfId="491" priority="5" operator="containsText" text="EN PROCESO">
      <formula>NOT(ISERROR(SEARCH("EN PROCESO",U611)))</formula>
    </cfRule>
    <cfRule type="containsText" dxfId="490" priority="6" operator="containsText" text="ENVIADO">
      <formula>NOT(ISERROR(SEARCH("ENVIADO",U611)))</formula>
    </cfRule>
  </conditionalFormatting>
  <conditionalFormatting sqref="U1:V610">
    <cfRule type="containsText" dxfId="489" priority="21" operator="containsText" text="EN REVISIÓN CENTRAL">
      <formula>NOT(ISERROR(SEARCH("EN REVISIÓN CENTRAL",U1)))</formula>
    </cfRule>
  </conditionalFormatting>
  <conditionalFormatting sqref="U2:V610">
    <cfRule type="containsText" dxfId="488" priority="22" operator="containsText" text="ENVIADO A LA CE/UM">
      <formula>NOT(ISERROR(SEARCH("ENVIADO A LA CE/UM",U2)))</formula>
    </cfRule>
  </conditionalFormatting>
  <conditionalFormatting sqref="V611">
    <cfRule type="containsText" dxfId="487" priority="3" operator="containsText" text="CONCLUIDAS">
      <formula>NOT(ISERROR(SEARCH("CONCLUIDAS",V611)))</formula>
    </cfRule>
    <cfRule type="containsText" dxfId="486" priority="4" operator="containsText" text="PROGRAMADAS">
      <formula>NOT(ISERROR(SEARCH("PROGRAMADAS",V611)))</formula>
    </cfRule>
  </conditionalFormatting>
  <conditionalFormatting sqref="W1:W610">
    <cfRule type="containsText" dxfId="485" priority="19" operator="containsText" text="EN PROCESO">
      <formula>NOT(ISERROR(SEARCH("EN PROCESO",W1)))</formula>
    </cfRule>
    <cfRule type="containsText" dxfId="484" priority="20" operator="containsText" text="ENVIADO">
      <formula>NOT(ISERROR(SEARCH("ENVIADO",W1)))</formula>
    </cfRule>
  </conditionalFormatting>
  <conditionalFormatting sqref="W611:Z611">
    <cfRule type="containsText" dxfId="483" priority="1" operator="containsText" text="SI">
      <formula>NOT(ISERROR(SEARCH("SI",W611)))</formula>
    </cfRule>
    <cfRule type="containsText" dxfId="482" priority="2" operator="containsText" text="NO">
      <formula>NOT(ISERROR(SEARCH("NO",W611)))</formula>
    </cfRule>
  </conditionalFormatting>
  <conditionalFormatting sqref="X1:X610">
    <cfRule type="containsText" dxfId="481" priority="16" operator="containsText" text="CONCLUIDAS">
      <formula>NOT(ISERROR(SEARCH("CONCLUIDAS",X1)))</formula>
    </cfRule>
    <cfRule type="containsText" dxfId="480" priority="17" operator="containsText" text="PROGRAMADAS">
      <formula>NOT(ISERROR(SEARCH("PROGRAMADAS",X1)))</formula>
    </cfRule>
  </conditionalFormatting>
  <conditionalFormatting sqref="Y1:Z610">
    <cfRule type="containsText" dxfId="479" priority="14" operator="containsText" text="SI">
      <formula>NOT(ISERROR(SEARCH("SI",Y1)))</formula>
    </cfRule>
    <cfRule type="containsText" dxfId="478" priority="15" operator="containsText" text="NO">
      <formula>NOT(ISERROR(SEARCH("NO",Y1)))</formula>
    </cfRule>
  </conditionalFormatting>
  <conditionalFormatting sqref="AB1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{E487F17A-EF57-401F-B92F-CBFF7D02CA39}</x14:id>
        </ext>
      </extLst>
    </cfRule>
  </conditionalFormatting>
  <conditionalFormatting sqref="AB2:AB611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{24FCF9ED-25AA-4ED0-9690-1FD8F46F23D1}</x14:id>
        </ext>
      </extLst>
    </cfRule>
  </conditionalFormatting>
  <dataValidations count="6">
    <dataValidation type="list" allowBlank="1" showInputMessage="1" showErrorMessage="1" sqref="Y2:Z610 W611:Z611" xr:uid="{E42D9DA4-5656-4348-83E1-84479B09B2A1}">
      <formula1>"SI,NO"</formula1>
    </dataValidation>
    <dataValidation type="list" allowBlank="1" showInputMessage="1" showErrorMessage="1" sqref="X2:X610 V611" xr:uid="{B04FF73C-433B-44DA-976B-568C57499904}">
      <formula1>"PROGRAMADAS,CONCLUIDAS"</formula1>
    </dataValidation>
    <dataValidation type="list" allowBlank="1" showInputMessage="1" showErrorMessage="1" sqref="Q611 S2:S610" xr:uid="{4AE01DBA-B2A7-47B8-91DB-57969E8A5D4F}">
      <formula1>"ENVIADO A LA CE/UM,ENTREGADO/REVISIÓN,ENVIADO A TICS"</formula1>
    </dataValidation>
    <dataValidation type="list" allowBlank="1" showInputMessage="1" showErrorMessage="1" sqref="T2:T610 R611" xr:uid="{6B892C16-F92F-4580-A8A8-C6DAFEA3A514}">
      <formula1>"EN PROCESO,CONCLUIDO"</formula1>
    </dataValidation>
    <dataValidation type="list" allowBlank="1" showInputMessage="1" showErrorMessage="1" sqref="S611:T611 U2:V610" xr:uid="{13E6C680-ADBC-4BD0-BAC2-B6D004693BEE}">
      <formula1>"ENVIADO A LA CE/UM,EN REVISIÓN CENTRAL,CONCLUIDO"</formula1>
    </dataValidation>
    <dataValidation type="list" allowBlank="1" showInputMessage="1" showErrorMessage="1" sqref="W2:W610 U611" xr:uid="{3DF3DC78-7E41-42A0-8F0E-42EEA0839FF6}">
      <formula1>"ENVIADO,EN PROCESO,CONCLUIDO"</formula1>
    </dataValidation>
  </dataValidation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487F17A-EF57-401F-B92F-CBFF7D02CA39}">
            <x14:dataBar minLength="0" maxLength="100" border="1" direction="leftToRight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AB1</xm:sqref>
        </x14:conditionalFormatting>
        <x14:conditionalFormatting xmlns:xm="http://schemas.microsoft.com/office/excel/2006/main">
          <x14:cfRule type="dataBar" id="{24FCF9ED-25AA-4ED0-9690-1FD8F46F23D1}">
            <x14:dataBar minLength="0" maxLength="100" border="1" direction="leftToRight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AB2:AB611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Unidades</vt:lpstr>
      <vt:lpstr>equipamiento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Antonio Jiménez Ángeles</dc:creator>
  <cp:lastModifiedBy>Daniel Antonio Jiménez Ángeles</cp:lastModifiedBy>
  <dcterms:created xsi:type="dcterms:W3CDTF">2026-05-20T00:02:53Z</dcterms:created>
  <dcterms:modified xsi:type="dcterms:W3CDTF">2026-09-30T23:19:12Z</dcterms:modified>
</cp:coreProperties>
</file>