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95F85187-5DC0-4CBD-A9AF-E74C81ACF29D}" xr6:coauthVersionLast="47" xr6:coauthVersionMax="47" xr10:uidLastSave="{00000000-0000-0000-0000-000000000000}"/>
  <bookViews>
    <workbookView xWindow="-30828" yWindow="-108" windowWidth="30936" windowHeight="16776" activeTab="1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Unidades!$A$1:$AH$614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614" i="1" l="1"/>
  <c r="AD614" i="1"/>
  <c r="AC614" i="1"/>
  <c r="AC613" i="1"/>
  <c r="AC612" i="1"/>
  <c r="AC611" i="1"/>
  <c r="AC610" i="1"/>
  <c r="AC609" i="1"/>
  <c r="AC608" i="1"/>
  <c r="AC607" i="1"/>
  <c r="AC606" i="1"/>
  <c r="AC605" i="1"/>
  <c r="AC604" i="1"/>
  <c r="AC603" i="1"/>
  <c r="AC602" i="1"/>
  <c r="AC601" i="1"/>
  <c r="AC600" i="1"/>
  <c r="AC599" i="1"/>
  <c r="AC598" i="1"/>
  <c r="AC597" i="1"/>
  <c r="AC596" i="1"/>
  <c r="AC595" i="1"/>
  <c r="AC594" i="1"/>
  <c r="AC593" i="1"/>
  <c r="AC592" i="1"/>
  <c r="AC591" i="1"/>
  <c r="AC590" i="1"/>
  <c r="AC589" i="1"/>
  <c r="AC588" i="1"/>
  <c r="AC587" i="1"/>
  <c r="AC586" i="1"/>
  <c r="AC585" i="1"/>
  <c r="AC584" i="1"/>
  <c r="AC583" i="1"/>
  <c r="AC582" i="1"/>
  <c r="AC581" i="1"/>
  <c r="AC580" i="1"/>
  <c r="AC579" i="1"/>
  <c r="AC578" i="1"/>
  <c r="AC577" i="1"/>
  <c r="AC576" i="1"/>
  <c r="AC575" i="1"/>
  <c r="AC574" i="1"/>
  <c r="AC573" i="1"/>
  <c r="AC572" i="1"/>
  <c r="AC571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C556" i="1"/>
  <c r="AC555" i="1"/>
  <c r="AC554" i="1"/>
  <c r="AC553" i="1"/>
  <c r="AC552" i="1"/>
  <c r="AC551" i="1"/>
  <c r="AC550" i="1"/>
  <c r="AC549" i="1"/>
  <c r="AC548" i="1"/>
  <c r="AC547" i="1"/>
  <c r="AC546" i="1"/>
  <c r="AC545" i="1"/>
  <c r="AC544" i="1"/>
  <c r="AC543" i="1"/>
  <c r="AC542" i="1"/>
  <c r="AC541" i="1"/>
  <c r="AC540" i="1"/>
  <c r="AC539" i="1"/>
  <c r="AC538" i="1"/>
  <c r="AC537" i="1"/>
  <c r="AC536" i="1"/>
  <c r="AC535" i="1"/>
  <c r="AC534" i="1"/>
  <c r="AC533" i="1"/>
  <c r="AC532" i="1"/>
  <c r="AC531" i="1"/>
  <c r="AC530" i="1"/>
  <c r="AC529" i="1"/>
  <c r="AC528" i="1"/>
  <c r="AC527" i="1"/>
  <c r="AC526" i="1"/>
  <c r="AC525" i="1"/>
  <c r="AC524" i="1"/>
  <c r="AC523" i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6" i="1"/>
  <c r="AC505" i="1"/>
  <c r="AC504" i="1"/>
  <c r="AC503" i="1"/>
  <c r="AC502" i="1"/>
  <c r="AC501" i="1"/>
  <c r="AC500" i="1"/>
  <c r="AC499" i="1"/>
  <c r="AC498" i="1"/>
  <c r="AC497" i="1"/>
  <c r="AC496" i="1"/>
  <c r="AC495" i="1"/>
  <c r="AC494" i="1"/>
  <c r="AC493" i="1"/>
  <c r="AC492" i="1"/>
  <c r="AC491" i="1"/>
  <c r="AC490" i="1"/>
  <c r="AC489" i="1"/>
  <c r="AC488" i="1"/>
  <c r="AC487" i="1"/>
  <c r="AC486" i="1"/>
  <c r="AC485" i="1"/>
  <c r="AC484" i="1"/>
  <c r="AC483" i="1"/>
  <c r="AC482" i="1"/>
  <c r="AC481" i="1"/>
  <c r="AC480" i="1"/>
  <c r="AC479" i="1"/>
  <c r="AC478" i="1"/>
  <c r="AC477" i="1"/>
  <c r="AC476" i="1"/>
  <c r="AC475" i="1"/>
  <c r="AC474" i="1"/>
  <c r="AC473" i="1"/>
  <c r="AC472" i="1"/>
  <c r="AC471" i="1"/>
  <c r="AC470" i="1"/>
  <c r="AC469" i="1"/>
  <c r="AC468" i="1"/>
  <c r="AC467" i="1"/>
  <c r="AC466" i="1"/>
  <c r="AC465" i="1"/>
  <c r="AC464" i="1"/>
  <c r="AC463" i="1"/>
  <c r="AC462" i="1"/>
  <c r="AC461" i="1"/>
  <c r="AC460" i="1"/>
  <c r="AC459" i="1"/>
  <c r="AC458" i="1"/>
  <c r="AC457" i="1"/>
  <c r="AC456" i="1"/>
  <c r="AC455" i="1"/>
  <c r="AC454" i="1"/>
  <c r="AC453" i="1"/>
  <c r="AC452" i="1"/>
  <c r="AC451" i="1"/>
  <c r="AC450" i="1"/>
  <c r="AC449" i="1"/>
  <c r="AC448" i="1"/>
  <c r="AC447" i="1"/>
  <c r="AC446" i="1"/>
  <c r="AC445" i="1"/>
  <c r="AC444" i="1"/>
  <c r="AC443" i="1"/>
  <c r="AC442" i="1"/>
  <c r="AC441" i="1"/>
  <c r="AC440" i="1"/>
  <c r="AC439" i="1"/>
  <c r="AC438" i="1"/>
  <c r="AC437" i="1"/>
  <c r="AC436" i="1"/>
  <c r="AC435" i="1"/>
  <c r="AC434" i="1"/>
  <c r="AC433" i="1"/>
  <c r="AC432" i="1"/>
  <c r="AC431" i="1"/>
  <c r="AC430" i="1"/>
  <c r="AC429" i="1"/>
  <c r="AC428" i="1"/>
  <c r="AC427" i="1"/>
  <c r="AC426" i="1"/>
  <c r="AC425" i="1"/>
  <c r="AC424" i="1"/>
  <c r="AC423" i="1"/>
  <c r="AC422" i="1"/>
  <c r="AC421" i="1"/>
  <c r="AC420" i="1"/>
  <c r="AC419" i="1"/>
  <c r="AC418" i="1"/>
  <c r="AC417" i="1"/>
  <c r="AC416" i="1"/>
  <c r="AC415" i="1"/>
  <c r="AC414" i="1"/>
  <c r="AC413" i="1"/>
  <c r="AC412" i="1"/>
  <c r="AC411" i="1"/>
  <c r="AC410" i="1"/>
  <c r="AC409" i="1"/>
  <c r="AC408" i="1"/>
  <c r="AC407" i="1"/>
  <c r="AC406" i="1"/>
  <c r="AC405" i="1"/>
  <c r="AC404" i="1"/>
  <c r="AC403" i="1"/>
  <c r="AC402" i="1"/>
  <c r="AC401" i="1"/>
  <c r="AC400" i="1"/>
  <c r="AC399" i="1"/>
  <c r="AC398" i="1"/>
  <c r="AC397" i="1"/>
  <c r="AC396" i="1"/>
  <c r="AC395" i="1"/>
  <c r="AC394" i="1"/>
  <c r="AC393" i="1"/>
  <c r="AC392" i="1"/>
  <c r="AC391" i="1"/>
  <c r="AC390" i="1"/>
  <c r="AC389" i="1"/>
  <c r="AC388" i="1"/>
  <c r="AC387" i="1"/>
  <c r="AC386" i="1"/>
  <c r="AC385" i="1"/>
  <c r="AC384" i="1"/>
  <c r="AC383" i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C360" i="1"/>
  <c r="AC359" i="1"/>
  <c r="AC358" i="1"/>
  <c r="AC357" i="1"/>
  <c r="AC356" i="1"/>
  <c r="AC355" i="1"/>
  <c r="AC354" i="1"/>
  <c r="AC353" i="1"/>
  <c r="AC352" i="1"/>
  <c r="AC351" i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C313" i="1"/>
  <c r="AC312" i="1"/>
  <c r="AC311" i="1"/>
  <c r="AC310" i="1"/>
  <c r="AC309" i="1"/>
  <c r="AC308" i="1"/>
  <c r="AC307" i="1"/>
  <c r="AC306" i="1"/>
  <c r="AC305" i="1"/>
  <c r="AC304" i="1"/>
  <c r="AC303" i="1"/>
  <c r="AC302" i="1"/>
  <c r="AC301" i="1"/>
  <c r="AC300" i="1"/>
  <c r="AC299" i="1"/>
  <c r="AC298" i="1"/>
  <c r="AC297" i="1"/>
  <c r="AC296" i="1"/>
  <c r="AC295" i="1"/>
  <c r="AC294" i="1"/>
  <c r="AC293" i="1"/>
  <c r="AC292" i="1"/>
  <c r="AC291" i="1"/>
  <c r="AC290" i="1"/>
  <c r="AC289" i="1"/>
  <c r="AC288" i="1"/>
  <c r="AC287" i="1"/>
  <c r="AC286" i="1"/>
  <c r="AC285" i="1"/>
  <c r="AC284" i="1"/>
  <c r="AC283" i="1"/>
  <c r="AC282" i="1"/>
  <c r="AC281" i="1"/>
  <c r="AC280" i="1"/>
  <c r="AC279" i="1"/>
  <c r="AC278" i="1"/>
  <c r="AC277" i="1"/>
  <c r="AC276" i="1"/>
  <c r="AC275" i="1"/>
  <c r="AC274" i="1"/>
  <c r="AC273" i="1"/>
  <c r="AC272" i="1"/>
  <c r="AC271" i="1"/>
  <c r="AC270" i="1"/>
  <c r="AC269" i="1"/>
  <c r="AC268" i="1"/>
  <c r="AC267" i="1"/>
  <c r="AC266" i="1"/>
  <c r="AC265" i="1"/>
  <c r="AC264" i="1"/>
  <c r="AC263" i="1"/>
  <c r="AC262" i="1"/>
  <c r="AC261" i="1"/>
  <c r="AC260" i="1"/>
  <c r="AC259" i="1"/>
  <c r="AC258" i="1"/>
  <c r="AC257" i="1"/>
  <c r="AC256" i="1"/>
  <c r="AC255" i="1"/>
  <c r="AC254" i="1"/>
  <c r="AC253" i="1"/>
  <c r="AC252" i="1"/>
  <c r="AC251" i="1"/>
  <c r="AC250" i="1"/>
  <c r="AC249" i="1"/>
  <c r="AC248" i="1"/>
  <c r="AC247" i="1"/>
  <c r="AC246" i="1"/>
  <c r="AC245" i="1"/>
  <c r="AC244" i="1"/>
  <c r="AC243" i="1"/>
  <c r="AC242" i="1"/>
  <c r="AC241" i="1"/>
  <c r="AC240" i="1"/>
  <c r="AC239" i="1"/>
  <c r="AC238" i="1"/>
  <c r="AC237" i="1"/>
  <c r="AC236" i="1"/>
  <c r="AC235" i="1"/>
  <c r="AC234" i="1"/>
  <c r="AC233" i="1"/>
  <c r="AC232" i="1"/>
  <c r="AC231" i="1"/>
  <c r="AC230" i="1"/>
  <c r="AC229" i="1"/>
  <c r="AC228" i="1"/>
  <c r="AC227" i="1"/>
  <c r="AC226" i="1"/>
  <c r="AC225" i="1"/>
  <c r="AC223" i="1"/>
  <c r="AC222" i="1"/>
  <c r="AC221" i="1"/>
  <c r="AC220" i="1"/>
  <c r="AC219" i="1"/>
  <c r="AC218" i="1"/>
  <c r="AC217" i="1"/>
  <c r="AC216" i="1"/>
  <c r="AC215" i="1"/>
  <c r="AC214" i="1"/>
  <c r="AC213" i="1"/>
  <c r="AC212" i="1"/>
  <c r="AC211" i="1"/>
  <c r="AC210" i="1"/>
  <c r="AC209" i="1"/>
  <c r="AC208" i="1"/>
  <c r="AC207" i="1"/>
  <c r="AC206" i="1"/>
  <c r="AC205" i="1"/>
  <c r="AC204" i="1"/>
  <c r="AC203" i="1"/>
  <c r="AC202" i="1"/>
  <c r="AC201" i="1"/>
  <c r="AC200" i="1"/>
  <c r="AC199" i="1"/>
  <c r="AC198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173" i="1"/>
  <c r="AC172" i="1"/>
  <c r="AC171" i="1"/>
  <c r="AC170" i="1"/>
  <c r="AC169" i="1"/>
  <c r="AC168" i="1"/>
  <c r="AC167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H613" i="1" l="1"/>
  <c r="AH612" i="1"/>
  <c r="AH611" i="1"/>
  <c r="AH610" i="1"/>
  <c r="AH609" i="1"/>
  <c r="AH608" i="1"/>
  <c r="AH607" i="1"/>
  <c r="AH606" i="1"/>
  <c r="AH605" i="1"/>
  <c r="AH604" i="1"/>
  <c r="AH603" i="1"/>
  <c r="AH602" i="1"/>
  <c r="AH601" i="1"/>
  <c r="AH600" i="1"/>
  <c r="AH599" i="1"/>
  <c r="AH598" i="1"/>
  <c r="AH597" i="1"/>
  <c r="AH596" i="1"/>
  <c r="AH595" i="1"/>
  <c r="AH594" i="1"/>
  <c r="AH593" i="1"/>
  <c r="AH592" i="1"/>
  <c r="AH591" i="1"/>
  <c r="AH590" i="1"/>
  <c r="AH589" i="1"/>
  <c r="AH588" i="1"/>
  <c r="AH587" i="1"/>
  <c r="AH586" i="1"/>
  <c r="AH585" i="1"/>
  <c r="AH584" i="1"/>
  <c r="AH583" i="1"/>
  <c r="AH582" i="1"/>
  <c r="AH581" i="1"/>
  <c r="AH580" i="1"/>
  <c r="AH579" i="1"/>
  <c r="AH578" i="1"/>
  <c r="AH577" i="1"/>
  <c r="AH576" i="1"/>
  <c r="AH575" i="1"/>
  <c r="AH574" i="1"/>
  <c r="AH573" i="1"/>
  <c r="AH572" i="1"/>
  <c r="AH571" i="1"/>
  <c r="AH570" i="1"/>
  <c r="AH569" i="1"/>
  <c r="AH568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41" i="1"/>
  <c r="AH540" i="1"/>
  <c r="AH539" i="1"/>
  <c r="AH538" i="1"/>
  <c r="AH537" i="1"/>
  <c r="AH536" i="1"/>
  <c r="AH535" i="1"/>
  <c r="AH534" i="1"/>
  <c r="AH533" i="1"/>
  <c r="AH532" i="1"/>
  <c r="AH531" i="1"/>
  <c r="AH530" i="1"/>
  <c r="AH529" i="1"/>
  <c r="AH528" i="1"/>
  <c r="AH527" i="1"/>
  <c r="AH526" i="1"/>
  <c r="AH525" i="1"/>
  <c r="AB6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tc={8769BAF3-D58D-48E8-BAAC-AD35154E7E66}</author>
  </authors>
  <commentList>
    <comment ref="Q194" authorId="0" shapeId="0" xr:uid="{8769BAF3-D58D-48E8-BAAC-AD35154E7E6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<sst xmlns="http://schemas.openxmlformats.org/spreadsheetml/2006/main" count="20493" uniqueCount="1871">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</sst>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sz val="9"/>
      <color indexed="81"/>
      <name val="Tahoma"/>
      <charset val="1"/>
    </font>
    <font>
      <b/>
      <u/>
      <sz val="9"/>
      <color theme="0"/>
      <name val="Noto Sans"/>
      <family val="2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6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1302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8769BAF3-D58D-48E8-BAAC-AD35154E7E66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EFBD2901-4A9C-4EA0-9B57-EA952841D0A1}" parentId="{8769BAF3-D58D-48E8-BAAC-AD35154E7E66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H614"/>
  <sheetViews>
    <sheetView zoomScale="72" zoomScaleNormal="72" workbookViewId="0">
      <pane xSplit="1" ySplit="1" topLeftCell="G561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3" t="s">
        <v>1869</v>
      </c>
      <c r="AC1" s="3" t="s">
        <v>1870</v>
      </c>
      <c r="AD1" s="4" t="s">
        <v>22</v>
      </c>
      <c r="AE1" s="5" t="s">
        <v>23</v>
      </c>
      <c r="AF1" s="3" t="s">
        <v>1856</v>
      </c>
      <c r="AG1" s="3" t="s">
        <v>1857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74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0.83333333333333337</v>
      </c>
      <c r="AD2" s="91">
        <v>8</v>
      </c>
      <c r="AE2" s="103" t="s">
        <v>1830</v>
      </c>
      <c r="AF2" s="91">
        <v>8</v>
      </c>
      <c r="AG2" s="103" t="s">
        <v>1830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74</v>
      </c>
      <c r="AB3" s="70" t="s">
        <v>1795</v>
      </c>
      <c r="AC3" s="87">
        <f t="shared" si="0"/>
        <v>0.72222222222222221</v>
      </c>
      <c r="AD3" s="91">
        <v>8</v>
      </c>
      <c r="AE3" s="103" t="s">
        <v>1830</v>
      </c>
      <c r="AF3" s="91">
        <v>8</v>
      </c>
      <c r="AG3" s="103" t="s">
        <v>1830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 s="91">
        <v>4</v>
      </c>
      <c r="AG4" s="64" t="s">
        <v>1834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 s="91">
        <v>3</v>
      </c>
      <c r="AG5" s="105" t="s">
        <v>1835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 s="91">
        <v>2</v>
      </c>
      <c r="AG6" s="103" t="s">
        <v>1837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 s="91">
        <v>9</v>
      </c>
      <c r="AG7" s="103" t="s">
        <v>1836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 s="91">
        <v>9</v>
      </c>
      <c r="AG8" s="103" t="s">
        <v>1836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 s="91">
        <v>9</v>
      </c>
      <c r="AG9" s="103" t="s">
        <v>1836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 s="91">
        <v>2</v>
      </c>
      <c r="AG10" s="103" t="s">
        <v>1837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 s="91">
        <v>2</v>
      </c>
      <c r="AG11" s="103" t="s">
        <v>1837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 s="91">
        <v>2</v>
      </c>
      <c r="AG12" s="103" t="s">
        <v>1837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0.48148148148148145</v>
      </c>
      <c r="AD13" s="91">
        <v>2</v>
      </c>
      <c r="AE13" s="103" t="s">
        <v>1837</v>
      </c>
      <c r="AF13" s="91">
        <v>2</v>
      </c>
      <c r="AG13" s="103" t="s">
        <v>1837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 s="91">
        <v>2</v>
      </c>
      <c r="AG14" s="103" t="s">
        <v>1837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 s="91">
        <v>2</v>
      </c>
      <c r="AG15" s="103" t="s">
        <v>1837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 s="91">
        <v>9</v>
      </c>
      <c r="AG16" s="103" t="s">
        <v>1836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 s="91">
        <v>9</v>
      </c>
      <c r="AG17" s="103" t="s">
        <v>1836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 s="91">
        <v>9</v>
      </c>
      <c r="AG18" s="103" t="s">
        <v>1836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 s="91">
        <v>9</v>
      </c>
      <c r="AG19" s="103" t="s">
        <v>1836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 s="91">
        <v>9</v>
      </c>
      <c r="AG20" s="103" t="s">
        <v>1836</v>
      </c>
    </row>
    <row r="21" spans="1:33" x14ac:dyDescent="0.3">
      <c r="A21" s="84" t="s">
        <v>1177</v>
      </c>
      <c r="B21" s="93" t="s">
        <v>25</v>
      </c>
      <c r="C21" s="93" t="s">
        <v>440</v>
      </c>
      <c r="D21" s="33" t="s">
        <v>1775</v>
      </c>
      <c r="E21" s="34" t="s">
        <v>1178</v>
      </c>
      <c r="F21" s="34" t="s">
        <v>1179</v>
      </c>
      <c r="G21" s="34" t="s">
        <v>111</v>
      </c>
      <c r="H21" s="37">
        <v>1</v>
      </c>
      <c r="I21" s="34" t="s">
        <v>112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12</v>
      </c>
      <c r="O21" s="48">
        <v>4</v>
      </c>
      <c r="P21" s="49">
        <v>57</v>
      </c>
      <c r="Q21" s="50">
        <v>18.730795799999999</v>
      </c>
      <c r="R21" s="50">
        <v>-99.389778100000001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37</v>
      </c>
      <c r="AA21" s="66" t="s">
        <v>37</v>
      </c>
      <c r="AB21" s="67"/>
      <c r="AC21" s="87">
        <f t="shared" si="0"/>
        <v>0.94444444444444442</v>
      </c>
      <c r="AD21" s="91">
        <v>9</v>
      </c>
      <c r="AE21" s="105" t="s">
        <v>1842</v>
      </c>
      <c r="AF21" s="91">
        <v>9</v>
      </c>
      <c r="AG21" s="105" t="s">
        <v>1842</v>
      </c>
    </row>
    <row r="22" spans="1:33" x14ac:dyDescent="0.3">
      <c r="A22" s="84" t="s">
        <v>439</v>
      </c>
      <c r="B22" s="93" t="s">
        <v>25</v>
      </c>
      <c r="C22" s="93" t="s">
        <v>440</v>
      </c>
      <c r="D22" s="33" t="s">
        <v>1775</v>
      </c>
      <c r="E22" s="34" t="s">
        <v>441</v>
      </c>
      <c r="F22" s="34" t="s">
        <v>442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8</v>
      </c>
      <c r="O22" s="48">
        <v>2</v>
      </c>
      <c r="P22" s="49">
        <v>21</v>
      </c>
      <c r="Q22" s="50">
        <v>18.615729999999999</v>
      </c>
      <c r="R22" s="50">
        <v>-99.32647</v>
      </c>
      <c r="S22" s="66" t="s">
        <v>34</v>
      </c>
      <c r="T22" s="66" t="s">
        <v>175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0.72222222222222221</v>
      </c>
      <c r="AD22" s="91">
        <v>9</v>
      </c>
      <c r="AE22" s="105" t="s">
        <v>1842</v>
      </c>
      <c r="AF22" s="91">
        <v>9</v>
      </c>
      <c r="AG22" s="105" t="s">
        <v>1842</v>
      </c>
    </row>
    <row r="23" spans="1:33" x14ac:dyDescent="0.3">
      <c r="A23" s="84" t="s">
        <v>446</v>
      </c>
      <c r="B23" s="93" t="s">
        <v>25</v>
      </c>
      <c r="C23" s="93" t="s">
        <v>440</v>
      </c>
      <c r="D23" s="33" t="s">
        <v>1775</v>
      </c>
      <c r="E23" s="34" t="s">
        <v>447</v>
      </c>
      <c r="F23" s="34" t="s">
        <v>448</v>
      </c>
      <c r="G23" s="34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47">
        <v>9</v>
      </c>
      <c r="O23" s="48">
        <v>2</v>
      </c>
      <c r="P23" s="49">
        <v>28</v>
      </c>
      <c r="Q23" s="50">
        <v>18.670223700000001</v>
      </c>
      <c r="R23" s="50">
        <v>-98.8065608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37</v>
      </c>
      <c r="AA23" s="66" t="s">
        <v>37</v>
      </c>
      <c r="AB23" s="67"/>
      <c r="AC23" s="87">
        <f t="shared" si="0"/>
        <v>0.94444444444444442</v>
      </c>
      <c r="AD23" s="91">
        <v>9</v>
      </c>
      <c r="AE23" s="105" t="s">
        <v>1842</v>
      </c>
      <c r="AF23" s="91">
        <v>9</v>
      </c>
      <c r="AG23" s="105" t="s">
        <v>1842</v>
      </c>
    </row>
    <row r="24" spans="1:33" x14ac:dyDescent="0.3">
      <c r="A24" s="84" t="s">
        <v>1183</v>
      </c>
      <c r="B24" s="93" t="s">
        <v>25</v>
      </c>
      <c r="C24" s="93" t="s">
        <v>440</v>
      </c>
      <c r="D24" s="33" t="s">
        <v>1775</v>
      </c>
      <c r="E24" s="34" t="s">
        <v>1184</v>
      </c>
      <c r="F24" s="34" t="s">
        <v>1185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10</v>
      </c>
      <c r="O24" s="48">
        <v>2</v>
      </c>
      <c r="P24" s="49">
        <v>68</v>
      </c>
      <c r="Q24" s="50">
        <v>18.488446799999998</v>
      </c>
      <c r="R24" s="50">
        <v>-98.762501799999995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37</v>
      </c>
      <c r="AA24" s="66" t="s">
        <v>37</v>
      </c>
      <c r="AB24" s="67"/>
      <c r="AC24" s="87">
        <f t="shared" si="0"/>
        <v>1</v>
      </c>
      <c r="AD24" s="91">
        <v>9</v>
      </c>
      <c r="AE24" s="105" t="s">
        <v>1842</v>
      </c>
      <c r="AF24" s="91">
        <v>9</v>
      </c>
      <c r="AG24" s="105" t="s">
        <v>1842</v>
      </c>
    </row>
    <row r="25" spans="1:33" x14ac:dyDescent="0.3">
      <c r="A25" s="84" t="s">
        <v>1168</v>
      </c>
      <c r="B25" s="93" t="s">
        <v>25</v>
      </c>
      <c r="C25" s="93" t="s">
        <v>440</v>
      </c>
      <c r="D25" s="33" t="s">
        <v>1775</v>
      </c>
      <c r="E25" s="34" t="s">
        <v>1169</v>
      </c>
      <c r="F25" s="34" t="s">
        <v>1170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22</v>
      </c>
      <c r="O25" s="48">
        <v>6</v>
      </c>
      <c r="P25" s="49">
        <v>140</v>
      </c>
      <c r="Q25" s="50">
        <v>18.845500000000001</v>
      </c>
      <c r="R25" s="50">
        <v>-98.939099999999996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1</v>
      </c>
      <c r="AD25" s="91">
        <v>9</v>
      </c>
      <c r="AE25" s="105" t="s">
        <v>1842</v>
      </c>
      <c r="AF25" s="91">
        <v>9</v>
      </c>
      <c r="AG25" s="105" t="s">
        <v>1842</v>
      </c>
    </row>
    <row r="26" spans="1:33" x14ac:dyDescent="0.3">
      <c r="A26" s="84" t="s">
        <v>1565</v>
      </c>
      <c r="B26" s="93" t="s">
        <v>25</v>
      </c>
      <c r="C26" s="93" t="s">
        <v>440</v>
      </c>
      <c r="D26" s="33" t="s">
        <v>1775</v>
      </c>
      <c r="E26" s="34" t="s">
        <v>1566</v>
      </c>
      <c r="F26" s="34" t="s">
        <v>1564</v>
      </c>
      <c r="G26" s="34" t="s">
        <v>164</v>
      </c>
      <c r="H26" s="37">
        <v>2</v>
      </c>
      <c r="I26" s="34" t="s">
        <v>155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13</v>
      </c>
      <c r="O26" s="48">
        <v>3</v>
      </c>
      <c r="P26" s="49">
        <v>59</v>
      </c>
      <c r="Q26" s="50">
        <v>18.883800000000001</v>
      </c>
      <c r="R26" s="50">
        <v>-99.08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1</v>
      </c>
      <c r="AD26" s="91">
        <v>9</v>
      </c>
      <c r="AE26" s="105" t="s">
        <v>1842</v>
      </c>
      <c r="AF26" s="91">
        <v>9</v>
      </c>
      <c r="AG26" s="105" t="s">
        <v>1842</v>
      </c>
    </row>
    <row r="27" spans="1:33" x14ac:dyDescent="0.3">
      <c r="A27" s="84" t="s">
        <v>443</v>
      </c>
      <c r="B27" s="93" t="s">
        <v>25</v>
      </c>
      <c r="C27" s="93" t="s">
        <v>440</v>
      </c>
      <c r="D27" s="33" t="s">
        <v>1775</v>
      </c>
      <c r="E27" s="34" t="s">
        <v>444</v>
      </c>
      <c r="F27" s="34" t="s">
        <v>445</v>
      </c>
      <c r="G27" s="34" t="s">
        <v>29</v>
      </c>
      <c r="H27" s="37">
        <v>1</v>
      </c>
      <c r="I27" s="34" t="s">
        <v>30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3</v>
      </c>
      <c r="P27" s="49">
        <v>51</v>
      </c>
      <c r="Q27" s="50">
        <v>18.881989799999999</v>
      </c>
      <c r="R27" s="50">
        <v>-98.784947299999999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74</v>
      </c>
      <c r="AA27" s="66" t="s">
        <v>74</v>
      </c>
      <c r="AB27" s="67"/>
      <c r="AC27" s="87">
        <f t="shared" si="0"/>
        <v>0.77777777777777779</v>
      </c>
      <c r="AD27" s="91">
        <v>9</v>
      </c>
      <c r="AE27" s="105" t="s">
        <v>1842</v>
      </c>
      <c r="AF27" s="91">
        <v>9</v>
      </c>
      <c r="AG27" s="105" t="s">
        <v>1842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 s="91">
        <v>3</v>
      </c>
      <c r="AG28" s="105" t="s">
        <v>1835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 s="91">
        <v>3</v>
      </c>
      <c r="AG29" s="105" t="s">
        <v>1783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 s="91">
        <v>9</v>
      </c>
      <c r="AG30" s="105" t="s">
        <v>1788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 s="91">
        <v>9</v>
      </c>
      <c r="AG31" s="105" t="s">
        <v>1788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 s="91">
        <v>9</v>
      </c>
      <c r="AG32" s="105" t="s">
        <v>1788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 s="91">
        <v>9</v>
      </c>
      <c r="AG33" s="105" t="s">
        <v>1788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 s="91">
        <v>9</v>
      </c>
      <c r="AG34" s="119" t="s">
        <v>1788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 s="91">
        <v>9</v>
      </c>
      <c r="AG35" s="105" t="s">
        <v>1788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 s="91">
        <v>9</v>
      </c>
      <c r="AG36" s="105" t="s">
        <v>1788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 s="91">
        <v>9</v>
      </c>
      <c r="AG37" s="105" t="s">
        <v>1788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 s="91">
        <v>9</v>
      </c>
      <c r="AG38" s="119" t="s">
        <v>1788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 s="91">
        <v>9</v>
      </c>
      <c r="AG39" s="119" t="s">
        <v>1788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 s="91">
        <v>9</v>
      </c>
      <c r="AG40" s="105" t="s">
        <v>1788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 s="91">
        <v>9</v>
      </c>
      <c r="AG41" s="105" t="s">
        <v>1788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 s="91">
        <v>9</v>
      </c>
      <c r="AG42" s="119" t="s">
        <v>1788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 s="91">
        <v>5</v>
      </c>
      <c r="AG43" s="119" t="s">
        <v>1846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 s="91">
        <v>5</v>
      </c>
      <c r="AG44" s="119" t="s">
        <v>1846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 s="91">
        <v>9</v>
      </c>
      <c r="AG45" s="103" t="s">
        <v>1849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 s="91">
        <v>9</v>
      </c>
      <c r="AG46" s="103" t="s">
        <v>1849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 s="91">
        <v>9</v>
      </c>
      <c r="AG47" s="103" t="s">
        <v>1849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 s="91">
        <v>9</v>
      </c>
      <c r="AG48" s="103" t="s">
        <v>1849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 s="91">
        <v>9</v>
      </c>
      <c r="AG49" s="103" t="s">
        <v>1849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 s="91">
        <v>9</v>
      </c>
      <c r="AG50" s="103" t="s">
        <v>1849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 s="91">
        <v>9</v>
      </c>
      <c r="AG51" s="103" t="s">
        <v>1849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 s="91">
        <v>9</v>
      </c>
      <c r="AG52" s="103" t="s">
        <v>1849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 s="91">
        <v>9</v>
      </c>
      <c r="AG53" s="103" t="s">
        <v>1849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 s="91">
        <v>9</v>
      </c>
      <c r="AG54" s="103" t="s">
        <v>1849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 s="91">
        <v>9</v>
      </c>
      <c r="AG55" s="103" t="s">
        <v>1849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 s="91">
        <v>9</v>
      </c>
      <c r="AG56" s="103" t="s">
        <v>1849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 s="91">
        <v>9</v>
      </c>
      <c r="AG57" s="103" t="s">
        <v>1849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 s="91">
        <v>9</v>
      </c>
      <c r="AG58" s="103" t="s">
        <v>1849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 s="91">
        <v>9</v>
      </c>
      <c r="AG59" s="103" t="s">
        <v>1849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 s="91">
        <v>9</v>
      </c>
      <c r="AG60" s="103" t="s">
        <v>1849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 s="91">
        <v>9</v>
      </c>
      <c r="AG61" s="103" t="s">
        <v>1849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 s="91">
        <v>4</v>
      </c>
      <c r="AG62" s="64" t="s">
        <v>1786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 s="91">
        <v>4</v>
      </c>
      <c r="AG63" s="64" t="s">
        <v>1786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 s="91">
        <v>4</v>
      </c>
      <c r="AG64" s="64" t="s">
        <v>1786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 s="91">
        <v>4</v>
      </c>
      <c r="AG65" s="64" t="s">
        <v>1786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 s="91">
        <v>4</v>
      </c>
      <c r="AG66" s="64" t="s">
        <v>1786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1"/>
        <v>0.77777777777777779</v>
      </c>
      <c r="AD67" s="91">
        <v>4</v>
      </c>
      <c r="AE67" s="64" t="s">
        <v>1786</v>
      </c>
      <c r="AF67" s="91">
        <v>4</v>
      </c>
      <c r="AG67" s="64" t="s">
        <v>1786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1"/>
        <v>0.77777777777777779</v>
      </c>
      <c r="AD68" s="91">
        <v>4</v>
      </c>
      <c r="AE68" s="64" t="s">
        <v>1786</v>
      </c>
      <c r="AF68" s="91">
        <v>4</v>
      </c>
      <c r="AG68" s="64" t="s">
        <v>1786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1"/>
        <v>0.77777777777777779</v>
      </c>
      <c r="AD69" s="91">
        <v>4</v>
      </c>
      <c r="AE69" s="64" t="s">
        <v>1786</v>
      </c>
      <c r="AF69" s="91">
        <v>4</v>
      </c>
      <c r="AG69" s="64" t="s">
        <v>1786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1"/>
        <v>0.77777777777777779</v>
      </c>
      <c r="AD70" s="91">
        <v>4</v>
      </c>
      <c r="AE70" s="64" t="s">
        <v>1786</v>
      </c>
      <c r="AF70" s="91">
        <v>4</v>
      </c>
      <c r="AG70" s="64" t="s">
        <v>1786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1"/>
        <v>0.77777777777777779</v>
      </c>
      <c r="AD71" s="91">
        <v>4</v>
      </c>
      <c r="AE71" s="64" t="s">
        <v>1786</v>
      </c>
      <c r="AF71" s="91">
        <v>4</v>
      </c>
      <c r="AG71" s="64" t="s">
        <v>1786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1"/>
        <v>0.77777777777777779</v>
      </c>
      <c r="AD72" s="91">
        <v>4</v>
      </c>
      <c r="AE72" s="64" t="s">
        <v>1786</v>
      </c>
      <c r="AF72" s="91">
        <v>4</v>
      </c>
      <c r="AG72" s="64" t="s">
        <v>1786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1"/>
        <v>0.77777777777777779</v>
      </c>
      <c r="AD73" s="91">
        <v>4</v>
      </c>
      <c r="AE73" s="64" t="s">
        <v>1786</v>
      </c>
      <c r="AF73" s="91">
        <v>4</v>
      </c>
      <c r="AG73" s="64" t="s">
        <v>1786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1"/>
        <v>0.77777777777777779</v>
      </c>
      <c r="AD74" s="91">
        <v>4</v>
      </c>
      <c r="AE74" s="64" t="s">
        <v>1786</v>
      </c>
      <c r="AF74" s="91">
        <v>4</v>
      </c>
      <c r="AG74" s="64" t="s">
        <v>1786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1"/>
        <v>0.77777777777777779</v>
      </c>
      <c r="AD75" s="91">
        <v>4</v>
      </c>
      <c r="AE75" s="64" t="s">
        <v>1786</v>
      </c>
      <c r="AF75" s="91">
        <v>4</v>
      </c>
      <c r="AG75" s="64" t="s">
        <v>1786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1"/>
        <v>0.77777777777777779</v>
      </c>
      <c r="AD76" s="91">
        <v>4</v>
      </c>
      <c r="AE76" s="64" t="s">
        <v>1786</v>
      </c>
      <c r="AF76" s="91">
        <v>4</v>
      </c>
      <c r="AG76" s="64" t="s">
        <v>1786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1"/>
        <v>0.77777777777777779</v>
      </c>
      <c r="AD77" s="91">
        <v>4</v>
      </c>
      <c r="AE77" s="64" t="s">
        <v>1786</v>
      </c>
      <c r="AF77" s="91">
        <v>4</v>
      </c>
      <c r="AG77" s="64" t="s">
        <v>1786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1"/>
        <v>0.77777777777777779</v>
      </c>
      <c r="AD78" s="91">
        <v>4</v>
      </c>
      <c r="AE78" s="64" t="s">
        <v>1786</v>
      </c>
      <c r="AF78" s="91">
        <v>4</v>
      </c>
      <c r="AG78" s="64" t="s">
        <v>1786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1"/>
        <v>0.77777777777777779</v>
      </c>
      <c r="AD79" s="91">
        <v>4</v>
      </c>
      <c r="AE79" s="64" t="s">
        <v>1786</v>
      </c>
      <c r="AF79" s="91">
        <v>4</v>
      </c>
      <c r="AG79" s="64" t="s">
        <v>1786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1819</v>
      </c>
      <c r="AA80" s="66" t="s">
        <v>37</v>
      </c>
      <c r="AB80" s="73" t="s">
        <v>1864</v>
      </c>
      <c r="AC80" s="87">
        <f t="shared" si="1"/>
        <v>0.88888888888888884</v>
      </c>
      <c r="AD80" s="91">
        <v>2</v>
      </c>
      <c r="AE80" s="103" t="s">
        <v>1829</v>
      </c>
      <c r="AF80" s="91">
        <v>2</v>
      </c>
      <c r="AG80" s="103" t="s">
        <v>1829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/>
      <c r="AA81" s="66" t="s">
        <v>37</v>
      </c>
      <c r="AB81" s="73" t="s">
        <v>1864</v>
      </c>
      <c r="AC81" s="87">
        <f t="shared" si="1"/>
        <v>0.88888888888888884</v>
      </c>
      <c r="AD81" s="91">
        <v>2</v>
      </c>
      <c r="AE81" s="103" t="s">
        <v>1829</v>
      </c>
      <c r="AF81" s="91">
        <v>2</v>
      </c>
      <c r="AG81" s="103" t="s">
        <v>1829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1"/>
        <v>1</v>
      </c>
      <c r="AD82" s="92" t="s">
        <v>1825</v>
      </c>
      <c r="AE82" s="64"/>
      <c r="AF82" s="92" t="s">
        <v>1825</v>
      </c>
      <c r="AG82" s="64"/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1"/>
        <v>1</v>
      </c>
      <c r="AD83" s="92" t="s">
        <v>1825</v>
      </c>
      <c r="AE83" s="64"/>
      <c r="AF83" s="92" t="s">
        <v>1825</v>
      </c>
      <c r="AG83" s="64"/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1"/>
        <v>1</v>
      </c>
      <c r="AD84" s="92" t="s">
        <v>1825</v>
      </c>
      <c r="AE84" s="64"/>
      <c r="AF84" s="92" t="s">
        <v>1825</v>
      </c>
      <c r="AG84" s="64"/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1"/>
        <v>1</v>
      </c>
      <c r="AD85" s="92" t="s">
        <v>1825</v>
      </c>
      <c r="AE85" s="64"/>
      <c r="AF85" s="92" t="s">
        <v>1825</v>
      </c>
      <c r="AG85" s="64"/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1"/>
        <v>1</v>
      </c>
      <c r="AD86" s="92" t="s">
        <v>1825</v>
      </c>
      <c r="AE86" s="64"/>
      <c r="AF86" s="92" t="s">
        <v>1825</v>
      </c>
      <c r="AG86" s="64"/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1"/>
        <v>1</v>
      </c>
      <c r="AD87" s="92" t="s">
        <v>1825</v>
      </c>
      <c r="AE87" s="64"/>
      <c r="AF87" s="92" t="s">
        <v>1825</v>
      </c>
      <c r="AG87" s="64"/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1"/>
        <v>1</v>
      </c>
      <c r="AD88" s="92" t="s">
        <v>1825</v>
      </c>
      <c r="AE88" s="64"/>
      <c r="AF88" s="92" t="s">
        <v>1825</v>
      </c>
      <c r="AG88" s="64"/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1"/>
        <v>1</v>
      </c>
      <c r="AD89" s="92" t="s">
        <v>1825</v>
      </c>
      <c r="AE89" s="64"/>
      <c r="AF89" s="92" t="s">
        <v>1825</v>
      </c>
      <c r="AG89" s="64"/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1"/>
        <v>1</v>
      </c>
      <c r="AD90" s="92" t="s">
        <v>1825</v>
      </c>
      <c r="AE90" s="64"/>
      <c r="AF90" s="92" t="s">
        <v>1825</v>
      </c>
      <c r="AG90" s="64"/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1"/>
        <v>1</v>
      </c>
      <c r="AD91" s="92" t="s">
        <v>1825</v>
      </c>
      <c r="AE91" s="64"/>
      <c r="AF91" s="92" t="s">
        <v>1825</v>
      </c>
      <c r="AG91" s="64"/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1"/>
        <v>1</v>
      </c>
      <c r="AD92" s="92" t="s">
        <v>1825</v>
      </c>
      <c r="AE92" s="64"/>
      <c r="AF92" s="92" t="s">
        <v>1825</v>
      </c>
      <c r="AG92" s="64"/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1"/>
        <v>1</v>
      </c>
      <c r="AD93" s="92" t="s">
        <v>1825</v>
      </c>
      <c r="AE93" s="64"/>
      <c r="AF93" s="92" t="s">
        <v>1825</v>
      </c>
      <c r="AG93" s="64"/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1"/>
        <v>1</v>
      </c>
      <c r="AD94" s="92" t="s">
        <v>1825</v>
      </c>
      <c r="AE94" s="64"/>
      <c r="AF94" s="92" t="s">
        <v>1825</v>
      </c>
      <c r="AG94" s="64"/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1"/>
        <v>1</v>
      </c>
      <c r="AD95" s="92" t="s">
        <v>1825</v>
      </c>
      <c r="AE95" s="64"/>
      <c r="AF95" s="92" t="s">
        <v>1825</v>
      </c>
      <c r="AG95" s="64"/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1"/>
        <v>1</v>
      </c>
      <c r="AD96" s="92" t="s">
        <v>1825</v>
      </c>
      <c r="AE96" s="64"/>
      <c r="AF96" s="92" t="s">
        <v>1825</v>
      </c>
      <c r="AG96" s="64"/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1"/>
        <v>1</v>
      </c>
      <c r="AD97" s="92" t="s">
        <v>1825</v>
      </c>
      <c r="AE97" s="64"/>
      <c r="AF97" s="92" t="s">
        <v>1825</v>
      </c>
      <c r="AG97" s="64"/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1"/>
        <v>1</v>
      </c>
      <c r="AD98" s="92" t="s">
        <v>1825</v>
      </c>
      <c r="AE98" s="64"/>
      <c r="AF98" s="92" t="s">
        <v>1825</v>
      </c>
      <c r="AG98" s="64"/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1"/>
        <v>1</v>
      </c>
      <c r="AD99" s="92" t="s">
        <v>1825</v>
      </c>
      <c r="AE99" s="64"/>
      <c r="AF99" s="92" t="s">
        <v>1825</v>
      </c>
      <c r="AG99" s="64"/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1"/>
        <v>1</v>
      </c>
      <c r="AD100" s="92" t="s">
        <v>1825</v>
      </c>
      <c r="AE100" s="64"/>
      <c r="AF100" s="92" t="s">
        <v>1825</v>
      </c>
      <c r="AG100" s="64"/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1"/>
        <v>1</v>
      </c>
      <c r="AD101" s="92" t="s">
        <v>1825</v>
      </c>
      <c r="AE101" s="64"/>
      <c r="AF101" s="92" t="s">
        <v>1825</v>
      </c>
      <c r="AG101" s="64"/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1"/>
        <v>1</v>
      </c>
      <c r="AD102" s="92" t="s">
        <v>1825</v>
      </c>
      <c r="AE102" s="64"/>
      <c r="AF102" s="92" t="s">
        <v>1825</v>
      </c>
      <c r="AG102" s="64"/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1"/>
        <v>1</v>
      </c>
      <c r="AD103" s="92" t="s">
        <v>1825</v>
      </c>
      <c r="AE103" s="64"/>
      <c r="AF103" s="92" t="s">
        <v>1825</v>
      </c>
      <c r="AG103" s="64"/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1"/>
        <v>1</v>
      </c>
      <c r="AD104" s="92" t="s">
        <v>1825</v>
      </c>
      <c r="AE104" s="64"/>
      <c r="AF104" s="92" t="s">
        <v>1825</v>
      </c>
      <c r="AG104" s="64"/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1"/>
        <v>1</v>
      </c>
      <c r="AD105" s="92" t="s">
        <v>1825</v>
      </c>
      <c r="AE105" s="64"/>
      <c r="AF105" s="92" t="s">
        <v>1825</v>
      </c>
      <c r="AG105" s="64"/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1"/>
        <v>1</v>
      </c>
      <c r="AD106" s="92" t="s">
        <v>1825</v>
      </c>
      <c r="AE106" s="64"/>
      <c r="AF106" s="92" t="s">
        <v>1825</v>
      </c>
      <c r="AG106" s="64"/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1"/>
        <v>1</v>
      </c>
      <c r="AD107" s="92" t="s">
        <v>1825</v>
      </c>
      <c r="AE107" s="64"/>
      <c r="AF107" s="92" t="s">
        <v>1825</v>
      </c>
      <c r="AG107" s="64"/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 t="s">
        <v>1825</v>
      </c>
      <c r="AE108" s="64"/>
      <c r="AF108" s="92" t="s">
        <v>1825</v>
      </c>
      <c r="AG108" s="64"/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 t="s">
        <v>1825</v>
      </c>
      <c r="AE109" s="64"/>
      <c r="AF109" s="92" t="s">
        <v>1825</v>
      </c>
      <c r="AG109" s="64"/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 t="s">
        <v>1825</v>
      </c>
      <c r="AE110" s="64"/>
      <c r="AF110" s="92" t="s">
        <v>1825</v>
      </c>
      <c r="AG110" s="64"/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1"/>
        <v>1</v>
      </c>
      <c r="AD111" s="92" t="s">
        <v>1825</v>
      </c>
      <c r="AE111" s="64"/>
      <c r="AF111" s="92" t="s">
        <v>1825</v>
      </c>
      <c r="AG111" s="64"/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1"/>
        <v>1</v>
      </c>
      <c r="AD112" s="92" t="s">
        <v>1825</v>
      </c>
      <c r="AE112" s="64"/>
      <c r="AF112" s="92" t="s">
        <v>1825</v>
      </c>
      <c r="AG112" s="64"/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1"/>
        <v>1</v>
      </c>
      <c r="AD113" s="92" t="s">
        <v>1825</v>
      </c>
      <c r="AE113" s="64"/>
      <c r="AF113" s="92" t="s">
        <v>1825</v>
      </c>
      <c r="AG113" s="64"/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1"/>
        <v>1</v>
      </c>
      <c r="AD114" s="92" t="s">
        <v>1825</v>
      </c>
      <c r="AE114" s="64"/>
      <c r="AF114" s="92" t="s">
        <v>1825</v>
      </c>
      <c r="AG114" s="64"/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1"/>
        <v>1</v>
      </c>
      <c r="AD115" s="92" t="s">
        <v>1825</v>
      </c>
      <c r="AE115" s="64"/>
      <c r="AF115" s="92" t="s">
        <v>1825</v>
      </c>
      <c r="AG115" s="64"/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1"/>
        <v>1</v>
      </c>
      <c r="AD116" s="92" t="s">
        <v>1825</v>
      </c>
      <c r="AE116" s="64"/>
      <c r="AF116" s="92" t="s">
        <v>1825</v>
      </c>
      <c r="AG116" s="64"/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1"/>
        <v>1</v>
      </c>
      <c r="AD117" s="92" t="s">
        <v>1825</v>
      </c>
      <c r="AE117" s="64"/>
      <c r="AF117" s="92" t="s">
        <v>1825</v>
      </c>
      <c r="AG117" s="64"/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1"/>
        <v>1</v>
      </c>
      <c r="AD118" s="92" t="s">
        <v>1825</v>
      </c>
      <c r="AE118" s="64"/>
      <c r="AF118" s="92" t="s">
        <v>1825</v>
      </c>
      <c r="AG118" s="64"/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1"/>
        <v>1</v>
      </c>
      <c r="AD119" s="92" t="s">
        <v>1825</v>
      </c>
      <c r="AE119" s="64"/>
      <c r="AF119" s="92" t="s">
        <v>1825</v>
      </c>
      <c r="AG119" s="64"/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1"/>
        <v>1</v>
      </c>
      <c r="AD120" s="92" t="s">
        <v>1825</v>
      </c>
      <c r="AE120" s="64"/>
      <c r="AF120" s="92" t="s">
        <v>1825</v>
      </c>
      <c r="AG120" s="64"/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1"/>
        <v>0.88888888888888884</v>
      </c>
      <c r="AD121" s="92" t="s">
        <v>1825</v>
      </c>
      <c r="AE121" s="64"/>
      <c r="AF121" s="92" t="s">
        <v>1825</v>
      </c>
      <c r="AG121" s="64"/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1"/>
        <v>1</v>
      </c>
      <c r="AD122" s="91">
        <v>7</v>
      </c>
      <c r="AE122" s="103" t="s">
        <v>1830</v>
      </c>
      <c r="AF122" s="91">
        <v>7</v>
      </c>
      <c r="AG122" s="103" t="s">
        <v>1830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1"/>
        <v>1</v>
      </c>
      <c r="AD123" s="91">
        <v>7</v>
      </c>
      <c r="AE123" s="103" t="s">
        <v>1830</v>
      </c>
      <c r="AF123" s="91">
        <v>7</v>
      </c>
      <c r="AG123" s="103" t="s">
        <v>1830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1"/>
        <v>1</v>
      </c>
      <c r="AD124" s="91" t="s">
        <v>1825</v>
      </c>
      <c r="AE124" s="64" t="s">
        <v>1831</v>
      </c>
      <c r="AF124" s="91">
        <v>7</v>
      </c>
      <c r="AG124" s="103" t="s">
        <v>1830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1"/>
        <v>1</v>
      </c>
      <c r="AD125" s="91">
        <v>7</v>
      </c>
      <c r="AE125" s="103" t="s">
        <v>1830</v>
      </c>
      <c r="AF125" s="91">
        <v>7</v>
      </c>
      <c r="AG125" s="103" t="s">
        <v>1830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1"/>
        <v>1</v>
      </c>
      <c r="AD126" s="91">
        <v>7</v>
      </c>
      <c r="AE126" s="103" t="s">
        <v>1830</v>
      </c>
      <c r="AF126" s="91">
        <v>7</v>
      </c>
      <c r="AG126" s="103" t="s">
        <v>1830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1"/>
        <v>1</v>
      </c>
      <c r="AD127" s="91">
        <v>8</v>
      </c>
      <c r="AE127" s="103" t="s">
        <v>1830</v>
      </c>
      <c r="AF127" s="91">
        <v>7</v>
      </c>
      <c r="AG127" s="103" t="s">
        <v>1830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1"/>
        <v>1</v>
      </c>
      <c r="AD128" s="91">
        <v>8</v>
      </c>
      <c r="AE128" s="103" t="s">
        <v>1830</v>
      </c>
      <c r="AF128" s="91">
        <v>7</v>
      </c>
      <c r="AG128" s="103" t="s">
        <v>1830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1"/>
        <v>0.88888888888888884</v>
      </c>
      <c r="AD129" s="91">
        <v>8</v>
      </c>
      <c r="AE129" s="103" t="s">
        <v>1830</v>
      </c>
      <c r="AF129" s="91">
        <v>8</v>
      </c>
      <c r="AG129" s="103" t="s">
        <v>1830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 s="91">
        <v>8</v>
      </c>
      <c r="AG130" s="103" t="s">
        <v>1830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2"/>
        <v>0.94444444444444442</v>
      </c>
      <c r="AD131" s="91">
        <v>8</v>
      </c>
      <c r="AE131" s="103" t="s">
        <v>1830</v>
      </c>
      <c r="AF131" s="91">
        <v>8</v>
      </c>
      <c r="AG131" s="103" t="s">
        <v>1830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2"/>
        <v>1</v>
      </c>
      <c r="AD132" s="91">
        <v>7</v>
      </c>
      <c r="AE132" s="103" t="s">
        <v>1830</v>
      </c>
      <c r="AF132" s="91">
        <v>8</v>
      </c>
      <c r="AG132" s="103" t="s">
        <v>1830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2"/>
        <v>0.83333333333333337</v>
      </c>
      <c r="AD133" s="91">
        <v>7</v>
      </c>
      <c r="AE133" s="103" t="s">
        <v>1830</v>
      </c>
      <c r="AF133" s="91">
        <v>7</v>
      </c>
      <c r="AG133" s="103" t="s">
        <v>1830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2"/>
        <v>0.94444444444444442</v>
      </c>
      <c r="AD134" s="91">
        <v>7</v>
      </c>
      <c r="AE134" s="103" t="s">
        <v>1830</v>
      </c>
      <c r="AF134" s="91">
        <v>7</v>
      </c>
      <c r="AG134" s="103" t="s">
        <v>1830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2"/>
        <v>0.83333333333333337</v>
      </c>
      <c r="AD135" s="91">
        <v>8</v>
      </c>
      <c r="AE135" s="103" t="s">
        <v>1830</v>
      </c>
      <c r="AF135" s="91">
        <v>8</v>
      </c>
      <c r="AG135" s="103" t="s">
        <v>1830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2"/>
        <v>0.94444444444444442</v>
      </c>
      <c r="AD136" s="91">
        <v>8</v>
      </c>
      <c r="AE136" s="103" t="s">
        <v>1830</v>
      </c>
      <c r="AF136" s="91">
        <v>8</v>
      </c>
      <c r="AG136" s="103" t="s">
        <v>1830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2"/>
        <v>0.94444444444444442</v>
      </c>
      <c r="AD137" s="91">
        <v>8</v>
      </c>
      <c r="AE137" s="103" t="s">
        <v>1830</v>
      </c>
      <c r="AF137" s="91">
        <v>8</v>
      </c>
      <c r="AG137" s="103" t="s">
        <v>1830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2"/>
        <v>0.94444444444444442</v>
      </c>
      <c r="AD138" s="91">
        <v>7</v>
      </c>
      <c r="AE138" s="103" t="s">
        <v>1830</v>
      </c>
      <c r="AF138" s="91" t="s">
        <v>1825</v>
      </c>
      <c r="AG138" s="64" t="s">
        <v>1831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2"/>
        <v>1</v>
      </c>
      <c r="AD139" s="91">
        <v>10</v>
      </c>
      <c r="AE139" s="104" t="s">
        <v>1780</v>
      </c>
      <c r="AF139" s="91">
        <v>10</v>
      </c>
      <c r="AG139" s="104" t="s">
        <v>1780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2"/>
        <v>1</v>
      </c>
      <c r="AD140" s="91">
        <v>10</v>
      </c>
      <c r="AE140" s="104" t="s">
        <v>1780</v>
      </c>
      <c r="AF140" s="91">
        <v>10</v>
      </c>
      <c r="AG140" s="104" t="s">
        <v>1780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2"/>
        <v>1</v>
      </c>
      <c r="AD141" s="91">
        <v>10</v>
      </c>
      <c r="AE141" s="104" t="s">
        <v>1780</v>
      </c>
      <c r="AF141" s="91">
        <v>10</v>
      </c>
      <c r="AG141" s="104" t="s">
        <v>1780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2"/>
        <v>1</v>
      </c>
      <c r="AD142" s="91">
        <v>4</v>
      </c>
      <c r="AE142" s="64" t="s">
        <v>1834</v>
      </c>
      <c r="AF142" s="91">
        <v>4</v>
      </c>
      <c r="AG142" s="64" t="s">
        <v>1834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2"/>
        <v>1</v>
      </c>
      <c r="AD143" s="91">
        <v>4</v>
      </c>
      <c r="AE143" s="64" t="s">
        <v>1834</v>
      </c>
      <c r="AF143" s="91">
        <v>4</v>
      </c>
      <c r="AG143" s="64" t="s">
        <v>1834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2"/>
        <v>1</v>
      </c>
      <c r="AD144" s="91">
        <v>4</v>
      </c>
      <c r="AE144" s="64" t="s">
        <v>1834</v>
      </c>
      <c r="AF144" s="91">
        <v>4</v>
      </c>
      <c r="AG144" s="64" t="s">
        <v>1834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2"/>
        <v>1</v>
      </c>
      <c r="AD145" s="91">
        <v>4</v>
      </c>
      <c r="AE145" s="64" t="s">
        <v>1834</v>
      </c>
      <c r="AF145" s="91">
        <v>4</v>
      </c>
      <c r="AG145" s="64" t="s">
        <v>1834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2"/>
        <v>1</v>
      </c>
      <c r="AD146" s="91">
        <v>4</v>
      </c>
      <c r="AE146" s="64" t="s">
        <v>1834</v>
      </c>
      <c r="AF146" s="91">
        <v>4</v>
      </c>
      <c r="AG146" s="64" t="s">
        <v>1834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2"/>
        <v>1</v>
      </c>
      <c r="AD147" s="91">
        <v>4</v>
      </c>
      <c r="AE147" s="64" t="s">
        <v>1834</v>
      </c>
      <c r="AF147" s="91">
        <v>4</v>
      </c>
      <c r="AG147" s="64" t="s">
        <v>1834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2"/>
        <v>1</v>
      </c>
      <c r="AD148" s="91">
        <v>4</v>
      </c>
      <c r="AE148" s="64" t="s">
        <v>1834</v>
      </c>
      <c r="AF148" s="91">
        <v>4</v>
      </c>
      <c r="AG148" s="64" t="s">
        <v>1834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2"/>
        <v>1</v>
      </c>
      <c r="AD149" s="91">
        <v>4</v>
      </c>
      <c r="AE149" s="64" t="s">
        <v>1834</v>
      </c>
      <c r="AF149" s="91">
        <v>4</v>
      </c>
      <c r="AG149" s="64" t="s">
        <v>1834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2"/>
        <v>1</v>
      </c>
      <c r="AD150" s="91">
        <v>4</v>
      </c>
      <c r="AE150" s="64" t="s">
        <v>1834</v>
      </c>
      <c r="AF150" s="91">
        <v>4</v>
      </c>
      <c r="AG150" s="64" t="s">
        <v>1834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2"/>
        <v>1</v>
      </c>
      <c r="AD151" s="91">
        <v>4</v>
      </c>
      <c r="AE151" s="64" t="s">
        <v>1834</v>
      </c>
      <c r="AF151" s="91">
        <v>4</v>
      </c>
      <c r="AG151" s="64" t="s">
        <v>1834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2"/>
        <v>1</v>
      </c>
      <c r="AD152" s="91">
        <v>4</v>
      </c>
      <c r="AE152" s="64" t="s">
        <v>1834</v>
      </c>
      <c r="AF152" s="91">
        <v>4</v>
      </c>
      <c r="AG152" s="64" t="s">
        <v>1834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2"/>
        <v>1</v>
      </c>
      <c r="AD153" s="91">
        <v>4</v>
      </c>
      <c r="AE153" s="64" t="s">
        <v>1834</v>
      </c>
      <c r="AF153" s="91">
        <v>4</v>
      </c>
      <c r="AG153" s="64" t="s">
        <v>1834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2"/>
        <v>1</v>
      </c>
      <c r="AD154" s="91">
        <v>4</v>
      </c>
      <c r="AE154" s="64" t="s">
        <v>1834</v>
      </c>
      <c r="AF154" s="91">
        <v>4</v>
      </c>
      <c r="AG154" s="64" t="s">
        <v>1834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2"/>
        <v>1</v>
      </c>
      <c r="AD155" s="91">
        <v>4</v>
      </c>
      <c r="AE155" s="64" t="s">
        <v>1834</v>
      </c>
      <c r="AF155" s="91">
        <v>4</v>
      </c>
      <c r="AG155" s="64" t="s">
        <v>1834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1">
        <v>4</v>
      </c>
      <c r="AE156" s="64" t="s">
        <v>1834</v>
      </c>
      <c r="AF156" s="91">
        <v>4</v>
      </c>
      <c r="AG156" s="64" t="s">
        <v>1834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1">
        <v>4</v>
      </c>
      <c r="AE157" s="64" t="s">
        <v>1834</v>
      </c>
      <c r="AF157" s="91">
        <v>4</v>
      </c>
      <c r="AG157" s="64" t="s">
        <v>1834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1">
        <v>4</v>
      </c>
      <c r="AE158" s="64" t="s">
        <v>1834</v>
      </c>
      <c r="AF158" s="91">
        <v>4</v>
      </c>
      <c r="AG158" s="64" t="s">
        <v>1834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 t="s">
        <v>1825</v>
      </c>
      <c r="AE159" s="64"/>
      <c r="AF159" s="92" t="s">
        <v>1825</v>
      </c>
      <c r="AG159" s="64"/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 t="s">
        <v>1825</v>
      </c>
      <c r="AE160" s="64"/>
      <c r="AF160" s="92" t="s">
        <v>1825</v>
      </c>
      <c r="AG160" s="64"/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 t="s">
        <v>1825</v>
      </c>
      <c r="AE161" s="105"/>
      <c r="AF161" s="92" t="s">
        <v>1825</v>
      </c>
      <c r="AG161" s="105"/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2"/>
        <v>1</v>
      </c>
      <c r="AD162" s="92" t="s">
        <v>1825</v>
      </c>
      <c r="AE162" s="105"/>
      <c r="AF162" s="92" t="s">
        <v>1825</v>
      </c>
      <c r="AG162" s="105"/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1">
        <v>2</v>
      </c>
      <c r="AE163" s="103" t="s">
        <v>1837</v>
      </c>
      <c r="AF163" s="91">
        <v>2</v>
      </c>
      <c r="AG163" s="103" t="s">
        <v>1837</v>
      </c>
    </row>
    <row r="164" spans="1:33" x14ac:dyDescent="0.3">
      <c r="A164" s="84" t="s">
        <v>1758</v>
      </c>
      <c r="B164" s="93" t="s">
        <v>25</v>
      </c>
      <c r="C164" s="93" t="s">
        <v>440</v>
      </c>
      <c r="D164" s="33" t="s">
        <v>1775</v>
      </c>
      <c r="E164" s="6" t="s">
        <v>1768</v>
      </c>
      <c r="F164" s="6" t="s">
        <v>1751</v>
      </c>
      <c r="G164" s="34" t="s">
        <v>111</v>
      </c>
      <c r="H164" s="37">
        <v>1</v>
      </c>
      <c r="I164" s="34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47"/>
      <c r="O164" s="48"/>
      <c r="P164" s="49"/>
      <c r="Q164" s="51">
        <v>188759753</v>
      </c>
      <c r="R164" s="51">
        <v>-991693427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1">
        <v>9</v>
      </c>
      <c r="AE164" s="105" t="s">
        <v>1842</v>
      </c>
      <c r="AF164" s="91">
        <v>9</v>
      </c>
      <c r="AG164" s="105" t="s">
        <v>1842</v>
      </c>
    </row>
    <row r="165" spans="1:33" x14ac:dyDescent="0.3">
      <c r="A165" s="84" t="s">
        <v>1180</v>
      </c>
      <c r="B165" s="93" t="s">
        <v>25</v>
      </c>
      <c r="C165" s="93" t="s">
        <v>440</v>
      </c>
      <c r="D165" s="33" t="s">
        <v>1775</v>
      </c>
      <c r="E165" s="34" t="s">
        <v>1181</v>
      </c>
      <c r="F165" s="34" t="s">
        <v>1182</v>
      </c>
      <c r="G165" s="34" t="s">
        <v>111</v>
      </c>
      <c r="H165" s="37">
        <v>1</v>
      </c>
      <c r="I165" s="34" t="s">
        <v>112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12</v>
      </c>
      <c r="O165" s="48">
        <v>3</v>
      </c>
      <c r="P165" s="49">
        <v>48</v>
      </c>
      <c r="Q165" s="50">
        <v>18.836831100000001</v>
      </c>
      <c r="R165" s="50">
        <v>-99.239024700000002</v>
      </c>
      <c r="S165" s="66" t="s">
        <v>34</v>
      </c>
      <c r="T165" s="66" t="s">
        <v>175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0.94444444444444442</v>
      </c>
      <c r="AD165" s="91">
        <v>9</v>
      </c>
      <c r="AE165" s="105" t="s">
        <v>1842</v>
      </c>
      <c r="AF165" s="91">
        <v>9</v>
      </c>
      <c r="AG165" s="105" t="s">
        <v>1842</v>
      </c>
    </row>
    <row r="166" spans="1:33" x14ac:dyDescent="0.3">
      <c r="A166" s="84" t="s">
        <v>1174</v>
      </c>
      <c r="B166" s="93" t="s">
        <v>25</v>
      </c>
      <c r="C166" s="93" t="s">
        <v>440</v>
      </c>
      <c r="D166" s="33" t="s">
        <v>1775</v>
      </c>
      <c r="E166" s="34" t="s">
        <v>1175</v>
      </c>
      <c r="F166" s="34" t="s">
        <v>1176</v>
      </c>
      <c r="G166" s="34" t="s">
        <v>111</v>
      </c>
      <c r="H166" s="37">
        <v>1</v>
      </c>
      <c r="I166" s="34" t="s">
        <v>112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47">
        <v>22</v>
      </c>
      <c r="O166" s="48">
        <v>5</v>
      </c>
      <c r="P166" s="49">
        <v>112</v>
      </c>
      <c r="Q166" s="50">
        <v>18.617699999999999</v>
      </c>
      <c r="R166" s="50">
        <v>-99.190700000000007</v>
      </c>
      <c r="S166" s="66" t="s">
        <v>34</v>
      </c>
      <c r="T166" s="66" t="s">
        <v>175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0.94444444444444442</v>
      </c>
      <c r="AD166" s="91">
        <v>9</v>
      </c>
      <c r="AE166" s="105" t="s">
        <v>1842</v>
      </c>
      <c r="AF166" s="91">
        <v>9</v>
      </c>
      <c r="AG166" s="105" t="s">
        <v>1842</v>
      </c>
    </row>
    <row r="167" spans="1:33" x14ac:dyDescent="0.3">
      <c r="A167" s="84" t="s">
        <v>1646</v>
      </c>
      <c r="B167" s="93" t="s">
        <v>25</v>
      </c>
      <c r="C167" s="93" t="s">
        <v>440</v>
      </c>
      <c r="D167" s="33" t="s">
        <v>1775</v>
      </c>
      <c r="E167" s="34" t="s">
        <v>1380</v>
      </c>
      <c r="F167" s="34" t="s">
        <v>1647</v>
      </c>
      <c r="G167" s="34" t="s">
        <v>941</v>
      </c>
      <c r="H167" s="37">
        <v>2</v>
      </c>
      <c r="I167" s="34" t="s">
        <v>155</v>
      </c>
      <c r="J167" s="34" t="s">
        <v>31</v>
      </c>
      <c r="K167" s="34" t="s">
        <v>32</v>
      </c>
      <c r="L167" s="34" t="s">
        <v>1756</v>
      </c>
      <c r="M167" s="34" t="s">
        <v>33</v>
      </c>
      <c r="N167" s="47">
        <v>42</v>
      </c>
      <c r="O167" s="48">
        <v>5</v>
      </c>
      <c r="P167" s="49">
        <v>82</v>
      </c>
      <c r="Q167" s="50">
        <v>18.843599999999999</v>
      </c>
      <c r="R167" s="50">
        <v>-99.202200000000005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74</v>
      </c>
      <c r="AA167" s="66" t="s">
        <v>37</v>
      </c>
      <c r="AB167" s="67"/>
      <c r="AC167" s="87">
        <f t="shared" si="2"/>
        <v>0.83333333333333337</v>
      </c>
      <c r="AD167" s="91">
        <v>9</v>
      </c>
      <c r="AE167" s="105" t="s">
        <v>1842</v>
      </c>
      <c r="AF167" s="91">
        <v>9</v>
      </c>
      <c r="AG167" s="105" t="s">
        <v>1842</v>
      </c>
    </row>
    <row r="168" spans="1:33" x14ac:dyDescent="0.3">
      <c r="A168" s="84" t="s">
        <v>1171</v>
      </c>
      <c r="B168" s="93" t="s">
        <v>25</v>
      </c>
      <c r="C168" s="93" t="s">
        <v>440</v>
      </c>
      <c r="D168" s="33" t="s">
        <v>1775</v>
      </c>
      <c r="E168" s="34" t="s">
        <v>1172</v>
      </c>
      <c r="F168" s="34" t="s">
        <v>1173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36</v>
      </c>
      <c r="O168" s="48">
        <v>7</v>
      </c>
      <c r="P168" s="49">
        <v>223</v>
      </c>
      <c r="Q168" s="50">
        <v>18.9359</v>
      </c>
      <c r="R168" s="50">
        <v>-99.233500000000006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74</v>
      </c>
      <c r="AA168" s="66" t="s">
        <v>37</v>
      </c>
      <c r="AB168" s="67"/>
      <c r="AC168" s="87">
        <f t="shared" si="2"/>
        <v>0.83333333333333337</v>
      </c>
      <c r="AD168" s="91">
        <v>9</v>
      </c>
      <c r="AE168" s="105" t="s">
        <v>1842</v>
      </c>
      <c r="AF168" s="91">
        <v>9</v>
      </c>
      <c r="AG168" s="105" t="s">
        <v>1842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1">
        <v>5</v>
      </c>
      <c r="AE169" s="105" t="s">
        <v>1846</v>
      </c>
      <c r="AF169" s="91">
        <v>5</v>
      </c>
      <c r="AG169" s="105" t="s">
        <v>1846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1">
        <v>10</v>
      </c>
      <c r="AE170" s="105" t="s">
        <v>1782</v>
      </c>
      <c r="AF170" s="91">
        <v>10</v>
      </c>
      <c r="AG170" s="105" t="s">
        <v>1782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1" t="s">
        <v>1825</v>
      </c>
      <c r="AE171" s="105" t="s">
        <v>1855</v>
      </c>
      <c r="AF171" s="91" t="s">
        <v>1825</v>
      </c>
      <c r="AG171" s="105" t="s">
        <v>1855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1">
        <v>3</v>
      </c>
      <c r="AE172" s="105" t="s">
        <v>1855</v>
      </c>
      <c r="AF172" s="91">
        <v>3</v>
      </c>
      <c r="AG172" s="105" t="s">
        <v>1855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2"/>
        <v>0.77777777777777779</v>
      </c>
      <c r="AD173" s="91">
        <v>1</v>
      </c>
      <c r="AE173" s="64" t="s">
        <v>1828</v>
      </c>
      <c r="AF173" s="91">
        <v>1</v>
      </c>
      <c r="AG173" s="64" t="s">
        <v>1828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2"/>
        <v>0.77777777777777779</v>
      </c>
      <c r="AD174" s="91">
        <v>1</v>
      </c>
      <c r="AE174" s="64" t="s">
        <v>1828</v>
      </c>
      <c r="AF174" s="91">
        <v>1</v>
      </c>
      <c r="AG174" s="64" t="s">
        <v>1828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2"/>
        <v>0.72222222222222221</v>
      </c>
      <c r="AD175" s="91">
        <v>1</v>
      </c>
      <c r="AE175" s="64" t="s">
        <v>1828</v>
      </c>
      <c r="AF175" s="91">
        <v>1</v>
      </c>
      <c r="AG175" s="64" t="s">
        <v>1828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2"/>
        <v>0.72222222222222221</v>
      </c>
      <c r="AD176" s="91">
        <v>1</v>
      </c>
      <c r="AE176" s="64" t="s">
        <v>1828</v>
      </c>
      <c r="AF176" s="91">
        <v>1</v>
      </c>
      <c r="AG176" s="64" t="s">
        <v>1828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2"/>
        <v>0.72222222222222221</v>
      </c>
      <c r="AD177" s="91">
        <v>1</v>
      </c>
      <c r="AE177" s="64" t="s">
        <v>1828</v>
      </c>
      <c r="AF177" s="91">
        <v>1</v>
      </c>
      <c r="AG177" s="64" t="s">
        <v>1828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2"/>
        <v>0.72222222222222221</v>
      </c>
      <c r="AD178" s="91">
        <v>1</v>
      </c>
      <c r="AE178" s="64" t="s">
        <v>1828</v>
      </c>
      <c r="AF178" s="91">
        <v>1</v>
      </c>
      <c r="AG178" s="64" t="s">
        <v>1828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2"/>
        <v>0.72222222222222221</v>
      </c>
      <c r="AD179" s="91">
        <v>1</v>
      </c>
      <c r="AE179" s="64" t="s">
        <v>1828</v>
      </c>
      <c r="AF179" s="91">
        <v>1</v>
      </c>
      <c r="AG179" s="64" t="s">
        <v>1828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2"/>
        <v>0.72222222222222221</v>
      </c>
      <c r="AD180" s="91">
        <v>1</v>
      </c>
      <c r="AE180" s="64" t="s">
        <v>1828</v>
      </c>
      <c r="AF180" s="91">
        <v>1</v>
      </c>
      <c r="AG180" s="64" t="s">
        <v>1828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2"/>
        <v>0.72222222222222221</v>
      </c>
      <c r="AD181" s="91">
        <v>1</v>
      </c>
      <c r="AE181" s="64" t="s">
        <v>1828</v>
      </c>
      <c r="AF181" s="91">
        <v>1</v>
      </c>
      <c r="AG181" s="64" t="s">
        <v>1828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2"/>
        <v>0.72222222222222221</v>
      </c>
      <c r="AD182" s="91">
        <v>1</v>
      </c>
      <c r="AE182" s="64" t="s">
        <v>1828</v>
      </c>
      <c r="AF182" s="91">
        <v>1</v>
      </c>
      <c r="AG182" s="64" t="s">
        <v>1828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2"/>
        <v>0.77777777777777779</v>
      </c>
      <c r="AD183" s="91">
        <v>2</v>
      </c>
      <c r="AE183" s="103" t="s">
        <v>1829</v>
      </c>
      <c r="AF183" s="91">
        <v>2</v>
      </c>
      <c r="AG183" s="103" t="s">
        <v>1829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2"/>
        <v>0.77777777777777779</v>
      </c>
      <c r="AD184" s="91">
        <v>2</v>
      </c>
      <c r="AE184" s="103" t="s">
        <v>1829</v>
      </c>
      <c r="AF184" s="91">
        <v>2</v>
      </c>
      <c r="AG184" s="103" t="s">
        <v>1829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 s="67"/>
      <c r="AC185" s="87">
        <f t="shared" si="2"/>
        <v>0.55555555555555558</v>
      </c>
      <c r="AD185" s="91">
        <v>2</v>
      </c>
      <c r="AE185" s="103" t="s">
        <v>1829</v>
      </c>
      <c r="AF185" s="91">
        <v>2</v>
      </c>
      <c r="AG185" s="103" t="s">
        <v>1829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2"/>
        <v>0.77777777777777779</v>
      </c>
      <c r="AD186" s="91">
        <v>2</v>
      </c>
      <c r="AE186" s="103" t="s">
        <v>1829</v>
      </c>
      <c r="AF186" s="91">
        <v>2</v>
      </c>
      <c r="AG186" s="103" t="s">
        <v>1829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2"/>
        <v>0.77777777777777779</v>
      </c>
      <c r="AD187" s="91">
        <v>2</v>
      </c>
      <c r="AE187" s="103" t="s">
        <v>1829</v>
      </c>
      <c r="AF187" s="91">
        <v>2</v>
      </c>
      <c r="AG187" s="103" t="s">
        <v>1829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2"/>
        <v>0.77777777777777779</v>
      </c>
      <c r="AD188" s="91">
        <v>2</v>
      </c>
      <c r="AE188" s="103" t="s">
        <v>1829</v>
      </c>
      <c r="AF188" s="91">
        <v>2</v>
      </c>
      <c r="AG188" s="103" t="s">
        <v>1829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2"/>
        <v>0.77777777777777779</v>
      </c>
      <c r="AD189" s="91">
        <v>2</v>
      </c>
      <c r="AE189" s="103" t="s">
        <v>1829</v>
      </c>
      <c r="AF189" s="91">
        <v>2</v>
      </c>
      <c r="AG189" s="103" t="s">
        <v>1829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2"/>
        <v>0.24074074074074073</v>
      </c>
      <c r="AD190" s="91">
        <v>10</v>
      </c>
      <c r="AE190" s="64" t="s">
        <v>1787</v>
      </c>
      <c r="AF190" s="91">
        <v>10</v>
      </c>
      <c r="AG190" s="64" t="s">
        <v>1787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2"/>
        <v>0.24074074074074073</v>
      </c>
      <c r="AD191" s="91">
        <v>10</v>
      </c>
      <c r="AE191" s="64" t="s">
        <v>1787</v>
      </c>
      <c r="AF191" s="91">
        <v>10</v>
      </c>
      <c r="AG191" s="64" t="s">
        <v>1787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2"/>
        <v>0.46296296296296291</v>
      </c>
      <c r="AD192" s="91">
        <v>10</v>
      </c>
      <c r="AE192" s="64" t="s">
        <v>1787</v>
      </c>
      <c r="AF192" s="91">
        <v>10</v>
      </c>
      <c r="AG192" s="64" t="s">
        <v>1787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176</v>
      </c>
      <c r="V193" s="66" t="s">
        <v>176</v>
      </c>
      <c r="W193" s="66"/>
      <c r="X193" s="66"/>
      <c r="Y193" s="66"/>
      <c r="Z193" s="66"/>
      <c r="AA193" s="66"/>
      <c r="AB193" s="67"/>
      <c r="AC193" s="87">
        <f t="shared" si="2"/>
        <v>0.24074074074074073</v>
      </c>
      <c r="AD193" s="91">
        <v>10</v>
      </c>
      <c r="AE193" s="64" t="s">
        <v>1787</v>
      </c>
      <c r="AF193" s="91">
        <v>10</v>
      </c>
      <c r="AG193" s="64" t="s">
        <v>1787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57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 s="91">
        <v>10</v>
      </c>
      <c r="AG194" s="64" t="s">
        <v>1787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3"/>
        <v>0.24074074074074073</v>
      </c>
      <c r="AD195" s="91">
        <v>10</v>
      </c>
      <c r="AE195" s="64" t="s">
        <v>1787</v>
      </c>
      <c r="AF195" s="91">
        <v>10</v>
      </c>
      <c r="AG195" s="64" t="s">
        <v>1787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3"/>
        <v>0.24074074074074073</v>
      </c>
      <c r="AD196" s="91">
        <v>10</v>
      </c>
      <c r="AE196" s="64" t="s">
        <v>1787</v>
      </c>
      <c r="AF196" s="91">
        <v>10</v>
      </c>
      <c r="AG196" s="64" t="s">
        <v>1787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3"/>
        <v>0.24074074074074073</v>
      </c>
      <c r="AD197" s="91">
        <v>10</v>
      </c>
      <c r="AE197" s="64" t="s">
        <v>1787</v>
      </c>
      <c r="AF197" s="91">
        <v>10</v>
      </c>
      <c r="AG197" s="64" t="s">
        <v>1787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 s="67"/>
      <c r="AC198" s="87">
        <f t="shared" si="3"/>
        <v>0.24074074074074073</v>
      </c>
      <c r="AD198" s="91">
        <v>10</v>
      </c>
      <c r="AE198" s="64" t="s">
        <v>1787</v>
      </c>
      <c r="AF198" s="91">
        <v>10</v>
      </c>
      <c r="AG198" s="64" t="s">
        <v>1787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3"/>
        <v>0.24074074074074073</v>
      </c>
      <c r="AD199" s="91">
        <v>10</v>
      </c>
      <c r="AE199" s="64" t="s">
        <v>1787</v>
      </c>
      <c r="AF199" s="91">
        <v>10</v>
      </c>
      <c r="AG199" s="64" t="s">
        <v>1787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213</v>
      </c>
      <c r="W200" s="66" t="s">
        <v>35</v>
      </c>
      <c r="X200" s="66" t="s">
        <v>175</v>
      </c>
      <c r="Y200" s="66"/>
      <c r="Z200" s="66"/>
      <c r="AA200" s="66"/>
      <c r="AB200" s="67"/>
      <c r="AC200" s="87">
        <f t="shared" si="3"/>
        <v>0.51851851851851849</v>
      </c>
      <c r="AD200" s="91">
        <v>10</v>
      </c>
      <c r="AE200" s="64" t="s">
        <v>1787</v>
      </c>
      <c r="AF200" s="91">
        <v>10</v>
      </c>
      <c r="AG200" s="64" t="s">
        <v>1787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3"/>
        <v>0.24074074074074073</v>
      </c>
      <c r="AD201" s="91">
        <v>10</v>
      </c>
      <c r="AE201" s="64" t="s">
        <v>1787</v>
      </c>
      <c r="AF201" s="91">
        <v>10</v>
      </c>
      <c r="AG201" s="64" t="s">
        <v>1787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3"/>
        <v>0.24074074074074073</v>
      </c>
      <c r="AD202" s="91">
        <v>10</v>
      </c>
      <c r="AE202" s="64" t="s">
        <v>1787</v>
      </c>
      <c r="AF202" s="91">
        <v>10</v>
      </c>
      <c r="AG202" s="64" t="s">
        <v>1787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3"/>
        <v>3.7037037037037035E-2</v>
      </c>
      <c r="AD203" s="91">
        <v>7</v>
      </c>
      <c r="AE203" s="103" t="s">
        <v>1832</v>
      </c>
      <c r="AF203" s="91">
        <v>7</v>
      </c>
      <c r="AG203" s="103" t="s">
        <v>1832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3"/>
        <v>3.7037037037037035E-2</v>
      </c>
      <c r="AD204" s="91">
        <v>7</v>
      </c>
      <c r="AE204" s="103" t="s">
        <v>1832</v>
      </c>
      <c r="AF204" s="91">
        <v>7</v>
      </c>
      <c r="AG204" s="103" t="s">
        <v>1832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3.7037037037037035E-2</v>
      </c>
      <c r="AD205" s="91">
        <v>7</v>
      </c>
      <c r="AE205" s="103" t="s">
        <v>1832</v>
      </c>
      <c r="AF205" s="91">
        <v>7</v>
      </c>
      <c r="AG205" s="103" t="s">
        <v>1832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3.7037037037037035E-2</v>
      </c>
      <c r="AD206" s="91">
        <v>7</v>
      </c>
      <c r="AE206" s="103" t="s">
        <v>1832</v>
      </c>
      <c r="AF206" s="91">
        <v>7</v>
      </c>
      <c r="AG206" s="103" t="s">
        <v>1832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3.7037037037037035E-2</v>
      </c>
      <c r="AD207" s="91">
        <v>7</v>
      </c>
      <c r="AE207" s="103" t="s">
        <v>1832</v>
      </c>
      <c r="AF207" s="91">
        <v>7</v>
      </c>
      <c r="AG207" s="103" t="s">
        <v>1832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3.7037037037037035E-2</v>
      </c>
      <c r="AD208" s="91">
        <v>7</v>
      </c>
      <c r="AE208" s="103" t="s">
        <v>1832</v>
      </c>
      <c r="AF208" s="91">
        <v>7</v>
      </c>
      <c r="AG208" s="103" t="s">
        <v>1832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3.7037037037037035E-2</v>
      </c>
      <c r="AD209" s="91">
        <v>7</v>
      </c>
      <c r="AE209" s="103" t="s">
        <v>1832</v>
      </c>
      <c r="AF209" s="91">
        <v>7</v>
      </c>
      <c r="AG209" s="103" t="s">
        <v>1832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3.7037037037037035E-2</v>
      </c>
      <c r="AD210" s="91">
        <v>8</v>
      </c>
      <c r="AE210" s="103" t="s">
        <v>1833</v>
      </c>
      <c r="AF210" s="91">
        <v>8</v>
      </c>
      <c r="AG210" s="103" t="s">
        <v>1833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3.7037037037037035E-2</v>
      </c>
      <c r="AD211" s="91">
        <v>8</v>
      </c>
      <c r="AE211" s="103" t="s">
        <v>1833</v>
      </c>
      <c r="AF211" s="91">
        <v>8</v>
      </c>
      <c r="AG211" s="103" t="s">
        <v>1833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3.7037037037037035E-2</v>
      </c>
      <c r="AD212" s="91">
        <v>8</v>
      </c>
      <c r="AE212" s="103" t="s">
        <v>1833</v>
      </c>
      <c r="AF212" s="91">
        <v>8</v>
      </c>
      <c r="AG212" s="103" t="s">
        <v>1833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3.7037037037037035E-2</v>
      </c>
      <c r="AD213" s="91">
        <v>8</v>
      </c>
      <c r="AE213" s="103" t="s">
        <v>1833</v>
      </c>
      <c r="AF213" s="91">
        <v>8</v>
      </c>
      <c r="AG213" s="103" t="s">
        <v>1833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3"/>
        <v>3.7037037037037035E-2</v>
      </c>
      <c r="AD214" s="91">
        <v>8</v>
      </c>
      <c r="AE214" s="103" t="s">
        <v>1833</v>
      </c>
      <c r="AF214" s="91">
        <v>8</v>
      </c>
      <c r="AG214" s="103" t="s">
        <v>1833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3.7037037037037035E-2</v>
      </c>
      <c r="AD215" s="91">
        <v>8</v>
      </c>
      <c r="AE215" s="103" t="s">
        <v>1833</v>
      </c>
      <c r="AF215" s="91">
        <v>8</v>
      </c>
      <c r="AG215" s="103" t="s">
        <v>1833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3.7037037037037035E-2</v>
      </c>
      <c r="AD216" s="91">
        <v>8</v>
      </c>
      <c r="AE216" s="103" t="s">
        <v>1833</v>
      </c>
      <c r="AF216" s="91">
        <v>8</v>
      </c>
      <c r="AG216" s="103" t="s">
        <v>1833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3.7037037037037035E-2</v>
      </c>
      <c r="AD217" s="91">
        <v>8</v>
      </c>
      <c r="AE217" s="103" t="s">
        <v>1833</v>
      </c>
      <c r="AF217" s="91">
        <v>8</v>
      </c>
      <c r="AG217" s="103" t="s">
        <v>1833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3"/>
        <v>0.77777777777777779</v>
      </c>
      <c r="AD218" s="91">
        <v>10</v>
      </c>
      <c r="AE218" s="104" t="s">
        <v>1780</v>
      </c>
      <c r="AF218" s="91">
        <v>10</v>
      </c>
      <c r="AG218" s="104" t="s">
        <v>1780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3"/>
        <v>0.77777777777777779</v>
      </c>
      <c r="AD219" s="91">
        <v>10</v>
      </c>
      <c r="AE219" s="104" t="s">
        <v>1780</v>
      </c>
      <c r="AF219" s="91">
        <v>10</v>
      </c>
      <c r="AG219" s="104" t="s">
        <v>1780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3"/>
        <v>0.77777777777777779</v>
      </c>
      <c r="AD220" s="91">
        <v>10</v>
      </c>
      <c r="AE220" s="104" t="s">
        <v>1780</v>
      </c>
      <c r="AF220" s="91">
        <v>10</v>
      </c>
      <c r="AG220" s="104" t="s">
        <v>1780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3"/>
        <v>0.66666666666666663</v>
      </c>
      <c r="AD221" s="91">
        <v>3</v>
      </c>
      <c r="AE221" s="64" t="s">
        <v>1798</v>
      </c>
      <c r="AF221" s="91">
        <v>3</v>
      </c>
      <c r="AG221" s="64" t="s">
        <v>1798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3"/>
        <v>0.31481481481481477</v>
      </c>
      <c r="AD222" s="91">
        <v>4</v>
      </c>
      <c r="AE222" s="64" t="s">
        <v>1784</v>
      </c>
      <c r="AF222" s="91">
        <v>4</v>
      </c>
      <c r="AG222" s="64" t="s">
        <v>1784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D223" s="91">
        <v>4</v>
      </c>
      <c r="AE223" s="64" t="s">
        <v>1784</v>
      </c>
      <c r="AF223" s="91">
        <v>4</v>
      </c>
      <c r="AG223" s="64" t="s">
        <v>1784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 s="91">
        <v>4</v>
      </c>
      <c r="AG224" s="64" t="s">
        <v>1784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4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 s="91">
        <v>4</v>
      </c>
      <c r="AG225" s="64" t="s">
        <v>1784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 s="67"/>
      <c r="AC226" s="87">
        <f t="shared" si="4"/>
        <v>0.31481481481481477</v>
      </c>
      <c r="AD226" s="91">
        <v>4</v>
      </c>
      <c r="AE226" s="64" t="s">
        <v>1784</v>
      </c>
      <c r="AF226" s="91">
        <v>4</v>
      </c>
      <c r="AG226" s="64" t="s">
        <v>1784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4"/>
        <v>0.31481481481481477</v>
      </c>
      <c r="AD227" s="91">
        <v>4</v>
      </c>
      <c r="AE227" s="64" t="s">
        <v>1784</v>
      </c>
      <c r="AF227" s="91">
        <v>4</v>
      </c>
      <c r="AG227" s="64" t="s">
        <v>1784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 s="67"/>
      <c r="AC228" s="87">
        <f t="shared" si="4"/>
        <v>0.31481481481481477</v>
      </c>
      <c r="AD228" s="91">
        <v>4</v>
      </c>
      <c r="AE228" s="64" t="s">
        <v>1784</v>
      </c>
      <c r="AF228" s="91">
        <v>4</v>
      </c>
      <c r="AG228" s="64" t="s">
        <v>1784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4"/>
        <v>0.31481481481481477</v>
      </c>
      <c r="AD229" s="91">
        <v>4</v>
      </c>
      <c r="AE229" s="64" t="s">
        <v>1784</v>
      </c>
      <c r="AF229" s="91">
        <v>4</v>
      </c>
      <c r="AG229" s="64" t="s">
        <v>1784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175</v>
      </c>
      <c r="Y230" s="66"/>
      <c r="Z230" s="66"/>
      <c r="AA230" s="66"/>
      <c r="AB230" s="67"/>
      <c r="AC230" s="87">
        <f t="shared" si="4"/>
        <v>0.55555555555555558</v>
      </c>
      <c r="AD230" s="91">
        <v>4</v>
      </c>
      <c r="AE230" s="64" t="s">
        <v>1784</v>
      </c>
      <c r="AF230" s="91">
        <v>4</v>
      </c>
      <c r="AG230" s="64" t="s">
        <v>1784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213</v>
      </c>
      <c r="V231" s="66" t="s">
        <v>213</v>
      </c>
      <c r="W231" s="66"/>
      <c r="X231" s="66"/>
      <c r="Y231" s="66"/>
      <c r="Z231" s="66"/>
      <c r="AA231" s="66"/>
      <c r="AB231" s="67"/>
      <c r="AC231" s="87">
        <f t="shared" si="4"/>
        <v>0.31481481481481477</v>
      </c>
      <c r="AD231" s="91">
        <v>4</v>
      </c>
      <c r="AE231" s="64" t="s">
        <v>1784</v>
      </c>
      <c r="AF231" s="91">
        <v>4</v>
      </c>
      <c r="AG231" s="64" t="s">
        <v>1784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4"/>
        <v>0.31481481481481477</v>
      </c>
      <c r="AD232" s="91">
        <v>4</v>
      </c>
      <c r="AE232" s="64" t="s">
        <v>1784</v>
      </c>
      <c r="AF232" s="91">
        <v>4</v>
      </c>
      <c r="AG232" s="64" t="s">
        <v>1784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4"/>
        <v>0.31481481481481477</v>
      </c>
      <c r="AD233" s="91">
        <v>4</v>
      </c>
      <c r="AE233" s="64" t="s">
        <v>1784</v>
      </c>
      <c r="AF233" s="91">
        <v>4</v>
      </c>
      <c r="AG233" s="64" t="s">
        <v>1784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4"/>
        <v>0.31481481481481477</v>
      </c>
      <c r="AD234" s="91">
        <v>4</v>
      </c>
      <c r="AE234" s="64" t="s">
        <v>1784</v>
      </c>
      <c r="AF234" s="91">
        <v>4</v>
      </c>
      <c r="AG234" s="64" t="s">
        <v>1784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213</v>
      </c>
      <c r="V235" s="66" t="s">
        <v>213</v>
      </c>
      <c r="W235" s="66"/>
      <c r="X235" s="66"/>
      <c r="Y235" s="66"/>
      <c r="Z235" s="66"/>
      <c r="AA235" s="66"/>
      <c r="AB235" s="67"/>
      <c r="AC235" s="87">
        <f t="shared" si="4"/>
        <v>0.31481481481481477</v>
      </c>
      <c r="AD235" s="91">
        <v>4</v>
      </c>
      <c r="AE235" s="64" t="s">
        <v>1784</v>
      </c>
      <c r="AF235" s="91">
        <v>4</v>
      </c>
      <c r="AG235" s="64" t="s">
        <v>1784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4"/>
        <v>0.31481481481481477</v>
      </c>
      <c r="AD236" s="91">
        <v>4</v>
      </c>
      <c r="AE236" s="64" t="s">
        <v>1784</v>
      </c>
      <c r="AF236" s="91">
        <v>4</v>
      </c>
      <c r="AG236" s="64" t="s">
        <v>1784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4"/>
        <v>0.31481481481481477</v>
      </c>
      <c r="AD237" s="91">
        <v>4</v>
      </c>
      <c r="AE237" s="64" t="s">
        <v>1784</v>
      </c>
      <c r="AF237" s="91">
        <v>4</v>
      </c>
      <c r="AG237" s="64" t="s">
        <v>1784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4"/>
        <v>0.31481481481481477</v>
      </c>
      <c r="AD238" s="91">
        <v>4</v>
      </c>
      <c r="AE238" s="64" t="s">
        <v>1784</v>
      </c>
      <c r="AF238" s="91">
        <v>4</v>
      </c>
      <c r="AG238" s="64" t="s">
        <v>1784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4"/>
        <v>0.31481481481481477</v>
      </c>
      <c r="AD239" s="91">
        <v>4</v>
      </c>
      <c r="AE239" s="64" t="s">
        <v>1784</v>
      </c>
      <c r="AF239" s="91">
        <v>4</v>
      </c>
      <c r="AG239" s="64" t="s">
        <v>1784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4"/>
        <v>0.31481481481481477</v>
      </c>
      <c r="AD240" s="91">
        <v>4</v>
      </c>
      <c r="AE240" s="64" t="s">
        <v>1784</v>
      </c>
      <c r="AF240" s="91">
        <v>4</v>
      </c>
      <c r="AG240" s="64" t="s">
        <v>1784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4"/>
        <v>0.31481481481481477</v>
      </c>
      <c r="AD241" s="91">
        <v>4</v>
      </c>
      <c r="AE241" s="64" t="s">
        <v>1784</v>
      </c>
      <c r="AF241" s="91">
        <v>4</v>
      </c>
      <c r="AG241" s="64" t="s">
        <v>1784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4"/>
        <v>0.31481481481481477</v>
      </c>
      <c r="AD242" s="91">
        <v>4</v>
      </c>
      <c r="AE242" s="64" t="s">
        <v>1784</v>
      </c>
      <c r="AF242" s="91">
        <v>4</v>
      </c>
      <c r="AG242" s="64" t="s">
        <v>1784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4"/>
        <v>0.31481481481481477</v>
      </c>
      <c r="AD243" s="91">
        <v>4</v>
      </c>
      <c r="AE243" s="64" t="s">
        <v>1784</v>
      </c>
      <c r="AF243" s="91">
        <v>4</v>
      </c>
      <c r="AG243" s="64" t="s">
        <v>1784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4"/>
        <v>0.31481481481481477</v>
      </c>
      <c r="AD244" s="91">
        <v>4</v>
      </c>
      <c r="AE244" s="64" t="s">
        <v>1784</v>
      </c>
      <c r="AF244" s="91">
        <v>4</v>
      </c>
      <c r="AG244" s="64" t="s">
        <v>1784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4"/>
        <v>0.5</v>
      </c>
      <c r="AD245" s="91">
        <v>4</v>
      </c>
      <c r="AE245" s="64" t="s">
        <v>1784</v>
      </c>
      <c r="AF245" s="91">
        <v>4</v>
      </c>
      <c r="AG245" s="64" t="s">
        <v>1784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4"/>
        <v>0.31481481481481477</v>
      </c>
      <c r="AD246" s="91">
        <v>4</v>
      </c>
      <c r="AE246" s="64" t="s">
        <v>1784</v>
      </c>
      <c r="AF246" s="91">
        <v>4</v>
      </c>
      <c r="AG246" s="64" t="s">
        <v>1784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213</v>
      </c>
      <c r="V247" s="66" t="s">
        <v>213</v>
      </c>
      <c r="W247" s="66"/>
      <c r="X247" s="66"/>
      <c r="Y247" s="66"/>
      <c r="Z247" s="66"/>
      <c r="AA247" s="66"/>
      <c r="AB247" s="67"/>
      <c r="AC247" s="87">
        <f t="shared" si="4"/>
        <v>0.31481481481481477</v>
      </c>
      <c r="AD247" s="91">
        <v>4</v>
      </c>
      <c r="AE247" s="64" t="s">
        <v>1784</v>
      </c>
      <c r="AF247" s="91">
        <v>4</v>
      </c>
      <c r="AG247" s="64" t="s">
        <v>1784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4"/>
        <v>0.31481481481481477</v>
      </c>
      <c r="AD248" s="91">
        <v>4</v>
      </c>
      <c r="AE248" s="64" t="s">
        <v>1784</v>
      </c>
      <c r="AF248" s="91">
        <v>4</v>
      </c>
      <c r="AG248" s="64" t="s">
        <v>1784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4"/>
        <v>0.31481481481481477</v>
      </c>
      <c r="AD249" s="91">
        <v>4</v>
      </c>
      <c r="AE249" s="64" t="s">
        <v>1784</v>
      </c>
      <c r="AF249" s="91">
        <v>4</v>
      </c>
      <c r="AG249" s="64" t="s">
        <v>1784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213</v>
      </c>
      <c r="V250" s="66" t="s">
        <v>213</v>
      </c>
      <c r="W250" s="66"/>
      <c r="X250" s="66"/>
      <c r="Y250" s="66"/>
      <c r="Z250" s="66"/>
      <c r="AA250" s="66"/>
      <c r="AB250" s="67"/>
      <c r="AC250" s="87">
        <f t="shared" si="4"/>
        <v>0.31481481481481477</v>
      </c>
      <c r="AD250" s="91">
        <v>4</v>
      </c>
      <c r="AE250" s="64" t="s">
        <v>1784</v>
      </c>
      <c r="AF250" s="91">
        <v>4</v>
      </c>
      <c r="AG250" s="64" t="s">
        <v>1784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4"/>
        <v>0.31481481481481477</v>
      </c>
      <c r="AD251" s="91">
        <v>4</v>
      </c>
      <c r="AE251" s="64" t="s">
        <v>1784</v>
      </c>
      <c r="AF251" s="91">
        <v>4</v>
      </c>
      <c r="AG251" s="64" t="s">
        <v>1784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213</v>
      </c>
      <c r="V252" s="66" t="s">
        <v>213</v>
      </c>
      <c r="W252" s="66"/>
      <c r="X252" s="66"/>
      <c r="Y252" s="66"/>
      <c r="Z252" s="66"/>
      <c r="AA252" s="66"/>
      <c r="AB252" s="67"/>
      <c r="AC252" s="87">
        <f t="shared" si="4"/>
        <v>0.31481481481481477</v>
      </c>
      <c r="AD252" s="91">
        <v>4</v>
      </c>
      <c r="AE252" s="64" t="s">
        <v>1784</v>
      </c>
      <c r="AF252" s="91">
        <v>4</v>
      </c>
      <c r="AG252" s="64" t="s">
        <v>1784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4"/>
        <v>0.31481481481481477</v>
      </c>
      <c r="AD253" s="91">
        <v>4</v>
      </c>
      <c r="AE253" s="64" t="s">
        <v>1784</v>
      </c>
      <c r="AF253" s="91">
        <v>4</v>
      </c>
      <c r="AG253" s="64" t="s">
        <v>1784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4"/>
        <v>0.31481481481481477</v>
      </c>
      <c r="AD254" s="91">
        <v>4</v>
      </c>
      <c r="AE254" s="64" t="s">
        <v>1784</v>
      </c>
      <c r="AF254" s="91">
        <v>4</v>
      </c>
      <c r="AG254" s="64" t="s">
        <v>1784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4"/>
        <v>0.31481481481481477</v>
      </c>
      <c r="AD255" s="91">
        <v>4</v>
      </c>
      <c r="AE255" s="64" t="s">
        <v>1784</v>
      </c>
      <c r="AF255" s="91">
        <v>4</v>
      </c>
      <c r="AG255" s="64" t="s">
        <v>1784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4"/>
        <v>0.31481481481481477</v>
      </c>
      <c r="AD256" s="91">
        <v>4</v>
      </c>
      <c r="AE256" s="64" t="s">
        <v>1784</v>
      </c>
      <c r="AF256" s="91">
        <v>4</v>
      </c>
      <c r="AG256" s="64" t="s">
        <v>1784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4"/>
        <v>0.31481481481481477</v>
      </c>
      <c r="AD257" s="91">
        <v>4</v>
      </c>
      <c r="AE257" s="64" t="s">
        <v>1784</v>
      </c>
      <c r="AF257" s="91">
        <v>4</v>
      </c>
      <c r="AG257" s="64" t="s">
        <v>1784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 s="67"/>
      <c r="AC258" s="87">
        <f t="shared" si="4"/>
        <v>0.31481481481481477</v>
      </c>
      <c r="AD258" s="91">
        <v>4</v>
      </c>
      <c r="AE258" s="64" t="s">
        <v>1784</v>
      </c>
      <c r="AF258" s="91">
        <v>4</v>
      </c>
      <c r="AG258" s="64" t="s">
        <v>1784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 s="67"/>
      <c r="AC259" s="87">
        <f t="shared" si="4"/>
        <v>0.31481481481481477</v>
      </c>
      <c r="AD259" s="91">
        <v>4</v>
      </c>
      <c r="AE259" s="64" t="s">
        <v>1784</v>
      </c>
      <c r="AF259" s="91">
        <v>4</v>
      </c>
      <c r="AG259" s="64" t="s">
        <v>1784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4"/>
        <v>0.31481481481481477</v>
      </c>
      <c r="AD260" s="91">
        <v>4</v>
      </c>
      <c r="AE260" s="64" t="s">
        <v>1784</v>
      </c>
      <c r="AF260" s="91">
        <v>4</v>
      </c>
      <c r="AG260" s="64" t="s">
        <v>1784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 s="67"/>
      <c r="AC261" s="87">
        <f t="shared" si="4"/>
        <v>0.31481481481481477</v>
      </c>
      <c r="AD261" s="91">
        <v>4</v>
      </c>
      <c r="AE261" s="64" t="s">
        <v>1784</v>
      </c>
      <c r="AF261" s="91">
        <v>4</v>
      </c>
      <c r="AG261" s="64" t="s">
        <v>1784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4"/>
        <v>0.31481481481481477</v>
      </c>
      <c r="AD262" s="91">
        <v>4</v>
      </c>
      <c r="AE262" s="64" t="s">
        <v>1784</v>
      </c>
      <c r="AF262" s="91">
        <v>4</v>
      </c>
      <c r="AG262" s="64" t="s">
        <v>1784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</v>
      </c>
      <c r="AD263" s="91">
        <v>3</v>
      </c>
      <c r="AE263" s="64" t="s">
        <v>1798</v>
      </c>
      <c r="AF263" s="91">
        <v>3</v>
      </c>
      <c r="AG263" s="64" t="s">
        <v>1798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</v>
      </c>
      <c r="AD264" s="91">
        <v>9</v>
      </c>
      <c r="AE264" s="103" t="s">
        <v>1836</v>
      </c>
      <c r="AF264" s="91">
        <v>9</v>
      </c>
      <c r="AG264" s="103" t="s">
        <v>1836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4"/>
        <v>0.77777777777777779</v>
      </c>
      <c r="AD265" s="91">
        <v>1</v>
      </c>
      <c r="AE265" s="103" t="s">
        <v>1838</v>
      </c>
      <c r="AF265" s="91">
        <v>1</v>
      </c>
      <c r="AG265" s="103" t="s">
        <v>1838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4"/>
        <v>0.77777777777777779</v>
      </c>
      <c r="AD266" s="91">
        <v>1</v>
      </c>
      <c r="AE266" s="103" t="s">
        <v>1838</v>
      </c>
      <c r="AF266" s="91">
        <v>1</v>
      </c>
      <c r="AG266" s="103" t="s">
        <v>1838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4"/>
        <v>0.77777777777777779</v>
      </c>
      <c r="AD267" s="91">
        <v>1</v>
      </c>
      <c r="AE267" s="103" t="s">
        <v>1838</v>
      </c>
      <c r="AF267" s="91">
        <v>1</v>
      </c>
      <c r="AG267" s="103" t="s">
        <v>1838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4"/>
        <v>0.77777777777777779</v>
      </c>
      <c r="AD268" s="91">
        <v>1</v>
      </c>
      <c r="AE268" s="103" t="s">
        <v>1838</v>
      </c>
      <c r="AF268" s="91">
        <v>1</v>
      </c>
      <c r="AG268" s="103" t="s">
        <v>1838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4"/>
        <v>0.77777777777777779</v>
      </c>
      <c r="AD269" s="91">
        <v>1</v>
      </c>
      <c r="AE269" s="103" t="s">
        <v>1838</v>
      </c>
      <c r="AF269" s="91">
        <v>1</v>
      </c>
      <c r="AG269" s="103" t="s">
        <v>1838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4"/>
        <v>1</v>
      </c>
      <c r="AD270" s="91">
        <v>1</v>
      </c>
      <c r="AE270" s="103" t="s">
        <v>1838</v>
      </c>
      <c r="AF270" s="91">
        <v>1</v>
      </c>
      <c r="AG270" s="103" t="s">
        <v>1838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4"/>
        <v>0.72222222222222221</v>
      </c>
      <c r="AD271" s="91">
        <v>1</v>
      </c>
      <c r="AE271" s="103" t="s">
        <v>1838</v>
      </c>
      <c r="AF271" s="91">
        <v>1</v>
      </c>
      <c r="AG271" s="103" t="s">
        <v>1838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4"/>
        <v>0.72222222222222221</v>
      </c>
      <c r="AD272" s="91">
        <v>1</v>
      </c>
      <c r="AE272" s="103" t="s">
        <v>1838</v>
      </c>
      <c r="AF272" s="91">
        <v>1</v>
      </c>
      <c r="AG272" s="103" t="s">
        <v>1838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1">
        <v>1</v>
      </c>
      <c r="AE273" s="103" t="s">
        <v>1839</v>
      </c>
      <c r="AF273" s="91">
        <v>1</v>
      </c>
      <c r="AG273" s="103" t="s">
        <v>1839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1">
        <v>1</v>
      </c>
      <c r="AE274" s="103" t="s">
        <v>1839</v>
      </c>
      <c r="AF274" s="91">
        <v>1</v>
      </c>
      <c r="AG274" s="103" t="s">
        <v>1839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1">
        <v>1</v>
      </c>
      <c r="AE275" s="103" t="s">
        <v>1839</v>
      </c>
      <c r="AF275" s="91">
        <v>1</v>
      </c>
      <c r="AG275" s="103" t="s">
        <v>1839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1">
        <v>1</v>
      </c>
      <c r="AE276" s="103" t="s">
        <v>1839</v>
      </c>
      <c r="AF276" s="91">
        <v>1</v>
      </c>
      <c r="AG276" s="103" t="s">
        <v>1839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1">
        <v>1</v>
      </c>
      <c r="AE277" s="103" t="s">
        <v>1839</v>
      </c>
      <c r="AF277" s="91">
        <v>1</v>
      </c>
      <c r="AG277" s="103" t="s">
        <v>1839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4"/>
        <v>0.16666666666666666</v>
      </c>
      <c r="AD278" s="91">
        <v>1</v>
      </c>
      <c r="AE278" s="103" t="s">
        <v>1839</v>
      </c>
      <c r="AF278" s="91">
        <v>1</v>
      </c>
      <c r="AG278" s="103" t="s">
        <v>1839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4"/>
        <v>0.16666666666666666</v>
      </c>
      <c r="AD279" s="91">
        <v>1</v>
      </c>
      <c r="AE279" s="103" t="s">
        <v>1839</v>
      </c>
      <c r="AF279" s="91">
        <v>1</v>
      </c>
      <c r="AG279" s="103" t="s">
        <v>1839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4"/>
        <v>0.16666666666666666</v>
      </c>
      <c r="AD280" s="91">
        <v>1</v>
      </c>
      <c r="AE280" s="103" t="s">
        <v>1839</v>
      </c>
      <c r="AF280" s="91">
        <v>1</v>
      </c>
      <c r="AG280" s="103" t="s">
        <v>1839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4"/>
        <v>0.1111111111111111</v>
      </c>
      <c r="AD281" s="91">
        <v>2</v>
      </c>
      <c r="AE281" s="103" t="s">
        <v>1840</v>
      </c>
      <c r="AF281" s="91">
        <v>2</v>
      </c>
      <c r="AG281" s="103" t="s">
        <v>1840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4"/>
        <v>0.1111111111111111</v>
      </c>
      <c r="AD282" s="91">
        <v>2</v>
      </c>
      <c r="AE282" s="103" t="s">
        <v>1840</v>
      </c>
      <c r="AF282" s="91">
        <v>2</v>
      </c>
      <c r="AG282" s="103" t="s">
        <v>1840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4"/>
        <v>0.1111111111111111</v>
      </c>
      <c r="AD283" s="91">
        <v>2</v>
      </c>
      <c r="AE283" s="103" t="s">
        <v>1840</v>
      </c>
      <c r="AF283" s="91">
        <v>2</v>
      </c>
      <c r="AG283" s="103" t="s">
        <v>1840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4"/>
        <v>0.1111111111111111</v>
      </c>
      <c r="AD284" s="91">
        <v>2</v>
      </c>
      <c r="AE284" s="103" t="s">
        <v>1840</v>
      </c>
      <c r="AF284" s="91">
        <v>2</v>
      </c>
      <c r="AG284" s="103" t="s">
        <v>1840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4"/>
        <v>0.1111111111111111</v>
      </c>
      <c r="AD285" s="91">
        <v>2</v>
      </c>
      <c r="AE285" s="103" t="s">
        <v>1840</v>
      </c>
      <c r="AF285" s="91">
        <v>2</v>
      </c>
      <c r="AG285" s="103" t="s">
        <v>1840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4"/>
        <v>0.1111111111111111</v>
      </c>
      <c r="AD286" s="91">
        <v>2</v>
      </c>
      <c r="AE286" s="103" t="s">
        <v>1840</v>
      </c>
      <c r="AF286" s="91">
        <v>2</v>
      </c>
      <c r="AG286" s="103" t="s">
        <v>1840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4"/>
        <v>0.1111111111111111</v>
      </c>
      <c r="AD287" s="91">
        <v>2</v>
      </c>
      <c r="AE287" s="103" t="s">
        <v>1840</v>
      </c>
      <c r="AF287" s="91">
        <v>2</v>
      </c>
      <c r="AG287" s="103" t="s">
        <v>1840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4"/>
        <v>0.1111111111111111</v>
      </c>
      <c r="AD288" s="91">
        <v>2</v>
      </c>
      <c r="AE288" s="103" t="s">
        <v>1840</v>
      </c>
      <c r="AF288" s="91">
        <v>2</v>
      </c>
      <c r="AG288" s="103" t="s">
        <v>1840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 s="91">
        <v>2</v>
      </c>
      <c r="AG289" s="103" t="s">
        <v>1840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5"/>
        <v>0.1111111111111111</v>
      </c>
      <c r="AD290" s="91">
        <v>2</v>
      </c>
      <c r="AE290" s="103" t="s">
        <v>1840</v>
      </c>
      <c r="AF290" s="91">
        <v>2</v>
      </c>
      <c r="AG290" s="103" t="s">
        <v>1840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5"/>
        <v>0.16666666666666666</v>
      </c>
      <c r="AD291" s="91">
        <v>1</v>
      </c>
      <c r="AE291" s="103" t="s">
        <v>1839</v>
      </c>
      <c r="AF291" s="91">
        <v>1</v>
      </c>
      <c r="AG291" s="103" t="s">
        <v>1839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5"/>
        <v>0.1111111111111111</v>
      </c>
      <c r="AD292" s="91">
        <v>2</v>
      </c>
      <c r="AE292" s="103" t="s">
        <v>1840</v>
      </c>
      <c r="AF292" s="91">
        <v>2</v>
      </c>
      <c r="AG292" s="103" t="s">
        <v>1840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5"/>
        <v>0.1111111111111111</v>
      </c>
      <c r="AD293" s="91">
        <v>2</v>
      </c>
      <c r="AE293" s="103" t="s">
        <v>1840</v>
      </c>
      <c r="AF293" s="91">
        <v>2</v>
      </c>
      <c r="AG293" s="103" t="s">
        <v>1840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5"/>
        <v>0.16666666666666666</v>
      </c>
      <c r="AD294" s="91">
        <v>1</v>
      </c>
      <c r="AE294" s="103" t="s">
        <v>1839</v>
      </c>
      <c r="AF294" s="91">
        <v>1</v>
      </c>
      <c r="AG294" s="103" t="s">
        <v>1839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5"/>
        <v>0.16666666666666666</v>
      </c>
      <c r="AD295" s="91">
        <v>1</v>
      </c>
      <c r="AE295" s="103" t="s">
        <v>1839</v>
      </c>
      <c r="AF295" s="91">
        <v>1</v>
      </c>
      <c r="AG295" s="103" t="s">
        <v>1839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5"/>
        <v>0.16666666666666666</v>
      </c>
      <c r="AD296" s="91">
        <v>1</v>
      </c>
      <c r="AE296" s="103" t="s">
        <v>1839</v>
      </c>
      <c r="AF296" s="91">
        <v>1</v>
      </c>
      <c r="AG296" s="103" t="s">
        <v>1839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5"/>
        <v>0.1111111111111111</v>
      </c>
      <c r="AD297" s="91">
        <v>2</v>
      </c>
      <c r="AE297" s="103" t="s">
        <v>1840</v>
      </c>
      <c r="AF297" s="91">
        <v>2</v>
      </c>
      <c r="AG297" s="103" t="s">
        <v>1840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5"/>
        <v>0.16666666666666666</v>
      </c>
      <c r="AD298" s="91">
        <v>1</v>
      </c>
      <c r="AE298" s="103" t="s">
        <v>1839</v>
      </c>
      <c r="AF298" s="91">
        <v>1</v>
      </c>
      <c r="AG298" s="103" t="s">
        <v>1839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5"/>
        <v>0.1111111111111111</v>
      </c>
      <c r="AD299" s="91">
        <v>2</v>
      </c>
      <c r="AE299" s="103" t="s">
        <v>1840</v>
      </c>
      <c r="AF299" s="91">
        <v>2</v>
      </c>
      <c r="AG299" s="103" t="s">
        <v>1840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5"/>
        <v>0.1111111111111111</v>
      </c>
      <c r="AD300" s="91">
        <v>2</v>
      </c>
      <c r="AE300" s="103" t="s">
        <v>1840</v>
      </c>
      <c r="AF300" s="91">
        <v>2</v>
      </c>
      <c r="AG300" s="103" t="s">
        <v>1840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5"/>
        <v>0.16666666666666666</v>
      </c>
      <c r="AD301" s="91">
        <v>1</v>
      </c>
      <c r="AE301" s="103" t="s">
        <v>1839</v>
      </c>
      <c r="AF301" s="91">
        <v>1</v>
      </c>
      <c r="AG301" s="103" t="s">
        <v>1839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5"/>
        <v>0.16666666666666666</v>
      </c>
      <c r="AD302" s="91">
        <v>1</v>
      </c>
      <c r="AE302" s="103" t="s">
        <v>1839</v>
      </c>
      <c r="AF302" s="91">
        <v>1</v>
      </c>
      <c r="AG302" s="103" t="s">
        <v>1839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5"/>
        <v>0.1111111111111111</v>
      </c>
      <c r="AD303" s="91">
        <v>2</v>
      </c>
      <c r="AE303" s="103" t="s">
        <v>1840</v>
      </c>
      <c r="AF303" s="91">
        <v>2</v>
      </c>
      <c r="AG303" s="103" t="s">
        <v>1840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5"/>
        <v>0.16666666666666666</v>
      </c>
      <c r="AD304" s="91">
        <v>1</v>
      </c>
      <c r="AE304" s="103" t="s">
        <v>1839</v>
      </c>
      <c r="AF304" s="91">
        <v>1</v>
      </c>
      <c r="AG304" s="103" t="s">
        <v>1839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5"/>
        <v>0.16666666666666666</v>
      </c>
      <c r="AD305" s="91">
        <v>1</v>
      </c>
      <c r="AE305" s="103" t="s">
        <v>1839</v>
      </c>
      <c r="AF305" s="91">
        <v>1</v>
      </c>
      <c r="AG305" s="103" t="s">
        <v>1839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5"/>
        <v>0.1111111111111111</v>
      </c>
      <c r="AD306" s="91">
        <v>2</v>
      </c>
      <c r="AE306" s="103" t="s">
        <v>1840</v>
      </c>
      <c r="AF306" s="91">
        <v>2</v>
      </c>
      <c r="AG306" s="103" t="s">
        <v>1840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5"/>
        <v>0.16666666666666666</v>
      </c>
      <c r="AD307" s="91">
        <v>1</v>
      </c>
      <c r="AE307" s="103" t="s">
        <v>1839</v>
      </c>
      <c r="AF307" s="91">
        <v>1</v>
      </c>
      <c r="AG307" s="103" t="s">
        <v>1839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5"/>
        <v>0.1111111111111111</v>
      </c>
      <c r="AD308" s="91">
        <v>2</v>
      </c>
      <c r="AE308" s="103" t="s">
        <v>1840</v>
      </c>
      <c r="AF308" s="91">
        <v>2</v>
      </c>
      <c r="AG308" s="103" t="s">
        <v>1840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5"/>
        <v>0.16666666666666666</v>
      </c>
      <c r="AD309" s="91">
        <v>1</v>
      </c>
      <c r="AE309" s="103" t="s">
        <v>1839</v>
      </c>
      <c r="AF309" s="91">
        <v>1</v>
      </c>
      <c r="AG309" s="103" t="s">
        <v>1839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5"/>
        <v>0.16666666666666666</v>
      </c>
      <c r="AD310" s="91">
        <v>1</v>
      </c>
      <c r="AE310" s="103" t="s">
        <v>1839</v>
      </c>
      <c r="AF310" s="91">
        <v>1</v>
      </c>
      <c r="AG310" s="103" t="s">
        <v>1839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5"/>
        <v>0.1111111111111111</v>
      </c>
      <c r="AD311" s="91">
        <v>2</v>
      </c>
      <c r="AE311" s="103" t="s">
        <v>1840</v>
      </c>
      <c r="AF311" s="91">
        <v>2</v>
      </c>
      <c r="AG311" s="103" t="s">
        <v>1840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5"/>
        <v>0.16666666666666666</v>
      </c>
      <c r="AD312" s="91">
        <v>1</v>
      </c>
      <c r="AE312" s="103" t="s">
        <v>1839</v>
      </c>
      <c r="AF312" s="91">
        <v>1</v>
      </c>
      <c r="AG312" s="103" t="s">
        <v>1839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5"/>
        <v>0.1111111111111111</v>
      </c>
      <c r="AD313" s="91">
        <v>2</v>
      </c>
      <c r="AE313" s="103" t="s">
        <v>1840</v>
      </c>
      <c r="AF313" s="91">
        <v>2</v>
      </c>
      <c r="AG313" s="103" t="s">
        <v>1840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5"/>
        <v>0.1111111111111111</v>
      </c>
      <c r="AD314" s="91">
        <v>2</v>
      </c>
      <c r="AE314" s="103" t="s">
        <v>1840</v>
      </c>
      <c r="AF314" s="91">
        <v>2</v>
      </c>
      <c r="AG314" s="103" t="s">
        <v>1840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5"/>
        <v>0.16666666666666666</v>
      </c>
      <c r="AD315" s="91">
        <v>1</v>
      </c>
      <c r="AE315" s="103" t="s">
        <v>1839</v>
      </c>
      <c r="AF315" s="91">
        <v>1</v>
      </c>
      <c r="AG315" s="103" t="s">
        <v>1839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5"/>
        <v>0.16666666666666666</v>
      </c>
      <c r="AD316" s="91">
        <v>1</v>
      </c>
      <c r="AE316" s="103" t="s">
        <v>1839</v>
      </c>
      <c r="AF316" s="91">
        <v>1</v>
      </c>
      <c r="AG316" s="103" t="s">
        <v>1839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5"/>
        <v>0.16666666666666666</v>
      </c>
      <c r="AD317" s="91">
        <v>1</v>
      </c>
      <c r="AE317" s="103" t="s">
        <v>1839</v>
      </c>
      <c r="AF317" s="91">
        <v>1</v>
      </c>
      <c r="AG317" s="103" t="s">
        <v>1839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5"/>
        <v>0.1111111111111111</v>
      </c>
      <c r="AD318" s="91">
        <v>2</v>
      </c>
      <c r="AE318" s="103" t="s">
        <v>1840</v>
      </c>
      <c r="AF318" s="91">
        <v>2</v>
      </c>
      <c r="AG318" s="103" t="s">
        <v>1840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5"/>
        <v>0.77777777777777779</v>
      </c>
      <c r="AD319" s="91">
        <v>1</v>
      </c>
      <c r="AE319" s="105" t="s">
        <v>1841</v>
      </c>
      <c r="AF319" s="91">
        <v>1</v>
      </c>
      <c r="AG319" s="105" t="s">
        <v>1841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5"/>
        <v>0.31481481481481477</v>
      </c>
      <c r="AD320" s="91">
        <v>1</v>
      </c>
      <c r="AE320" s="105" t="s">
        <v>1841</v>
      </c>
      <c r="AF320" s="91">
        <v>1</v>
      </c>
      <c r="AG320" s="105" t="s">
        <v>1841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5"/>
        <v>0.31481481481481477</v>
      </c>
      <c r="AD321" s="91">
        <v>1</v>
      </c>
      <c r="AE321" s="105" t="s">
        <v>1841</v>
      </c>
      <c r="AF321" s="91">
        <v>1</v>
      </c>
      <c r="AG321" s="105" t="s">
        <v>1841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5"/>
        <v>0.31481481481481477</v>
      </c>
      <c r="AD322" s="91">
        <v>1</v>
      </c>
      <c r="AE322" s="105" t="s">
        <v>1841</v>
      </c>
      <c r="AF322" s="91">
        <v>1</v>
      </c>
      <c r="AG322" s="105" t="s">
        <v>1841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5"/>
        <v>0.31481481481481477</v>
      </c>
      <c r="AD323" s="91">
        <v>1</v>
      </c>
      <c r="AE323" s="105" t="s">
        <v>1841</v>
      </c>
      <c r="AF323" s="91">
        <v>1</v>
      </c>
      <c r="AG323" s="105" t="s">
        <v>1841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5"/>
        <v>0.31481481481481477</v>
      </c>
      <c r="AD324" s="91">
        <v>1</v>
      </c>
      <c r="AE324" s="105" t="s">
        <v>1841</v>
      </c>
      <c r="AF324" s="91">
        <v>1</v>
      </c>
      <c r="AG324" s="105" t="s">
        <v>1841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5"/>
        <v>0.31481481481481477</v>
      </c>
      <c r="AD325" s="91">
        <v>1</v>
      </c>
      <c r="AE325" s="105" t="s">
        <v>1841</v>
      </c>
      <c r="AF325" s="91">
        <v>1</v>
      </c>
      <c r="AG325" s="105" t="s">
        <v>1841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5"/>
        <v>0.31481481481481477</v>
      </c>
      <c r="AD326" s="91">
        <v>1</v>
      </c>
      <c r="AE326" s="105" t="s">
        <v>1841</v>
      </c>
      <c r="AF326" s="91">
        <v>1</v>
      </c>
      <c r="AG326" s="105" t="s">
        <v>1841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5"/>
        <v>0.31481481481481477</v>
      </c>
      <c r="AD327" s="91">
        <v>1</v>
      </c>
      <c r="AE327" s="105" t="s">
        <v>1841</v>
      </c>
      <c r="AF327" s="91">
        <v>1</v>
      </c>
      <c r="AG327" s="105" t="s">
        <v>1841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5"/>
        <v>0.31481481481481477</v>
      </c>
      <c r="AD328" s="91">
        <v>1</v>
      </c>
      <c r="AE328" s="105" t="s">
        <v>1841</v>
      </c>
      <c r="AF328" s="91">
        <v>1</v>
      </c>
      <c r="AG328" s="105" t="s">
        <v>1841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5"/>
        <v>0.31481481481481477</v>
      </c>
      <c r="AD329" s="91">
        <v>1</v>
      </c>
      <c r="AE329" s="105" t="s">
        <v>1841</v>
      </c>
      <c r="AF329" s="91">
        <v>1</v>
      </c>
      <c r="AG329" s="105" t="s">
        <v>1841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5"/>
        <v>0.31481481481481477</v>
      </c>
      <c r="AD330" s="91">
        <v>1</v>
      </c>
      <c r="AE330" s="105" t="s">
        <v>1841</v>
      </c>
      <c r="AF330" s="91">
        <v>1</v>
      </c>
      <c r="AG330" s="105" t="s">
        <v>1841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5"/>
        <v>0.31481481481481477</v>
      </c>
      <c r="AD331" s="91">
        <v>1</v>
      </c>
      <c r="AE331" s="105" t="s">
        <v>1841</v>
      </c>
      <c r="AF331" s="91">
        <v>1</v>
      </c>
      <c r="AG331" s="105" t="s">
        <v>1841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 s="67"/>
      <c r="AC332" s="87">
        <f t="shared" si="5"/>
        <v>0.31481481481481477</v>
      </c>
      <c r="AD332" s="91">
        <v>1</v>
      </c>
      <c r="AE332" s="105" t="s">
        <v>1841</v>
      </c>
      <c r="AF332" s="91">
        <v>1</v>
      </c>
      <c r="AG332" s="105" t="s">
        <v>1841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5"/>
        <v>0.31481481481481477</v>
      </c>
      <c r="AD333" s="91">
        <v>1</v>
      </c>
      <c r="AE333" s="105" t="s">
        <v>1841</v>
      </c>
      <c r="AF333" s="91">
        <v>1</v>
      </c>
      <c r="AG333" s="105" t="s">
        <v>1841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5"/>
        <v>0.31481481481481477</v>
      </c>
      <c r="AD334" s="91">
        <v>1</v>
      </c>
      <c r="AE334" s="105" t="s">
        <v>1841</v>
      </c>
      <c r="AF334" s="91">
        <v>1</v>
      </c>
      <c r="AG334" s="105" t="s">
        <v>1841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5"/>
        <v>0.31481481481481477</v>
      </c>
      <c r="AD335" s="91">
        <v>1</v>
      </c>
      <c r="AE335" s="105" t="s">
        <v>1841</v>
      </c>
      <c r="AF335" s="91">
        <v>1</v>
      </c>
      <c r="AG335" s="105" t="s">
        <v>1841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5"/>
        <v>0.31481481481481477</v>
      </c>
      <c r="AD336" s="91">
        <v>1</v>
      </c>
      <c r="AE336" s="105" t="s">
        <v>1841</v>
      </c>
      <c r="AF336" s="91">
        <v>1</v>
      </c>
      <c r="AG336" s="105" t="s">
        <v>1841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 s="67"/>
      <c r="AC337" s="87">
        <f t="shared" si="5"/>
        <v>0.31481481481481477</v>
      </c>
      <c r="AD337" s="91">
        <v>1</v>
      </c>
      <c r="AE337" s="105" t="s">
        <v>1841</v>
      </c>
      <c r="AF337" s="91">
        <v>1</v>
      </c>
      <c r="AG337" s="105" t="s">
        <v>1841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5"/>
        <v>0.31481481481481477</v>
      </c>
      <c r="AD338" s="91">
        <v>1</v>
      </c>
      <c r="AE338" s="105" t="s">
        <v>1841</v>
      </c>
      <c r="AF338" s="91">
        <v>1</v>
      </c>
      <c r="AG338" s="105" t="s">
        <v>1841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5"/>
        <v>0.31481481481481477</v>
      </c>
      <c r="AD339" s="91">
        <v>1</v>
      </c>
      <c r="AE339" s="105" t="s">
        <v>1841</v>
      </c>
      <c r="AF339" s="91">
        <v>1</v>
      </c>
      <c r="AG339" s="105" t="s">
        <v>1841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 s="67"/>
      <c r="AC340" s="87">
        <f t="shared" si="5"/>
        <v>0.31481481481481477</v>
      </c>
      <c r="AD340" s="91">
        <v>1</v>
      </c>
      <c r="AE340" s="105" t="s">
        <v>1841</v>
      </c>
      <c r="AF340" s="91">
        <v>1</v>
      </c>
      <c r="AG340" s="105" t="s">
        <v>1841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5"/>
        <v>0.31481481481481477</v>
      </c>
      <c r="AD341" s="91">
        <v>1</v>
      </c>
      <c r="AE341" s="105" t="s">
        <v>1841</v>
      </c>
      <c r="AF341" s="91">
        <v>1</v>
      </c>
      <c r="AG341" s="105" t="s">
        <v>1841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5"/>
        <v>0.31481481481481477</v>
      </c>
      <c r="AD342" s="91">
        <v>1</v>
      </c>
      <c r="AE342" s="105" t="s">
        <v>1841</v>
      </c>
      <c r="AF342" s="91">
        <v>1</v>
      </c>
      <c r="AG342" s="105" t="s">
        <v>1841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 s="67"/>
      <c r="AC343" s="87">
        <f t="shared" si="5"/>
        <v>0.31481481481481477</v>
      </c>
      <c r="AD343" s="91">
        <v>1</v>
      </c>
      <c r="AE343" s="105" t="s">
        <v>1841</v>
      </c>
      <c r="AF343" s="91">
        <v>1</v>
      </c>
      <c r="AG343" s="105" t="s">
        <v>1841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5"/>
        <v>0.31481481481481477</v>
      </c>
      <c r="AD344" s="91">
        <v>1</v>
      </c>
      <c r="AE344" s="105" t="s">
        <v>1841</v>
      </c>
      <c r="AF344" s="91">
        <v>1</v>
      </c>
      <c r="AG344" s="105" t="s">
        <v>1841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0.31481481481481477</v>
      </c>
      <c r="AD345" s="91">
        <v>1</v>
      </c>
      <c r="AE345" s="105" t="s">
        <v>1841</v>
      </c>
      <c r="AF345" s="91">
        <v>1</v>
      </c>
      <c r="AG345" s="105" t="s">
        <v>1841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5"/>
        <v>0.44444444444444442</v>
      </c>
      <c r="AD346" s="91">
        <v>6</v>
      </c>
      <c r="AE346" s="105" t="s">
        <v>1781</v>
      </c>
      <c r="AF346" s="91">
        <v>6</v>
      </c>
      <c r="AG346" s="105" t="s">
        <v>1781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0.25925925925925924</v>
      </c>
      <c r="AD347" s="91">
        <v>6</v>
      </c>
      <c r="AE347" s="105" t="s">
        <v>1781</v>
      </c>
      <c r="AF347" s="91">
        <v>6</v>
      </c>
      <c r="AG347" s="105" t="s">
        <v>1781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0.25925925925925924</v>
      </c>
      <c r="AD348" s="91">
        <v>6</v>
      </c>
      <c r="AE348" s="105" t="s">
        <v>1781</v>
      </c>
      <c r="AF348" s="91">
        <v>6</v>
      </c>
      <c r="AG348" s="105" t="s">
        <v>1781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0.25925925925925924</v>
      </c>
      <c r="AD349" s="91">
        <v>6</v>
      </c>
      <c r="AE349" s="105" t="s">
        <v>1781</v>
      </c>
      <c r="AF349" s="91">
        <v>6</v>
      </c>
      <c r="AG349" s="105" t="s">
        <v>1781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0.25925925925925924</v>
      </c>
      <c r="AD350" s="91">
        <v>6</v>
      </c>
      <c r="AE350" s="105" t="s">
        <v>1781</v>
      </c>
      <c r="AF350" s="91">
        <v>6</v>
      </c>
      <c r="AG350" s="105" t="s">
        <v>1781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 s="67"/>
      <c r="AC351" s="87">
        <f t="shared" si="5"/>
        <v>0.33333333333333331</v>
      </c>
      <c r="AD351" s="91">
        <v>6</v>
      </c>
      <c r="AE351" s="105" t="s">
        <v>1781</v>
      </c>
      <c r="AF351" s="91">
        <v>6</v>
      </c>
      <c r="AG351" s="105" t="s">
        <v>1781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0.25925925925925924</v>
      </c>
      <c r="AD352" s="91">
        <v>6</v>
      </c>
      <c r="AE352" s="105" t="s">
        <v>1781</v>
      </c>
      <c r="AF352" s="91">
        <v>6</v>
      </c>
      <c r="AG352" s="105" t="s">
        <v>1781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 s="67"/>
      <c r="AC353" s="87">
        <f t="shared" ref="AC353:AC416" si="6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D353" s="91">
        <v>6</v>
      </c>
      <c r="AE353" s="105" t="s">
        <v>1781</v>
      </c>
      <c r="AF353" s="91">
        <v>6</v>
      </c>
      <c r="AG353" s="105" t="s">
        <v>1781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6"/>
        <v>0.33333333333333331</v>
      </c>
      <c r="AD354" s="91">
        <v>6</v>
      </c>
      <c r="AE354" s="105" t="s">
        <v>1781</v>
      </c>
      <c r="AF354" s="91">
        <v>6</v>
      </c>
      <c r="AG354" s="105" t="s">
        <v>1781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6"/>
        <v>0.25925925925925924</v>
      </c>
      <c r="AD355" s="91">
        <v>6</v>
      </c>
      <c r="AE355" s="105" t="s">
        <v>1781</v>
      </c>
      <c r="AF355" s="91">
        <v>6</v>
      </c>
      <c r="AG355" s="105" t="s">
        <v>1781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6"/>
        <v>0.25925925925925924</v>
      </c>
      <c r="AD356" s="91">
        <v>6</v>
      </c>
      <c r="AE356" s="105" t="s">
        <v>1781</v>
      </c>
      <c r="AF356" s="91">
        <v>6</v>
      </c>
      <c r="AG356" s="105" t="s">
        <v>1781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6"/>
        <v>0.25925925925925924</v>
      </c>
      <c r="AD357" s="91">
        <v>6</v>
      </c>
      <c r="AE357" s="105" t="s">
        <v>1781</v>
      </c>
      <c r="AF357" s="91">
        <v>6</v>
      </c>
      <c r="AG357" s="105" t="s">
        <v>1781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6"/>
        <v>0.25925925925925924</v>
      </c>
      <c r="AD358" s="91">
        <v>6</v>
      </c>
      <c r="AE358" s="105" t="s">
        <v>1781</v>
      </c>
      <c r="AF358" s="91">
        <v>6</v>
      </c>
      <c r="AG358" s="105" t="s">
        <v>1781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 s="74"/>
      <c r="AC359" s="87">
        <f t="shared" si="6"/>
        <v>0.33333333333333331</v>
      </c>
      <c r="AD359" s="91">
        <v>6</v>
      </c>
      <c r="AE359" s="105" t="s">
        <v>1781</v>
      </c>
      <c r="AF359" s="91">
        <v>6</v>
      </c>
      <c r="AG359" s="105" t="s">
        <v>1781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6"/>
        <v>0.25925925925925924</v>
      </c>
      <c r="AD360" s="91">
        <v>6</v>
      </c>
      <c r="AE360" s="105" t="s">
        <v>1781</v>
      </c>
      <c r="AF360" s="91">
        <v>6</v>
      </c>
      <c r="AG360" s="105" t="s">
        <v>1781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 s="67"/>
      <c r="AC361" s="87">
        <f t="shared" si="6"/>
        <v>0.25925925925925924</v>
      </c>
      <c r="AD361" s="91">
        <v>6</v>
      </c>
      <c r="AE361" s="105" t="s">
        <v>1781</v>
      </c>
      <c r="AF361" s="91">
        <v>6</v>
      </c>
      <c r="AG361" s="105" t="s">
        <v>1781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6"/>
        <v>0.25925925925925924</v>
      </c>
      <c r="AD362" s="91">
        <v>6</v>
      </c>
      <c r="AE362" s="105" t="s">
        <v>1781</v>
      </c>
      <c r="AF362" s="91">
        <v>6</v>
      </c>
      <c r="AG362" s="105" t="s">
        <v>1781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 s="67"/>
      <c r="AC363" s="87">
        <f t="shared" si="6"/>
        <v>0.55555555555555558</v>
      </c>
      <c r="AD363" s="91">
        <v>3</v>
      </c>
      <c r="AE363" s="105" t="s">
        <v>1783</v>
      </c>
      <c r="AF363" s="91">
        <v>3</v>
      </c>
      <c r="AG363" s="105" t="s">
        <v>1783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6"/>
        <v>0.18518518518518517</v>
      </c>
      <c r="AD364" s="91">
        <v>3</v>
      </c>
      <c r="AE364" s="105" t="s">
        <v>1783</v>
      </c>
      <c r="AF364" s="91">
        <v>3</v>
      </c>
      <c r="AG364" s="105" t="s">
        <v>1783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6"/>
        <v>0.18518518518518517</v>
      </c>
      <c r="AD365" s="91">
        <v>3</v>
      </c>
      <c r="AE365" s="105" t="s">
        <v>1783</v>
      </c>
      <c r="AF365" s="91">
        <v>3</v>
      </c>
      <c r="AG365" s="105" t="s">
        <v>1783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6"/>
        <v>0.18518518518518517</v>
      </c>
      <c r="AD366" s="91">
        <v>3</v>
      </c>
      <c r="AE366" s="105" t="s">
        <v>1783</v>
      </c>
      <c r="AF366" s="91">
        <v>3</v>
      </c>
      <c r="AG366" s="105" t="s">
        <v>1783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 s="67"/>
      <c r="AC367" s="87">
        <f t="shared" si="6"/>
        <v>0.55555555555555558</v>
      </c>
      <c r="AD367" s="91">
        <v>3</v>
      </c>
      <c r="AE367" s="105" t="s">
        <v>1783</v>
      </c>
      <c r="AF367" s="91">
        <v>3</v>
      </c>
      <c r="AG367" s="105" t="s">
        <v>1783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6"/>
        <v>0.18518518518518517</v>
      </c>
      <c r="AD368" s="91">
        <v>3</v>
      </c>
      <c r="AE368" s="105" t="s">
        <v>1783</v>
      </c>
      <c r="AF368" s="91">
        <v>3</v>
      </c>
      <c r="AG368" s="105" t="s">
        <v>1783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6"/>
        <v>0.18518518518518517</v>
      </c>
      <c r="AD369" s="91">
        <v>3</v>
      </c>
      <c r="AE369" s="105" t="s">
        <v>1783</v>
      </c>
      <c r="AF369" s="91">
        <v>3</v>
      </c>
      <c r="AG369" s="105" t="s">
        <v>1783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 s="67"/>
      <c r="AC370" s="87">
        <f t="shared" si="6"/>
        <v>0.18518518518518517</v>
      </c>
      <c r="AD370" s="91">
        <v>3</v>
      </c>
      <c r="AE370" s="105" t="s">
        <v>1783</v>
      </c>
      <c r="AF370" s="91">
        <v>3</v>
      </c>
      <c r="AG370" s="105" t="s">
        <v>1783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 s="67"/>
      <c r="AC371" s="87">
        <f t="shared" si="6"/>
        <v>0.18518518518518517</v>
      </c>
      <c r="AD371" s="91">
        <v>3</v>
      </c>
      <c r="AE371" s="105" t="s">
        <v>1783</v>
      </c>
      <c r="AF371" s="91">
        <v>3</v>
      </c>
      <c r="AG371" s="105" t="s">
        <v>1783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175</v>
      </c>
      <c r="Y372" s="66"/>
      <c r="Z372" s="66"/>
      <c r="AA372" s="66"/>
      <c r="AB372" s="67"/>
      <c r="AC372" s="87">
        <f t="shared" si="6"/>
        <v>0.5</v>
      </c>
      <c r="AD372" s="91">
        <v>3</v>
      </c>
      <c r="AE372" s="105" t="s">
        <v>1783</v>
      </c>
      <c r="AF372" s="91">
        <v>3</v>
      </c>
      <c r="AG372" s="105" t="s">
        <v>1783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 s="67"/>
      <c r="AC373" s="87">
        <f t="shared" si="6"/>
        <v>0.18518518518518517</v>
      </c>
      <c r="AD373" s="91">
        <v>3</v>
      </c>
      <c r="AE373" s="105" t="s">
        <v>1783</v>
      </c>
      <c r="AF373" s="91">
        <v>3</v>
      </c>
      <c r="AG373" s="105" t="s">
        <v>1783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 s="67"/>
      <c r="AC374" s="87">
        <f t="shared" si="6"/>
        <v>0.18518518518518517</v>
      </c>
      <c r="AD374" s="91">
        <v>3</v>
      </c>
      <c r="AE374" s="105" t="s">
        <v>1783</v>
      </c>
      <c r="AF374" s="91">
        <v>3</v>
      </c>
      <c r="AG374" s="105" t="s">
        <v>1783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 s="67"/>
      <c r="AC375" s="87">
        <f t="shared" si="6"/>
        <v>0.18518518518518517</v>
      </c>
      <c r="AD375" s="91">
        <v>3</v>
      </c>
      <c r="AE375" s="105" t="s">
        <v>1783</v>
      </c>
      <c r="AF375" s="91">
        <v>3</v>
      </c>
      <c r="AG375" s="105" t="s">
        <v>1783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 s="67"/>
      <c r="AC376" s="87">
        <f t="shared" si="6"/>
        <v>0.18518518518518517</v>
      </c>
      <c r="AD376" s="91">
        <v>3</v>
      </c>
      <c r="AE376" s="105" t="s">
        <v>1783</v>
      </c>
      <c r="AF376" s="91">
        <v>3</v>
      </c>
      <c r="AG376" s="105" t="s">
        <v>1783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 s="67"/>
      <c r="AC377" s="87">
        <f t="shared" si="6"/>
        <v>0.18518518518518517</v>
      </c>
      <c r="AD377" s="91">
        <v>3</v>
      </c>
      <c r="AE377" s="105" t="s">
        <v>1783</v>
      </c>
      <c r="AF377" s="91">
        <v>3</v>
      </c>
      <c r="AG377" s="105" t="s">
        <v>1783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 s="67"/>
      <c r="AC378" s="87">
        <f t="shared" si="6"/>
        <v>0.55555555555555558</v>
      </c>
      <c r="AD378" s="91">
        <v>3</v>
      </c>
      <c r="AE378" s="105" t="s">
        <v>1783</v>
      </c>
      <c r="AF378" s="91">
        <v>3</v>
      </c>
      <c r="AG378" s="105" t="s">
        <v>1783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 s="67"/>
      <c r="AC379" s="87">
        <f t="shared" si="6"/>
        <v>0.18518518518518517</v>
      </c>
      <c r="AD379" s="91">
        <v>3</v>
      </c>
      <c r="AE379" s="105" t="s">
        <v>1783</v>
      </c>
      <c r="AF379" s="91">
        <v>3</v>
      </c>
      <c r="AG379" s="105" t="s">
        <v>1783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 s="67"/>
      <c r="AC380" s="87">
        <f t="shared" si="6"/>
        <v>0.18518518518518517</v>
      </c>
      <c r="AD380" s="91">
        <v>3</v>
      </c>
      <c r="AE380" s="105" t="s">
        <v>1783</v>
      </c>
      <c r="AF380" s="91">
        <v>3</v>
      </c>
      <c r="AG380" s="105" t="s">
        <v>1783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 s="67"/>
      <c r="AC381" s="87">
        <f t="shared" si="6"/>
        <v>0.18518518518518517</v>
      </c>
      <c r="AD381" s="91">
        <v>3</v>
      </c>
      <c r="AE381" s="105" t="s">
        <v>1783</v>
      </c>
      <c r="AF381" s="91">
        <v>3</v>
      </c>
      <c r="AG381" s="105" t="s">
        <v>1783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 s="67"/>
      <c r="AC382" s="87">
        <f t="shared" si="6"/>
        <v>0.18518518518518517</v>
      </c>
      <c r="AD382" s="91">
        <v>3</v>
      </c>
      <c r="AE382" s="105" t="s">
        <v>1783</v>
      </c>
      <c r="AF382" s="91">
        <v>3</v>
      </c>
      <c r="AG382" s="105" t="s">
        <v>1783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 s="67"/>
      <c r="AC383" s="87">
        <f t="shared" si="6"/>
        <v>0.18518518518518517</v>
      </c>
      <c r="AD383" s="91">
        <v>3</v>
      </c>
      <c r="AE383" s="105" t="s">
        <v>1783</v>
      </c>
      <c r="AF383" s="91">
        <v>3</v>
      </c>
      <c r="AG383" s="105" t="s">
        <v>1783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 s="67"/>
      <c r="AC384" s="87">
        <f t="shared" si="6"/>
        <v>0.18518518518518517</v>
      </c>
      <c r="AD384" s="91">
        <v>3</v>
      </c>
      <c r="AE384" s="105" t="s">
        <v>1783</v>
      </c>
      <c r="AF384" s="91">
        <v>3</v>
      </c>
      <c r="AG384" s="105" t="s">
        <v>1783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 s="67"/>
      <c r="AC385" s="87">
        <f t="shared" si="6"/>
        <v>0.18518518518518517</v>
      </c>
      <c r="AD385" s="91">
        <v>3</v>
      </c>
      <c r="AE385" s="105" t="s">
        <v>1783</v>
      </c>
      <c r="AF385" s="91">
        <v>3</v>
      </c>
      <c r="AG385" s="105" t="s">
        <v>1783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 s="67"/>
      <c r="AC386" s="87">
        <f t="shared" si="6"/>
        <v>0.18518518518518517</v>
      </c>
      <c r="AD386" s="91">
        <v>3</v>
      </c>
      <c r="AE386" s="105" t="s">
        <v>1783</v>
      </c>
      <c r="AF386" s="91">
        <v>3</v>
      </c>
      <c r="AG386" s="105" t="s">
        <v>1783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 s="67"/>
      <c r="AC387" s="87">
        <f t="shared" si="6"/>
        <v>0.18518518518518517</v>
      </c>
      <c r="AD387" s="91">
        <v>3</v>
      </c>
      <c r="AE387" s="105" t="s">
        <v>1783</v>
      </c>
      <c r="AF387" s="91">
        <v>3</v>
      </c>
      <c r="AG387" s="105" t="s">
        <v>1783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 s="67"/>
      <c r="AC388" s="87">
        <f t="shared" si="6"/>
        <v>0.18518518518518517</v>
      </c>
      <c r="AD388" s="91">
        <v>3</v>
      </c>
      <c r="AE388" s="105" t="s">
        <v>1783</v>
      </c>
      <c r="AF388" s="91">
        <v>3</v>
      </c>
      <c r="AG388" s="105" t="s">
        <v>1783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 s="67"/>
      <c r="AC389" s="87">
        <f t="shared" si="6"/>
        <v>0.18518518518518517</v>
      </c>
      <c r="AD389" s="91">
        <v>3</v>
      </c>
      <c r="AE389" s="105" t="s">
        <v>1783</v>
      </c>
      <c r="AF389" s="91">
        <v>3</v>
      </c>
      <c r="AG389" s="105" t="s">
        <v>1783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 s="67"/>
      <c r="AC390" s="87">
        <f t="shared" si="6"/>
        <v>0.18518518518518517</v>
      </c>
      <c r="AD390" s="91">
        <v>3</v>
      </c>
      <c r="AE390" s="105" t="s">
        <v>1783</v>
      </c>
      <c r="AF390" s="91">
        <v>3</v>
      </c>
      <c r="AG390" s="105" t="s">
        <v>1783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 s="67"/>
      <c r="AC391" s="87">
        <f t="shared" si="6"/>
        <v>0.18518518518518517</v>
      </c>
      <c r="AD391" s="91">
        <v>3</v>
      </c>
      <c r="AE391" s="105" t="s">
        <v>1783</v>
      </c>
      <c r="AF391" s="91">
        <v>3</v>
      </c>
      <c r="AG391" s="105" t="s">
        <v>1783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 s="67"/>
      <c r="AC392" s="87">
        <f t="shared" si="6"/>
        <v>0.55555555555555558</v>
      </c>
      <c r="AD392" s="91">
        <v>3</v>
      </c>
      <c r="AE392" s="105" t="s">
        <v>1783</v>
      </c>
      <c r="AF392" s="91">
        <v>3</v>
      </c>
      <c r="AG392" s="105" t="s">
        <v>1783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 s="67"/>
      <c r="AC393" s="87">
        <f t="shared" si="6"/>
        <v>0.18518518518518517</v>
      </c>
      <c r="AD393" s="91">
        <v>3</v>
      </c>
      <c r="AE393" s="105" t="s">
        <v>1783</v>
      </c>
      <c r="AF393" s="91">
        <v>3</v>
      </c>
      <c r="AG393" s="105" t="s">
        <v>1783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 s="67"/>
      <c r="AC394" s="87">
        <f t="shared" si="6"/>
        <v>0.18518518518518517</v>
      </c>
      <c r="AD394" s="91">
        <v>3</v>
      </c>
      <c r="AE394" s="105" t="s">
        <v>1783</v>
      </c>
      <c r="AF394" s="91">
        <v>3</v>
      </c>
      <c r="AG394" s="105" t="s">
        <v>1783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 s="67"/>
      <c r="AC395" s="87">
        <f t="shared" si="6"/>
        <v>0.18518518518518517</v>
      </c>
      <c r="AD395" s="91">
        <v>3</v>
      </c>
      <c r="AE395" s="105" t="s">
        <v>1783</v>
      </c>
      <c r="AF395" s="91">
        <v>3</v>
      </c>
      <c r="AG395" s="105" t="s">
        <v>1783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 s="67"/>
      <c r="AC396" s="87">
        <f t="shared" si="6"/>
        <v>0.18518518518518517</v>
      </c>
      <c r="AD396" s="91">
        <v>3</v>
      </c>
      <c r="AE396" s="105" t="s">
        <v>1783</v>
      </c>
      <c r="AF396" s="91">
        <v>3</v>
      </c>
      <c r="AG396" s="105" t="s">
        <v>1783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 s="67" t="s">
        <v>1814</v>
      </c>
      <c r="AC397" s="87">
        <f t="shared" si="6"/>
        <v>0.55555555555555558</v>
      </c>
      <c r="AD397" s="91">
        <v>3</v>
      </c>
      <c r="AE397" s="105" t="s">
        <v>1835</v>
      </c>
      <c r="AF397" s="91">
        <v>3</v>
      </c>
      <c r="AG397" s="105" t="s">
        <v>1835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 s="67"/>
      <c r="AC398" s="87">
        <f t="shared" si="6"/>
        <v>0.18518518518518517</v>
      </c>
      <c r="AD398" s="91">
        <v>3</v>
      </c>
      <c r="AE398" s="105" t="s">
        <v>1783</v>
      </c>
      <c r="AF398" s="91">
        <v>3</v>
      </c>
      <c r="AG398" s="105" t="s">
        <v>1783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6"/>
        <v>0.31481481481481477</v>
      </c>
      <c r="AD399" s="91">
        <v>5</v>
      </c>
      <c r="AE399" s="105" t="s">
        <v>1843</v>
      </c>
      <c r="AF399" s="91">
        <v>5</v>
      </c>
      <c r="AG399" s="105" t="s">
        <v>1843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6"/>
        <v>0.31481481481481477</v>
      </c>
      <c r="AD400" s="91">
        <v>5</v>
      </c>
      <c r="AE400" s="105" t="s">
        <v>1843</v>
      </c>
      <c r="AF400" s="91">
        <v>5</v>
      </c>
      <c r="AG400" s="105" t="s">
        <v>1843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6"/>
        <v>0.31481481481481477</v>
      </c>
      <c r="AD401" s="91">
        <v>5</v>
      </c>
      <c r="AE401" s="105" t="s">
        <v>1843</v>
      </c>
      <c r="AF401" s="91">
        <v>5</v>
      </c>
      <c r="AG401" s="105" t="s">
        <v>1843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6"/>
        <v>0.31481481481481477</v>
      </c>
      <c r="AD402" s="91">
        <v>5</v>
      </c>
      <c r="AE402" s="105" t="s">
        <v>1843</v>
      </c>
      <c r="AF402" s="91">
        <v>5</v>
      </c>
      <c r="AG402" s="105" t="s">
        <v>1843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6"/>
        <v>0.31481481481481477</v>
      </c>
      <c r="AD403" s="91">
        <v>5</v>
      </c>
      <c r="AE403" s="105" t="s">
        <v>1843</v>
      </c>
      <c r="AF403" s="91">
        <v>5</v>
      </c>
      <c r="AG403" s="105" t="s">
        <v>1843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6"/>
        <v>0.31481481481481477</v>
      </c>
      <c r="AD404" s="91">
        <v>5</v>
      </c>
      <c r="AE404" s="105" t="s">
        <v>1843</v>
      </c>
      <c r="AF404" s="91">
        <v>5</v>
      </c>
      <c r="AG404" s="105" t="s">
        <v>1843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6"/>
        <v>0.31481481481481477</v>
      </c>
      <c r="AD405" s="91">
        <v>5</v>
      </c>
      <c r="AE405" s="105" t="s">
        <v>1843</v>
      </c>
      <c r="AF405" s="91">
        <v>5</v>
      </c>
      <c r="AG405" s="105" t="s">
        <v>1843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6"/>
        <v>0.31481481481481477</v>
      </c>
      <c r="AD406" s="91">
        <v>5</v>
      </c>
      <c r="AE406" s="105" t="s">
        <v>1843</v>
      </c>
      <c r="AF406" s="91">
        <v>5</v>
      </c>
      <c r="AG406" s="105" t="s">
        <v>1843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6"/>
        <v>0.27777777777777779</v>
      </c>
      <c r="AD407" s="91">
        <v>5</v>
      </c>
      <c r="AE407" s="105" t="s">
        <v>1843</v>
      </c>
      <c r="AF407" s="91">
        <v>5</v>
      </c>
      <c r="AG407" s="105" t="s">
        <v>1843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6"/>
        <v>0.31481481481481477</v>
      </c>
      <c r="AD408" s="91">
        <v>5</v>
      </c>
      <c r="AE408" s="105" t="s">
        <v>1843</v>
      </c>
      <c r="AF408" s="91">
        <v>5</v>
      </c>
      <c r="AG408" s="105" t="s">
        <v>1843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6"/>
        <v>0.31481481481481477</v>
      </c>
      <c r="AD409" s="91">
        <v>5</v>
      </c>
      <c r="AE409" s="105" t="s">
        <v>1843</v>
      </c>
      <c r="AF409" s="91">
        <v>5</v>
      </c>
      <c r="AG409" s="105" t="s">
        <v>1843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6"/>
        <v>0.31481481481481477</v>
      </c>
      <c r="AD410" s="91">
        <v>5</v>
      </c>
      <c r="AE410" s="105" t="s">
        <v>1843</v>
      </c>
      <c r="AF410" s="91">
        <v>5</v>
      </c>
      <c r="AG410" s="105" t="s">
        <v>1843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1">
        <v>5</v>
      </c>
      <c r="AE411" s="105" t="s">
        <v>1843</v>
      </c>
      <c r="AF411" s="91">
        <v>5</v>
      </c>
      <c r="AG411" s="105" t="s">
        <v>1843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1">
        <v>5</v>
      </c>
      <c r="AE412" s="105" t="s">
        <v>1843</v>
      </c>
      <c r="AF412" s="91">
        <v>5</v>
      </c>
      <c r="AG412" s="105" t="s">
        <v>1843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6"/>
        <v>0.31481481481481477</v>
      </c>
      <c r="AD413" s="91">
        <v>5</v>
      </c>
      <c r="AE413" s="105" t="s">
        <v>1843</v>
      </c>
      <c r="AF413" s="91">
        <v>5</v>
      </c>
      <c r="AG413" s="105" t="s">
        <v>1843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1">
        <v>5</v>
      </c>
      <c r="AE414" s="105" t="s">
        <v>1843</v>
      </c>
      <c r="AF414" s="91">
        <v>5</v>
      </c>
      <c r="AG414" s="105" t="s">
        <v>1843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1">
        <v>5</v>
      </c>
      <c r="AE415" s="105" t="s">
        <v>1843</v>
      </c>
      <c r="AF415" s="91">
        <v>5</v>
      </c>
      <c r="AG415" s="105" t="s">
        <v>1843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1">
        <v>5</v>
      </c>
      <c r="AE416" s="105" t="s">
        <v>1843</v>
      </c>
      <c r="AF416" s="91">
        <v>5</v>
      </c>
      <c r="AG416" s="105" t="s">
        <v>1843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7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 s="91">
        <v>5</v>
      </c>
      <c r="AG417" s="105" t="s">
        <v>1843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7"/>
        <v>0.31481481481481477</v>
      </c>
      <c r="AD418" s="91">
        <v>5</v>
      </c>
      <c r="AE418" s="105" t="s">
        <v>1843</v>
      </c>
      <c r="AF418" s="91">
        <v>5</v>
      </c>
      <c r="AG418" s="105" t="s">
        <v>1843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7"/>
        <v>0.27777777777777779</v>
      </c>
      <c r="AD419" s="91">
        <v>5</v>
      </c>
      <c r="AE419" s="105" t="s">
        <v>1843</v>
      </c>
      <c r="AF419" s="91">
        <v>5</v>
      </c>
      <c r="AG419" s="105" t="s">
        <v>1843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7"/>
        <v>0.31481481481481477</v>
      </c>
      <c r="AD420" s="91">
        <v>5</v>
      </c>
      <c r="AE420" s="105" t="s">
        <v>1843</v>
      </c>
      <c r="AF420" s="91">
        <v>5</v>
      </c>
      <c r="AG420" s="105" t="s">
        <v>1843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7"/>
        <v>0.31481481481481477</v>
      </c>
      <c r="AD421" s="91">
        <v>5</v>
      </c>
      <c r="AE421" s="105" t="s">
        <v>1843</v>
      </c>
      <c r="AF421" s="91">
        <v>5</v>
      </c>
      <c r="AG421" s="105" t="s">
        <v>1843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7"/>
        <v>0.31481481481481477</v>
      </c>
      <c r="AD422" s="91">
        <v>5</v>
      </c>
      <c r="AE422" s="105" t="s">
        <v>1843</v>
      </c>
      <c r="AF422" s="91">
        <v>5</v>
      </c>
      <c r="AG422" s="105" t="s">
        <v>1843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7"/>
        <v>0.31481481481481477</v>
      </c>
      <c r="AD423" s="91">
        <v>5</v>
      </c>
      <c r="AE423" s="105" t="s">
        <v>1843</v>
      </c>
      <c r="AF423" s="91">
        <v>5</v>
      </c>
      <c r="AG423" s="105" t="s">
        <v>1843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7"/>
        <v>0.31481481481481477</v>
      </c>
      <c r="AD424" s="91">
        <v>7</v>
      </c>
      <c r="AE424" s="64" t="s">
        <v>1844</v>
      </c>
      <c r="AF424" s="91">
        <v>7</v>
      </c>
      <c r="AG424" s="64" t="s">
        <v>1844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7"/>
        <v>0.31481481481481477</v>
      </c>
      <c r="AD425" s="91">
        <v>7</v>
      </c>
      <c r="AE425" s="64" t="s">
        <v>1844</v>
      </c>
      <c r="AF425" s="91">
        <v>7</v>
      </c>
      <c r="AG425" s="64" t="s">
        <v>1844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7"/>
        <v>0.31481481481481477</v>
      </c>
      <c r="AD426" s="91">
        <v>7</v>
      </c>
      <c r="AE426" s="64" t="s">
        <v>1844</v>
      </c>
      <c r="AF426" s="91">
        <v>7</v>
      </c>
      <c r="AG426" s="64" t="s">
        <v>1844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7"/>
        <v>0.31481481481481477</v>
      </c>
      <c r="AD427" s="91">
        <v>7</v>
      </c>
      <c r="AE427" s="64" t="s">
        <v>1844</v>
      </c>
      <c r="AF427" s="91">
        <v>7</v>
      </c>
      <c r="AG427" s="64" t="s">
        <v>1844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7"/>
        <v>0.31481481481481477</v>
      </c>
      <c r="AD428" s="91">
        <v>7</v>
      </c>
      <c r="AE428" s="64" t="s">
        <v>1844</v>
      </c>
      <c r="AF428" s="91">
        <v>7</v>
      </c>
      <c r="AG428" s="64" t="s">
        <v>1844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7"/>
        <v>0.31481481481481477</v>
      </c>
      <c r="AD429" s="91">
        <v>7</v>
      </c>
      <c r="AE429" s="64" t="s">
        <v>1844</v>
      </c>
      <c r="AF429" s="91">
        <v>7</v>
      </c>
      <c r="AG429" s="64" t="s">
        <v>1844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7"/>
        <v>0.31481481481481477</v>
      </c>
      <c r="AD430" s="91">
        <v>7</v>
      </c>
      <c r="AE430" s="64" t="s">
        <v>1844</v>
      </c>
      <c r="AF430" s="91">
        <v>7</v>
      </c>
      <c r="AG430" s="64" t="s">
        <v>1844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7"/>
        <v>0.31481481481481477</v>
      </c>
      <c r="AD431" s="91">
        <v>7</v>
      </c>
      <c r="AE431" s="64" t="s">
        <v>1844</v>
      </c>
      <c r="AF431" s="91">
        <v>7</v>
      </c>
      <c r="AG431" s="64" t="s">
        <v>1844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7"/>
        <v>0.31481481481481477</v>
      </c>
      <c r="AD432" s="91">
        <v>7</v>
      </c>
      <c r="AE432" s="64" t="s">
        <v>1844</v>
      </c>
      <c r="AF432" s="91">
        <v>7</v>
      </c>
      <c r="AG432" s="64" t="s">
        <v>1844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7"/>
        <v>0.31481481481481477</v>
      </c>
      <c r="AD433" s="91">
        <v>7</v>
      </c>
      <c r="AE433" s="64" t="s">
        <v>1844</v>
      </c>
      <c r="AF433" s="91">
        <v>7</v>
      </c>
      <c r="AG433" s="64" t="s">
        <v>1844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7"/>
        <v>0.31481481481481477</v>
      </c>
      <c r="AD434" s="91">
        <v>7</v>
      </c>
      <c r="AE434" s="64" t="s">
        <v>1844</v>
      </c>
      <c r="AF434" s="91">
        <v>7</v>
      </c>
      <c r="AG434" s="64" t="s">
        <v>1844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7"/>
        <v>0.31481481481481477</v>
      </c>
      <c r="AD435" s="91">
        <v>7</v>
      </c>
      <c r="AE435" s="64" t="s">
        <v>1844</v>
      </c>
      <c r="AF435" s="91">
        <v>7</v>
      </c>
      <c r="AG435" s="64" t="s">
        <v>1844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7"/>
        <v>0.31481481481481477</v>
      </c>
      <c r="AD436" s="91">
        <v>7</v>
      </c>
      <c r="AE436" s="64" t="s">
        <v>1844</v>
      </c>
      <c r="AF436" s="91">
        <v>7</v>
      </c>
      <c r="AG436" s="64" t="s">
        <v>1844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7"/>
        <v>0.31481481481481477</v>
      </c>
      <c r="AD437" s="91">
        <v>7</v>
      </c>
      <c r="AE437" s="64" t="s">
        <v>1844</v>
      </c>
      <c r="AF437" s="91">
        <v>7</v>
      </c>
      <c r="AG437" s="64" t="s">
        <v>1844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7"/>
        <v>0.31481481481481477</v>
      </c>
      <c r="AD438" s="91">
        <v>7</v>
      </c>
      <c r="AE438" s="64" t="s">
        <v>1844</v>
      </c>
      <c r="AF438" s="91">
        <v>7</v>
      </c>
      <c r="AG438" s="64" t="s">
        <v>1844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7"/>
        <v>0.31481481481481477</v>
      </c>
      <c r="AD439" s="91">
        <v>7</v>
      </c>
      <c r="AE439" s="64" t="s">
        <v>1844</v>
      </c>
      <c r="AF439" s="91">
        <v>7</v>
      </c>
      <c r="AG439" s="64" t="s">
        <v>1844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7"/>
        <v>0.31481481481481477</v>
      </c>
      <c r="AD440" s="91">
        <v>7</v>
      </c>
      <c r="AE440" s="64" t="s">
        <v>1844</v>
      </c>
      <c r="AF440" s="91">
        <v>7</v>
      </c>
      <c r="AG440" s="64" t="s">
        <v>1844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7"/>
        <v>0.31481481481481477</v>
      </c>
      <c r="AD441" s="91">
        <v>7</v>
      </c>
      <c r="AE441" s="64" t="s">
        <v>1844</v>
      </c>
      <c r="AF441" s="91">
        <v>7</v>
      </c>
      <c r="AG441" s="64" t="s">
        <v>1844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7"/>
        <v>0.31481481481481477</v>
      </c>
      <c r="AD442" s="91">
        <v>7</v>
      </c>
      <c r="AE442" s="64" t="s">
        <v>1844</v>
      </c>
      <c r="AF442" s="91">
        <v>7</v>
      </c>
      <c r="AG442" s="64" t="s">
        <v>1844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7"/>
        <v>0.31481481481481477</v>
      </c>
      <c r="AD443" s="91">
        <v>7</v>
      </c>
      <c r="AE443" s="64" t="s">
        <v>1844</v>
      </c>
      <c r="AF443" s="91">
        <v>7</v>
      </c>
      <c r="AG443" s="64" t="s">
        <v>1844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7"/>
        <v>0.31481481481481477</v>
      </c>
      <c r="AD444" s="91">
        <v>7</v>
      </c>
      <c r="AE444" s="64" t="s">
        <v>1844</v>
      </c>
      <c r="AF444" s="91">
        <v>7</v>
      </c>
      <c r="AG444" s="64" t="s">
        <v>1844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7"/>
        <v>0.31481481481481477</v>
      </c>
      <c r="AD445" s="91">
        <v>7</v>
      </c>
      <c r="AE445" s="64" t="s">
        <v>1844</v>
      </c>
      <c r="AF445" s="91">
        <v>7</v>
      </c>
      <c r="AG445" s="64" t="s">
        <v>1844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7"/>
        <v>0.31481481481481477</v>
      </c>
      <c r="AD446" s="91">
        <v>7</v>
      </c>
      <c r="AE446" s="64" t="s">
        <v>1844</v>
      </c>
      <c r="AF446" s="91">
        <v>7</v>
      </c>
      <c r="AG446" s="64" t="s">
        <v>1844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7"/>
        <v>0.31481481481481477</v>
      </c>
      <c r="AD447" s="91">
        <v>7</v>
      </c>
      <c r="AE447" s="64" t="s">
        <v>1844</v>
      </c>
      <c r="AF447" s="91">
        <v>7</v>
      </c>
      <c r="AG447" s="64" t="s">
        <v>1844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7"/>
        <v>0.31481481481481477</v>
      </c>
      <c r="AD448" s="91">
        <v>7</v>
      </c>
      <c r="AE448" s="64" t="s">
        <v>1844</v>
      </c>
      <c r="AF448" s="91">
        <v>7</v>
      </c>
      <c r="AG448" s="64" t="s">
        <v>1844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7"/>
        <v>0.31481481481481477</v>
      </c>
      <c r="AD449" s="91">
        <v>7</v>
      </c>
      <c r="AE449" s="64" t="s">
        <v>1844</v>
      </c>
      <c r="AF449" s="91">
        <v>7</v>
      </c>
      <c r="AG449" s="64" t="s">
        <v>1844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7"/>
        <v>0.31481481481481477</v>
      </c>
      <c r="AD450" s="91">
        <v>7</v>
      </c>
      <c r="AE450" s="64" t="s">
        <v>1844</v>
      </c>
      <c r="AF450" s="91">
        <v>7</v>
      </c>
      <c r="AG450" s="64" t="s">
        <v>1844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7"/>
        <v>0.31481481481481477</v>
      </c>
      <c r="AD451" s="91">
        <v>7</v>
      </c>
      <c r="AE451" s="64" t="s">
        <v>1844</v>
      </c>
      <c r="AF451" s="91">
        <v>7</v>
      </c>
      <c r="AG451" s="64" t="s">
        <v>1844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7"/>
        <v>0.31481481481481477</v>
      </c>
      <c r="AD452" s="91">
        <v>7</v>
      </c>
      <c r="AE452" s="64" t="s">
        <v>1844</v>
      </c>
      <c r="AF452" s="91">
        <v>7</v>
      </c>
      <c r="AG452" s="64" t="s">
        <v>1844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7"/>
        <v>0.31481481481481477</v>
      </c>
      <c r="AD453" s="91">
        <v>5</v>
      </c>
      <c r="AE453" s="105" t="s">
        <v>1845</v>
      </c>
      <c r="AF453" s="91">
        <v>5</v>
      </c>
      <c r="AG453" s="105" t="s">
        <v>1845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7"/>
        <v>0.24074074074074073</v>
      </c>
      <c r="AD454" s="91">
        <v>5</v>
      </c>
      <c r="AE454" s="105" t="s">
        <v>1845</v>
      </c>
      <c r="AF454" s="91">
        <v>5</v>
      </c>
      <c r="AG454" s="105" t="s">
        <v>1845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7"/>
        <v>0.31481481481481477</v>
      </c>
      <c r="AD455" s="91">
        <v>5</v>
      </c>
      <c r="AE455" s="105" t="s">
        <v>1845</v>
      </c>
      <c r="AF455" s="91">
        <v>5</v>
      </c>
      <c r="AG455" s="105" t="s">
        <v>1845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7"/>
        <v>0.31481481481481477</v>
      </c>
      <c r="AD456" s="91">
        <v>5</v>
      </c>
      <c r="AE456" s="105" t="s">
        <v>1845</v>
      </c>
      <c r="AF456" s="91">
        <v>5</v>
      </c>
      <c r="AG456" s="105" t="s">
        <v>1845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7"/>
        <v>0.31481481481481477</v>
      </c>
      <c r="AD457" s="91">
        <v>5</v>
      </c>
      <c r="AE457" s="105" t="s">
        <v>1845</v>
      </c>
      <c r="AF457" s="91">
        <v>5</v>
      </c>
      <c r="AG457" s="105" t="s">
        <v>1845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7"/>
        <v>0.31481481481481477</v>
      </c>
      <c r="AD458" s="91">
        <v>5</v>
      </c>
      <c r="AE458" s="105" t="s">
        <v>1845</v>
      </c>
      <c r="AF458" s="91">
        <v>5</v>
      </c>
      <c r="AG458" s="105" t="s">
        <v>1845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7"/>
        <v>0.31481481481481477</v>
      </c>
      <c r="AD459" s="91">
        <v>5</v>
      </c>
      <c r="AE459" s="105" t="s">
        <v>1845</v>
      </c>
      <c r="AF459" s="91">
        <v>5</v>
      </c>
      <c r="AG459" s="105" t="s">
        <v>1845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7"/>
        <v>0.31481481481481477</v>
      </c>
      <c r="AD460" s="91">
        <v>5</v>
      </c>
      <c r="AE460" s="105" t="s">
        <v>1845</v>
      </c>
      <c r="AF460" s="91">
        <v>5</v>
      </c>
      <c r="AG460" s="105" t="s">
        <v>1845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 s="67"/>
      <c r="AC461" s="87">
        <f t="shared" si="7"/>
        <v>0.24074074074074073</v>
      </c>
      <c r="AD461" s="91">
        <v>5</v>
      </c>
      <c r="AE461" s="105" t="s">
        <v>1845</v>
      </c>
      <c r="AF461" s="91">
        <v>5</v>
      </c>
      <c r="AG461" s="105" t="s">
        <v>1845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7"/>
        <v>0.31481481481481477</v>
      </c>
      <c r="AD462" s="91">
        <v>5</v>
      </c>
      <c r="AE462" s="105" t="s">
        <v>1845</v>
      </c>
      <c r="AF462" s="91">
        <v>5</v>
      </c>
      <c r="AG462" s="105" t="s">
        <v>1845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7"/>
        <v>0.31481481481481477</v>
      </c>
      <c r="AD463" s="91">
        <v>5</v>
      </c>
      <c r="AE463" s="105" t="s">
        <v>1845</v>
      </c>
      <c r="AF463" s="91">
        <v>5</v>
      </c>
      <c r="AG463" s="105" t="s">
        <v>1845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7"/>
        <v>0.31481481481481477</v>
      </c>
      <c r="AD464" s="91">
        <v>5</v>
      </c>
      <c r="AE464" s="105" t="s">
        <v>1845</v>
      </c>
      <c r="AF464" s="91">
        <v>5</v>
      </c>
      <c r="AG464" s="105" t="s">
        <v>1845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7"/>
        <v>0.31481481481481477</v>
      </c>
      <c r="AD465" s="91">
        <v>5</v>
      </c>
      <c r="AE465" s="105" t="s">
        <v>1845</v>
      </c>
      <c r="AF465" s="91">
        <v>5</v>
      </c>
      <c r="AG465" s="105" t="s">
        <v>1845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 s="67"/>
      <c r="AC466" s="87">
        <f t="shared" si="7"/>
        <v>0.24074074074074073</v>
      </c>
      <c r="AD466" s="91">
        <v>5</v>
      </c>
      <c r="AE466" s="105" t="s">
        <v>1845</v>
      </c>
      <c r="AF466" s="91">
        <v>5</v>
      </c>
      <c r="AG466" s="105" t="s">
        <v>1845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7"/>
        <v>0.31481481481481477</v>
      </c>
      <c r="AD467" s="91">
        <v>5</v>
      </c>
      <c r="AE467" s="105" t="s">
        <v>1845</v>
      </c>
      <c r="AF467" s="91">
        <v>5</v>
      </c>
      <c r="AG467" s="105" t="s">
        <v>1845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7"/>
        <v>0.55555555555555558</v>
      </c>
      <c r="AD468" s="91">
        <v>6</v>
      </c>
      <c r="AE468" s="105" t="s">
        <v>1785</v>
      </c>
      <c r="AF468" s="91">
        <v>6</v>
      </c>
      <c r="AG468" s="105" t="s">
        <v>1785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7"/>
        <v>0.55555555555555558</v>
      </c>
      <c r="AD469" s="91">
        <v>6</v>
      </c>
      <c r="AE469" s="105" t="s">
        <v>1785</v>
      </c>
      <c r="AF469" s="91">
        <v>6</v>
      </c>
      <c r="AG469" s="105" t="s">
        <v>1785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175</v>
      </c>
      <c r="X470" s="66" t="s">
        <v>175</v>
      </c>
      <c r="Y470" s="66"/>
      <c r="Z470" s="66"/>
      <c r="AA470" s="66"/>
      <c r="AB470" s="67"/>
      <c r="AC470" s="87">
        <f t="shared" si="7"/>
        <v>0.44444444444444442</v>
      </c>
      <c r="AD470" s="91">
        <v>6</v>
      </c>
      <c r="AE470" s="105" t="s">
        <v>1785</v>
      </c>
      <c r="AF470" s="91">
        <v>6</v>
      </c>
      <c r="AG470" s="105" t="s">
        <v>1785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7"/>
        <v>0.18518518518518517</v>
      </c>
      <c r="AD471" s="91">
        <v>6</v>
      </c>
      <c r="AE471" s="105" t="s">
        <v>1785</v>
      </c>
      <c r="AF471" s="91">
        <v>6</v>
      </c>
      <c r="AG471" s="105" t="s">
        <v>1785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7"/>
        <v>0.55555555555555558</v>
      </c>
      <c r="AD472" s="91">
        <v>6</v>
      </c>
      <c r="AE472" s="105" t="s">
        <v>1785</v>
      </c>
      <c r="AF472" s="91">
        <v>6</v>
      </c>
      <c r="AG472" s="105" t="s">
        <v>1785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7"/>
        <v>0.18518518518518517</v>
      </c>
      <c r="AD473" s="91">
        <v>6</v>
      </c>
      <c r="AE473" s="105" t="s">
        <v>1785</v>
      </c>
      <c r="AF473" s="91">
        <v>6</v>
      </c>
      <c r="AG473" s="105" t="s">
        <v>1785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7"/>
        <v>0.33333333333333331</v>
      </c>
      <c r="AD474" s="91">
        <v>6</v>
      </c>
      <c r="AE474" s="105" t="s">
        <v>1785</v>
      </c>
      <c r="AF474" s="91">
        <v>6</v>
      </c>
      <c r="AG474" s="105" t="s">
        <v>1785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 s="67"/>
      <c r="AC475" s="87">
        <f t="shared" si="7"/>
        <v>0.18518518518518517</v>
      </c>
      <c r="AD475" s="91">
        <v>6</v>
      </c>
      <c r="AE475" s="105" t="s">
        <v>1785</v>
      </c>
      <c r="AF475" s="91">
        <v>6</v>
      </c>
      <c r="AG475" s="105" t="s">
        <v>1785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7"/>
        <v>0.33333333333333331</v>
      </c>
      <c r="AD476" s="91">
        <v>6</v>
      </c>
      <c r="AE476" s="105" t="s">
        <v>1785</v>
      </c>
      <c r="AF476" s="91">
        <v>6</v>
      </c>
      <c r="AG476" s="105" t="s">
        <v>1785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7"/>
        <v>0.33333333333333331</v>
      </c>
      <c r="AD477" s="91">
        <v>6</v>
      </c>
      <c r="AE477" s="105" t="s">
        <v>1785</v>
      </c>
      <c r="AF477" s="91">
        <v>6</v>
      </c>
      <c r="AG477" s="105" t="s">
        <v>1785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7"/>
        <v>0.55555555555555558</v>
      </c>
      <c r="AD478" s="91">
        <v>6</v>
      </c>
      <c r="AE478" s="105" t="s">
        <v>1785</v>
      </c>
      <c r="AF478" s="91">
        <v>6</v>
      </c>
      <c r="AG478" s="105" t="s">
        <v>1785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7"/>
        <v>0.55555555555555558</v>
      </c>
      <c r="AD479" s="91">
        <v>6</v>
      </c>
      <c r="AE479" s="105" t="s">
        <v>1785</v>
      </c>
      <c r="AF479" s="91">
        <v>6</v>
      </c>
      <c r="AG479" s="105" t="s">
        <v>1785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/>
      <c r="X480" s="66"/>
      <c r="Y480" s="66"/>
      <c r="Z480" s="66"/>
      <c r="AA480" s="66"/>
      <c r="AB480" s="67"/>
      <c r="AC480" s="87">
        <f t="shared" si="7"/>
        <v>0.33333333333333331</v>
      </c>
      <c r="AD480" s="91">
        <v>6</v>
      </c>
      <c r="AE480" s="105" t="s">
        <v>1785</v>
      </c>
      <c r="AF480" s="91">
        <v>6</v>
      </c>
      <c r="AG480" s="105" t="s">
        <v>1785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8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 s="91">
        <v>6</v>
      </c>
      <c r="AG481" s="105" t="s">
        <v>1785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8"/>
        <v>0.18518518518518517</v>
      </c>
      <c r="AD482" s="91">
        <v>6</v>
      </c>
      <c r="AE482" s="105" t="s">
        <v>1785</v>
      </c>
      <c r="AF482" s="91">
        <v>6</v>
      </c>
      <c r="AG482" s="105" t="s">
        <v>1785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8"/>
        <v>0.18518518518518517</v>
      </c>
      <c r="AD483" s="91">
        <v>6</v>
      </c>
      <c r="AE483" s="105" t="s">
        <v>1785</v>
      </c>
      <c r="AF483" s="91">
        <v>6</v>
      </c>
      <c r="AG483" s="105" t="s">
        <v>1785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8"/>
        <v>0.25925925925925924</v>
      </c>
      <c r="AD484" s="91">
        <v>6</v>
      </c>
      <c r="AE484" s="105" t="s">
        <v>1785</v>
      </c>
      <c r="AF484" s="91">
        <v>6</v>
      </c>
      <c r="AG484" s="105" t="s">
        <v>1785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8"/>
        <v>0.18518518518518517</v>
      </c>
      <c r="AD485" s="91">
        <v>6</v>
      </c>
      <c r="AE485" s="105" t="s">
        <v>1785</v>
      </c>
      <c r="AF485" s="91">
        <v>6</v>
      </c>
      <c r="AG485" s="105" t="s">
        <v>1785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8"/>
        <v>0.55555555555555558</v>
      </c>
      <c r="AD486" s="91">
        <v>6</v>
      </c>
      <c r="AE486" s="105" t="s">
        <v>1785</v>
      </c>
      <c r="AF486" s="91">
        <v>6</v>
      </c>
      <c r="AG486" s="105" t="s">
        <v>1785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8"/>
        <v>0.33333333333333331</v>
      </c>
      <c r="AD487" s="91">
        <v>6</v>
      </c>
      <c r="AE487" s="105" t="s">
        <v>1785</v>
      </c>
      <c r="AF487" s="91">
        <v>6</v>
      </c>
      <c r="AG487" s="105" t="s">
        <v>1785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67"/>
      <c r="AC488" s="87">
        <f t="shared" si="8"/>
        <v>0.25925925925925924</v>
      </c>
      <c r="AD488" s="91">
        <v>6</v>
      </c>
      <c r="AE488" s="105" t="s">
        <v>1785</v>
      </c>
      <c r="AF488" s="91">
        <v>6</v>
      </c>
      <c r="AG488" s="105" t="s">
        <v>1785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/>
      <c r="X489" s="66"/>
      <c r="Y489" s="66"/>
      <c r="Z489" s="66"/>
      <c r="AA489" s="66"/>
      <c r="AB489" s="67"/>
      <c r="AC489" s="87">
        <f t="shared" si="8"/>
        <v>0.33333333333333331</v>
      </c>
      <c r="AD489" s="91">
        <v>6</v>
      </c>
      <c r="AE489" s="105" t="s">
        <v>1785</v>
      </c>
      <c r="AF489" s="91">
        <v>6</v>
      </c>
      <c r="AG489" s="105" t="s">
        <v>1785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8"/>
        <v>0.55555555555555558</v>
      </c>
      <c r="AD490" s="91">
        <v>6</v>
      </c>
      <c r="AE490" s="105" t="s">
        <v>1785</v>
      </c>
      <c r="AF490" s="91">
        <v>6</v>
      </c>
      <c r="AG490" s="105" t="s">
        <v>1785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8"/>
        <v>0.77777777777777779</v>
      </c>
      <c r="AD491" s="91">
        <v>5</v>
      </c>
      <c r="AE491" s="105" t="s">
        <v>1846</v>
      </c>
      <c r="AF491" s="91">
        <v>5</v>
      </c>
      <c r="AG491" s="105" t="s">
        <v>1846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8"/>
        <v>0.77777777777777779</v>
      </c>
      <c r="AD492" s="91">
        <v>5</v>
      </c>
      <c r="AE492" s="105" t="s">
        <v>1846</v>
      </c>
      <c r="AF492" s="91">
        <v>5</v>
      </c>
      <c r="AG492" s="105" t="s">
        <v>1846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8"/>
        <v>0.77777777777777779</v>
      </c>
      <c r="AD493" s="91">
        <v>5</v>
      </c>
      <c r="AE493" s="105" t="s">
        <v>1846</v>
      </c>
      <c r="AF493" s="91">
        <v>5</v>
      </c>
      <c r="AG493" s="105" t="s">
        <v>1846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8"/>
        <v>0.77777777777777779</v>
      </c>
      <c r="AD494" s="91">
        <v>5</v>
      </c>
      <c r="AE494" s="105" t="s">
        <v>1846</v>
      </c>
      <c r="AF494" s="91">
        <v>5</v>
      </c>
      <c r="AG494" s="105" t="s">
        <v>1846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8"/>
        <v>0.77777777777777779</v>
      </c>
      <c r="AD495" s="91">
        <v>5</v>
      </c>
      <c r="AE495" s="105" t="s">
        <v>1846</v>
      </c>
      <c r="AF495" s="91">
        <v>5</v>
      </c>
      <c r="AG495" s="105" t="s">
        <v>1846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8"/>
        <v>0.77777777777777779</v>
      </c>
      <c r="AD496" s="91">
        <v>5</v>
      </c>
      <c r="AE496" s="105" t="s">
        <v>1846</v>
      </c>
      <c r="AF496" s="91">
        <v>5</v>
      </c>
      <c r="AG496" s="105" t="s">
        <v>1846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8"/>
        <v>0.66666666666666663</v>
      </c>
      <c r="AD497" s="91">
        <v>5</v>
      </c>
      <c r="AE497" s="105" t="s">
        <v>1846</v>
      </c>
      <c r="AF497" s="91">
        <v>5</v>
      </c>
      <c r="AG497" s="105" t="s">
        <v>1846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8"/>
        <v>0.66666666666666663</v>
      </c>
      <c r="AD498" s="91">
        <v>5</v>
      </c>
      <c r="AE498" s="105" t="s">
        <v>1846</v>
      </c>
      <c r="AF498" s="91">
        <v>5</v>
      </c>
      <c r="AG498" s="105" t="s">
        <v>1846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175</v>
      </c>
      <c r="X499" s="66" t="s">
        <v>175</v>
      </c>
      <c r="Y499" s="66" t="s">
        <v>36</v>
      </c>
      <c r="Z499" s="66"/>
      <c r="AA499" s="66"/>
      <c r="AB499" s="67"/>
      <c r="AC499" s="87">
        <f t="shared" si="8"/>
        <v>0.66666666666666663</v>
      </c>
      <c r="AD499" s="91">
        <v>5</v>
      </c>
      <c r="AE499" s="105" t="s">
        <v>1846</v>
      </c>
      <c r="AF499" s="91">
        <v>5</v>
      </c>
      <c r="AG499" s="105" t="s">
        <v>1846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175</v>
      </c>
      <c r="X500" s="66" t="s">
        <v>175</v>
      </c>
      <c r="Y500" s="66" t="s">
        <v>36</v>
      </c>
      <c r="Z500" s="66"/>
      <c r="AA500" s="66"/>
      <c r="AB500" s="67"/>
      <c r="AC500" s="87">
        <f t="shared" si="8"/>
        <v>0.66666666666666663</v>
      </c>
      <c r="AD500" s="91">
        <v>5</v>
      </c>
      <c r="AE500" s="105" t="s">
        <v>1846</v>
      </c>
      <c r="AF500" s="91">
        <v>5</v>
      </c>
      <c r="AG500" s="105" t="s">
        <v>1846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8"/>
        <v>0.66666666666666663</v>
      </c>
      <c r="AD501" s="91">
        <v>5</v>
      </c>
      <c r="AE501" s="105" t="s">
        <v>1846</v>
      </c>
      <c r="AF501" s="91">
        <v>5</v>
      </c>
      <c r="AG501" s="105" t="s">
        <v>1846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8"/>
        <v>0.66666666666666663</v>
      </c>
      <c r="AD502" s="91">
        <v>5</v>
      </c>
      <c r="AE502" s="105" t="s">
        <v>1846</v>
      </c>
      <c r="AF502" s="91">
        <v>5</v>
      </c>
      <c r="AG502" s="105" t="s">
        <v>1846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8"/>
        <v>0.66666666666666663</v>
      </c>
      <c r="AD503" s="91">
        <v>5</v>
      </c>
      <c r="AE503" s="105" t="s">
        <v>1846</v>
      </c>
      <c r="AF503" s="91">
        <v>5</v>
      </c>
      <c r="AG503" s="105" t="s">
        <v>1846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175</v>
      </c>
      <c r="X504" s="66" t="s">
        <v>175</v>
      </c>
      <c r="Y504" s="66" t="s">
        <v>36</v>
      </c>
      <c r="Z504" s="66"/>
      <c r="AA504" s="66"/>
      <c r="AB504" s="67"/>
      <c r="AC504" s="87">
        <f t="shared" si="8"/>
        <v>0.66666666666666663</v>
      </c>
      <c r="AD504" s="91">
        <v>5</v>
      </c>
      <c r="AE504" s="105" t="s">
        <v>1846</v>
      </c>
      <c r="AF504" s="91">
        <v>5</v>
      </c>
      <c r="AG504" s="105" t="s">
        <v>1846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175</v>
      </c>
      <c r="X505" s="66" t="s">
        <v>175</v>
      </c>
      <c r="Y505" s="66" t="s">
        <v>36</v>
      </c>
      <c r="Z505" s="66"/>
      <c r="AA505" s="66"/>
      <c r="AB505" s="67"/>
      <c r="AC505" s="87">
        <f t="shared" si="8"/>
        <v>0.66666666666666663</v>
      </c>
      <c r="AD505" s="91">
        <v>5</v>
      </c>
      <c r="AE505" s="105" t="s">
        <v>1846</v>
      </c>
      <c r="AF505" s="91">
        <v>5</v>
      </c>
      <c r="AG505" s="105" t="s">
        <v>1846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8"/>
        <v>0.66666666666666663</v>
      </c>
      <c r="AD506" s="91">
        <v>5</v>
      </c>
      <c r="AE506" s="105" t="s">
        <v>1846</v>
      </c>
      <c r="AF506" s="91">
        <v>5</v>
      </c>
      <c r="AG506" s="105" t="s">
        <v>1846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175</v>
      </c>
      <c r="Y507" s="66" t="s">
        <v>36</v>
      </c>
      <c r="Z507" s="66"/>
      <c r="AA507" s="66"/>
      <c r="AB507" s="67"/>
      <c r="AC507" s="87">
        <f t="shared" si="8"/>
        <v>0.66666666666666663</v>
      </c>
      <c r="AD507" s="91">
        <v>5</v>
      </c>
      <c r="AE507" s="105" t="s">
        <v>1846</v>
      </c>
      <c r="AF507" s="91">
        <v>5</v>
      </c>
      <c r="AG507" s="105" t="s">
        <v>1846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8"/>
        <v>0.66666666666666663</v>
      </c>
      <c r="AD508" s="91">
        <v>5</v>
      </c>
      <c r="AE508" s="105" t="s">
        <v>1846</v>
      </c>
      <c r="AF508" s="91">
        <v>5</v>
      </c>
      <c r="AG508" s="105" t="s">
        <v>1846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8"/>
        <v>0.18518518518518517</v>
      </c>
      <c r="AD509" s="91">
        <v>8</v>
      </c>
      <c r="AE509" s="105" t="s">
        <v>1847</v>
      </c>
      <c r="AF509" s="91">
        <v>8</v>
      </c>
      <c r="AG509" s="105" t="s">
        <v>1847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8"/>
        <v>0.25925925925925924</v>
      </c>
      <c r="AD510" s="91">
        <v>8</v>
      </c>
      <c r="AE510" s="105" t="s">
        <v>1847</v>
      </c>
      <c r="AF510" s="91">
        <v>8</v>
      </c>
      <c r="AG510" s="105" t="s">
        <v>1847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8"/>
        <v>0.25925925925925924</v>
      </c>
      <c r="AD511" s="91">
        <v>8</v>
      </c>
      <c r="AE511" s="105" t="s">
        <v>1847</v>
      </c>
      <c r="AF511" s="91">
        <v>8</v>
      </c>
      <c r="AG511" s="105" t="s">
        <v>1847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8"/>
        <v>0.25925925925925924</v>
      </c>
      <c r="AD512" s="91">
        <v>8</v>
      </c>
      <c r="AE512" s="105" t="s">
        <v>1847</v>
      </c>
      <c r="AF512" s="91">
        <v>8</v>
      </c>
      <c r="AG512" s="105" t="s">
        <v>1847</v>
      </c>
    </row>
    <row r="513" spans="1:34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8"/>
        <v>0.25925925925925924</v>
      </c>
      <c r="AD513" s="91">
        <v>8</v>
      </c>
      <c r="AE513" s="105" t="s">
        <v>1847</v>
      </c>
      <c r="AF513" s="91">
        <v>8</v>
      </c>
      <c r="AG513" s="105" t="s">
        <v>1847</v>
      </c>
    </row>
    <row r="514" spans="1:34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8"/>
        <v>0.55555555555555558</v>
      </c>
      <c r="AD514" s="91">
        <v>8</v>
      </c>
      <c r="AE514" s="105" t="s">
        <v>1847</v>
      </c>
      <c r="AF514" s="91">
        <v>8</v>
      </c>
      <c r="AG514" s="105" t="s">
        <v>1847</v>
      </c>
    </row>
    <row r="515" spans="1:34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8"/>
        <v>0.18518518518518517</v>
      </c>
      <c r="AD515" s="91">
        <v>8</v>
      </c>
      <c r="AE515" s="105" t="s">
        <v>1847</v>
      </c>
      <c r="AF515" s="91">
        <v>8</v>
      </c>
      <c r="AG515" s="105" t="s">
        <v>1847</v>
      </c>
    </row>
    <row r="516" spans="1:34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8"/>
        <v>0.18518518518518517</v>
      </c>
      <c r="AD516" s="91">
        <v>8</v>
      </c>
      <c r="AE516" s="105" t="s">
        <v>1847</v>
      </c>
      <c r="AF516" s="91">
        <v>8</v>
      </c>
      <c r="AG516" s="105" t="s">
        <v>1847</v>
      </c>
    </row>
    <row r="517" spans="1:34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/>
      <c r="U517" s="66" t="s">
        <v>176</v>
      </c>
      <c r="V517" s="66" t="s">
        <v>176</v>
      </c>
      <c r="W517" s="66"/>
      <c r="X517" s="66"/>
      <c r="Y517" s="76"/>
      <c r="Z517" s="66"/>
      <c r="AA517" s="66"/>
      <c r="AB517" s="70" t="s">
        <v>1795</v>
      </c>
      <c r="AC517" s="87">
        <f t="shared" si="8"/>
        <v>0.18518518518518517</v>
      </c>
      <c r="AD517" s="91">
        <v>8</v>
      </c>
      <c r="AE517" s="105" t="s">
        <v>1847</v>
      </c>
      <c r="AF517" s="91">
        <v>8</v>
      </c>
      <c r="AG517" s="105" t="s">
        <v>1847</v>
      </c>
    </row>
    <row r="518" spans="1:34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8"/>
        <v>0.25925925925925924</v>
      </c>
      <c r="AD518" s="91">
        <v>8</v>
      </c>
      <c r="AE518" s="105" t="s">
        <v>1847</v>
      </c>
      <c r="AF518" s="91">
        <v>8</v>
      </c>
      <c r="AG518" s="105" t="s">
        <v>1847</v>
      </c>
    </row>
    <row r="519" spans="1:34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8"/>
        <v>0.25925925925925924</v>
      </c>
      <c r="AD519" s="91">
        <v>8</v>
      </c>
      <c r="AE519" s="105" t="s">
        <v>1847</v>
      </c>
      <c r="AF519" s="91">
        <v>8</v>
      </c>
      <c r="AG519" s="105" t="s">
        <v>1847</v>
      </c>
    </row>
    <row r="520" spans="1:34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/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8"/>
        <v>0.55555555555555558</v>
      </c>
      <c r="AD520" s="91">
        <v>8</v>
      </c>
      <c r="AE520" s="105" t="s">
        <v>1847</v>
      </c>
      <c r="AF520" s="91">
        <v>8</v>
      </c>
      <c r="AG520" s="105" t="s">
        <v>1847</v>
      </c>
    </row>
    <row r="521" spans="1:34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8"/>
        <v>0.55555555555555558</v>
      </c>
      <c r="AD521" s="91">
        <v>8</v>
      </c>
      <c r="AE521" s="105" t="s">
        <v>1847</v>
      </c>
      <c r="AF521" s="91">
        <v>8</v>
      </c>
      <c r="AG521" s="105" t="s">
        <v>1847</v>
      </c>
    </row>
    <row r="522" spans="1:34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/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8"/>
        <v>0.18518518518518517</v>
      </c>
      <c r="AD522" s="91">
        <v>8</v>
      </c>
      <c r="AE522" s="105" t="s">
        <v>1847</v>
      </c>
      <c r="AF522" s="91">
        <v>8</v>
      </c>
      <c r="AG522" s="105" t="s">
        <v>1847</v>
      </c>
    </row>
    <row r="523" spans="1:34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176</v>
      </c>
      <c r="V523" s="66" t="s">
        <v>176</v>
      </c>
      <c r="W523" s="66"/>
      <c r="X523" s="66"/>
      <c r="Y523" s="66"/>
      <c r="Z523" s="66"/>
      <c r="AA523" s="66"/>
      <c r="AB523" s="70" t="s">
        <v>1795</v>
      </c>
      <c r="AC523" s="87">
        <f t="shared" si="8"/>
        <v>0.18518518518518517</v>
      </c>
      <c r="AD523" s="91">
        <v>8</v>
      </c>
      <c r="AE523" s="105" t="s">
        <v>1847</v>
      </c>
      <c r="AF523" s="91">
        <v>8</v>
      </c>
      <c r="AG523" s="105" t="s">
        <v>1847</v>
      </c>
    </row>
    <row r="524" spans="1:34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8"/>
        <v>0.25925925925925924</v>
      </c>
      <c r="AD524" s="91">
        <v>8</v>
      </c>
      <c r="AE524" s="105" t="s">
        <v>1847</v>
      </c>
      <c r="AF524" s="91">
        <v>8</v>
      </c>
      <c r="AG524" s="105" t="s">
        <v>1847</v>
      </c>
    </row>
    <row r="525" spans="1:34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8"/>
        <v>0.25925925925925924</v>
      </c>
      <c r="AD525" s="91">
        <v>8</v>
      </c>
      <c r="AE525" s="105" t="s">
        <v>1847</v>
      </c>
      <c r="AF525" s="91">
        <v>8</v>
      </c>
      <c r="AG525" s="105" t="s">
        <v>1847</v>
      </c>
      <c r="AH525">
        <f>IF(OR(Z2="SI",AA2="SI"),1,0)</f>
        <v>1</v>
      </c>
    </row>
    <row r="526" spans="1:34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8"/>
        <v>0.25925925925925924</v>
      </c>
      <c r="AD526" s="91">
        <v>8</v>
      </c>
      <c r="AE526" s="105" t="s">
        <v>1847</v>
      </c>
      <c r="AF526" s="91">
        <v>8</v>
      </c>
      <c r="AG526" s="105" t="s">
        <v>1847</v>
      </c>
      <c r="AH526">
        <f t="shared" ref="AH526:AH589" si="9">IF(OR(Z3="SI",AA3="SI"),1,0)</f>
        <v>0</v>
      </c>
    </row>
    <row r="527" spans="1:34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8"/>
        <v>0.55555555555555558</v>
      </c>
      <c r="AD527" s="91">
        <v>8</v>
      </c>
      <c r="AE527" s="105" t="s">
        <v>1847</v>
      </c>
      <c r="AF527" s="91">
        <v>8</v>
      </c>
      <c r="AG527" s="105" t="s">
        <v>1847</v>
      </c>
      <c r="AH527">
        <f t="shared" si="9"/>
        <v>0</v>
      </c>
    </row>
    <row r="528" spans="1:34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8"/>
        <v>0.25925925925925924</v>
      </c>
      <c r="AD528" s="91">
        <v>8</v>
      </c>
      <c r="AE528" s="105" t="s">
        <v>1847</v>
      </c>
      <c r="AF528" s="91">
        <v>8</v>
      </c>
      <c r="AG528" s="105" t="s">
        <v>1847</v>
      </c>
      <c r="AH528">
        <f t="shared" si="9"/>
        <v>1</v>
      </c>
    </row>
    <row r="529" spans="1:34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8"/>
        <v>0.25925925925925924</v>
      </c>
      <c r="AD529" s="91">
        <v>8</v>
      </c>
      <c r="AE529" s="105" t="s">
        <v>1847</v>
      </c>
      <c r="AF529" s="91">
        <v>8</v>
      </c>
      <c r="AG529" s="105" t="s">
        <v>1847</v>
      </c>
      <c r="AH529">
        <f t="shared" si="9"/>
        <v>0</v>
      </c>
    </row>
    <row r="530" spans="1:34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8"/>
        <v>0.18518518518518517</v>
      </c>
      <c r="AD530" s="91">
        <v>8</v>
      </c>
      <c r="AE530" s="105" t="s">
        <v>1847</v>
      </c>
      <c r="AF530" s="91">
        <v>8</v>
      </c>
      <c r="AG530" s="105" t="s">
        <v>1847</v>
      </c>
      <c r="AH530">
        <f t="shared" si="9"/>
        <v>0</v>
      </c>
    </row>
    <row r="531" spans="1:34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8"/>
        <v>0.18518518518518517</v>
      </c>
      <c r="AD531" s="91">
        <v>8</v>
      </c>
      <c r="AE531" s="105" t="s">
        <v>1847</v>
      </c>
      <c r="AF531" s="91">
        <v>8</v>
      </c>
      <c r="AG531" s="105" t="s">
        <v>1847</v>
      </c>
      <c r="AH531">
        <f t="shared" si="9"/>
        <v>0</v>
      </c>
    </row>
    <row r="532" spans="1:34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8"/>
        <v>0.48148148148148157</v>
      </c>
      <c r="AD532" s="91">
        <v>10</v>
      </c>
      <c r="AE532" s="105" t="s">
        <v>1782</v>
      </c>
      <c r="AF532" s="91">
        <v>10</v>
      </c>
      <c r="AG532" s="105" t="s">
        <v>1782</v>
      </c>
      <c r="AH532">
        <f t="shared" si="9"/>
        <v>0</v>
      </c>
    </row>
    <row r="533" spans="1:34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8"/>
        <v>0.18518518518518517</v>
      </c>
      <c r="AD533" s="91">
        <v>10</v>
      </c>
      <c r="AE533" s="105" t="s">
        <v>1782</v>
      </c>
      <c r="AF533" s="91">
        <v>10</v>
      </c>
      <c r="AG533" s="105" t="s">
        <v>1782</v>
      </c>
      <c r="AH533">
        <f t="shared" si="9"/>
        <v>0</v>
      </c>
    </row>
    <row r="534" spans="1:34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0.18518518518518517</v>
      </c>
      <c r="AD534" s="91">
        <v>10</v>
      </c>
      <c r="AE534" s="105" t="s">
        <v>1782</v>
      </c>
      <c r="AF534" s="91">
        <v>10</v>
      </c>
      <c r="AG534" s="105" t="s">
        <v>1782</v>
      </c>
      <c r="AH534">
        <f t="shared" si="9"/>
        <v>0</v>
      </c>
    </row>
    <row r="535" spans="1:34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0.18518518518518517</v>
      </c>
      <c r="AD535" s="91">
        <v>10</v>
      </c>
      <c r="AE535" s="105" t="s">
        <v>1782</v>
      </c>
      <c r="AF535" s="91">
        <v>10</v>
      </c>
      <c r="AG535" s="105" t="s">
        <v>1782</v>
      </c>
      <c r="AH535">
        <f t="shared" si="9"/>
        <v>0</v>
      </c>
    </row>
    <row r="536" spans="1:34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0.18518518518518517</v>
      </c>
      <c r="AD536" s="91">
        <v>10</v>
      </c>
      <c r="AE536" s="105" t="s">
        <v>1782</v>
      </c>
      <c r="AF536" s="91">
        <v>10</v>
      </c>
      <c r="AG536" s="105" t="s">
        <v>1782</v>
      </c>
      <c r="AH536">
        <f t="shared" si="9"/>
        <v>0</v>
      </c>
    </row>
    <row r="537" spans="1:34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8"/>
        <v>0.18518518518518517</v>
      </c>
      <c r="AD537" s="91">
        <v>10</v>
      </c>
      <c r="AE537" s="105" t="s">
        <v>1782</v>
      </c>
      <c r="AF537" s="91">
        <v>10</v>
      </c>
      <c r="AG537" s="105" t="s">
        <v>1782</v>
      </c>
      <c r="AH537">
        <f t="shared" si="9"/>
        <v>0</v>
      </c>
    </row>
    <row r="538" spans="1:34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8"/>
        <v>0.18518518518518517</v>
      </c>
      <c r="AD538" s="91">
        <v>10</v>
      </c>
      <c r="AE538" s="105" t="s">
        <v>1782</v>
      </c>
      <c r="AF538" s="91">
        <v>10</v>
      </c>
      <c r="AG538" s="105" t="s">
        <v>1782</v>
      </c>
      <c r="AH538">
        <f t="shared" si="9"/>
        <v>0</v>
      </c>
    </row>
    <row r="539" spans="1:34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0.18518518518518517</v>
      </c>
      <c r="AD539" s="91">
        <v>10</v>
      </c>
      <c r="AE539" s="105" t="s">
        <v>1782</v>
      </c>
      <c r="AF539" s="91">
        <v>10</v>
      </c>
      <c r="AG539" s="105" t="s">
        <v>1782</v>
      </c>
      <c r="AH539">
        <f t="shared" si="9"/>
        <v>0</v>
      </c>
    </row>
    <row r="540" spans="1:34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0.18518518518518517</v>
      </c>
      <c r="AD540" s="91">
        <v>10</v>
      </c>
      <c r="AE540" s="105" t="s">
        <v>1782</v>
      </c>
      <c r="AF540" s="91">
        <v>10</v>
      </c>
      <c r="AG540" s="105" t="s">
        <v>1782</v>
      </c>
      <c r="AH540">
        <f t="shared" si="9"/>
        <v>0</v>
      </c>
    </row>
    <row r="541" spans="1:34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0.18518518518518517</v>
      </c>
      <c r="AD541" s="91">
        <v>10</v>
      </c>
      <c r="AE541" s="105" t="s">
        <v>1782</v>
      </c>
      <c r="AF541" s="91">
        <v>10</v>
      </c>
      <c r="AG541" s="105" t="s">
        <v>1782</v>
      </c>
      <c r="AH541">
        <f t="shared" si="9"/>
        <v>0</v>
      </c>
    </row>
    <row r="542" spans="1:34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0.18518518518518517</v>
      </c>
      <c r="AD542" s="91">
        <v>10</v>
      </c>
      <c r="AE542" s="105" t="s">
        <v>1782</v>
      </c>
      <c r="AF542" s="91">
        <v>10</v>
      </c>
      <c r="AG542" s="105" t="s">
        <v>1782</v>
      </c>
      <c r="AH542">
        <f t="shared" si="9"/>
        <v>0</v>
      </c>
    </row>
    <row r="543" spans="1:34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8"/>
        <v>0.18518518518518517</v>
      </c>
      <c r="AD543" s="91">
        <v>10</v>
      </c>
      <c r="AE543" s="105" t="s">
        <v>1782</v>
      </c>
      <c r="AF543" s="91">
        <v>10</v>
      </c>
      <c r="AG543" s="105" t="s">
        <v>1782</v>
      </c>
      <c r="AH543">
        <f t="shared" si="9"/>
        <v>0</v>
      </c>
    </row>
    <row r="544" spans="1:34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0.18518518518518517</v>
      </c>
      <c r="AD544" s="91">
        <v>10</v>
      </c>
      <c r="AE544" s="105" t="s">
        <v>1782</v>
      </c>
      <c r="AF544" s="91">
        <v>10</v>
      </c>
      <c r="AG544" s="105" t="s">
        <v>1782</v>
      </c>
      <c r="AH544">
        <f t="shared" si="9"/>
        <v>1</v>
      </c>
    </row>
    <row r="545" spans="1:34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10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 s="91">
        <v>10</v>
      </c>
      <c r="AG545" s="105" t="s">
        <v>1782</v>
      </c>
      <c r="AH545">
        <f t="shared" si="9"/>
        <v>0</v>
      </c>
    </row>
    <row r="546" spans="1:34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10"/>
        <v>0.18518518518518517</v>
      </c>
      <c r="AD546" s="91">
        <v>10</v>
      </c>
      <c r="AE546" s="105" t="s">
        <v>1782</v>
      </c>
      <c r="AF546" s="91">
        <v>10</v>
      </c>
      <c r="AG546" s="105" t="s">
        <v>1782</v>
      </c>
      <c r="AH546">
        <f t="shared" si="9"/>
        <v>1</v>
      </c>
    </row>
    <row r="547" spans="1:34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10"/>
        <v>0.18518518518518517</v>
      </c>
      <c r="AD547" s="91">
        <v>10</v>
      </c>
      <c r="AE547" s="105" t="s">
        <v>1782</v>
      </c>
      <c r="AF547" s="91">
        <v>10</v>
      </c>
      <c r="AG547" s="105" t="s">
        <v>1782</v>
      </c>
      <c r="AH547">
        <f t="shared" si="9"/>
        <v>1</v>
      </c>
    </row>
    <row r="548" spans="1:34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10"/>
        <v>0.18518518518518517</v>
      </c>
      <c r="AD548" s="91">
        <v>10</v>
      </c>
      <c r="AE548" s="105" t="s">
        <v>1782</v>
      </c>
      <c r="AF548" s="91">
        <v>10</v>
      </c>
      <c r="AG548" s="105" t="s">
        <v>1782</v>
      </c>
      <c r="AH548">
        <f t="shared" si="9"/>
        <v>1</v>
      </c>
    </row>
    <row r="549" spans="1:34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10"/>
        <v>0.18518518518518517</v>
      </c>
      <c r="AD549" s="91">
        <v>10</v>
      </c>
      <c r="AE549" s="105" t="s">
        <v>1782</v>
      </c>
      <c r="AF549" s="91">
        <v>10</v>
      </c>
      <c r="AG549" s="105" t="s">
        <v>1782</v>
      </c>
      <c r="AH549">
        <f t="shared" si="9"/>
        <v>1</v>
      </c>
    </row>
    <row r="550" spans="1:34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10"/>
        <v>0.18518518518518517</v>
      </c>
      <c r="AD550" s="91">
        <v>10</v>
      </c>
      <c r="AE550" s="105" t="s">
        <v>1782</v>
      </c>
      <c r="AF550" s="91">
        <v>10</v>
      </c>
      <c r="AG550" s="105" t="s">
        <v>1782</v>
      </c>
      <c r="AH550">
        <f t="shared" si="9"/>
        <v>0</v>
      </c>
    </row>
    <row r="551" spans="1:34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10"/>
        <v>0.18518518518518517</v>
      </c>
      <c r="AD551" s="91">
        <v>10</v>
      </c>
      <c r="AE551" s="105" t="s">
        <v>1782</v>
      </c>
      <c r="AF551" s="91">
        <v>10</v>
      </c>
      <c r="AG551" s="105" t="s">
        <v>1782</v>
      </c>
      <c r="AH551">
        <f t="shared" si="9"/>
        <v>1</v>
      </c>
    </row>
    <row r="552" spans="1:34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10"/>
        <v>0.83333333333333337</v>
      </c>
      <c r="AD552" s="91">
        <v>3</v>
      </c>
      <c r="AE552" s="105" t="s">
        <v>1848</v>
      </c>
      <c r="AF552" s="91">
        <v>3</v>
      </c>
      <c r="AG552" s="105" t="s">
        <v>1848</v>
      </c>
      <c r="AH552">
        <f t="shared" si="9"/>
        <v>0</v>
      </c>
    </row>
    <row r="553" spans="1:34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10"/>
        <v>0.72222222222222221</v>
      </c>
      <c r="AD553" s="91">
        <v>3</v>
      </c>
      <c r="AE553" s="105" t="s">
        <v>1848</v>
      </c>
      <c r="AF553" s="91">
        <v>3</v>
      </c>
      <c r="AG553" s="105" t="s">
        <v>1848</v>
      </c>
      <c r="AH553">
        <f t="shared" si="9"/>
        <v>0</v>
      </c>
    </row>
    <row r="554" spans="1:34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10"/>
        <v>0.72222222222222221</v>
      </c>
      <c r="AD554" s="91">
        <v>3</v>
      </c>
      <c r="AE554" s="105" t="s">
        <v>1848</v>
      </c>
      <c r="AF554" s="91">
        <v>3</v>
      </c>
      <c r="AG554" s="105" t="s">
        <v>1848</v>
      </c>
      <c r="AH554">
        <f t="shared" si="9"/>
        <v>0</v>
      </c>
    </row>
    <row r="555" spans="1:34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10"/>
        <v>0.72222222222222221</v>
      </c>
      <c r="AD555" s="91">
        <v>3</v>
      </c>
      <c r="AE555" s="105" t="s">
        <v>1848</v>
      </c>
      <c r="AF555" s="91">
        <v>3</v>
      </c>
      <c r="AG555" s="105" t="s">
        <v>1848</v>
      </c>
      <c r="AH555">
        <f t="shared" si="9"/>
        <v>0</v>
      </c>
    </row>
    <row r="556" spans="1:34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10"/>
        <v>0.72222222222222221</v>
      </c>
      <c r="AD556" s="91">
        <v>3</v>
      </c>
      <c r="AE556" s="105" t="s">
        <v>1848</v>
      </c>
      <c r="AF556" s="91">
        <v>3</v>
      </c>
      <c r="AG556" s="105" t="s">
        <v>1848</v>
      </c>
      <c r="AH556">
        <f t="shared" si="9"/>
        <v>0</v>
      </c>
    </row>
    <row r="557" spans="1:34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10"/>
        <v>0.72222222222222221</v>
      </c>
      <c r="AD557" s="91">
        <v>3</v>
      </c>
      <c r="AE557" s="105" t="s">
        <v>1848</v>
      </c>
      <c r="AF557" s="91">
        <v>3</v>
      </c>
      <c r="AG557" s="105" t="s">
        <v>1848</v>
      </c>
      <c r="AH557">
        <f t="shared" si="9"/>
        <v>0</v>
      </c>
    </row>
    <row r="558" spans="1:34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10"/>
        <v>0.72222222222222221</v>
      </c>
      <c r="AD558" s="91">
        <v>3</v>
      </c>
      <c r="AE558" s="105" t="s">
        <v>1848</v>
      </c>
      <c r="AF558" s="91">
        <v>3</v>
      </c>
      <c r="AG558" s="105" t="s">
        <v>1848</v>
      </c>
      <c r="AH558">
        <f t="shared" si="9"/>
        <v>0</v>
      </c>
    </row>
    <row r="559" spans="1:34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10"/>
        <v>0.72222222222222221</v>
      </c>
      <c r="AD559" s="91">
        <v>3</v>
      </c>
      <c r="AE559" s="105" t="s">
        <v>1848</v>
      </c>
      <c r="AF559" s="91">
        <v>3</v>
      </c>
      <c r="AG559" s="105" t="s">
        <v>1848</v>
      </c>
      <c r="AH559">
        <f t="shared" si="9"/>
        <v>0</v>
      </c>
    </row>
    <row r="560" spans="1:34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10"/>
        <v>0.72222222222222221</v>
      </c>
      <c r="AD560" s="91">
        <v>3</v>
      </c>
      <c r="AE560" s="105" t="s">
        <v>1848</v>
      </c>
      <c r="AF560" s="91">
        <v>3</v>
      </c>
      <c r="AG560" s="105" t="s">
        <v>1848</v>
      </c>
      <c r="AH560">
        <f t="shared" si="9"/>
        <v>0</v>
      </c>
    </row>
    <row r="561" spans="1:34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10"/>
        <v>0.72222222222222221</v>
      </c>
      <c r="AD561" s="91">
        <v>3</v>
      </c>
      <c r="AE561" s="105" t="s">
        <v>1848</v>
      </c>
      <c r="AF561" s="91">
        <v>3</v>
      </c>
      <c r="AG561" s="105" t="s">
        <v>1848</v>
      </c>
      <c r="AH561">
        <f t="shared" si="9"/>
        <v>0</v>
      </c>
    </row>
    <row r="562" spans="1:34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10"/>
        <v>0.72222222222222221</v>
      </c>
      <c r="AD562" s="91">
        <v>3</v>
      </c>
      <c r="AE562" s="105" t="s">
        <v>1848</v>
      </c>
      <c r="AF562" s="91">
        <v>3</v>
      </c>
      <c r="AG562" s="105" t="s">
        <v>1848</v>
      </c>
      <c r="AH562">
        <f t="shared" si="9"/>
        <v>0</v>
      </c>
    </row>
    <row r="563" spans="1:34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10"/>
        <v>0.72222222222222221</v>
      </c>
      <c r="AD563" s="91">
        <v>3</v>
      </c>
      <c r="AE563" s="105" t="s">
        <v>1848</v>
      </c>
      <c r="AF563" s="91">
        <v>3</v>
      </c>
      <c r="AG563" s="105" t="s">
        <v>1848</v>
      </c>
      <c r="AH563">
        <f t="shared" si="9"/>
        <v>0</v>
      </c>
    </row>
    <row r="564" spans="1:34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10"/>
        <v>0.72222222222222221</v>
      </c>
      <c r="AD564" s="91">
        <v>3</v>
      </c>
      <c r="AE564" s="105" t="s">
        <v>1848</v>
      </c>
      <c r="AF564" s="91">
        <v>3</v>
      </c>
      <c r="AG564" s="105" t="s">
        <v>1848</v>
      </c>
      <c r="AH564">
        <f t="shared" si="9"/>
        <v>0</v>
      </c>
    </row>
    <row r="565" spans="1:34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10"/>
        <v>0.24074074074074073</v>
      </c>
      <c r="AD565" s="91">
        <v>2</v>
      </c>
      <c r="AE565" s="64" t="s">
        <v>1850</v>
      </c>
      <c r="AF565" s="91">
        <v>2</v>
      </c>
      <c r="AG565" s="64" t="s">
        <v>1850</v>
      </c>
      <c r="AH565">
        <f t="shared" si="9"/>
        <v>0</v>
      </c>
    </row>
    <row r="566" spans="1:34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10"/>
        <v>0.24074074074074073</v>
      </c>
      <c r="AD566" s="91">
        <v>2</v>
      </c>
      <c r="AE566" s="64" t="s">
        <v>1850</v>
      </c>
      <c r="AF566" s="91">
        <v>2</v>
      </c>
      <c r="AG566" s="64" t="s">
        <v>1850</v>
      </c>
      <c r="AH566">
        <f t="shared" si="9"/>
        <v>0</v>
      </c>
    </row>
    <row r="567" spans="1:34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 s="67"/>
      <c r="AC567" s="87">
        <f t="shared" si="10"/>
        <v>0.24074074074074073</v>
      </c>
      <c r="AD567" s="91">
        <v>2</v>
      </c>
      <c r="AE567" s="64" t="s">
        <v>1850</v>
      </c>
      <c r="AF567" s="91">
        <v>2</v>
      </c>
      <c r="AG567" s="64" t="s">
        <v>1850</v>
      </c>
      <c r="AH567">
        <f t="shared" si="9"/>
        <v>1</v>
      </c>
    </row>
    <row r="568" spans="1:34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10"/>
        <v>0.31481481481481477</v>
      </c>
      <c r="AD568" s="91">
        <v>2</v>
      </c>
      <c r="AE568" s="64" t="s">
        <v>1850</v>
      </c>
      <c r="AF568" s="91">
        <v>2</v>
      </c>
      <c r="AG568" s="64" t="s">
        <v>1850</v>
      </c>
      <c r="AH568">
        <f t="shared" si="9"/>
        <v>0</v>
      </c>
    </row>
    <row r="569" spans="1:34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10"/>
        <v>0.24074074074074073</v>
      </c>
      <c r="AD569" s="91">
        <v>2</v>
      </c>
      <c r="AE569" s="64" t="s">
        <v>1850</v>
      </c>
      <c r="AF569" s="91">
        <v>2</v>
      </c>
      <c r="AG569" s="64" t="s">
        <v>1850</v>
      </c>
      <c r="AH569">
        <f t="shared" si="9"/>
        <v>0</v>
      </c>
    </row>
    <row r="570" spans="1:34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 s="67"/>
      <c r="AC570" s="87">
        <f t="shared" si="10"/>
        <v>0.61111111111111116</v>
      </c>
      <c r="AD570" s="91">
        <v>3</v>
      </c>
      <c r="AE570" s="103" t="s">
        <v>1851</v>
      </c>
      <c r="AF570" s="91">
        <v>3</v>
      </c>
      <c r="AG570" s="103" t="s">
        <v>1851</v>
      </c>
      <c r="AH570">
        <f t="shared" si="9"/>
        <v>0</v>
      </c>
    </row>
    <row r="571" spans="1:34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10"/>
        <v>0.31481481481481477</v>
      </c>
      <c r="AD571" s="91">
        <v>2</v>
      </c>
      <c r="AE571" s="64" t="s">
        <v>1850</v>
      </c>
      <c r="AF571" s="91">
        <v>2</v>
      </c>
      <c r="AG571" s="64" t="s">
        <v>1850</v>
      </c>
      <c r="AH571">
        <f t="shared" si="9"/>
        <v>0</v>
      </c>
    </row>
    <row r="572" spans="1:34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10"/>
        <v>0.31481481481481477</v>
      </c>
      <c r="AD572" s="91">
        <v>2</v>
      </c>
      <c r="AE572" s="64" t="s">
        <v>1850</v>
      </c>
      <c r="AF572" s="91">
        <v>2</v>
      </c>
      <c r="AG572" s="64" t="s">
        <v>1850</v>
      </c>
      <c r="AH572">
        <f t="shared" si="9"/>
        <v>0</v>
      </c>
    </row>
    <row r="573" spans="1:34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10"/>
        <v>0.31481481481481477</v>
      </c>
      <c r="AD573" s="91">
        <v>2</v>
      </c>
      <c r="AE573" s="64" t="s">
        <v>1850</v>
      </c>
      <c r="AF573" s="91">
        <v>2</v>
      </c>
      <c r="AG573" s="64" t="s">
        <v>1850</v>
      </c>
      <c r="AH573">
        <f t="shared" si="9"/>
        <v>0</v>
      </c>
    </row>
    <row r="574" spans="1:34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176</v>
      </c>
      <c r="V574" s="66" t="s">
        <v>176</v>
      </c>
      <c r="W574" s="66"/>
      <c r="X574" s="66"/>
      <c r="Y574" s="66"/>
      <c r="Z574" s="66"/>
      <c r="AA574" s="66"/>
      <c r="AB574" s="67"/>
      <c r="AC574" s="87">
        <f t="shared" si="10"/>
        <v>0.24074074074074073</v>
      </c>
      <c r="AD574" s="91">
        <v>3</v>
      </c>
      <c r="AE574" s="103" t="s">
        <v>1851</v>
      </c>
      <c r="AF574" s="91">
        <v>3</v>
      </c>
      <c r="AG574" s="103" t="s">
        <v>1851</v>
      </c>
      <c r="AH574">
        <f t="shared" si="9"/>
        <v>0</v>
      </c>
    </row>
    <row r="575" spans="1:34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 s="67"/>
      <c r="AC575" s="87">
        <f t="shared" si="10"/>
        <v>0.24074074074074073</v>
      </c>
      <c r="AD575" s="91">
        <v>3</v>
      </c>
      <c r="AE575" s="103" t="s">
        <v>1851</v>
      </c>
      <c r="AF575" s="91">
        <v>3</v>
      </c>
      <c r="AG575" s="103" t="s">
        <v>1851</v>
      </c>
      <c r="AH575">
        <f t="shared" si="9"/>
        <v>0</v>
      </c>
    </row>
    <row r="576" spans="1:34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10"/>
        <v>0.24074074074074073</v>
      </c>
      <c r="AD576" s="91">
        <v>2</v>
      </c>
      <c r="AE576" s="64" t="s">
        <v>1850</v>
      </c>
      <c r="AF576" s="91">
        <v>2</v>
      </c>
      <c r="AG576" s="64" t="s">
        <v>1850</v>
      </c>
      <c r="AH576">
        <f t="shared" si="9"/>
        <v>0</v>
      </c>
    </row>
    <row r="577" spans="1:34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 s="67"/>
      <c r="AC577" s="87">
        <f t="shared" si="10"/>
        <v>0.24074074074074073</v>
      </c>
      <c r="AD577" s="91">
        <v>3</v>
      </c>
      <c r="AE577" s="103" t="s">
        <v>1851</v>
      </c>
      <c r="AF577" s="91">
        <v>3</v>
      </c>
      <c r="AG577" s="103" t="s">
        <v>1851</v>
      </c>
      <c r="AH577">
        <f t="shared" si="9"/>
        <v>0</v>
      </c>
    </row>
    <row r="578" spans="1:34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10"/>
        <v>0.31481481481481477</v>
      </c>
      <c r="AD578" s="91">
        <v>2</v>
      </c>
      <c r="AE578" s="64" t="s">
        <v>1850</v>
      </c>
      <c r="AF578" s="91">
        <v>2</v>
      </c>
      <c r="AG578" s="64" t="s">
        <v>1850</v>
      </c>
      <c r="AH578">
        <f t="shared" si="9"/>
        <v>0</v>
      </c>
    </row>
    <row r="579" spans="1:34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10"/>
        <v>0.24074074074074073</v>
      </c>
      <c r="AD579" s="91">
        <v>2</v>
      </c>
      <c r="AE579" s="64" t="s">
        <v>1850</v>
      </c>
      <c r="AF579" s="91">
        <v>2</v>
      </c>
      <c r="AG579" s="64" t="s">
        <v>1850</v>
      </c>
      <c r="AH579">
        <f t="shared" si="9"/>
        <v>0</v>
      </c>
    </row>
    <row r="580" spans="1:34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10"/>
        <v>0.24074074074074073</v>
      </c>
      <c r="AD580" s="91">
        <v>2</v>
      </c>
      <c r="AE580" s="64" t="s">
        <v>1850</v>
      </c>
      <c r="AF580" s="91">
        <v>2</v>
      </c>
      <c r="AG580" s="64" t="s">
        <v>1850</v>
      </c>
      <c r="AH580">
        <f t="shared" si="9"/>
        <v>0</v>
      </c>
    </row>
    <row r="581" spans="1:34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 s="67"/>
      <c r="AC581" s="87">
        <f t="shared" si="10"/>
        <v>0.61111111111111116</v>
      </c>
      <c r="AD581" s="91">
        <v>3</v>
      </c>
      <c r="AE581" s="103" t="s">
        <v>1851</v>
      </c>
      <c r="AF581" s="91">
        <v>3</v>
      </c>
      <c r="AG581" s="103" t="s">
        <v>1851</v>
      </c>
      <c r="AH581">
        <f t="shared" si="9"/>
        <v>0</v>
      </c>
    </row>
    <row r="582" spans="1:34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10"/>
        <v>0.31481481481481477</v>
      </c>
      <c r="AD582" s="91">
        <v>3</v>
      </c>
      <c r="AE582" s="103" t="s">
        <v>1851</v>
      </c>
      <c r="AF582" s="91">
        <v>3</v>
      </c>
      <c r="AG582" s="103" t="s">
        <v>1851</v>
      </c>
      <c r="AH582">
        <f t="shared" si="9"/>
        <v>0</v>
      </c>
    </row>
    <row r="583" spans="1:34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10"/>
        <v>0.24074074074074073</v>
      </c>
      <c r="AD583" s="91">
        <v>2</v>
      </c>
      <c r="AE583" s="64" t="s">
        <v>1850</v>
      </c>
      <c r="AF583" s="91">
        <v>2</v>
      </c>
      <c r="AG583" s="64" t="s">
        <v>1850</v>
      </c>
      <c r="AH583">
        <f t="shared" si="9"/>
        <v>0</v>
      </c>
    </row>
    <row r="584" spans="1:34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 s="67"/>
      <c r="AC584" s="87">
        <f t="shared" si="10"/>
        <v>0.24074074074074073</v>
      </c>
      <c r="AD584" s="91">
        <v>2</v>
      </c>
      <c r="AE584" s="64" t="s">
        <v>1850</v>
      </c>
      <c r="AF584" s="91">
        <v>2</v>
      </c>
      <c r="AG584" s="64" t="s">
        <v>1850</v>
      </c>
      <c r="AH584">
        <f t="shared" si="9"/>
        <v>0</v>
      </c>
    </row>
    <row r="585" spans="1:34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 s="67"/>
      <c r="AC585" s="87">
        <f t="shared" si="10"/>
        <v>0.31481481481481477</v>
      </c>
      <c r="AD585" s="91">
        <v>3</v>
      </c>
      <c r="AE585" s="103" t="s">
        <v>1851</v>
      </c>
      <c r="AF585" s="91">
        <v>3</v>
      </c>
      <c r="AG585" s="103" t="s">
        <v>1851</v>
      </c>
      <c r="AH585">
        <f t="shared" si="9"/>
        <v>0</v>
      </c>
    </row>
    <row r="586" spans="1:34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10"/>
        <v>0.24074074074074073</v>
      </c>
      <c r="AD586" s="91">
        <v>2</v>
      </c>
      <c r="AE586" s="64" t="s">
        <v>1850</v>
      </c>
      <c r="AF586" s="91">
        <v>2</v>
      </c>
      <c r="AG586" s="64" t="s">
        <v>1850</v>
      </c>
      <c r="AH586">
        <f t="shared" si="9"/>
        <v>0</v>
      </c>
    </row>
    <row r="587" spans="1:34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10"/>
        <v>0.24074074074074073</v>
      </c>
      <c r="AD587" s="91">
        <v>2</v>
      </c>
      <c r="AE587" s="64" t="s">
        <v>1850</v>
      </c>
      <c r="AF587" s="91">
        <v>2</v>
      </c>
      <c r="AG587" s="64" t="s">
        <v>1850</v>
      </c>
      <c r="AH587">
        <f t="shared" si="9"/>
        <v>0</v>
      </c>
    </row>
    <row r="588" spans="1:34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10"/>
        <v>0.31481481481481477</v>
      </c>
      <c r="AD588" s="91">
        <v>2</v>
      </c>
      <c r="AE588" s="64" t="s">
        <v>1850</v>
      </c>
      <c r="AF588" s="91">
        <v>2</v>
      </c>
      <c r="AG588" s="64" t="s">
        <v>1850</v>
      </c>
      <c r="AH588">
        <f t="shared" si="9"/>
        <v>0</v>
      </c>
    </row>
    <row r="589" spans="1:34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10"/>
        <v>0.31481481481481477</v>
      </c>
      <c r="AD589" s="91">
        <v>2</v>
      </c>
      <c r="AE589" s="64" t="s">
        <v>1850</v>
      </c>
      <c r="AF589" s="91">
        <v>2</v>
      </c>
      <c r="AG589" s="64" t="s">
        <v>1850</v>
      </c>
      <c r="AH589">
        <f t="shared" si="9"/>
        <v>0</v>
      </c>
    </row>
    <row r="590" spans="1:34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10"/>
        <v>0.27777777777777779</v>
      </c>
      <c r="AD590" s="91">
        <v>2</v>
      </c>
      <c r="AE590" s="64" t="s">
        <v>1850</v>
      </c>
      <c r="AF590" s="91">
        <v>2</v>
      </c>
      <c r="AG590" s="64" t="s">
        <v>1850</v>
      </c>
      <c r="AH590">
        <f t="shared" ref="AH590:AH613" si="11">IF(OR(Z67="SI",AA67="SI"),1,0)</f>
        <v>0</v>
      </c>
    </row>
    <row r="591" spans="1:34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10"/>
        <v>0.31481481481481477</v>
      </c>
      <c r="AD591" s="91">
        <v>2</v>
      </c>
      <c r="AE591" s="64" t="s">
        <v>1850</v>
      </c>
      <c r="AF591" s="91">
        <v>2</v>
      </c>
      <c r="AG591" s="64" t="s">
        <v>1850</v>
      </c>
      <c r="AH591">
        <f t="shared" si="11"/>
        <v>0</v>
      </c>
    </row>
    <row r="592" spans="1:34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10"/>
        <v>0.31481481481481477</v>
      </c>
      <c r="AD592" s="91">
        <v>3</v>
      </c>
      <c r="AE592" s="103" t="s">
        <v>1851</v>
      </c>
      <c r="AF592" s="91">
        <v>3</v>
      </c>
      <c r="AG592" s="103" t="s">
        <v>1851</v>
      </c>
      <c r="AH592">
        <f t="shared" si="11"/>
        <v>0</v>
      </c>
    </row>
    <row r="593" spans="1:34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 s="67"/>
      <c r="AC593" s="87">
        <f t="shared" si="10"/>
        <v>0.24074074074074073</v>
      </c>
      <c r="AD593" s="91">
        <v>2</v>
      </c>
      <c r="AE593" s="64" t="s">
        <v>1850</v>
      </c>
      <c r="AF593" s="91">
        <v>2</v>
      </c>
      <c r="AG593" s="64" t="s">
        <v>1850</v>
      </c>
      <c r="AH593">
        <f t="shared" si="11"/>
        <v>0</v>
      </c>
    </row>
    <row r="594" spans="1:34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175</v>
      </c>
      <c r="X594" s="66" t="s">
        <v>35</v>
      </c>
      <c r="Y594" s="66"/>
      <c r="Z594" s="66"/>
      <c r="AA594" s="66"/>
      <c r="AB594" s="67"/>
      <c r="AC594" s="87">
        <f t="shared" si="10"/>
        <v>0.55555555555555558</v>
      </c>
      <c r="AD594" s="91">
        <v>3</v>
      </c>
      <c r="AE594" s="103" t="s">
        <v>1851</v>
      </c>
      <c r="AF594" s="91">
        <v>3</v>
      </c>
      <c r="AG594" s="103" t="s">
        <v>1851</v>
      </c>
      <c r="AH594">
        <f t="shared" si="11"/>
        <v>0</v>
      </c>
    </row>
    <row r="595" spans="1:34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 s="67"/>
      <c r="AC595" s="87">
        <f t="shared" si="10"/>
        <v>0.24074074074074073</v>
      </c>
      <c r="AD595" s="91">
        <v>2</v>
      </c>
      <c r="AE595" s="64" t="s">
        <v>1850</v>
      </c>
      <c r="AF595" s="91">
        <v>2</v>
      </c>
      <c r="AG595" s="64" t="s">
        <v>1850</v>
      </c>
      <c r="AH595">
        <f t="shared" si="11"/>
        <v>0</v>
      </c>
    </row>
    <row r="596" spans="1:34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 s="67"/>
      <c r="AC596" s="87">
        <f t="shared" si="10"/>
        <v>0.24074074074074073</v>
      </c>
      <c r="AD596" s="91">
        <v>2</v>
      </c>
      <c r="AE596" s="64" t="s">
        <v>1850</v>
      </c>
      <c r="AF596" s="91">
        <v>2</v>
      </c>
      <c r="AG596" s="64" t="s">
        <v>1850</v>
      </c>
      <c r="AH596">
        <f t="shared" si="11"/>
        <v>0</v>
      </c>
    </row>
    <row r="597" spans="1:34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10"/>
        <v>0.31481481481481477</v>
      </c>
      <c r="AD597" s="91">
        <v>2</v>
      </c>
      <c r="AE597" s="64" t="s">
        <v>1850</v>
      </c>
      <c r="AF597" s="91">
        <v>2</v>
      </c>
      <c r="AG597" s="64" t="s">
        <v>1850</v>
      </c>
      <c r="AH597">
        <f t="shared" si="11"/>
        <v>0</v>
      </c>
    </row>
    <row r="598" spans="1:34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 s="67"/>
      <c r="AC598" s="87">
        <f t="shared" si="10"/>
        <v>0.24074074074074073</v>
      </c>
      <c r="AD598" s="91">
        <v>2</v>
      </c>
      <c r="AE598" s="64" t="s">
        <v>1850</v>
      </c>
      <c r="AF598" s="91">
        <v>2</v>
      </c>
      <c r="AG598" s="64" t="s">
        <v>1850</v>
      </c>
      <c r="AH598">
        <f t="shared" si="11"/>
        <v>0</v>
      </c>
    </row>
    <row r="599" spans="1:34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10"/>
        <v>0.31481481481481477</v>
      </c>
      <c r="AD599" s="91">
        <v>2</v>
      </c>
      <c r="AE599" s="64" t="s">
        <v>1850</v>
      </c>
      <c r="AF599" s="91">
        <v>2</v>
      </c>
      <c r="AG599" s="64" t="s">
        <v>1850</v>
      </c>
      <c r="AH599">
        <f t="shared" si="11"/>
        <v>0</v>
      </c>
    </row>
    <row r="600" spans="1:34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10"/>
        <v>0.24074074074074073</v>
      </c>
      <c r="AD600" s="91">
        <v>2</v>
      </c>
      <c r="AE600" s="64" t="s">
        <v>1850</v>
      </c>
      <c r="AF600" s="91">
        <v>2</v>
      </c>
      <c r="AG600" s="64" t="s">
        <v>1850</v>
      </c>
      <c r="AH600">
        <f t="shared" si="11"/>
        <v>0</v>
      </c>
    </row>
    <row r="601" spans="1:34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10"/>
        <v>0.24074074074074073</v>
      </c>
      <c r="AD601" s="91">
        <v>2</v>
      </c>
      <c r="AE601" s="64" t="s">
        <v>1850</v>
      </c>
      <c r="AF601" s="91">
        <v>2</v>
      </c>
      <c r="AG601" s="64" t="s">
        <v>1850</v>
      </c>
      <c r="AH601">
        <f t="shared" si="11"/>
        <v>0</v>
      </c>
    </row>
    <row r="602" spans="1:34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175</v>
      </c>
      <c r="Y602" s="66"/>
      <c r="Z602" s="66"/>
      <c r="AA602" s="66"/>
      <c r="AB602" s="67"/>
      <c r="AC602" s="87">
        <f t="shared" si="10"/>
        <v>0.3888888888888889</v>
      </c>
      <c r="AD602" s="91">
        <v>3</v>
      </c>
      <c r="AE602" s="103" t="s">
        <v>1851</v>
      </c>
      <c r="AF602" s="91">
        <v>3</v>
      </c>
      <c r="AG602" s="103" t="s">
        <v>1851</v>
      </c>
      <c r="AH602">
        <f t="shared" si="11"/>
        <v>0</v>
      </c>
    </row>
    <row r="603" spans="1:34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10"/>
        <v>0.31481481481481477</v>
      </c>
      <c r="AD603" s="91">
        <v>2</v>
      </c>
      <c r="AE603" s="64" t="s">
        <v>1850</v>
      </c>
      <c r="AF603" s="91">
        <v>2</v>
      </c>
      <c r="AG603" s="64" t="s">
        <v>1850</v>
      </c>
      <c r="AH603">
        <f t="shared" si="11"/>
        <v>1</v>
      </c>
    </row>
    <row r="604" spans="1:34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 s="67"/>
      <c r="AC604" s="87">
        <f t="shared" si="10"/>
        <v>0.31481481481481477</v>
      </c>
      <c r="AD604" s="91">
        <v>3</v>
      </c>
      <c r="AE604" s="103" t="s">
        <v>1851</v>
      </c>
      <c r="AF604" s="91">
        <v>3</v>
      </c>
      <c r="AG604" s="103" t="s">
        <v>1851</v>
      </c>
      <c r="AH604">
        <f t="shared" si="11"/>
        <v>1</v>
      </c>
    </row>
    <row r="605" spans="1:34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 s="67"/>
      <c r="AC605" s="87">
        <f t="shared" si="10"/>
        <v>0.24074074074074073</v>
      </c>
      <c r="AD605" s="91">
        <v>2</v>
      </c>
      <c r="AE605" s="64" t="s">
        <v>1850</v>
      </c>
      <c r="AF605" s="91">
        <v>2</v>
      </c>
      <c r="AG605" s="64" t="s">
        <v>1850</v>
      </c>
      <c r="AH605">
        <f t="shared" si="11"/>
        <v>1</v>
      </c>
    </row>
    <row r="606" spans="1:34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 s="67"/>
      <c r="AC606" s="87">
        <f t="shared" si="10"/>
        <v>0.24074074074074073</v>
      </c>
      <c r="AD606" s="91">
        <v>3</v>
      </c>
      <c r="AE606" s="103" t="s">
        <v>1851</v>
      </c>
      <c r="AF606" s="91">
        <v>3</v>
      </c>
      <c r="AG606" s="103" t="s">
        <v>1851</v>
      </c>
      <c r="AH606">
        <f t="shared" si="11"/>
        <v>1</v>
      </c>
    </row>
    <row r="607" spans="1:34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10"/>
        <v>0.31481481481481477</v>
      </c>
      <c r="AD607" s="91">
        <v>10</v>
      </c>
      <c r="AE607" s="105" t="s">
        <v>1855</v>
      </c>
      <c r="AF607" s="91">
        <v>10</v>
      </c>
      <c r="AG607" s="105" t="s">
        <v>1855</v>
      </c>
      <c r="AH607">
        <f t="shared" si="11"/>
        <v>1</v>
      </c>
    </row>
    <row r="608" spans="1:34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10"/>
        <v>0.31481481481481477</v>
      </c>
      <c r="AD608" s="91">
        <v>10</v>
      </c>
      <c r="AE608" s="105" t="s">
        <v>1855</v>
      </c>
      <c r="AF608" s="91">
        <v>10</v>
      </c>
      <c r="AG608" s="105" t="s">
        <v>1855</v>
      </c>
      <c r="AH608">
        <f t="shared" si="11"/>
        <v>1</v>
      </c>
    </row>
    <row r="609" spans="1:34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10"/>
        <v>0.31481481481481477</v>
      </c>
      <c r="AD609" s="91">
        <v>10</v>
      </c>
      <c r="AE609" s="105" t="s">
        <v>1855</v>
      </c>
      <c r="AF609" s="91">
        <v>10</v>
      </c>
      <c r="AG609" s="105" t="s">
        <v>1855</v>
      </c>
      <c r="AH609">
        <f t="shared" si="11"/>
        <v>1</v>
      </c>
    </row>
    <row r="610" spans="1:34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10"/>
        <v>0.31481481481481477</v>
      </c>
      <c r="AD610" s="91">
        <v>10</v>
      </c>
      <c r="AE610" s="105" t="s">
        <v>1855</v>
      </c>
      <c r="AF610" s="91">
        <v>10</v>
      </c>
      <c r="AG610" s="105" t="s">
        <v>1855</v>
      </c>
      <c r="AH610">
        <f t="shared" si="11"/>
        <v>1</v>
      </c>
    </row>
    <row r="611" spans="1:34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10"/>
        <v>0.31481481481481477</v>
      </c>
      <c r="AD611" s="91">
        <v>10</v>
      </c>
      <c r="AE611" s="105" t="s">
        <v>1855</v>
      </c>
      <c r="AF611" s="91">
        <v>10</v>
      </c>
      <c r="AG611" s="105" t="s">
        <v>1855</v>
      </c>
      <c r="AH611">
        <f t="shared" si="11"/>
        <v>1</v>
      </c>
    </row>
    <row r="612" spans="1:34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10"/>
        <v>0.31481481481481477</v>
      </c>
      <c r="AD612" s="91">
        <v>10</v>
      </c>
      <c r="AE612" s="105" t="s">
        <v>1855</v>
      </c>
      <c r="AF612" s="91">
        <v>10</v>
      </c>
      <c r="AG612" s="105" t="s">
        <v>1855</v>
      </c>
      <c r="AH612">
        <f t="shared" si="11"/>
        <v>1</v>
      </c>
    </row>
    <row r="613" spans="1:34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10"/>
        <v>0.31481481481481477</v>
      </c>
      <c r="AD613" s="55">
        <v>10</v>
      </c>
      <c r="AE613" s="105" t="s">
        <v>1855</v>
      </c>
      <c r="AF613" s="55">
        <v>10</v>
      </c>
      <c r="AG613" s="105" t="s">
        <v>1855</v>
      </c>
      <c r="AH613">
        <f t="shared" si="11"/>
        <v>1</v>
      </c>
    </row>
    <row r="614" spans="1:34" x14ac:dyDescent="0.3">
      <c r="AB614">
        <f>SUM(AB2:AB613)</f>
        <v>0</v>
      </c>
      <c r="AC614" s="113">
        <f>SUM(AC2:AC613)</f>
        <v>282.6483333333332</v>
      </c>
      <c r="AD614">
        <f>AC614/612</f>
        <v>0.46184368191721109</v>
      </c>
      <c r="AE614" s="113">
        <f>AD614*100</f>
        <v>46.184368191721106</v>
      </c>
      <c r="AF614" s="29"/>
    </row>
  </sheetData>
  <conditionalFormatting sqref="S1">
    <cfRule type="containsText" dxfId="1301" priority="1265" operator="containsText" text="ENTREGADO/REVISIÓN">
      <formula>NOT(ISERROR(SEARCH("ENTREGADO/REVISIÓN",S1)))</formula>
    </cfRule>
    <cfRule type="containsText" dxfId="1300" priority="1264" operator="containsText" text="ENVIADO A TICS">
      <formula>NOT(ISERROR(SEARCH("ENVIADO A TICS",S1)))</formula>
    </cfRule>
    <cfRule type="containsText" dxfId="1299" priority="1266" operator="containsText" text="ENVIADO A LA CE/UM">
      <formula>NOT(ISERROR(SEARCH("ENVIADO A LA CE/UM",S1)))</formula>
    </cfRule>
  </conditionalFormatting>
  <conditionalFormatting sqref="T1">
    <cfRule type="containsText" dxfId="1298" priority="1263" operator="containsText" text="EN PROCESO">
      <formula>NOT(ISERROR(SEARCH("EN PROCESO",T1)))</formula>
    </cfRule>
  </conditionalFormatting>
  <conditionalFormatting sqref="T1:X1">
    <cfRule type="containsText" dxfId="1164" priority="1700" operator="containsText" text="CONCLUIDO">
      <formula>NOT(ISERROR(SEARCH("CONCLUIDO",T1)))</formula>
    </cfRule>
  </conditionalFormatting>
  <conditionalFormatting sqref="U1">
    <cfRule type="containsText" dxfId="1162" priority="1702" operator="containsText" text="ENVIADO A LA CE/UM">
      <formula>NOT(ISERROR(SEARCH("ENVIADO A LA CE/UM",U1)))</formula>
    </cfRule>
  </conditionalFormatting>
  <conditionalFormatting sqref="U1:V1">
    <cfRule type="containsText" dxfId="1158" priority="1701" operator="containsText" text="EN REVISIÓN CENTRAL">
      <formula>NOT(ISERROR(SEARCH("EN REVISIÓN CENTRAL",U1)))</formula>
    </cfRule>
  </conditionalFormatting>
  <conditionalFormatting sqref="AB614">
    <cfRule type="containsText" dxfId="926" priority="1257" operator="containsText" text="SI">
      <formula>NOT(ISERROR(SEARCH("SI",AB614)))</formula>
    </cfRule>
  </conditionalFormatting>
  <conditionalFormatting sqref="W1:X1">
    <cfRule type="containsText" dxfId="925" priority="1294" operator="containsText" text="ENVIADO">
      <formula>NOT(ISERROR(SEARCH("ENVIADO",W1)))</formula>
    </cfRule>
  </conditionalFormatting>
  <conditionalFormatting sqref="W1:X1">
    <cfRule type="containsText" dxfId="924" priority="981" operator="containsText" text="EN PROCESO">
      <formula>NOT(ISERROR(SEARCH("EN PROCESO",W1)))</formula>
    </cfRule>
  </conditionalFormatting>
  <conditionalFormatting sqref="Y1">
    <cfRule type="containsText" dxfId="878" priority="1259" operator="containsText" text="CONCLUIDAS">
      <formula>NOT(ISERROR(SEARCH("CONCLUIDAS",Y1)))</formula>
    </cfRule>
    <cfRule type="containsText" dxfId="877" priority="1260" operator="containsText" text="PROGRAMADAS">
      <formula>NOT(ISERROR(SEARCH("PROGRAMADAS",Y1)))</formula>
    </cfRule>
  </conditionalFormatting>
  <conditionalFormatting sqref="AB614">
    <cfRule type="containsText" dxfId="876" priority="1258" operator="containsText" text="NO">
      <formula>NOT(ISERROR(SEARCH("NO",AB614)))</formula>
    </cfRule>
  </conditionalFormatting>
  <conditionalFormatting sqref="Z1:AC1">
    <cfRule type="containsText" dxfId="875" priority="1689" operator="containsText" text="SI">
      <formula>NOT(ISERROR(SEARCH("SI",Z1)))</formula>
    </cfRule>
    <cfRule type="containsText" dxfId="874" priority="1690" operator="containsText" text="NO">
      <formula>NOT(ISERROR(SEARCH("NO",Z1)))</formula>
    </cfRule>
  </conditionalFormatting>
  <conditionalFormatting sqref="AE1">
    <cfRule type="dataBar" priority="159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{9DE2B163-4BB2-4695-B219-FB3D183629E7}</x14:id>
        </ext>
      </extLst>
    </cfRule>
  </conditionalFormatting>
  <conditionalFormatting sqref="AF1:AG1">
    <cfRule type="containsText" dxfId="873" priority="7385" operator="containsText" text="EN PROCESO">
      <formula>NOT(ISERROR(SEARCH("EN PROCESO",AF1)))</formula>
    </cfRule>
    <cfRule type="containsText" dxfId="872" priority="7386" operator="containsText" text="ENVIADO">
      <formula>NOT(ISERROR(SEARCH("ENVIADO",AF1)))</formula>
    </cfRule>
    <cfRule type="containsText" dxfId="871" priority="7387" operator="containsText" text="CONCLUIDO">
      <formula>NOT(ISERROR(SEARCH("CONCLUIDO",AF1)))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3" priority="128" operator="containsText" text="ENVIADO">
      <formula>NOT(ISERROR(SEARCH("ENVIADO",T89)))</formula>
    </cfRule>
    <cfRule type="containsText" dxfId="414" priority="129" operator="containsText" text="EN PROCESO">
      <formula>NOT(ISERROR(SEARCH("EN PROCESO",T89)))</formula>
    </cfRule>
    <cfRule type="containsText" dxfId="411" priority="130" operator="containsText" text="ENVIADO">
      <formula>NOT(ISERROR(SEARCH("ENVIADO",T89)))</formula>
    </cfRule>
  </conditionalFormatting>
  <conditionalFormatting sqref="T98">
    <cfRule type="containsText" dxfId="407" priority="123" operator="containsText" text="EN PROCESO">
      <formula>NOT(ISERROR(SEARCH("EN PROCESO",T98)))</formula>
    </cfRule>
    <cfRule type="containsText" dxfId="410" priority="124" operator="containsText" text="ENVIADO">
      <formula>NOT(ISERROR(SEARCH("ENVIADO",T98)))</formula>
    </cfRule>
    <cfRule type="containsText" dxfId="408" priority="125" operator="containsText" text="EN PROCESO">
      <formula>NOT(ISERROR(SEARCH("EN PROCESO",T98)))</formula>
    </cfRule>
    <cfRule type="containsText" dxfId="409" priority="126" operator="containsText" text="ENVIADO">
      <formula>NOT(ISERROR(SEARCH("ENVIADO",T98)))</formula>
    </cfRule>
  </conditionalFormatting>
  <conditionalFormatting sqref="T100">
    <cfRule type="containsText" dxfId="403" priority="119" operator="containsText" text="EN PROCESO">
      <formula>NOT(ISERROR(SEARCH("EN PROCESO",T100)))</formula>
    </cfRule>
    <cfRule type="containsText" dxfId="404" priority="120" operator="containsText" text="ENVIADO">
      <formula>NOT(ISERROR(SEARCH("ENVIADO",T100)))</formula>
    </cfRule>
    <cfRule type="containsText" dxfId="405" priority="121" operator="containsText" text="EN PROCESO">
      <formula>NOT(ISERROR(SEARCH("EN PROCESO",T100)))</formula>
    </cfRule>
    <cfRule type="containsText" dxfId="406" priority="122" operator="containsText" text="ENVIADO">
      <formula>NOT(ISERROR(SEARCH("ENVIADO",T100)))</formula>
    </cfRule>
  </conditionalFormatting>
  <conditionalFormatting sqref="T100:T102">
    <cfRule type="containsText" dxfId="399" priority="115" operator="containsText" text="EN PROCESO">
      <formula>NOT(ISERROR(SEARCH("EN PROCESO",T100)))</formula>
    </cfRule>
    <cfRule type="containsText" dxfId="400" priority="116" operator="containsText" text="ENVIADO">
      <formula>NOT(ISERROR(SEARCH("ENVIADO",T100)))</formula>
    </cfRule>
    <cfRule type="containsText" dxfId="402" priority="117" operator="containsText" text="EN PROCESO">
      <formula>NOT(ISERROR(SEARCH("EN PROCESO",T100)))</formula>
    </cfRule>
    <cfRule type="containsText" dxfId="401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6" priority="21" operator="containsText" text="EN PROCESO">
      <formula>NOT(ISERROR(SEARCH("EN PROCESO",T104)))</formula>
    </cfRule>
    <cfRule type="containsText" dxfId="397" priority="22" operator="containsText" text="ENVIADO">
      <formula>NOT(ISERROR(SEARCH("ENVIADO",T104)))</formula>
    </cfRule>
  </conditionalFormatting>
  <conditionalFormatting sqref="T106 W109:W115 T112 W117:W291">
    <cfRule type="containsText" dxfId="394" priority="19" operator="containsText" text="EN PROCESO">
      <formula>NOT(ISERROR(SEARCH("EN PROCESO",T106)))</formula>
    </cfRule>
    <cfRule type="containsText" dxfId="395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8" priority="3" operator="containsText" text="EN PROCESO">
      <formula>NOT(ISERROR(SEARCH("EN PROCESO",T115)))</formula>
    </cfRule>
    <cfRule type="containsText" dxfId="389" priority="4" operator="containsText" text="ENVIADO">
      <formula>NOT(ISERROR(SEARCH("ENVIADO",T115)))</formula>
    </cfRule>
  </conditionalFormatting>
  <conditionalFormatting sqref="T187 T190:T191">
    <cfRule type="containsText" dxfId="384" priority="15" operator="containsText" text="EN PROCESO">
      <formula>NOT(ISERROR(SEARCH("EN PROCESO",T187)))</formula>
    </cfRule>
    <cfRule type="containsText" dxfId="385" priority="16" operator="containsText" text="ENVIADO">
      <formula>NOT(ISERROR(SEARCH("ENVIADO",T187)))</formula>
    </cfRule>
    <cfRule type="containsText" dxfId="386" priority="17" operator="containsText" text="EN PROCESO">
      <formula>NOT(ISERROR(SEARCH("EN PROCESO",T187)))</formula>
    </cfRule>
    <cfRule type="containsText" dxfId="387" priority="18" operator="containsText" text="ENVIADO">
      <formula>NOT(ISERROR(SEARCH("ENVIADO",T187)))</formula>
    </cfRule>
  </conditionalFormatting>
  <conditionalFormatting sqref="T198">
    <cfRule type="containsText" dxfId="380" priority="7" operator="containsText" text="EN PROCESO">
      <formula>NOT(ISERROR(SEARCH("EN PROCESO",T198)))</formula>
    </cfRule>
    <cfRule type="containsText" dxfId="383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2" priority="10" operator="containsText" text="ENVIADO">
      <formula>NOT(ISERROR(SEARCH("ENVIADO",T198)))</formula>
    </cfRule>
  </conditionalFormatting>
  <conditionalFormatting sqref="T201 T203">
    <cfRule type="containsText" dxfId="376" priority="11" operator="containsText" text="EN PROCESO">
      <formula>NOT(ISERROR(SEARCH("EN PROCESO",T201)))</formula>
    </cfRule>
    <cfRule type="containsText" dxfId="377" priority="12" operator="containsText" text="ENVIADO">
      <formula>NOT(ISERROR(SEARCH("ENVIADO",T201)))</formula>
    </cfRule>
    <cfRule type="containsText" dxfId="378" priority="13" operator="containsText" text="EN PROCESO">
      <formula>NOT(ISERROR(SEARCH("EN PROCESO",T201)))</formula>
    </cfRule>
    <cfRule type="containsText" dxfId="379" priority="14" operator="containsText" text="ENVIADO">
      <formula>NOT(ISERROR(SEARCH("ENVIADO",T201)))</formula>
    </cfRule>
  </conditionalFormatting>
  <conditionalFormatting sqref="T277:T283">
    <cfRule type="containsText" dxfId="372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4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71" priority="107" operator="containsText" text="EN PROCESO">
      <formula>NOT(ISERROR(SEARCH("EN PROCESO",T292)))</formula>
    </cfRule>
    <cfRule type="containsText" dxfId="370" priority="108" operator="containsText" text="ENVIADO">
      <formula>NOT(ISERROR(SEARCH("ENVIADO",T292)))</formula>
    </cfRule>
    <cfRule type="containsText" dxfId="369" priority="109" operator="containsText" text="EN PROCESO">
      <formula>NOT(ISERROR(SEARCH("EN PROCESO",T292)))</formula>
    </cfRule>
    <cfRule type="containsText" dxfId="368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6" priority="374" operator="containsText" text="ENVIADO">
      <formula>NOT(ISERROR(SEARCH("ENVIADO",T294)))</formula>
    </cfRule>
    <cfRule type="containsText" dxfId="364" priority="375" operator="containsText" text="EN PROCESO">
      <formula>NOT(ISERROR(SEARCH("EN PROCESO",T294)))</formula>
    </cfRule>
    <cfRule type="containsText" dxfId="367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7" priority="99" operator="containsText" text="EN PROCESO">
      <formula>NOT(ISERROR(SEARCH("EN PROCESO",T297)))</formula>
    </cfRule>
    <cfRule type="containsText" dxfId="358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5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3" priority="97" operator="containsText" text="EN PROCESO">
      <formula>NOT(ISERROR(SEARCH("EN PROCESO",T303)))</formula>
    </cfRule>
    <cfRule type="containsText" dxfId="352" priority="98" operator="containsText" text="ENVIADO">
      <formula>NOT(ISERROR(SEARCH("ENVIADO",T303)))</formula>
    </cfRule>
  </conditionalFormatting>
  <conditionalFormatting sqref="T305">
    <cfRule type="containsText" dxfId="348" priority="91" operator="containsText" text="EN PROCESO">
      <formula>NOT(ISERROR(SEARCH("EN PROCESO",T305)))</formula>
    </cfRule>
    <cfRule type="containsText" dxfId="349" priority="92" operator="containsText" text="ENVIADO">
      <formula>NOT(ISERROR(SEARCH("ENVIADO",T305)))</formula>
    </cfRule>
    <cfRule type="containsText" dxfId="350" priority="93" operator="containsText" text="EN PROCESO">
      <formula>NOT(ISERROR(SEARCH("EN PROCESO",T305)))</formula>
    </cfRule>
    <cfRule type="containsText" dxfId="351" priority="94" operator="containsText" text="ENVIADO">
      <formula>NOT(ISERROR(SEARCH("ENVIADO",T305)))</formula>
    </cfRule>
  </conditionalFormatting>
  <conditionalFormatting sqref="T307">
    <cfRule type="containsText" dxfId="345" priority="87" operator="containsText" text="EN PROCESO">
      <formula>NOT(ISERROR(SEARCH("EN PROCESO",T307)))</formula>
    </cfRule>
    <cfRule type="containsText" dxfId="344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6" priority="90" operator="containsText" text="ENVIADO">
      <formula>NOT(ISERROR(SEARCH("ENVIADO",T307)))</formula>
    </cfRule>
  </conditionalFormatting>
  <conditionalFormatting sqref="T309:T314">
    <cfRule type="containsText" dxfId="342" priority="83" operator="containsText" text="EN PROCESO">
      <formula>NOT(ISERROR(SEARCH("EN PROCESO",T309)))</formula>
    </cfRule>
    <cfRule type="containsText" dxfId="341" priority="84" operator="containsText" text="ENVIADO">
      <formula>NOT(ISERROR(SEARCH("ENVIADO",T309)))</formula>
    </cfRule>
    <cfRule type="containsText" dxfId="343" priority="85" operator="containsText" text="EN PROCESO">
      <formula>NOT(ISERROR(SEARCH("EN PROCESO",T309)))</formula>
    </cfRule>
    <cfRule type="containsText" dxfId="340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3" priority="75" operator="containsText" text="EN PROCESO">
      <formula>NOT(ISERROR(SEARCH("EN PROCESO",T385)))</formula>
    </cfRule>
    <cfRule type="containsText" dxfId="332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4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6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7" priority="70" operator="containsText" text="ENVIADO">
      <formula>NOT(ISERROR(SEARCH("ENVIADO",T517)))</formula>
    </cfRule>
  </conditionalFormatting>
  <conditionalFormatting sqref="T533">
    <cfRule type="containsText" dxfId="320" priority="63" operator="containsText" text="EN PROCESO">
      <formula>NOT(ISERROR(SEARCH("EN PROCESO",T533)))</formula>
    </cfRule>
    <cfRule type="containsText" dxfId="323" priority="64" operator="containsText" text="ENVIADO">
      <formula>NOT(ISERROR(SEARCH("ENVIADO",T533)))</formula>
    </cfRule>
    <cfRule type="containsText" dxfId="322" priority="65" operator="containsText" text="EN PROCESO">
      <formula>NOT(ISERROR(SEARCH("EN PROCESO",T533)))</formula>
    </cfRule>
    <cfRule type="containsText" dxfId="321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3" priority="57" operator="containsText" text="EN PROCESO">
      <formula>NOT(ISERROR(SEARCH("EN PROCESO",T544)))</formula>
    </cfRule>
    <cfRule type="containsText" dxfId="312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0" priority="53" operator="containsText" text="EN PROCESO">
      <formula>NOT(ISERROR(SEARCH("EN PROCESO",T547)))</formula>
    </cfRule>
    <cfRule type="containsText" dxfId="311" priority="54" operator="containsText" text="ENVIADO">
      <formula>NOT(ISERROR(SEARCH("ENVIADO",T547)))</formula>
    </cfRule>
  </conditionalFormatting>
  <conditionalFormatting sqref="T566">
    <cfRule type="containsText" dxfId="304" priority="47" operator="containsText" text="EN PROCESO">
      <formula>NOT(ISERROR(SEARCH("EN PROCESO",T566)))</formula>
    </cfRule>
    <cfRule type="containsText" dxfId="305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7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3" priority="44" operator="containsText" text="ENVIADO">
      <formula>NOT(ISERROR(SEARCH("ENVIADO",T581)))</formula>
    </cfRule>
    <cfRule type="containsText" dxfId="301" priority="45" operator="containsText" text="EN PROCESO">
      <formula>NOT(ISERROR(SEARCH("EN PROCESO",T581)))</formula>
    </cfRule>
    <cfRule type="containsText" dxfId="302" priority="46" operator="containsText" text="ENVIADO">
      <formula>NOT(ISERROR(SEARCH("ENVIADO",T581)))</formula>
    </cfRule>
  </conditionalFormatting>
  <conditionalFormatting sqref="T590:T591">
    <cfRule type="containsText" dxfId="298" priority="39" operator="containsText" text="EN PROCESO">
      <formula>NOT(ISERROR(SEARCH("EN PROCESO",T590)))</formula>
    </cfRule>
    <cfRule type="containsText" dxfId="299" priority="40" operator="containsText" text="ENVIADO">
      <formula>NOT(ISERROR(SEARCH("ENVIADO",T590)))</formula>
    </cfRule>
    <cfRule type="containsText" dxfId="296" priority="41" operator="containsText" text="EN PROCESO">
      <formula>NOT(ISERROR(SEARCH("EN PROCESO",T590)))</formula>
    </cfRule>
    <cfRule type="containsText" dxfId="297" priority="42" operator="containsText" text="ENVIADO">
      <formula>NOT(ISERROR(SEARCH("ENVIADO",T590)))</formula>
    </cfRule>
  </conditionalFormatting>
  <conditionalFormatting sqref="T604">
    <cfRule type="containsText" dxfId="295" priority="35" operator="containsText" text="EN PROCESO">
      <formula>NOT(ISERROR(SEARCH("EN PROCESO",T604)))</formula>
    </cfRule>
    <cfRule type="containsText" dxfId="294" priority="36" operator="containsText" text="ENVIADO">
      <formula>NOT(ISERROR(SEARCH("ENVIADO",T604)))</formula>
    </cfRule>
    <cfRule type="containsText" dxfId="293" priority="37" operator="containsText" text="EN PROCESO">
      <formula>NOT(ISERROR(SEARCH("EN PROCESO",T604)))</formula>
    </cfRule>
    <cfRule type="containsText" dxfId="292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3" operator="containsText" text="EN PROCESO">
      <formula>NOT(ISERROR(SEARCH("EN PROCESO",T611)))</formula>
    </cfRule>
  </conditionalFormatting>
  <conditionalFormatting sqref="T610:U610">
    <cfRule type="containsText" dxfId="286" priority="29" operator="containsText" text="EN REVISIÓN CENTRAL">
      <formula>NOT(ISERROR(SEARCH("EN REVISIÓN CENTRAL",T610)))</formula>
    </cfRule>
    <cfRule type="containsText" dxfId="285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20" operator="containsText" text="CONCLUIDO">
      <formula>NOT(ISERROR(SEARCH("CONCLUIDO",R2)))</formula>
    </cfRule>
  </conditionalFormatting>
  <conditionalFormatting sqref="U2:U609 V2:V613 U611:U613">
    <cfRule type="containsText" dxfId="283" priority="422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1" operator="containsText" text="EN REVISIÓN CENTRAL">
      <formula>NOT(ISERROR(SEARCH("EN REVISIÓN CENTRAL",U2)))</formula>
    </cfRule>
  </conditionalFormatting>
  <conditionalFormatting sqref="W7">
    <cfRule type="containsText" dxfId="278" priority="5" operator="containsText" text="EN REVISIÓN CENTRAL">
      <formula>NOT(ISERROR(SEARCH("EN REVISIÓN CENTRAL",W7)))</formula>
    </cfRule>
    <cfRule type="containsText" dxfId="279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7" priority="251" operator="containsText" text="EN PROCESO">
      <formula>NOT(ISERROR(SEARCH("EN PROCESO",W108)))</formula>
    </cfRule>
    <cfRule type="containsText" dxfId="266" priority="252" operator="containsText" text="ENVIADO">
      <formula>NOT(ISERROR(SEARCH("ENVIADO",W108)))</formula>
    </cfRule>
  </conditionalFormatting>
  <conditionalFormatting sqref="W117:W291">
    <cfRule type="containsText" dxfId="264" priority="317" operator="containsText" text="EN PROCESO">
      <formula>NOT(ISERROR(SEARCH("EN PROCESO",W117)))</formula>
    </cfRule>
    <cfRule type="containsText" dxfId="265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0" priority="347" operator="containsText" text="EN PROCESO">
      <formula>NOT(ISERROR(SEARCH("EN PROCESO",W277)))</formula>
    </cfRule>
    <cfRule type="containsText" dxfId="261" priority="348" operator="containsText" text="ENVIADO">
      <formula>NOT(ISERROR(SEARCH("ENVIADO",W277)))</formula>
    </cfRule>
  </conditionalFormatting>
  <conditionalFormatting sqref="W293:W294">
    <cfRule type="containsText" dxfId="258" priority="247" operator="containsText" text="EN PROCESO">
      <formula>NOT(ISERROR(SEARCH("EN PROCESO",W293)))</formula>
    </cfRule>
    <cfRule type="containsText" dxfId="259" priority="248" operator="containsText" text="ENVIADO">
      <formula>NOT(ISERROR(SEARCH("ENVIADO",W293)))</formula>
    </cfRule>
  </conditionalFormatting>
  <conditionalFormatting sqref="W293:W295">
    <cfRule type="containsText" dxfId="257" priority="249" operator="containsText" text="EN PROCESO">
      <formula>NOT(ISERROR(SEARCH("EN PROCESO",W293)))</formula>
    </cfRule>
    <cfRule type="containsText" dxfId="256" priority="250" operator="containsText" text="ENVIADO">
      <formula>NOT(ISERROR(SEARCH("ENVIADO",W293)))</formula>
    </cfRule>
  </conditionalFormatting>
  <conditionalFormatting sqref="W294">
    <cfRule type="containsText" dxfId="254" priority="377" operator="containsText" text="EN PROCESO">
      <formula>NOT(ISERROR(SEARCH("EN PROCESO",W294)))</formula>
    </cfRule>
    <cfRule type="containsText" dxfId="255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50" priority="239" operator="containsText" text="EN PROCESO">
      <formula>NOT(ISERROR(SEARCH("EN PROCESO",W296)))</formula>
    </cfRule>
    <cfRule type="containsText" dxfId="251" priority="240" operator="containsText" text="ENVIADO">
      <formula>NOT(ISERROR(SEARCH("ENVIADO",W296)))</formula>
    </cfRule>
    <cfRule type="containsText" dxfId="248" priority="241" operator="containsText" text="EN PROCESO">
      <formula>NOT(ISERROR(SEARCH("EN PROCESO",W296)))</formula>
    </cfRule>
    <cfRule type="containsText" dxfId="247" priority="242" operator="containsText" text="ENVIADO">
      <formula>NOT(ISERROR(SEARCH("ENVIADO",W296)))</formula>
    </cfRule>
    <cfRule type="containsText" dxfId="246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9" priority="245" operator="containsText" text="EN PROCESO">
      <formula>NOT(ISERROR(SEARCH("EN PROCESO",W296)))</formula>
    </cfRule>
    <cfRule type="containsText" dxfId="244" priority="246" operator="containsText" text="ENVIADO">
      <formula>NOT(ISERROR(SEARCH("ENVIADO",W296)))</formula>
    </cfRule>
  </conditionalFormatting>
  <conditionalFormatting sqref="W297:W309">
    <cfRule type="containsText" dxfId="243" priority="315" operator="containsText" text="EN PROCESO">
      <formula>NOT(ISERROR(SEARCH("EN PROCESO",W297)))</formula>
    </cfRule>
    <cfRule type="containsText" dxfId="242" priority="316" operator="containsText" text="ENVIADO">
      <formula>NOT(ISERROR(SEARCH("ENVIADO",W297)))</formula>
    </cfRule>
    <cfRule type="containsText" dxfId="240" priority="341" operator="containsText" text="EN PROCESO">
      <formula>NOT(ISERROR(SEARCH("EN PROCESO",W297)))</formula>
    </cfRule>
    <cfRule type="containsText" dxfId="241" priority="342" operator="containsText" text="ENVIADO">
      <formula>NOT(ISERROR(SEARCH("ENVIADO",W297)))</formula>
    </cfRule>
  </conditionalFormatting>
  <conditionalFormatting sqref="W301">
    <cfRule type="containsText" dxfId="239" priority="313" operator="containsText" text="EN PROCESO">
      <formula>NOT(ISERROR(SEARCH("EN PROCESO",W301)))</formula>
    </cfRule>
    <cfRule type="containsText" dxfId="238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6" priority="232" operator="containsText" text="ENVIADO">
      <formula>NOT(ISERROR(SEARCH("ENVIADO",W310)))</formula>
    </cfRule>
    <cfRule type="containsText" dxfId="235" priority="233" operator="containsText" text="EN PROCESO">
      <formula>NOT(ISERROR(SEARCH("EN PROCESO",W310)))</formula>
    </cfRule>
    <cfRule type="containsText" dxfId="232" priority="234" operator="containsText" text="ENVIADO">
      <formula>NOT(ISERROR(SEARCH("ENVIADO",W310)))</formula>
    </cfRule>
    <cfRule type="containsText" dxfId="234" priority="235" operator="containsText" text="EN PROCESO">
      <formula>NOT(ISERROR(SEARCH("EN PROCESO",W310)))</formula>
    </cfRule>
    <cfRule type="containsText" dxfId="233" priority="236" operator="containsText" text="ENVIADO">
      <formula>NOT(ISERROR(SEARCH("ENVIADO",W310)))</formula>
    </cfRule>
  </conditionalFormatting>
  <conditionalFormatting sqref="W310:W313">
    <cfRule type="containsText" dxfId="231" priority="237" operator="containsText" text="EN PROCESO">
      <formula>NOT(ISERROR(SEARCH("EN PROCESO",W310)))</formula>
    </cfRule>
    <cfRule type="containsText" dxfId="230" priority="238" operator="containsText" text="ENVIADO">
      <formula>NOT(ISERROR(SEARCH("ENVIADO",W310)))</formula>
    </cfRule>
  </conditionalFormatting>
  <conditionalFormatting sqref="W312:W313">
    <cfRule type="containsText" dxfId="229" priority="339" operator="containsText" text="EN PROCESO">
      <formula>NOT(ISERROR(SEARCH("EN PROCESO",W312)))</formula>
    </cfRule>
    <cfRule type="containsText" dxfId="228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3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6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0" priority="229" operator="containsText" text="EN PROCESO">
      <formula>NOT(ISERROR(SEARCH("EN PROCESO",W314)))</formula>
    </cfRule>
    <cfRule type="containsText" dxfId="221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08" priority="217" operator="containsText" text="EN PROCESO">
      <formula>NOT(ISERROR(SEARCH("EN PROCESO",W385)))</formula>
    </cfRule>
    <cfRule type="containsText" dxfId="209" priority="218" operator="containsText" text="ENVIADO">
      <formula>NOT(ISERROR(SEARCH("ENVIADO",W385)))</formula>
    </cfRule>
    <cfRule type="containsText" dxfId="210" priority="219" operator="containsText" text="EN PROCESO">
      <formula>NOT(ISERROR(SEARCH("EN PROCESO",W385)))</formula>
    </cfRule>
    <cfRule type="containsText" dxfId="211" priority="220" operator="containsText" text="ENVIADO">
      <formula>NOT(ISERROR(SEARCH("ENVIADO",W385)))</formula>
    </cfRule>
  </conditionalFormatting>
  <conditionalFormatting sqref="W446:W450">
    <cfRule type="containsText" dxfId="205" priority="211" operator="containsText" text="EN PROCESO">
      <formula>NOT(ISERROR(SEARCH("EN PROCESO",W446)))</formula>
    </cfRule>
    <cfRule type="containsText" dxfId="204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7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201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9" priority="205" operator="containsText" text="EN PROCESO">
      <formula>NOT(ISERROR(SEARCH("EN PROCESO",W453)))</formula>
    </cfRule>
    <cfRule type="containsText" dxfId="198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196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2" priority="335" operator="containsText" text="EN PROCESO">
      <formula>NOT(ISERROR(SEARCH("EN PROCESO",W455)))</formula>
    </cfRule>
    <cfRule type="containsText" dxfId="193" priority="336" operator="containsText" text="ENVIADO">
      <formula>NOT(ISERROR(SEARCH("ENVIADO",W455)))</formula>
    </cfRule>
  </conditionalFormatting>
  <conditionalFormatting sqref="W456:W483">
    <cfRule type="containsText" dxfId="191" priority="201" operator="containsText" text="EN PROCESO">
      <formula>NOT(ISERROR(SEARCH("EN PROCESO",W456)))</formula>
    </cfRule>
    <cfRule type="containsText" dxfId="190" priority="202" operator="containsText" text="ENVIADO">
      <formula>NOT(ISERROR(SEARCH("ENVIADO",W456)))</formula>
    </cfRule>
  </conditionalFormatting>
  <conditionalFormatting sqref="W469">
    <cfRule type="containsText" dxfId="184" priority="195" operator="containsText" text="EN PROCESO">
      <formula>NOT(ISERROR(SEARCH("EN PROCESO",W469)))</formula>
    </cfRule>
    <cfRule type="containsText" dxfId="185" priority="196" operator="containsText" text="ENVIADO">
      <formula>NOT(ISERROR(SEARCH("ENVIADO",W469)))</formula>
    </cfRule>
    <cfRule type="containsText" dxfId="186" priority="197" operator="containsText" text="EN PROCESO">
      <formula>NOT(ISERROR(SEARCH("EN PROCESO",W469)))</formula>
    </cfRule>
    <cfRule type="containsText" dxfId="187" priority="198" operator="containsText" text="ENVIADO">
      <formula>NOT(ISERROR(SEARCH("ENVIADO",W469)))</formula>
    </cfRule>
    <cfRule type="containsText" dxfId="188" priority="199" operator="containsText" text="EN PROCESO">
      <formula>NOT(ISERROR(SEARCH("EN PROCESO",W469)))</formula>
    </cfRule>
    <cfRule type="containsText" dxfId="189" priority="200" operator="containsText" text="ENVIADO">
      <formula>NOT(ISERROR(SEARCH("ENVIADO",W469)))</formula>
    </cfRule>
  </conditionalFormatting>
  <conditionalFormatting sqref="W470:W483">
    <cfRule type="containsText" dxfId="182" priority="309" operator="containsText" text="EN PROCESO">
      <formula>NOT(ISERROR(SEARCH("EN PROCESO",W470)))</formula>
    </cfRule>
    <cfRule type="containsText" dxfId="183" priority="310" operator="containsText" text="ENVIADO">
      <formula>NOT(ISERROR(SEARCH("ENVIADO",W470)))</formula>
    </cfRule>
  </conditionalFormatting>
  <conditionalFormatting sqref="W484">
    <cfRule type="containsText" dxfId="176" priority="187" operator="containsText" text="EN PROCESO">
      <formula>NOT(ISERROR(SEARCH("EN PROCESO",W484)))</formula>
    </cfRule>
    <cfRule type="containsText" dxfId="177" priority="188" operator="containsText" text="ENVIADO">
      <formula>NOT(ISERROR(SEARCH("ENVIADO",W484)))</formula>
    </cfRule>
    <cfRule type="containsText" dxfId="181" priority="189" operator="containsText" text="EN PROCESO">
      <formula>NOT(ISERROR(SEARCH("EN PROCESO",W484)))</formula>
    </cfRule>
    <cfRule type="containsText" dxfId="180" priority="190" operator="containsText" text="ENVIADO">
      <formula>NOT(ISERROR(SEARCH("ENVIADO",W484)))</formula>
    </cfRule>
    <cfRule type="containsText" dxfId="179" priority="191" operator="containsText" text="EN PROCESO">
      <formula>NOT(ISERROR(SEARCH("EN PROCESO",W484)))</formula>
    </cfRule>
    <cfRule type="containsText" dxfId="178" priority="192" operator="containsText" text="ENVIADO">
      <formula>NOT(ISERROR(SEARCH("ENVIADO",W484)))</formula>
    </cfRule>
  </conditionalFormatting>
  <conditionalFormatting sqref="W484:W518">
    <cfRule type="containsText" dxfId="175" priority="193" operator="containsText" text="EN PROCESO">
      <formula>NOT(ISERROR(SEARCH("EN PROCESO",W484)))</formula>
    </cfRule>
    <cfRule type="containsText" dxfId="174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6" priority="179" operator="containsText" text="EN PROCESO">
      <formula>NOT(ISERROR(SEARCH("EN PROCESO",W519)))</formula>
    </cfRule>
    <cfRule type="containsText" dxfId="167" priority="180" operator="containsText" text="ENVIADO">
      <formula>NOT(ISERROR(SEARCH("ENVIADO",W519)))</formula>
    </cfRule>
    <cfRule type="containsText" dxfId="168" priority="181" operator="containsText" text="EN PROCESO">
      <formula>NOT(ISERROR(SEARCH("EN PROCESO",W519)))</formula>
    </cfRule>
    <cfRule type="containsText" dxfId="169" priority="182" operator="containsText" text="ENVIADO">
      <formula>NOT(ISERROR(SEARCH("ENVIADO",W519)))</formula>
    </cfRule>
    <cfRule type="containsText" dxfId="170" priority="183" operator="containsText" text="EN PROCESO">
      <formula>NOT(ISERROR(SEARCH("EN PROCESO",W519)))</formula>
    </cfRule>
    <cfRule type="containsText" dxfId="171" priority="184" operator="containsText" text="ENVIADO">
      <formula>NOT(ISERROR(SEARCH("ENVIADO",W519)))</formula>
    </cfRule>
  </conditionalFormatting>
  <conditionalFormatting sqref="W519:W520">
    <cfRule type="containsText" dxfId="164" priority="185" operator="containsText" text="EN PROCESO">
      <formula>NOT(ISERROR(SEARCH("EN PROCESO",W519)))</formula>
    </cfRule>
    <cfRule type="containsText" dxfId="165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0" priority="333" operator="containsText" text="EN PROCESO">
      <formula>NOT(ISERROR(SEARCH("EN PROCESO",W521)))</formula>
    </cfRule>
    <cfRule type="containsText" dxfId="161" priority="334" operator="containsText" text="ENVIADO">
      <formula>NOT(ISERROR(SEARCH("ENVIADO",W521)))</formula>
    </cfRule>
  </conditionalFormatting>
  <conditionalFormatting sqref="W522">
    <cfRule type="containsText" dxfId="159" priority="405" operator="containsText" text="EN PROCESO">
      <formula>NOT(ISERROR(SEARCH("EN PROCESO",W522)))</formula>
    </cfRule>
    <cfRule type="containsText" dxfId="158" priority="406" operator="containsText" text="ENVIADO">
      <formula>NOT(ISERROR(SEARCH("ENVIADO",W522)))</formula>
    </cfRule>
  </conditionalFormatting>
  <conditionalFormatting sqref="W522:W531">
    <cfRule type="containsText" dxfId="157" priority="303" operator="containsText" text="EN PROCESO">
      <formula>NOT(ISERROR(SEARCH("EN PROCESO",W522)))</formula>
    </cfRule>
    <cfRule type="containsText" dxfId="156" priority="304" operator="containsText" text="ENVIADO">
      <formula>NOT(ISERROR(SEARCH("ENVIADO",W522)))</formula>
    </cfRule>
  </conditionalFormatting>
  <conditionalFormatting sqref="W522:W546">
    <cfRule type="containsText" dxfId="154" priority="407" operator="containsText" text="EN PROCESO">
      <formula>NOT(ISERROR(SEARCH("EN PROCESO",W522)))</formula>
    </cfRule>
    <cfRule type="containsText" dxfId="155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5" priority="169" operator="containsText" text="EN PROCESO">
      <formula>NOT(ISERROR(SEARCH("EN PROCESO",W541)))</formula>
    </cfRule>
    <cfRule type="containsText" dxfId="144" priority="170" operator="containsText" text="ENVIADO">
      <formula>NOT(ISERROR(SEARCH("ENVIADO",W541)))</formula>
    </cfRule>
    <cfRule type="containsText" dxfId="143" priority="171" operator="containsText" text="EN PROCESO">
      <formula>NOT(ISERROR(SEARCH("EN PROCESO",W541)))</formula>
    </cfRule>
    <cfRule type="containsText" dxfId="140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1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7" priority="159" operator="containsText" text="EN PROCESO">
      <formula>NOT(ISERROR(SEARCH("EN PROCESO",W544)))</formula>
    </cfRule>
    <cfRule type="containsText" dxfId="128" priority="160" operator="containsText" text="ENVIADO">
      <formula>NOT(ISERROR(SEARCH("ENVIADO",W544)))</formula>
    </cfRule>
    <cfRule type="containsText" dxfId="136" priority="161" operator="containsText" text="EN PROCESO">
      <formula>NOT(ISERROR(SEARCH("EN PROCESO",W544)))</formula>
    </cfRule>
    <cfRule type="containsText" dxfId="135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29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31" priority="166" operator="containsText" text="ENVIADO">
      <formula>NOT(ISERROR(SEARCH("ENVIADO",W544)))</formula>
    </cfRule>
    <cfRule type="containsText" dxfId="134" priority="167" operator="containsText" text="EN PROCESO">
      <formula>NOT(ISERROR(SEARCH("EN PROCESO",W544)))</formula>
    </cfRule>
    <cfRule type="containsText" dxfId="133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5" priority="297" operator="containsText" text="EN PROCESO">
      <formula>NOT(ISERROR(SEARCH("EN PROCESO",W545)))</formula>
    </cfRule>
    <cfRule type="containsText" dxfId="124" priority="298" operator="containsText" text="ENVIADO">
      <formula>NOT(ISERROR(SEARCH("ENVIADO",W545)))</formula>
    </cfRule>
  </conditionalFormatting>
  <conditionalFormatting sqref="W546">
    <cfRule type="containsText" dxfId="122" priority="295" operator="containsText" text="EN PROCESO">
      <formula>NOT(ISERROR(SEARCH("EN PROCESO",W546)))</formula>
    </cfRule>
    <cfRule type="containsText" dxfId="123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9" priority="289" operator="containsText" text="EN PROCESO">
      <formula>NOT(ISERROR(SEARCH("EN PROCESO",W548)))</formula>
    </cfRule>
    <cfRule type="containsText" dxfId="118" priority="290" operator="containsText" text="ENVIADO">
      <formula>NOT(ISERROR(SEARCH("ENVIADO",W548)))</formula>
    </cfRule>
    <cfRule type="containsText" dxfId="114" priority="291" operator="containsText" text="EN PROCESO">
      <formula>NOT(ISERROR(SEARCH("EN PROCESO",W548)))</formula>
    </cfRule>
    <cfRule type="containsText" dxfId="117" priority="292" operator="containsText" text="ENVIADO">
      <formula>NOT(ISERROR(SEARCH("ENVIADO",W548)))</formula>
    </cfRule>
    <cfRule type="containsText" dxfId="116" priority="293" operator="containsText" text="EN PROCESO">
      <formula>NOT(ISERROR(SEARCH("EN PROCESO",W548)))</formula>
    </cfRule>
    <cfRule type="containsText" dxfId="115" priority="294" operator="containsText" text="ENVIADO">
      <formula>NOT(ISERROR(SEARCH("ENVIADO",W548)))</formula>
    </cfRule>
  </conditionalFormatting>
  <conditionalFormatting sqref="W548:W563">
    <cfRule type="containsText" dxfId="113" priority="283" operator="containsText" text="EN PROCESO">
      <formula>NOT(ISERROR(SEARCH("EN PROCESO",W548)))</formula>
    </cfRule>
    <cfRule type="containsText" dxfId="112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0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5" priority="277" operator="containsText" text="EN PROCESO">
      <formula>NOT(ISERROR(SEARCH("EN PROCESO",W565)))</formula>
    </cfRule>
    <cfRule type="containsText" dxfId="104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2" priority="280" operator="containsText" text="ENVIADO">
      <formula>NOT(ISERROR(SEARCH("ENVIADO",W565)))</formula>
    </cfRule>
  </conditionalFormatting>
  <conditionalFormatting sqref="W565:W566">
    <cfRule type="containsText" dxfId="101" priority="281" operator="containsText" text="EN PROCESO">
      <formula>NOT(ISERROR(SEARCH("EN PROCESO",W565)))</formula>
    </cfRule>
    <cfRule type="containsText" dxfId="100" priority="282" operator="containsText" text="ENVIADO">
      <formula>NOT(ISERROR(SEARCH("ENVIADO",W565)))</formula>
    </cfRule>
  </conditionalFormatting>
  <conditionalFormatting sqref="W566">
    <cfRule type="containsText" dxfId="95" priority="323" operator="containsText" text="EN PROCESO">
      <formula>NOT(ISERROR(SEARCH("EN PROCESO",W566)))</formula>
    </cfRule>
    <cfRule type="containsText" dxfId="97" priority="324" operator="containsText" text="ENVIADO">
      <formula>NOT(ISERROR(SEARCH("ENVIADO",W566)))</formula>
    </cfRule>
    <cfRule type="containsText" dxfId="96" priority="379" operator="containsText" text="EN PROCESO">
      <formula>NOT(ISERROR(SEARCH("EN PROCESO",W566)))</formula>
    </cfRule>
    <cfRule type="containsText" dxfId="98" priority="380" operator="containsText" text="ENVIADO">
      <formula>NOT(ISERROR(SEARCH("ENVIADO",W566)))</formula>
    </cfRule>
    <cfRule type="containsText" dxfId="99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1" priority="149" operator="containsText" text="EN PROCESO">
      <formula>NOT(ISERROR(SEARCH("EN PROCESO",W590)))</formula>
    </cfRule>
    <cfRule type="containsText" dxfId="80" priority="150" operator="containsText" text="ENVIADO">
      <formula>NOT(ISERROR(SEARCH("ENVIADO",W590)))</formula>
    </cfRule>
    <cfRule type="containsText" dxfId="87" priority="151" operator="containsText" text="EN PROCESO">
      <formula>NOT(ISERROR(SEARCH("EN PROCESO",W590)))</formula>
    </cfRule>
    <cfRule type="containsText" dxfId="85" priority="152" operator="containsText" text="ENVIADO">
      <formula>NOT(ISERROR(SEARCH("ENVIADO",W590)))</formula>
    </cfRule>
    <cfRule type="containsText" dxfId="82" priority="153" operator="containsText" text="EN PROCESO">
      <formula>NOT(ISERROR(SEARCH("EN PROCESO",W590)))</formula>
    </cfRule>
    <cfRule type="containsText" dxfId="83" priority="154" operator="containsText" text="ENVIADO">
      <formula>NOT(ISERROR(SEARCH("ENVIADO",W590)))</formula>
    </cfRule>
    <cfRule type="containsText" dxfId="84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6" priority="269" operator="containsText" text="EN PROCESO">
      <formula>NOT(ISERROR(SEARCH("EN PROCESO",W592)))</formula>
    </cfRule>
    <cfRule type="containsText" dxfId="77" priority="270" operator="containsText" text="ENVIADO">
      <formula>NOT(ISERROR(SEARCH("ENVIADO",W592)))</formula>
    </cfRule>
  </conditionalFormatting>
  <conditionalFormatting sqref="W597:W603">
    <cfRule type="containsText" dxfId="72" priority="265" operator="containsText" text="EN PROCESO">
      <formula>NOT(ISERROR(SEARCH("EN PROCESO",W597)))</formula>
    </cfRule>
    <cfRule type="containsText" dxfId="75" priority="266" operator="containsText" text="ENVIADO">
      <formula>NOT(ISERROR(SEARCH("ENVIADO",W597)))</formula>
    </cfRule>
    <cfRule type="containsText" dxfId="74" priority="267" operator="containsText" text="EN PROCESO">
      <formula>NOT(ISERROR(SEARCH("EN PROCESO",W597)))</formula>
    </cfRule>
    <cfRule type="containsText" dxfId="73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9" priority="139" operator="containsText" text="EN PROCESO">
      <formula>NOT(ISERROR(SEARCH("EN PROCESO",W604)))</formula>
    </cfRule>
    <cfRule type="containsText" dxfId="62" priority="140" operator="containsText" text="ENVIADO">
      <formula>NOT(ISERROR(SEARCH("ENVIADO",W604)))</formula>
    </cfRule>
    <cfRule type="containsText" dxfId="64" priority="141" operator="containsText" text="EN PROCESO">
      <formula>NOT(ISERROR(SEARCH("EN PROCESO",W604)))</formula>
    </cfRule>
    <cfRule type="containsText" dxfId="65" priority="142" operator="containsText" text="ENVIADO">
      <formula>NOT(ISERROR(SEARCH("ENVIADO",W604)))</formula>
    </cfRule>
    <cfRule type="containsText" dxfId="68" priority="143" operator="containsText" text="EN PROCESO">
      <formula>NOT(ISERROR(SEARCH("EN PROCESO",W604)))</formula>
    </cfRule>
    <cfRule type="containsText" dxfId="66" priority="144" operator="containsText" text="ENVIADO">
      <formula>NOT(ISERROR(SEARCH("ENVIADO",W604)))</formula>
    </cfRule>
    <cfRule type="containsText" dxfId="67" priority="145" operator="containsText" text="EN PROCESO">
      <formula>NOT(ISERROR(SEARCH("EN PROCESO",W604)))</formula>
    </cfRule>
    <cfRule type="containsText" dxfId="63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7" priority="321" operator="containsText" text="EN PROCESO">
      <formula>NOT(ISERROR(SEARCH("EN PROCESO",W607)))</formula>
    </cfRule>
    <cfRule type="containsText" dxfId="56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5" priority="257" operator="containsText" text="EN PROCESO">
      <formula>NOT(ISERROR(SEARCH("EN PROCESO",W608)))</formula>
    </cfRule>
    <cfRule type="containsText" dxfId="54" priority="258" operator="containsText" text="ENVIADO">
      <formula>NOT(ISERROR(SEARCH("ENVIADO",W608)))</formula>
    </cfRule>
    <cfRule type="containsText" dxfId="53" priority="259" operator="containsText" text="EN PROCESO">
      <formula>NOT(ISERROR(SEARCH("EN PROCESO",W608)))</formula>
    </cfRule>
    <cfRule type="containsText" dxfId="52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2" priority="359" operator="containsText" text="EN PROCESO">
      <formula>NOT(ISERROR(SEARCH("EN PROCESO",W396)))</formula>
    </cfRule>
    <cfRule type="containsText" dxfId="43" priority="360" operator="containsText" text="ENVIADO">
      <formula>NOT(ISERROR(SEARCH("ENVIADO",W396)))</formula>
    </cfRule>
  </conditionalFormatting>
  <conditionalFormatting sqref="W519:X519">
    <cfRule type="containsText" dxfId="40" priority="27" operator="containsText" text="EN REVISIÓN CENTRAL">
      <formula>NOT(ISERROR(SEARCH("EN REVISIÓN CENTRAL",W519)))</formula>
    </cfRule>
    <cfRule type="containsText" dxfId="41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2" priority="353" operator="containsText" text="EN PROCESO">
      <formula>NOT(ISERROR(SEARCH("EN PROCESO",W586)))</formula>
    </cfRule>
    <cfRule type="containsText" dxfId="33" priority="354" operator="containsText" text="ENVIADO">
      <formula>NOT(ISERROR(SEARCH("ENVIADO",W586)))</formula>
    </cfRule>
  </conditionalFormatting>
  <conditionalFormatting sqref="X41:X43">
    <cfRule type="containsText" dxfId="30" priority="383" operator="containsText" text="EN PROCESO">
      <formula>NOT(ISERROR(SEARCH("EN PROCESO",X41)))</formula>
    </cfRule>
    <cfRule type="containsText" dxfId="27" priority="384" operator="containsText" text="ENVIADO">
      <formula>NOT(ISERROR(SEARCH("ENVIADO",X41)))</formula>
    </cfRule>
    <cfRule type="containsText" dxfId="25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4" priority="387" operator="containsText" text="EN PROCESO">
      <formula>NOT(ISERROR(SEARCH("EN PROCESO",X41)))</formula>
    </cfRule>
    <cfRule type="containsText" dxfId="31" priority="388" operator="containsText" text="ENVIADO">
      <formula>NOT(ISERROR(SEARCH("ENVIADO",X41)))</formula>
    </cfRule>
    <cfRule type="containsText" dxfId="29" priority="389" operator="containsText" text="EN PROCESO">
      <formula>NOT(ISERROR(SEARCH("EN PROCESO",X41)))</formula>
    </cfRule>
    <cfRule type="containsText" dxfId="28" priority="390" operator="containsText" text="ENVIADO">
      <formula>NOT(ISERROR(SEARCH("ENVIADO",X41)))</formula>
    </cfRule>
  </conditionalFormatting>
  <conditionalFormatting sqref="X46 X63">
    <cfRule type="containsText" dxfId="20" priority="369" operator="containsText" text="EN PROCESO">
      <formula>NOT(ISERROR(SEARCH("EN PROCESO",X46)))</formula>
    </cfRule>
    <cfRule type="containsText" dxfId="23" priority="370" operator="containsText" text="ENVIADO">
      <formula>NOT(ISERROR(SEARCH("ENVIADO",X46)))</formula>
    </cfRule>
    <cfRule type="containsText" dxfId="22" priority="371" operator="containsText" text="EN PROCESO">
      <formula>NOT(ISERROR(SEARCH("EN PROCESO",X46)))</formula>
    </cfRule>
    <cfRule type="containsText" dxfId="21" priority="372" operator="containsText" text="ENVIADO">
      <formula>NOT(ISERROR(SEARCH("ENVIADO",X46)))</formula>
    </cfRule>
  </conditionalFormatting>
  <conditionalFormatting sqref="X146">
    <cfRule type="containsText" dxfId="18" priority="363" operator="containsText" text="EN PROCESO">
      <formula>NOT(ISERROR(SEARCH("EN PROCESO",X146)))</formula>
    </cfRule>
    <cfRule type="containsText" dxfId="19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3" priority="395" operator="containsText" text="EN PROCESO">
      <formula>NOT(ISERROR(SEARCH("EN PROCESO",X266)))</formula>
    </cfRule>
    <cfRule type="containsText" dxfId="12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conditionalFormatting sqref="AC2:AC613">
    <cfRule type="dataBar" priority="4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{CCBDDED4-ABA0-4556-AB7E-7468D3EEAC20}</x14:id>
        </ext>
      </extLst>
    </cfRule>
  </conditionalFormatting>
  <conditionalFormatting sqref="AC2:AC613">
    <cfRule type="dataBar" priority="4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{66A9C54D-268B-42CA-9E07-E8DF5D8E8181}</x14:id>
        </ext>
      </extLst>
    </cfRule>
  </conditionalFormatting>
  <dataValidations count="11">
    <dataValidation type="list" allowBlank="1" showInputMessage="1" showErrorMessage="1" sqref="T610 V286:V287" xr:uid="{7921C5E5-303F-4D59-A582-1C7F1719A8FC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269DFF5A-DAFA-4491-A602-41903F27F4E4}">
      <formula1>"EN PROCESO,CONCLUIDO"</formula1>
    </dataValidation>
    <dataValidation type="list" allowBlank="1" showInputMessage="1" showErrorMessage="1" sqref="Q610 S2:S613" xr:uid="{4D3B7184-6FDA-49C9-8A29-0F0EDFC675B8}">
      <formula1>"ENVIADO A LA CE/UM,ENTREGADO/REVISIÓN,ENVIADO A TICS"</formula1>
    </dataValidation>
    <dataValidation type="list" allowBlank="1" showInputMessage="1" showErrorMessage="1" sqref="Y2:Y613" xr:uid="{3BAAA006-02D2-4E38-A40A-8E4C2F6EF746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6D0639B9-A996-4A48-8672-3EB4F98274F5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E8BFBCB0-7AC8-43BC-8C85-FB94ED80F349}">
      <formula1>"ENVIADO A LA CE/UM,EN REVISIÓN CENTRAL,CONCLUIDO, NO APLICA"</formula1>
    </dataValidation>
    <dataValidation type="list" allowBlank="1" showInputMessage="1" showErrorMessage="1" sqref="AA2:AA613" xr:uid="{5DDE2226-4414-4D1F-BD17-3684B7C06C6C}">
      <formula1>"SI,NO,NO APLICA"</formula1>
    </dataValidation>
    <dataValidation type="list" allowBlank="1" showInputMessage="1" showErrorMessage="1" sqref="W520:W613 W49:W115 W117:W518" xr:uid="{6998FEB2-A851-4AEE-AE8A-CA85C016B3EF}">
      <formula1>"EN PROCESO,CONCLUIDO,NO APLICA"</formula1>
    </dataValidation>
    <dataValidation type="list" allowBlank="1" showInputMessage="1" showErrorMessage="1" sqref="W2:W6 W8:W48" xr:uid="{4444A80C-0179-4B37-8D8F-B811B2526B16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818744DC-1ED5-41D4-8951-9232EF7C38C8}">
      <formula1>"EN PROCESO,CONCLUIDO, NO APLICA"</formula1>
    </dataValidation>
    <dataValidation type="list" allowBlank="1" showInputMessage="1" showErrorMessage="1" sqref="Z2:Z613" xr:uid="{77A547FC-AABA-48EA-9828-F84B67CCDF42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E2B163-4BB2-4695-B219-FB3D183629E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</xm:sqref>
        </x14:conditionalFormatting>
        <x14:conditionalFormatting xmlns:xm="http://schemas.microsoft.com/office/excel/2006/main">
          <x14:cfRule type="dataBar" id="{CCBDDED4-ABA0-4556-AB7E-7468D3EEAC2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  <x14:conditionalFormatting xmlns:xm="http://schemas.microsoft.com/office/excel/2006/main">
          <x14:cfRule type="dataBar" id="{66A9C54D-268B-42CA-9E07-E8DF5D8E818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abSelected="1"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41">
        <v>0</v>
      </c>
      <c r="G2" s="108">
        <v>49</v>
      </c>
      <c r="H2" s="135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41">
        <v>0</v>
      </c>
      <c r="G3" s="109">
        <v>245</v>
      </c>
      <c r="H3" s="135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40">
        <v>104</v>
      </c>
      <c r="G4" s="109">
        <v>106</v>
      </c>
      <c r="H4" s="135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41">
        <v>15</v>
      </c>
      <c r="G5" s="109">
        <v>60</v>
      </c>
      <c r="H5" s="135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40">
        <v>216</v>
      </c>
      <c r="G6" s="109">
        <v>221</v>
      </c>
      <c r="H6" s="135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40">
        <v>188</v>
      </c>
      <c r="G7" s="109">
        <v>170</v>
      </c>
      <c r="H7" s="135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41">
        <v>0</v>
      </c>
      <c r="G8" s="108">
        <v>0</v>
      </c>
      <c r="H8" s="136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41">
        <v>0</v>
      </c>
      <c r="G9" s="108">
        <v>0</v>
      </c>
      <c r="H9" s="136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40">
        <v>51</v>
      </c>
      <c r="G10" s="109">
        <v>18</v>
      </c>
      <c r="H10" s="135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41">
        <v>0</v>
      </c>
      <c r="G11" s="108">
        <v>0</v>
      </c>
      <c r="H11" s="136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41">
        <v>17</v>
      </c>
      <c r="G12" s="109">
        <v>20</v>
      </c>
      <c r="H12" s="135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41">
        <v>0</v>
      </c>
      <c r="G13" s="109">
        <v>113</v>
      </c>
      <c r="H13" s="135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41">
        <v>0</v>
      </c>
      <c r="G14" s="109">
        <v>100</v>
      </c>
      <c r="H14" s="135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41">
        <v>0</v>
      </c>
      <c r="G15" s="109">
        <v>36</v>
      </c>
      <c r="H15" s="135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41">
        <v>0</v>
      </c>
      <c r="G16" s="108">
        <v>197</v>
      </c>
      <c r="H16" s="135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41">
        <v>99</v>
      </c>
      <c r="G17" s="109">
        <v>244</v>
      </c>
      <c r="H17" s="135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41">
        <v>3</v>
      </c>
      <c r="G18" s="108">
        <v>0</v>
      </c>
      <c r="H18" s="136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41">
        <v>0</v>
      </c>
      <c r="G19" s="108">
        <v>0</v>
      </c>
      <c r="H19" s="136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41">
        <v>15</v>
      </c>
      <c r="G20" s="108">
        <v>48</v>
      </c>
      <c r="H20" s="135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41">
        <v>0</v>
      </c>
      <c r="G21" s="108">
        <v>34</v>
      </c>
      <c r="H21" s="135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41">
        <v>0</v>
      </c>
      <c r="G22" s="108">
        <v>86</v>
      </c>
      <c r="H22" s="135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41">
        <v>301</v>
      </c>
      <c r="G23" s="108">
        <v>521</v>
      </c>
      <c r="H23" s="135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41">
        <v>0</v>
      </c>
      <c r="G24" s="108">
        <v>324</v>
      </c>
      <c r="H24" s="135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42">
        <v>71</v>
      </c>
      <c r="G25" s="111">
        <v>70</v>
      </c>
      <c r="H25" s="138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42">
        <v>119</v>
      </c>
      <c r="G26" s="111">
        <v>441</v>
      </c>
      <c r="H26" s="137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41">
        <v>0</v>
      </c>
      <c r="G27" s="108">
        <v>0</v>
      </c>
      <c r="H27" s="136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42"/>
      <c r="G28" s="109">
        <v>52</v>
      </c>
      <c r="H28" s="135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43">
        <v>34</v>
      </c>
      <c r="G29" s="109">
        <v>698</v>
      </c>
      <c r="H29" s="139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870" priority="27"/>
  </conditionalFormatting>
  <conditionalFormatting sqref="Q611">
    <cfRule type="containsText" dxfId="869" priority="10" operator="containsText" text="ENVIADO A TICS">
      <formula>NOT(ISERROR(SEARCH("ENVIADO A TICS",Q611)))</formula>
    </cfRule>
    <cfRule type="containsText" dxfId="868" priority="11" operator="containsText" text="ENTREGADO/REVISIÓN">
      <formula>NOT(ISERROR(SEARCH("ENTREGADO/REVISIÓN",Q611)))</formula>
    </cfRule>
    <cfRule type="containsText" dxfId="867" priority="12" operator="containsText" text="ENVIADO A LA CE/UM">
      <formula>NOT(ISERROR(SEARCH("ENVIADO A LA CE/UM",Q611)))</formula>
    </cfRule>
  </conditionalFormatting>
  <conditionalFormatting sqref="R611">
    <cfRule type="containsText" dxfId="866" priority="9" operator="containsText" text="EN PROCESO">
      <formula>NOT(ISERROR(SEARCH("EN PROCESO",R611)))</formula>
    </cfRule>
  </conditionalFormatting>
  <conditionalFormatting sqref="R611:U611 T1:W610">
    <cfRule type="containsText" dxfId="865" priority="18" operator="containsText" text="CONCLUIDO">
      <formula>NOT(ISERROR(SEARCH("CONCLUIDO",R1)))</formula>
    </cfRule>
  </conditionalFormatting>
  <conditionalFormatting sqref="S1:S610">
    <cfRule type="containsText" dxfId="864" priority="24" operator="containsText" text="ENVIADO A TICS">
      <formula>NOT(ISERROR(SEARCH("ENVIADO A TICS",S1)))</formula>
    </cfRule>
    <cfRule type="containsText" dxfId="863" priority="25" operator="containsText" text="ENTREGADO/REVISIÓN">
      <formula>NOT(ISERROR(SEARCH("ENTREGADO/REVISIÓN",S1)))</formula>
    </cfRule>
    <cfRule type="containsText" dxfId="862" priority="26" operator="containsText" text="ENVIADO A LA CE/UM">
      <formula>NOT(ISERROR(SEARCH("ENVIADO A LA CE/UM",S1)))</formula>
    </cfRule>
  </conditionalFormatting>
  <conditionalFormatting sqref="S611:T611">
    <cfRule type="containsText" dxfId="861" priority="7" operator="containsText" text="EN REVISIÓN CENTRAL">
      <formula>NOT(ISERROR(SEARCH("EN REVISIÓN CENTRAL",S611)))</formula>
    </cfRule>
    <cfRule type="containsText" dxfId="860" priority="8" operator="containsText" text="ENVIADO A LA CE/UM">
      <formula>NOT(ISERROR(SEARCH("ENVIADO A LA CE/UM",S611)))</formula>
    </cfRule>
  </conditionalFormatting>
  <conditionalFormatting sqref="T1:T610">
    <cfRule type="containsText" dxfId="859" priority="23" operator="containsText" text="EN PROCESO">
      <formula>NOT(ISERROR(SEARCH("EN PROCESO",T1)))</formula>
    </cfRule>
  </conditionalFormatting>
  <conditionalFormatting sqref="U1">
    <cfRule type="containsText" dxfId="858" priority="28" operator="containsText" text="ENVIADO A LA CE/UM">
      <formula>NOT(ISERROR(SEARCH("ENVIADO A LA CE/UM",U1)))</formula>
    </cfRule>
  </conditionalFormatting>
  <conditionalFormatting sqref="U611">
    <cfRule type="containsText" dxfId="857" priority="5" operator="containsText" text="EN PROCESO">
      <formula>NOT(ISERROR(SEARCH("EN PROCESO",U611)))</formula>
    </cfRule>
    <cfRule type="containsText" dxfId="856" priority="6" operator="containsText" text="ENVIADO">
      <formula>NOT(ISERROR(SEARCH("ENVIADO",U611)))</formula>
    </cfRule>
  </conditionalFormatting>
  <conditionalFormatting sqref="U1:V610">
    <cfRule type="containsText" dxfId="855" priority="21" operator="containsText" text="EN REVISIÓN CENTRAL">
      <formula>NOT(ISERROR(SEARCH("EN REVISIÓN CENTRAL",U1)))</formula>
    </cfRule>
  </conditionalFormatting>
  <conditionalFormatting sqref="U2:V610">
    <cfRule type="containsText" dxfId="854" priority="22" operator="containsText" text="ENVIADO A LA CE/UM">
      <formula>NOT(ISERROR(SEARCH("ENVIADO A LA CE/UM",U2)))</formula>
    </cfRule>
  </conditionalFormatting>
  <conditionalFormatting sqref="V611">
    <cfRule type="containsText" dxfId="853" priority="3" operator="containsText" text="CONCLUIDAS">
      <formula>NOT(ISERROR(SEARCH("CONCLUIDAS",V611)))</formula>
    </cfRule>
    <cfRule type="containsText" dxfId="852" priority="4" operator="containsText" text="PROGRAMADAS">
      <formula>NOT(ISERROR(SEARCH("PROGRAMADAS",V611)))</formula>
    </cfRule>
  </conditionalFormatting>
  <conditionalFormatting sqref="W1:W610">
    <cfRule type="containsText" dxfId="851" priority="19" operator="containsText" text="EN PROCESO">
      <formula>NOT(ISERROR(SEARCH("EN PROCESO",W1)))</formula>
    </cfRule>
    <cfRule type="containsText" dxfId="850" priority="20" operator="containsText" text="ENVIADO">
      <formula>NOT(ISERROR(SEARCH("ENVIADO",W1)))</formula>
    </cfRule>
  </conditionalFormatting>
  <conditionalFormatting sqref="W611:Z611">
    <cfRule type="containsText" dxfId="849" priority="1" operator="containsText" text="SI">
      <formula>NOT(ISERROR(SEARCH("SI",W611)))</formula>
    </cfRule>
    <cfRule type="containsText" dxfId="848" priority="2" operator="containsText" text="NO">
      <formula>NOT(ISERROR(SEARCH("NO",W611)))</formula>
    </cfRule>
  </conditionalFormatting>
  <conditionalFormatting sqref="X1:X610">
    <cfRule type="containsText" dxfId="847" priority="16" operator="containsText" text="CONCLUIDAS">
      <formula>NOT(ISERROR(SEARCH("CONCLUIDAS",X1)))</formula>
    </cfRule>
    <cfRule type="containsText" dxfId="846" priority="17" operator="containsText" text="PROGRAMADAS">
      <formula>NOT(ISERROR(SEARCH("PROGRAMADAS",X1)))</formula>
    </cfRule>
  </conditionalFormatting>
  <conditionalFormatting sqref="Y1:Z610">
    <cfRule type="containsText" dxfId="845" priority="14" operator="containsText" text="SI">
      <formula>NOT(ISERROR(SEARCH("SI",Y1)))</formula>
    </cfRule>
    <cfRule type="containsText" dxfId="844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2026-08-24T20:59:22Z</dcterms:modified>
</cp:coreProperties>
</file>